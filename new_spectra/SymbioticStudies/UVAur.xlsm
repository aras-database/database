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5C344217-9354-4F0D-AE21-5888527BECA3}" xr6:coauthVersionLast="46" xr6:coauthVersionMax="46" xr10:uidLastSave="{00000000-0000-0000-0000-000000000000}"/>
  <bookViews>
    <workbookView minimized="1" xWindow="2985" yWindow="2985" windowWidth="21600" windowHeight="11385" xr2:uid="{00000000-000D-0000-FFFF-FFFF00000000}"/>
  </bookViews>
  <sheets>
    <sheet name="Index" sheetId="2" r:id="rId1"/>
    <sheet name="Feuil1" sheetId="3" r:id="rId2"/>
    <sheet name="V" sheetId="1" r:id="rId3"/>
    <sheet name="Vis" sheetId="5" r:id="rId4"/>
    <sheet name="B" sheetId="4" r:id="rId5"/>
  </sheets>
  <functionGroups builtInGroupCount="19"/>
  <externalReferences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12" i="2" l="1"/>
  <c r="M113" i="2"/>
  <c r="N113" i="2"/>
  <c r="N107" i="2"/>
  <c r="N108" i="2" s="1"/>
  <c r="N109" i="2" s="1"/>
  <c r="N110" i="2" s="1"/>
  <c r="N111" i="2" s="1"/>
  <c r="B112" i="2"/>
  <c r="C112" i="2"/>
  <c r="D112" i="2"/>
  <c r="E112" i="2"/>
  <c r="L112" i="2" s="1"/>
  <c r="F112" i="2"/>
  <c r="G112" i="2"/>
  <c r="H112" i="2"/>
  <c r="I112" i="2"/>
  <c r="B113" i="2"/>
  <c r="C113" i="2"/>
  <c r="D113" i="2"/>
  <c r="E113" i="2"/>
  <c r="L113" i="2" s="1"/>
  <c r="F113" i="2"/>
  <c r="G113" i="2"/>
  <c r="H113" i="2"/>
  <c r="I113" i="2"/>
  <c r="B100" i="2"/>
  <c r="C100" i="2"/>
  <c r="D100" i="2"/>
  <c r="E100" i="2"/>
  <c r="L100" i="2" s="1"/>
  <c r="F100" i="2"/>
  <c r="G100" i="2"/>
  <c r="H100" i="2"/>
  <c r="I100" i="2"/>
  <c r="B101" i="2"/>
  <c r="C101" i="2"/>
  <c r="D101" i="2"/>
  <c r="E101" i="2"/>
  <c r="L101" i="2" s="1"/>
  <c r="F101" i="2"/>
  <c r="G101" i="2"/>
  <c r="H101" i="2"/>
  <c r="I101" i="2"/>
  <c r="B102" i="2"/>
  <c r="C102" i="2"/>
  <c r="D102" i="2"/>
  <c r="E102" i="2"/>
  <c r="L102" i="2" s="1"/>
  <c r="F102" i="2"/>
  <c r="G102" i="2"/>
  <c r="H102" i="2"/>
  <c r="I102" i="2"/>
  <c r="B103" i="2"/>
  <c r="C103" i="2"/>
  <c r="D103" i="2"/>
  <c r="E103" i="2"/>
  <c r="L103" i="2" s="1"/>
  <c r="F103" i="2"/>
  <c r="G103" i="2"/>
  <c r="H103" i="2"/>
  <c r="I103" i="2"/>
  <c r="B104" i="2"/>
  <c r="C104" i="2"/>
  <c r="D104" i="2"/>
  <c r="E104" i="2"/>
  <c r="L104" i="2" s="1"/>
  <c r="F104" i="2"/>
  <c r="G104" i="2"/>
  <c r="H104" i="2"/>
  <c r="I104" i="2"/>
  <c r="B105" i="2"/>
  <c r="C105" i="2"/>
  <c r="D105" i="2"/>
  <c r="E105" i="2"/>
  <c r="L105" i="2" s="1"/>
  <c r="F105" i="2"/>
  <c r="G105" i="2"/>
  <c r="H105" i="2"/>
  <c r="I105" i="2"/>
  <c r="B106" i="2"/>
  <c r="C106" i="2"/>
  <c r="D106" i="2"/>
  <c r="E106" i="2"/>
  <c r="M106" i="2" s="1"/>
  <c r="F106" i="2"/>
  <c r="G106" i="2"/>
  <c r="H106" i="2"/>
  <c r="I106" i="2"/>
  <c r="B107" i="2"/>
  <c r="C107" i="2"/>
  <c r="D107" i="2"/>
  <c r="E107" i="2"/>
  <c r="M107" i="2" s="1"/>
  <c r="F107" i="2"/>
  <c r="G107" i="2"/>
  <c r="H107" i="2"/>
  <c r="I107" i="2"/>
  <c r="B108" i="2"/>
  <c r="C108" i="2"/>
  <c r="D108" i="2"/>
  <c r="E108" i="2"/>
  <c r="M108" i="2" s="1"/>
  <c r="F108" i="2"/>
  <c r="G108" i="2"/>
  <c r="H108" i="2"/>
  <c r="I108" i="2"/>
  <c r="B109" i="2"/>
  <c r="C109" i="2"/>
  <c r="D109" i="2"/>
  <c r="E109" i="2"/>
  <c r="M109" i="2" s="1"/>
  <c r="F109" i="2"/>
  <c r="G109" i="2"/>
  <c r="H109" i="2"/>
  <c r="I109" i="2"/>
  <c r="B110" i="2"/>
  <c r="C110" i="2"/>
  <c r="D110" i="2"/>
  <c r="E110" i="2"/>
  <c r="M110" i="2" s="1"/>
  <c r="F110" i="2"/>
  <c r="G110" i="2"/>
  <c r="H110" i="2"/>
  <c r="I110" i="2"/>
  <c r="B111" i="2"/>
  <c r="C111" i="2"/>
  <c r="D111" i="2"/>
  <c r="E111" i="2"/>
  <c r="M111" i="2" s="1"/>
  <c r="F111" i="2"/>
  <c r="G111" i="2"/>
  <c r="H111" i="2"/>
  <c r="I111" i="2"/>
  <c r="M112" i="2" l="1"/>
  <c r="L111" i="2"/>
  <c r="L110" i="2"/>
  <c r="L109" i="2"/>
  <c r="L108" i="2"/>
  <c r="L107" i="2"/>
  <c r="L106" i="2"/>
  <c r="B97" i="2"/>
  <c r="C97" i="2"/>
  <c r="D97" i="2"/>
  <c r="E97" i="2"/>
  <c r="L97" i="2" s="1"/>
  <c r="F97" i="2"/>
  <c r="G97" i="2"/>
  <c r="H97" i="2"/>
  <c r="I97" i="2"/>
  <c r="J97" i="2"/>
  <c r="K97" i="2"/>
  <c r="B98" i="2"/>
  <c r="C98" i="2"/>
  <c r="D98" i="2"/>
  <c r="E98" i="2"/>
  <c r="L98" i="2" s="1"/>
  <c r="F98" i="2"/>
  <c r="G98" i="2"/>
  <c r="H98" i="2"/>
  <c r="I98" i="2"/>
  <c r="J98" i="2"/>
  <c r="K98" i="2"/>
  <c r="B99" i="2"/>
  <c r="C99" i="2"/>
  <c r="D99" i="2"/>
  <c r="E99" i="2"/>
  <c r="L99" i="2" s="1"/>
  <c r="F99" i="2"/>
  <c r="G99" i="2"/>
  <c r="H99" i="2"/>
  <c r="I99" i="2"/>
  <c r="J99" i="2"/>
  <c r="K99" i="2"/>
  <c r="B89" i="2" l="1"/>
  <c r="C89" i="2"/>
  <c r="D89" i="2"/>
  <c r="E89" i="2"/>
  <c r="L89" i="2" s="1"/>
  <c r="F89" i="2"/>
  <c r="G89" i="2"/>
  <c r="H89" i="2"/>
  <c r="I89" i="2"/>
  <c r="J89" i="2"/>
  <c r="K89" i="2"/>
  <c r="B90" i="2"/>
  <c r="C90" i="2"/>
  <c r="D90" i="2"/>
  <c r="E90" i="2"/>
  <c r="L90" i="2" s="1"/>
  <c r="F90" i="2"/>
  <c r="G90" i="2"/>
  <c r="H90" i="2"/>
  <c r="I90" i="2"/>
  <c r="J90" i="2"/>
  <c r="K90" i="2"/>
  <c r="B91" i="2"/>
  <c r="C91" i="2"/>
  <c r="D91" i="2"/>
  <c r="E91" i="2"/>
  <c r="L91" i="2" s="1"/>
  <c r="F91" i="2"/>
  <c r="G91" i="2"/>
  <c r="H91" i="2"/>
  <c r="I91" i="2"/>
  <c r="J91" i="2"/>
  <c r="K91" i="2"/>
  <c r="B92" i="2"/>
  <c r="C92" i="2"/>
  <c r="D92" i="2"/>
  <c r="E92" i="2"/>
  <c r="L92" i="2" s="1"/>
  <c r="F92" i="2"/>
  <c r="G92" i="2"/>
  <c r="H92" i="2"/>
  <c r="I92" i="2"/>
  <c r="J92" i="2"/>
  <c r="K92" i="2"/>
  <c r="B93" i="2"/>
  <c r="C93" i="2"/>
  <c r="D93" i="2"/>
  <c r="E93" i="2"/>
  <c r="L93" i="2" s="1"/>
  <c r="F93" i="2"/>
  <c r="G93" i="2"/>
  <c r="H93" i="2"/>
  <c r="I93" i="2"/>
  <c r="J93" i="2"/>
  <c r="K93" i="2"/>
  <c r="B94" i="2"/>
  <c r="C94" i="2"/>
  <c r="D94" i="2"/>
  <c r="E94" i="2"/>
  <c r="L94" i="2" s="1"/>
  <c r="F94" i="2"/>
  <c r="G94" i="2"/>
  <c r="H94" i="2"/>
  <c r="I94" i="2"/>
  <c r="J94" i="2"/>
  <c r="K94" i="2"/>
  <c r="B95" i="2"/>
  <c r="C95" i="2"/>
  <c r="D95" i="2"/>
  <c r="E95" i="2"/>
  <c r="L95" i="2" s="1"/>
  <c r="F95" i="2"/>
  <c r="G95" i="2"/>
  <c r="H95" i="2"/>
  <c r="I95" i="2"/>
  <c r="J95" i="2"/>
  <c r="K95" i="2"/>
  <c r="B96" i="2"/>
  <c r="C96" i="2"/>
  <c r="D96" i="2"/>
  <c r="E96" i="2"/>
  <c r="L96" i="2" s="1"/>
  <c r="F96" i="2"/>
  <c r="G96" i="2"/>
  <c r="H96" i="2"/>
  <c r="I96" i="2"/>
  <c r="J96" i="2"/>
  <c r="K96" i="2"/>
  <c r="E62" i="2"/>
  <c r="B82" i="2" l="1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L88" i="2" s="1"/>
  <c r="F88" i="2"/>
  <c r="G88" i="2"/>
  <c r="H88" i="2"/>
  <c r="I88" i="2"/>
  <c r="J88" i="2"/>
  <c r="K88" i="2"/>
  <c r="L84" i="2" l="1"/>
  <c r="L87" i="2"/>
  <c r="L83" i="2"/>
  <c r="L86" i="2"/>
  <c r="L82" i="2"/>
  <c r="L85" i="2"/>
  <c r="O15" i="2"/>
  <c r="P14" i="2"/>
  <c r="P13" i="2"/>
  <c r="B81" i="2"/>
  <c r="C81" i="2"/>
  <c r="D81" i="2"/>
  <c r="E81" i="2"/>
  <c r="F81" i="2"/>
  <c r="G81" i="2"/>
  <c r="H81" i="2"/>
  <c r="I81" i="2"/>
  <c r="J81" i="2"/>
  <c r="K81" i="2"/>
  <c r="L81" i="2" l="1"/>
  <c r="B79" i="2"/>
  <c r="C79" i="2"/>
  <c r="D79" i="2"/>
  <c r="E79" i="2"/>
  <c r="F79" i="2"/>
  <c r="G79" i="2"/>
  <c r="H79" i="2"/>
  <c r="I79" i="2"/>
  <c r="J79" i="2"/>
  <c r="K79" i="2"/>
  <c r="B80" i="2"/>
  <c r="C80" i="2"/>
  <c r="D80" i="2"/>
  <c r="E80" i="2"/>
  <c r="F80" i="2"/>
  <c r="G80" i="2"/>
  <c r="H80" i="2"/>
  <c r="I80" i="2"/>
  <c r="J80" i="2"/>
  <c r="K80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0" i="2" l="1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63" i="2" l="1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C62" i="2"/>
  <c r="D62" i="2"/>
  <c r="F62" i="2"/>
  <c r="G62" i="2"/>
  <c r="H62" i="2"/>
  <c r="I62" i="2"/>
  <c r="J62" i="2"/>
  <c r="K62" i="2"/>
  <c r="B62" i="2" l="1"/>
</calcChain>
</file>

<file path=xl/sharedStrings.xml><?xml version="1.0" encoding="utf-8"?>
<sst xmlns="http://schemas.openxmlformats.org/spreadsheetml/2006/main" count="5496" uniqueCount="969">
  <si>
    <t>2015 APR 1</t>
  </si>
  <si>
    <t>2015 APR 2</t>
  </si>
  <si>
    <t>2015 APR 3</t>
  </si>
  <si>
    <t>2015 APR 7</t>
  </si>
  <si>
    <t>2015 APR 8</t>
  </si>
  <si>
    <t>2015 APR 9</t>
  </si>
  <si>
    <t>2015 APR 10</t>
  </si>
  <si>
    <t>2015 APR 14</t>
  </si>
  <si>
    <t>2015 APR 15</t>
  </si>
  <si>
    <t>2015 APR 17</t>
  </si>
  <si>
    <t>2015 APR 18</t>
  </si>
  <si>
    <t>2015 APR 19</t>
  </si>
  <si>
    <t>2015 APR 20</t>
  </si>
  <si>
    <t>2015 APR 22</t>
  </si>
  <si>
    <t>2015 APR 23</t>
  </si>
  <si>
    <t>2015 APR 25</t>
  </si>
  <si>
    <t>2015 APR 27</t>
  </si>
  <si>
    <t>2015 APR 29</t>
  </si>
  <si>
    <t>2015 APR 30</t>
  </si>
  <si>
    <t>2015 MAR 3</t>
  </si>
  <si>
    <t>DKS</t>
  </si>
  <si>
    <t>2015 MAR 6</t>
  </si>
  <si>
    <t>JM</t>
  </si>
  <si>
    <t>2015 MAR 7</t>
  </si>
  <si>
    <t>2015 MAR 9</t>
  </si>
  <si>
    <t>2015 MAR 16</t>
  </si>
  <si>
    <t>2015 MAR 20</t>
  </si>
  <si>
    <t>2015 MAR 23</t>
  </si>
  <si>
    <t>2015 MAR 25</t>
  </si>
  <si>
    <t>2015 MAR 26</t>
  </si>
  <si>
    <t>2015 MAR 27</t>
  </si>
  <si>
    <t>2015 MAR 28</t>
  </si>
  <si>
    <t>2015 MAR 29</t>
  </si>
  <si>
    <t>2014 DEC 25</t>
  </si>
  <si>
    <t>Johnson B</t>
  </si>
  <si>
    <t>BPO</t>
  </si>
  <si>
    <t>Prevalidated</t>
  </si>
  <si>
    <t>ENSEMBLE</t>
  </si>
  <si>
    <t>000-BCG-647</t>
  </si>
  <si>
    <t>13760ASZ</t>
  </si>
  <si>
    <t>no</t>
  </si>
  <si>
    <t>Standard</t>
  </si>
  <si>
    <t>false</t>
  </si>
  <si>
    <t>CH CYG</t>
  </si>
  <si>
    <t>2014 DEC 26</t>
  </si>
  <si>
    <t>HQA</t>
  </si>
  <si>
    <t>BSM_HQ</t>
  </si>
  <si>
    <t>yes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</si>
  <si>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</si>
  <si>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</si>
  <si>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</si>
  <si>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</si>
  <si>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</si>
  <si>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</si>
  <si>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</si>
  <si>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B</t>
  </si>
  <si>
    <t>Full moon  </t>
  </si>
  <si>
    <t>CH Cyg</t>
  </si>
  <si>
    <t>2015 JAN 25</t>
  </si>
  <si>
    <t>000-BCG-729</t>
  </si>
  <si>
    <t>GSC3551-2366</t>
  </si>
  <si>
    <t>6933AGD</t>
  </si>
  <si>
    <t>ERROR: V-C STDDEV+C POISSON IN QUAD;</t>
  </si>
  <si>
    <t>2015 JAN 28</t>
  </si>
  <si>
    <t>2015 FEB 3</t>
  </si>
  <si>
    <t>2015 FEB 6</t>
  </si>
  <si>
    <t>2015 FEB 12</t>
  </si>
  <si>
    <t>2015 FEB 26</t>
  </si>
  <si>
    <t>6834FW</t>
  </si>
  <si>
    <t>2015 FEB 28</t>
  </si>
  <si>
    <t>ERROR: V-C STDDEV+C POISSON IN QUAD; CLOUDS!</t>
  </si>
  <si>
    <t>SBL</t>
  </si>
  <si>
    <t>000-BKQ-867</t>
  </si>
  <si>
    <t>2015 APR 5</t>
  </si>
  <si>
    <t>2015 APR 12</t>
  </si>
  <si>
    <t>2015 APR 13</t>
  </si>
  <si>
    <t>2015 MAY 1</t>
  </si>
  <si>
    <t>2015 MAY 2</t>
  </si>
  <si>
    <t>14583ATQ</t>
  </si>
  <si>
    <t>2015 MAY 6</t>
  </si>
  <si>
    <t>2015 MAY 7</t>
  </si>
  <si>
    <t>2015 MAY 8</t>
  </si>
  <si>
    <t>2015 MAY 9</t>
  </si>
  <si>
    <t>2015 MAY 10</t>
  </si>
  <si>
    <t>2015 MAY 11</t>
  </si>
  <si>
    <t>2015 MAY 17</t>
  </si>
  <si>
    <t>2015 MAY 18</t>
  </si>
  <si>
    <t>2015 MAY 20</t>
  </si>
  <si>
    <t>2015 MAY 21</t>
  </si>
  <si>
    <t>BDG</t>
  </si>
  <si>
    <t>AAVSO 14872ADAL</t>
  </si>
  <si>
    <t>2015 MAY 24</t>
  </si>
  <si>
    <t>2015 MAY 25</t>
  </si>
  <si>
    <t>2015 MAY 26</t>
  </si>
  <si>
    <t>2015 MAY 28</t>
  </si>
  <si>
    <t>2015 MAY 29</t>
  </si>
  <si>
    <t>2015 JUN 3</t>
  </si>
  <si>
    <t>2015 JUN 4</t>
  </si>
  <si>
    <t>2015 JUN 10</t>
  </si>
  <si>
    <t>2015 JUN 11</t>
  </si>
  <si>
    <t>2015 JUN 14</t>
  </si>
  <si>
    <t>2015 JUN 19</t>
  </si>
  <si>
    <t>2015 JUN 21</t>
  </si>
  <si>
    <t>2015 JUN 22</t>
  </si>
  <si>
    <t>67834FW</t>
  </si>
  <si>
    <t>MEAN OF 25 OBS. COMP B=11.129</t>
  </si>
  <si>
    <t>MEAN OF 10 OBS. COMP B=11.129</t>
  </si>
  <si>
    <t>C11+LISA+SXVR-H694</t>
  </si>
  <si>
    <t>ROU-FR</t>
  </si>
  <si>
    <t>LES</t>
  </si>
  <si>
    <t>MRO-CA</t>
  </si>
  <si>
    <t>PSO</t>
  </si>
  <si>
    <t>JMO</t>
  </si>
  <si>
    <t>DBO</t>
  </si>
  <si>
    <t>JGF</t>
  </si>
  <si>
    <t xml:space="preserve">FMT </t>
  </si>
  <si>
    <t>TAT-HU</t>
  </si>
  <si>
    <t>25cmLH150_23u414exm</t>
  </si>
  <si>
    <t>SC14+eShel</t>
  </si>
  <si>
    <t>SMM-SP</t>
  </si>
  <si>
    <t>16REMOTATIK460EX</t>
  </si>
  <si>
    <t>WCO-UK</t>
  </si>
  <si>
    <t>Z AND</t>
  </si>
  <si>
    <t>LX20025cmLHIRESR</t>
  </si>
  <si>
    <t>FMTeyssier</t>
  </si>
  <si>
    <t>Rouen</t>
  </si>
  <si>
    <t>SC25cmF/D6.3*L</t>
  </si>
  <si>
    <t>cbuil</t>
  </si>
  <si>
    <t>Castanet</t>
  </si>
  <si>
    <t>C11LISAATIK314L+</t>
  </si>
  <si>
    <t>SC25cm|Lisa</t>
  </si>
  <si>
    <t>C11_LISA_SXV-H9</t>
  </si>
  <si>
    <t>OLC-FR</t>
  </si>
  <si>
    <t>Meade355mm+Atik460E</t>
  </si>
  <si>
    <t>SC25cm_LISA_ATIK46</t>
  </si>
  <si>
    <t>25cmAlpy600OrionG3</t>
  </si>
  <si>
    <t>311DK+1200lpm+QSI58</t>
  </si>
  <si>
    <t>SC25cm_LISA</t>
  </si>
  <si>
    <t>FBO</t>
  </si>
  <si>
    <t>OPL-FR</t>
  </si>
  <si>
    <t>C8_LISA_ATIK314L+</t>
  </si>
  <si>
    <t>25cmLH150_15u414exm</t>
  </si>
  <si>
    <t>C.A.L.C</t>
  </si>
  <si>
    <t>MEADE355mm+Alpy600+</t>
  </si>
  <si>
    <t>25cmLH2400_23u414ex</t>
  </si>
  <si>
    <t>2015 DEC 6</t>
  </si>
  <si>
    <t>2016 OCT 5</t>
  </si>
  <si>
    <t>2016 OCT 28</t>
  </si>
  <si>
    <t>1997 OCT 5</t>
  </si>
  <si>
    <t>1999 JAN 6</t>
  </si>
  <si>
    <t>1999 MAR 4</t>
  </si>
  <si>
    <t>1999 MAR 8</t>
  </si>
  <si>
    <t>1999 MAR 13</t>
  </si>
  <si>
    <t>1999 MAR 18</t>
  </si>
  <si>
    <t>1999 MAR 24</t>
  </si>
  <si>
    <t>1999 MAR 25</t>
  </si>
  <si>
    <t>1999 MAR 26</t>
  </si>
  <si>
    <t>1999 MAR 30</t>
  </si>
  <si>
    <t>1999 APR 1</t>
  </si>
  <si>
    <t>1999 APR 4</t>
  </si>
  <si>
    <t>1999 APR 9</t>
  </si>
  <si>
    <t>1999 APR 19</t>
  </si>
  <si>
    <t>2000 FEB 1</t>
  </si>
  <si>
    <t>2000 FEB 6</t>
  </si>
  <si>
    <t>2000 FEB 10</t>
  </si>
  <si>
    <t>2000 FEB 27</t>
  </si>
  <si>
    <t>2000 MAR 4</t>
  </si>
  <si>
    <t>2000 MAR 10</t>
  </si>
  <si>
    <t>2000 MAR 12</t>
  </si>
  <si>
    <t>2000 MAR 23</t>
  </si>
  <si>
    <t>2000 MAR 26</t>
  </si>
  <si>
    <t>2000 APR 2</t>
  </si>
  <si>
    <t>2000 APR 8</t>
  </si>
  <si>
    <t>2000 APR 20</t>
  </si>
  <si>
    <t>2000 APR 21</t>
  </si>
  <si>
    <t>2000 APR 22</t>
  </si>
  <si>
    <t>2000 MAY 2</t>
  </si>
  <si>
    <t>2000 OCT 21</t>
  </si>
  <si>
    <t>2000 NOV 17</t>
  </si>
  <si>
    <t>2000 NOV 20</t>
  </si>
  <si>
    <t>2000 DEC 6</t>
  </si>
  <si>
    <t>2000 DEC 20</t>
  </si>
  <si>
    <t>2001 JAN 28</t>
  </si>
  <si>
    <t>2001 FEB 14</t>
  </si>
  <si>
    <t>2001 FEB 16</t>
  </si>
  <si>
    <t>2001 FEB 24</t>
  </si>
  <si>
    <t>2001 FEB 27</t>
  </si>
  <si>
    <t>2001 MAR 2</t>
  </si>
  <si>
    <t>2001 MAR 7</t>
  </si>
  <si>
    <t>2001 MAR 18</t>
  </si>
  <si>
    <t>2001 MAR 28</t>
  </si>
  <si>
    <t>2001 APR 2</t>
  </si>
  <si>
    <t>2001 APR 4</t>
  </si>
  <si>
    <t>2001 APR 16</t>
  </si>
  <si>
    <t>2001 NOV 15</t>
  </si>
  <si>
    <t>2001 DEC 7</t>
  </si>
  <si>
    <t>2001 DEC 9</t>
  </si>
  <si>
    <t>2001 DEC 13</t>
  </si>
  <si>
    <t>2001 DEC 14</t>
  </si>
  <si>
    <t>2001 DEC 15</t>
  </si>
  <si>
    <t>2001 DEC 20</t>
  </si>
  <si>
    <t>2001 DEC 23</t>
  </si>
  <si>
    <t>2002 JAN 3</t>
  </si>
  <si>
    <t>2002 JAN 22</t>
  </si>
  <si>
    <t>2002 JAN 31</t>
  </si>
  <si>
    <t>2002 FEB 4</t>
  </si>
  <si>
    <t>2002 FEB 15</t>
  </si>
  <si>
    <t>2006 SEP 30</t>
  </si>
  <si>
    <t>2007 OCT 16</t>
  </si>
  <si>
    <t>2007 NOV 3</t>
  </si>
  <si>
    <t>2007 NOV 12</t>
  </si>
  <si>
    <t>2009 JAN 5</t>
  </si>
  <si>
    <t>2009 FEB 23</t>
  </si>
  <si>
    <t>2009 MAR 1</t>
  </si>
  <si>
    <t>2009 DEC 13</t>
  </si>
  <si>
    <t>2009 DEC 17</t>
  </si>
  <si>
    <t>2009 DEC 18</t>
  </si>
  <si>
    <t>2009 DEC 22</t>
  </si>
  <si>
    <t>2010 JAN 3</t>
  </si>
  <si>
    <t>2010 AUG 9</t>
  </si>
  <si>
    <t>2010 AUG 12</t>
  </si>
  <si>
    <t>2010 AUG 16</t>
  </si>
  <si>
    <t>2010 AUG 18</t>
  </si>
  <si>
    <t>2010 AUG 21</t>
  </si>
  <si>
    <t>2010 AUG 23</t>
  </si>
  <si>
    <t>2010 AUG 25</t>
  </si>
  <si>
    <t>2010 SEP 1</t>
  </si>
  <si>
    <t>2010 SEP 4</t>
  </si>
  <si>
    <t>2010 SEP 12</t>
  </si>
  <si>
    <t>2010 SEP 14</t>
  </si>
  <si>
    <t>2010 SEP 16</t>
  </si>
  <si>
    <t>2010 SEP 20</t>
  </si>
  <si>
    <t>2011 NOV 10</t>
  </si>
  <si>
    <t>2011 NOV 27</t>
  </si>
  <si>
    <t>2012 FEB 28</t>
  </si>
  <si>
    <t>2012 MAR 3</t>
  </si>
  <si>
    <t>2012 MAR 14</t>
  </si>
  <si>
    <t>2012 MAR 22</t>
  </si>
  <si>
    <t>2012 MAR 27</t>
  </si>
  <si>
    <t>2012 APR 2</t>
  </si>
  <si>
    <t>2012 OCT 10</t>
  </si>
  <si>
    <t>2012 OCT 19</t>
  </si>
  <si>
    <t>2012 OCT 26</t>
  </si>
  <si>
    <t>2012 NOV 7</t>
  </si>
  <si>
    <t>2012 NOV 19</t>
  </si>
  <si>
    <t>2012 NOV 25</t>
  </si>
  <si>
    <t>2012 DEC 12</t>
  </si>
  <si>
    <t>2012 DEC 17</t>
  </si>
  <si>
    <t>2012 DEC 29</t>
  </si>
  <si>
    <t>2013 JAN 5</t>
  </si>
  <si>
    <t>2013 JAN 17</t>
  </si>
  <si>
    <t>2013 JAN 22</t>
  </si>
  <si>
    <t>2013 JAN 28</t>
  </si>
  <si>
    <t>2013 FEB 3</t>
  </si>
  <si>
    <t>2013 FEB 16</t>
  </si>
  <si>
    <t>2013 FEB 26</t>
  </si>
  <si>
    <t>2013 MAR 3</t>
  </si>
  <si>
    <t>2013 MAR 13</t>
  </si>
  <si>
    <t>2013 MAR 19</t>
  </si>
  <si>
    <t>2013 MAR 26</t>
  </si>
  <si>
    <t>2013 APR 1</t>
  </si>
  <si>
    <t>2013 APR 5</t>
  </si>
  <si>
    <t>2013 APR 17</t>
  </si>
  <si>
    <t>2013 MAY 1</t>
  </si>
  <si>
    <t>2013 MAY 17</t>
  </si>
  <si>
    <t>2013 AUG 8</t>
  </si>
  <si>
    <t>2013 SEP 1</t>
  </si>
  <si>
    <t>2014 JAN 19</t>
  </si>
  <si>
    <t>2015 JAN 27</t>
  </si>
  <si>
    <t>2015 FEB 22</t>
  </si>
  <si>
    <t>2015 DEC 20</t>
  </si>
  <si>
    <t>2016 JAN 8</t>
  </si>
  <si>
    <t>2016 JAN 24</t>
  </si>
  <si>
    <t>2016 FEB 18</t>
  </si>
  <si>
    <t>2016 MAR 17</t>
  </si>
  <si>
    <t>2016 MAR 30</t>
  </si>
  <si>
    <t>2016 APR 13</t>
  </si>
  <si>
    <t>2017 JAN 2</t>
  </si>
  <si>
    <t>2017 JAN 5</t>
  </si>
  <si>
    <t>2017 JAN 13</t>
  </si>
  <si>
    <t>1952 JAN 2</t>
  </si>
  <si>
    <t>1954 SEP 26</t>
  </si>
  <si>
    <t>1954 OCT 17</t>
  </si>
  <si>
    <t>1954 NOV 27</t>
  </si>
  <si>
    <t>1954 DEC 16</t>
  </si>
  <si>
    <t>1955 JAN 25</t>
  </si>
  <si>
    <t>1955 FEB 17</t>
  </si>
  <si>
    <t>1955 MAR 14</t>
  </si>
  <si>
    <t>1955 MAR 26</t>
  </si>
  <si>
    <t>1955 APR 13</t>
  </si>
  <si>
    <t>1955 MAY 2</t>
  </si>
  <si>
    <t>1955 AUG 28</t>
  </si>
  <si>
    <t>1955 OCT 14</t>
  </si>
  <si>
    <t>1955 NOV 19</t>
  </si>
  <si>
    <t>1955 DEC 13</t>
  </si>
  <si>
    <t>1956 JAN 6</t>
  </si>
  <si>
    <t>1956 FEB 8</t>
  </si>
  <si>
    <t>1956 FEB 29</t>
  </si>
  <si>
    <t>1956 MAR 21</t>
  </si>
  <si>
    <t>1956 APR 3</t>
  </si>
  <si>
    <t>1957 JAN 1</t>
  </si>
  <si>
    <t>1957 FEB 26</t>
  </si>
  <si>
    <t>1957 MAR 22</t>
  </si>
  <si>
    <t>1957 APR 6</t>
  </si>
  <si>
    <t>1957 APR 30</t>
  </si>
  <si>
    <t>1958 MAR 8</t>
  </si>
  <si>
    <t>1964 NOV 15</t>
  </si>
  <si>
    <t>1964 DEC 21</t>
  </si>
  <si>
    <t>1965 FEB 5</t>
  </si>
  <si>
    <t>1965 MAR 16</t>
  </si>
  <si>
    <t>1965 APR 7</t>
  </si>
  <si>
    <t>1965 JUL 20</t>
  </si>
  <si>
    <t>1965 AUG 24</t>
  </si>
  <si>
    <t>1965 SEP 27</t>
  </si>
  <si>
    <t>1965 DEC 7</t>
  </si>
  <si>
    <t>1966 JAN 3</t>
  </si>
  <si>
    <t>1966 FEB 16</t>
  </si>
  <si>
    <t>1966 MAR 19</t>
  </si>
  <si>
    <t>1966 AUG 26</t>
  </si>
  <si>
    <t>1966 SEP 22</t>
  </si>
  <si>
    <t>1966 OCT 12</t>
  </si>
  <si>
    <t>1967 FEB 5</t>
  </si>
  <si>
    <t>1967 MAR 7</t>
  </si>
  <si>
    <t>1967 APR 6</t>
  </si>
  <si>
    <t>1967 MAY 2</t>
  </si>
  <si>
    <t>1967 JUL 25</t>
  </si>
  <si>
    <t>1967 AUG 31</t>
  </si>
  <si>
    <t>1967 OCT 1</t>
  </si>
  <si>
    <t>1967 NOV 28</t>
  </si>
  <si>
    <t>1968 FEB 11</t>
  </si>
  <si>
    <t>1968 MAR 8</t>
  </si>
  <si>
    <t>1968 AUG 11</t>
  </si>
  <si>
    <t>1968 SEP 2</t>
  </si>
  <si>
    <t>1968 DEC 30</t>
  </si>
  <si>
    <t>1969 MAR 17</t>
  </si>
  <si>
    <t>1969 APR 19</t>
  </si>
  <si>
    <t>1969 AUG 21</t>
  </si>
  <si>
    <t>1969 SEP 7</t>
  </si>
  <si>
    <t>1970 SEP 5</t>
  </si>
  <si>
    <t>1975 FEB 17</t>
  </si>
  <si>
    <t>1975 MAR 28</t>
  </si>
  <si>
    <t>1976 FEB 23</t>
  </si>
  <si>
    <t>1979 MAR 24</t>
  </si>
  <si>
    <t>1979 APR 20</t>
  </si>
  <si>
    <t>1979 NOV 17</t>
  </si>
  <si>
    <t>1979 DEC 13</t>
  </si>
  <si>
    <t>1980 JAN 13</t>
  </si>
  <si>
    <t>1980 FEB 3</t>
  </si>
  <si>
    <t>1980 FEB 18</t>
  </si>
  <si>
    <t>1980 MAR 7</t>
  </si>
  <si>
    <t>1980 MAR 29</t>
  </si>
  <si>
    <t>1980 APR 12</t>
  </si>
  <si>
    <t>1980 AUG 15</t>
  </si>
  <si>
    <t>1980 SEP 11</t>
  </si>
  <si>
    <t>1980 SEP 26</t>
  </si>
  <si>
    <t>1980 OCT 24</t>
  </si>
  <si>
    <t>1980 NOV 9</t>
  </si>
  <si>
    <t>1980 DEC 5</t>
  </si>
  <si>
    <t>1981 JAN 2</t>
  </si>
  <si>
    <t>1981 JAN 24</t>
  </si>
  <si>
    <t>1981 FEB 5</t>
  </si>
  <si>
    <t>1981 FEB 27</t>
  </si>
  <si>
    <t>1981 MAR 21</t>
  </si>
  <si>
    <t>1981 APR 1</t>
  </si>
  <si>
    <t>1981 SEP 17</t>
  </si>
  <si>
    <t>1981 OCT 5</t>
  </si>
  <si>
    <t>1981 OCT 26</t>
  </si>
  <si>
    <t>1981 NOV 9</t>
  </si>
  <si>
    <t>1981 NOV 25</t>
  </si>
  <si>
    <t>1981 DEC 25</t>
  </si>
  <si>
    <t>1982 JAN 16</t>
  </si>
  <si>
    <t>1982 JAN 28</t>
  </si>
  <si>
    <t>1982 FEB 18</t>
  </si>
  <si>
    <t>1982 MAR 3</t>
  </si>
  <si>
    <t>1982 MAR 19</t>
  </si>
  <si>
    <t>1982 APR 14</t>
  </si>
  <si>
    <t>1982 APR 23</t>
  </si>
  <si>
    <t>1982 SEP 25</t>
  </si>
  <si>
    <t>1982 NOV 17</t>
  </si>
  <si>
    <t>1982 DEC 12</t>
  </si>
  <si>
    <t>1982 DEC 26</t>
  </si>
  <si>
    <t>1983 JAN 10</t>
  </si>
  <si>
    <t>1983 JAN 26</t>
  </si>
  <si>
    <t>1983 FEB 14</t>
  </si>
  <si>
    <t>1983 MAR 8</t>
  </si>
  <si>
    <t>1983 MAR 24</t>
  </si>
  <si>
    <t>1983 APR 8</t>
  </si>
  <si>
    <t>1983 NOV 10</t>
  </si>
  <si>
    <t>1983 NOV 30</t>
  </si>
  <si>
    <t>1984 JAN 4</t>
  </si>
  <si>
    <t>1984 JAN 29</t>
  </si>
  <si>
    <t>1984 FEB 15</t>
  </si>
  <si>
    <t>1984 MAR 7</t>
  </si>
  <si>
    <t>1984 MAR 26</t>
  </si>
  <si>
    <t>1984 APR 15</t>
  </si>
  <si>
    <t>1984 MAY 2</t>
  </si>
  <si>
    <t>1984 SEP 1</t>
  </si>
  <si>
    <t>1984 NOV 3</t>
  </si>
  <si>
    <t>1984 NOV 30</t>
  </si>
  <si>
    <t>1984 DEC 24</t>
  </si>
  <si>
    <t>1985 JAN 27</t>
  </si>
  <si>
    <t>1985 FEB 18</t>
  </si>
  <si>
    <t>1985 MAR 2</t>
  </si>
  <si>
    <t>1985 MAR 21</t>
  </si>
  <si>
    <t>1985 APR 5</t>
  </si>
  <si>
    <t>1985 APR 21</t>
  </si>
  <si>
    <t>1985 AUG 14</t>
  </si>
  <si>
    <t>1985 SEP 16</t>
  </si>
  <si>
    <t>1985 OCT 11</t>
  </si>
  <si>
    <t>1985 DEC 13</t>
  </si>
  <si>
    <t>1986 JAN 4</t>
  </si>
  <si>
    <t>1986 JAN 23</t>
  </si>
  <si>
    <t>1986 FEB 8</t>
  </si>
  <si>
    <t>1986 MAR 2</t>
  </si>
  <si>
    <t>1986 MAR 19</t>
  </si>
  <si>
    <t>1986 APR 2</t>
  </si>
  <si>
    <t>1986 APR 23</t>
  </si>
  <si>
    <t>1986 AUG 6</t>
  </si>
  <si>
    <t>1986 AUG 26</t>
  </si>
  <si>
    <t>1986 OCT 1</t>
  </si>
  <si>
    <t>1986 NOV 9</t>
  </si>
  <si>
    <t>1986 NOV 27</t>
  </si>
  <si>
    <t>1986 DEC 13</t>
  </si>
  <si>
    <t>1987 JAN 4</t>
  </si>
  <si>
    <t>1987 FEB 2</t>
  </si>
  <si>
    <t>1987 FEB 25</t>
  </si>
  <si>
    <t>1987 MAR 13</t>
  </si>
  <si>
    <t>1987 APR 1</t>
  </si>
  <si>
    <t>1987 APR 23</t>
  </si>
  <si>
    <t>1987 JUL 24</t>
  </si>
  <si>
    <t>1987 SEP 3</t>
  </si>
  <si>
    <t>1987 SEP 23</t>
  </si>
  <si>
    <t>1987 OCT 16</t>
  </si>
  <si>
    <t>1987 NOV 21</t>
  </si>
  <si>
    <t>1987 DEC 18</t>
  </si>
  <si>
    <t>1987 DEC 31</t>
  </si>
  <si>
    <t>1988 JAN 22</t>
  </si>
  <si>
    <t>1988 FEB 6</t>
  </si>
  <si>
    <t>1988 FEB 19</t>
  </si>
  <si>
    <t>1988 MAR 8</t>
  </si>
  <si>
    <t>1988 MAR 28</t>
  </si>
  <si>
    <t>1988 APR 15</t>
  </si>
  <si>
    <t>1988 JUL 17</t>
  </si>
  <si>
    <t>1988 JUL 29</t>
  </si>
  <si>
    <t>1988 AUG 15</t>
  </si>
  <si>
    <t>1988 SEP 16</t>
  </si>
  <si>
    <t>1988 OCT 10</t>
  </si>
  <si>
    <t>1988 NOV 6</t>
  </si>
  <si>
    <t>1988 DEC 2</t>
  </si>
  <si>
    <t>1988 DEC 27</t>
  </si>
  <si>
    <t>1989 JAN 16</t>
  </si>
  <si>
    <t>1989 FEB 3</t>
  </si>
  <si>
    <t>1989 FEB 16</t>
  </si>
  <si>
    <t>1989 MAR 6</t>
  </si>
  <si>
    <t>1989 MAR 19</t>
  </si>
  <si>
    <t>1989 APR 4</t>
  </si>
  <si>
    <t>1989 APR 26</t>
  </si>
  <si>
    <t>1989 AUG 29</t>
  </si>
  <si>
    <t>1989 SEP 12</t>
  </si>
  <si>
    <t>1989 SEP 30</t>
  </si>
  <si>
    <t>1989 OCT 23</t>
  </si>
  <si>
    <t>1989 NOV 4</t>
  </si>
  <si>
    <t>1989 NOV 26</t>
  </si>
  <si>
    <t>1989 DEC 12</t>
  </si>
  <si>
    <t>1989 DEC 31</t>
  </si>
  <si>
    <t>1990 JAN 19</t>
  </si>
  <si>
    <t>1990 FEB 1</t>
  </si>
  <si>
    <t>1990 FEB 21</t>
  </si>
  <si>
    <t>1990 MAR 11</t>
  </si>
  <si>
    <t>1990 MAR 26</t>
  </si>
  <si>
    <t>1990 APR 15</t>
  </si>
  <si>
    <t>1990 JUL 30</t>
  </si>
  <si>
    <t>1990 AUG 20</t>
  </si>
  <si>
    <t>1990 SEP 7</t>
  </si>
  <si>
    <t>1990 SEP 25</t>
  </si>
  <si>
    <t>1990 OCT 15</t>
  </si>
  <si>
    <t>1990 NOV 2</t>
  </si>
  <si>
    <t>1990 NOV 29</t>
  </si>
  <si>
    <t>1990 DEC 19</t>
  </si>
  <si>
    <t>1991 JAN 12</t>
  </si>
  <si>
    <t>1991 JAN 30</t>
  </si>
  <si>
    <t>1991 FEB 20</t>
  </si>
  <si>
    <t>1991 MAR 12</t>
  </si>
  <si>
    <t>1991 MAR 25</t>
  </si>
  <si>
    <t>1991 AUG 11</t>
  </si>
  <si>
    <t>1991 AUG 29</t>
  </si>
  <si>
    <t>1991 SEP 17</t>
  </si>
  <si>
    <t>1991 OCT 6</t>
  </si>
  <si>
    <t>1991 OCT 24</t>
  </si>
  <si>
    <t>1991 NOV 9</t>
  </si>
  <si>
    <t>1991 DEC 5</t>
  </si>
  <si>
    <t>1991 DEC 18</t>
  </si>
  <si>
    <t>1992 JAN 4</t>
  </si>
  <si>
    <t>1992 JAN 21</t>
  </si>
  <si>
    <t>1992 FEB 1</t>
  </si>
  <si>
    <t>1992 FEB 25</t>
  </si>
  <si>
    <t>1992 MAR 9</t>
  </si>
  <si>
    <t>1992 APR 18</t>
  </si>
  <si>
    <t>1992 SEP 4</t>
  </si>
  <si>
    <t>1992 SEP 23</t>
  </si>
  <si>
    <t>1992 OCT 16</t>
  </si>
  <si>
    <t>1992 OCT 28</t>
  </si>
  <si>
    <t>1992 NOV 24</t>
  </si>
  <si>
    <t>1992 DEC 8</t>
  </si>
  <si>
    <t>1992 DEC 26</t>
  </si>
  <si>
    <t>1993 JAN 9</t>
  </si>
  <si>
    <t>1993 JAN 25</t>
  </si>
  <si>
    <t>1993 FEB 16</t>
  </si>
  <si>
    <t>1993 MAR 1</t>
  </si>
  <si>
    <t>1993 MAR 16</t>
  </si>
  <si>
    <t>1993 MAR 30</t>
  </si>
  <si>
    <t>1993 APR 18</t>
  </si>
  <si>
    <t>1993 JUL 25</t>
  </si>
  <si>
    <t>1993 AUG 12</t>
  </si>
  <si>
    <t>1993 SEP 5</t>
  </si>
  <si>
    <t>1993 SEP 18</t>
  </si>
  <si>
    <t>1993 OCT 4</t>
  </si>
  <si>
    <t>1993 OCT 18</t>
  </si>
  <si>
    <t>1993 NOV 10</t>
  </si>
  <si>
    <t>1993 NOV 20</t>
  </si>
  <si>
    <t>1993 DEC 11</t>
  </si>
  <si>
    <t>1993 DEC 29</t>
  </si>
  <si>
    <t>1994 JAN 13</t>
  </si>
  <si>
    <t>1994 JAN 30</t>
  </si>
  <si>
    <t>1994 FEB 12</t>
  </si>
  <si>
    <t>1994 MAR 5</t>
  </si>
  <si>
    <t>1994 MAR 20</t>
  </si>
  <si>
    <t>1994 APR 9</t>
  </si>
  <si>
    <t>1994 APR 28</t>
  </si>
  <si>
    <t>1994 AUG 4</t>
  </si>
  <si>
    <t>1994 AUG 18</t>
  </si>
  <si>
    <t>1994 SEP 11</t>
  </si>
  <si>
    <t>1994 OCT 8</t>
  </si>
  <si>
    <t>1994 OCT 30</t>
  </si>
  <si>
    <t>1994 NOV 18</t>
  </si>
  <si>
    <t>1994 DEC 3</t>
  </si>
  <si>
    <t>1994 DEC 19</t>
  </si>
  <si>
    <t>1995 JAN 5</t>
  </si>
  <si>
    <t>1995 JAN 29</t>
  </si>
  <si>
    <t>1995 FEB 11</t>
  </si>
  <si>
    <t>1995 MAR 1</t>
  </si>
  <si>
    <t>1995 MAR 18</t>
  </si>
  <si>
    <t>1995 MAR 31</t>
  </si>
  <si>
    <t>1995 APR 15</t>
  </si>
  <si>
    <t>1995 APR 30</t>
  </si>
  <si>
    <t>1995 JUL 25</t>
  </si>
  <si>
    <t>1995 AUG 9</t>
  </si>
  <si>
    <t>1995 AUG 28</t>
  </si>
  <si>
    <t>1995 SEP 28</t>
  </si>
  <si>
    <t>1995 OCT 20</t>
  </si>
  <si>
    <t>1995 OCT 29</t>
  </si>
  <si>
    <t>1995 NOV 21</t>
  </si>
  <si>
    <t>1995 DEC 8</t>
  </si>
  <si>
    <t>1995 DEC 23</t>
  </si>
  <si>
    <t>1996 JAN 11</t>
  </si>
  <si>
    <t>1996 JAN 22</t>
  </si>
  <si>
    <t>1996 FEB 8</t>
  </si>
  <si>
    <t>1996 FEB 23</t>
  </si>
  <si>
    <t>1996 MAR 11</t>
  </si>
  <si>
    <t>1996 MAR 28</t>
  </si>
  <si>
    <t>1996 APR 11</t>
  </si>
  <si>
    <t>1996 APR 24</t>
  </si>
  <si>
    <t>1996 MAY 12</t>
  </si>
  <si>
    <t>1996 JUL 20</t>
  </si>
  <si>
    <t>1996 AUG 10</t>
  </si>
  <si>
    <t>1996 AUG 29</t>
  </si>
  <si>
    <t>1996 SEP 17</t>
  </si>
  <si>
    <t>1996 OCT 8</t>
  </si>
  <si>
    <t>1996 OCT 26</t>
  </si>
  <si>
    <t>1996 NOV 16</t>
  </si>
  <si>
    <t>1996 DEC 5</t>
  </si>
  <si>
    <t>1996 DEC 19</t>
  </si>
  <si>
    <t>1997 JAN 9</t>
  </si>
  <si>
    <t>1997 JAN 24</t>
  </si>
  <si>
    <t>1997 FEB 8</t>
  </si>
  <si>
    <t>1997 FEB 23</t>
  </si>
  <si>
    <t>1997 MAR 10</t>
  </si>
  <si>
    <t>1997 MAR 28</t>
  </si>
  <si>
    <t>1997 APR 9</t>
  </si>
  <si>
    <t>1997 APR 29</t>
  </si>
  <si>
    <t>1997 MAY 17</t>
  </si>
  <si>
    <t>1997 AUG 5</t>
  </si>
  <si>
    <t>1997 AUG 26</t>
  </si>
  <si>
    <t>1997 SEP 8</t>
  </si>
  <si>
    <t>1997 OCT 2</t>
  </si>
  <si>
    <t>1997 OCT 27</t>
  </si>
  <si>
    <t>1997 NOV 16</t>
  </si>
  <si>
    <t>1997 DEC 7</t>
  </si>
  <si>
    <t>1997 DEC 31</t>
  </si>
  <si>
    <t>1998 JAN 14</t>
  </si>
  <si>
    <t>1998 JAN 31</t>
  </si>
  <si>
    <t>1998 FEB 16</t>
  </si>
  <si>
    <t>1998 MAR 1</t>
  </si>
  <si>
    <t>1998 MAR 18</t>
  </si>
  <si>
    <t>1998 APR 7</t>
  </si>
  <si>
    <t>1998 APR 24</t>
  </si>
  <si>
    <t>1998 MAY 6</t>
  </si>
  <si>
    <t>1998 JUL 31</t>
  </si>
  <si>
    <t>1998 AUG 12</t>
  </si>
  <si>
    <t>1998 AUG 27</t>
  </si>
  <si>
    <t>1998 SEP 17</t>
  </si>
  <si>
    <t>1998 SEP 24</t>
  </si>
  <si>
    <t>1998 OCT 17</t>
  </si>
  <si>
    <t>1998 OCT 24</t>
  </si>
  <si>
    <t>1998 NOV 16</t>
  </si>
  <si>
    <t>1998 DEC 7</t>
  </si>
  <si>
    <t>1998 DEC 22</t>
  </si>
  <si>
    <t>1999 JAN 8</t>
  </si>
  <si>
    <t>1999 JAN 21</t>
  </si>
  <si>
    <t>1999 FEB 8</t>
  </si>
  <si>
    <t>1999 FEB 23</t>
  </si>
  <si>
    <t>1999 MAR 12</t>
  </si>
  <si>
    <t>1999 APR 10</t>
  </si>
  <si>
    <t>1999 APR 29</t>
  </si>
  <si>
    <t>1999 AUG 1</t>
  </si>
  <si>
    <t>1999 AUG 18</t>
  </si>
  <si>
    <t>1999 SEP 9</t>
  </si>
  <si>
    <t>1999 OCT 1</t>
  </si>
  <si>
    <t>1999 OCT 13</t>
  </si>
  <si>
    <t>1999 NOV 6</t>
  </si>
  <si>
    <t>1999 NOV 23</t>
  </si>
  <si>
    <t>1999 DEC 9</t>
  </si>
  <si>
    <t>1999 DEC 26</t>
  </si>
  <si>
    <t>2000 JAN 10</t>
  </si>
  <si>
    <t>2000 JAN 30</t>
  </si>
  <si>
    <t>2000 FEB 15</t>
  </si>
  <si>
    <t>2000 MAR 3</t>
  </si>
  <si>
    <t>2000 MAR 19</t>
  </si>
  <si>
    <t>2000 APR 3</t>
  </si>
  <si>
    <t>2000 MAY 6</t>
  </si>
  <si>
    <t>2000 JUL 3</t>
  </si>
  <si>
    <t>2000 JUL 18</t>
  </si>
  <si>
    <t>2000 AUG 6</t>
  </si>
  <si>
    <t>2000 AUG 22</t>
  </si>
  <si>
    <t>2000 SEP 6</t>
  </si>
  <si>
    <t>2000 SEP 30</t>
  </si>
  <si>
    <t>2000 OCT 17</t>
  </si>
  <si>
    <t>2000 NOV 2</t>
  </si>
  <si>
    <t>2000 NOV 29</t>
  </si>
  <si>
    <t>2000 DEC 21</t>
  </si>
  <si>
    <t>2001 JAN 9</t>
  </si>
  <si>
    <t>2001 JAN 21</t>
  </si>
  <si>
    <t>2001 FEB 12</t>
  </si>
  <si>
    <t>2001 MAR 1</t>
  </si>
  <si>
    <t>2001 MAR 17</t>
  </si>
  <si>
    <t>2001 APR 19</t>
  </si>
  <si>
    <t>2001 MAY 3</t>
  </si>
  <si>
    <t>2001 AUG 2</t>
  </si>
  <si>
    <t>2001 AUG 17</t>
  </si>
  <si>
    <t>2001 SEP 1</t>
  </si>
  <si>
    <t>2001 SEP 24</t>
  </si>
  <si>
    <t>2001 OCT 9</t>
  </si>
  <si>
    <t>2001 OCT 22</t>
  </si>
  <si>
    <t>2001 DEC 2</t>
  </si>
  <si>
    <t>2001 DEC 19</t>
  </si>
  <si>
    <t>2002 JAN 5</t>
  </si>
  <si>
    <t>2002 JAN 20</t>
  </si>
  <si>
    <t>2002 FEB 9</t>
  </si>
  <si>
    <t>2002 FEB 24</t>
  </si>
  <si>
    <t>2002 MAR 10</t>
  </si>
  <si>
    <t>2002 MAR 29</t>
  </si>
  <si>
    <t>2002 APR 10</t>
  </si>
  <si>
    <t>2002 APR 25</t>
  </si>
  <si>
    <t>2002 JUL 4</t>
  </si>
  <si>
    <t>2002 AUG 17</t>
  </si>
  <si>
    <t>2002 AUG 28</t>
  </si>
  <si>
    <t>2002 SEP 12</t>
  </si>
  <si>
    <t>2002 OCT 1</t>
  </si>
  <si>
    <t>2002 OCT 15</t>
  </si>
  <si>
    <t>2002 NOV 1</t>
  </si>
  <si>
    <t>2002 NOV 16</t>
  </si>
  <si>
    <t>2002 DEC 4</t>
  </si>
  <si>
    <t>2002 DEC 18</t>
  </si>
  <si>
    <t>2003 JAN 5</t>
  </si>
  <si>
    <t>2003 JAN 26</t>
  </si>
  <si>
    <t>2003 FEB 10</t>
  </si>
  <si>
    <t>2003 FEB 25</t>
  </si>
  <si>
    <t>2003 MAR 13</t>
  </si>
  <si>
    <t>2003 MAR 27</t>
  </si>
  <si>
    <t>2003 APR 12</t>
  </si>
  <si>
    <t>2003 APR 29</t>
  </si>
  <si>
    <t>2003 MAY 9</t>
  </si>
  <si>
    <t>2003 AUG 5</t>
  </si>
  <si>
    <t>2003 AUG 25</t>
  </si>
  <si>
    <t>2003 SEP 5</t>
  </si>
  <si>
    <t>2003 SEP 25</t>
  </si>
  <si>
    <t>2003 OCT 20</t>
  </si>
  <si>
    <t>2003 NOV 2</t>
  </si>
  <si>
    <t>2003 NOV 20</t>
  </si>
  <si>
    <t>2003 DEC 4</t>
  </si>
  <si>
    <t>2003 DEC 20</t>
  </si>
  <si>
    <t>2004 JAN 5</t>
  </si>
  <si>
    <t>2004 JAN 20</t>
  </si>
  <si>
    <t>2004 FEB 4</t>
  </si>
  <si>
    <t>2004 FEB 21</t>
  </si>
  <si>
    <t>2004 MAR 12</t>
  </si>
  <si>
    <t>2004 MAR 27</t>
  </si>
  <si>
    <t>2004 APR 15</t>
  </si>
  <si>
    <t>2004 APR 30</t>
  </si>
  <si>
    <t>2004 AUG 15</t>
  </si>
  <si>
    <t>2004 AUG 28</t>
  </si>
  <si>
    <t>2004 SEP 15</t>
  </si>
  <si>
    <t>2004 SEP 30</t>
  </si>
  <si>
    <t>2004 OCT 16</t>
  </si>
  <si>
    <t>2004 NOV 3</t>
  </si>
  <si>
    <t>2004 NOV 16</t>
  </si>
  <si>
    <t>2004 DEC 6</t>
  </si>
  <si>
    <t>2004 DEC 20</t>
  </si>
  <si>
    <t>2005 JAN 7</t>
  </si>
  <si>
    <t>2005 JAN 22</t>
  </si>
  <si>
    <t>2005 FEB 9</t>
  </si>
  <si>
    <t>2005 FEB 28</t>
  </si>
  <si>
    <t>2005 MAR 18</t>
  </si>
  <si>
    <t>2005 APR 2</t>
  </si>
  <si>
    <t>2005 APR 14</t>
  </si>
  <si>
    <t>2005 MAY 12</t>
  </si>
  <si>
    <t>2005 AUG 10</t>
  </si>
  <si>
    <t>2005 SEP 1</t>
  </si>
  <si>
    <t>2005 SEP 21</t>
  </si>
  <si>
    <t>2005 OCT 8</t>
  </si>
  <si>
    <t>2005 OCT 28</t>
  </si>
  <si>
    <t>2005 NOV 9</t>
  </si>
  <si>
    <t>2005 NOV 27</t>
  </si>
  <si>
    <t>2005 DEC 9</t>
  </si>
  <si>
    <t>2005 DEC 28</t>
  </si>
  <si>
    <t>2006 JAN 10</t>
  </si>
  <si>
    <t>2006 JAN 26</t>
  </si>
  <si>
    <t>2006 FEB 12</t>
  </si>
  <si>
    <t>2006 FEB 27</t>
  </si>
  <si>
    <t>2006 MAR 14</t>
  </si>
  <si>
    <t>2006 APR 4</t>
  </si>
  <si>
    <t>2006 APR 22</t>
  </si>
  <si>
    <t>2006 AUG 11</t>
  </si>
  <si>
    <t>2006 AUG 28</t>
  </si>
  <si>
    <t>2006 SEP 13</t>
  </si>
  <si>
    <t>2006 SEP 26</t>
  </si>
  <si>
    <t>2006 OCT 17</t>
  </si>
  <si>
    <t>2006 OCT 28</t>
  </si>
  <si>
    <t>2006 NOV 17</t>
  </si>
  <si>
    <t>2006 DEC 2</t>
  </si>
  <si>
    <t>2006 DEC 18</t>
  </si>
  <si>
    <t>2007 JAN 4</t>
  </si>
  <si>
    <t>2007 JAN 22</t>
  </si>
  <si>
    <t>2007 FEB 5</t>
  </si>
  <si>
    <t>2007 FEB 20</t>
  </si>
  <si>
    <t>2007 MAR 12</t>
  </si>
  <si>
    <t>2007 MAR 26</t>
  </si>
  <si>
    <t>2007 APR 10</t>
  </si>
  <si>
    <t>2007 APR 24</t>
  </si>
  <si>
    <t>2007 MAY 13</t>
  </si>
  <si>
    <t>2007 AUG 17</t>
  </si>
  <si>
    <t>2007 SEP 15</t>
  </si>
  <si>
    <t>2007 OCT 13</t>
  </si>
  <si>
    <t>2007 OCT 25</t>
  </si>
  <si>
    <t>2007 NOV 11</t>
  </si>
  <si>
    <t>2007 NOV 28</t>
  </si>
  <si>
    <t>2007 DEC 14</t>
  </si>
  <si>
    <t>2008 JAN 1</t>
  </si>
  <si>
    <t>2008 JAN 13</t>
  </si>
  <si>
    <t>2008 FEB 1</t>
  </si>
  <si>
    <t>2008 FEB 15</t>
  </si>
  <si>
    <t>2008 MAR 1</t>
  </si>
  <si>
    <t>2008 MAR 18</t>
  </si>
  <si>
    <t>2008 APR 1</t>
  </si>
  <si>
    <t>2008 APR 18</t>
  </si>
  <si>
    <t>2008 MAY 2</t>
  </si>
  <si>
    <t>2008 MAY 13</t>
  </si>
  <si>
    <t>2008 AUG 5</t>
  </si>
  <si>
    <t>2008 AUG 29</t>
  </si>
  <si>
    <t>2008 SEP 12</t>
  </si>
  <si>
    <t>2008 SEP 30</t>
  </si>
  <si>
    <t>2008 OCT 20</t>
  </si>
  <si>
    <t>2008 NOV 2</t>
  </si>
  <si>
    <t>2008 NOV 25</t>
  </si>
  <si>
    <t>2008 DEC 8</t>
  </si>
  <si>
    <t>2008 DEC 29</t>
  </si>
  <si>
    <t>2009 JAN 15</t>
  </si>
  <si>
    <t>2009 JAN 28</t>
  </si>
  <si>
    <t>2009 FEB 15</t>
  </si>
  <si>
    <t>2009 MAR 3</t>
  </si>
  <si>
    <t>2009 MAR 19</t>
  </si>
  <si>
    <t>2009 APR 3</t>
  </si>
  <si>
    <t>2009 APR 19</t>
  </si>
  <si>
    <t>2009 MAY 6</t>
  </si>
  <si>
    <t>2009 AUG 2</t>
  </si>
  <si>
    <t>2009 AUG 24</t>
  </si>
  <si>
    <t>2009 SEP 15</t>
  </si>
  <si>
    <t>2009 SEP 29</t>
  </si>
  <si>
    <t>2009 OCT 19</t>
  </si>
  <si>
    <t>2009 NOV 5</t>
  </si>
  <si>
    <t>2009 NOV 19</t>
  </si>
  <si>
    <t>2009 DEC 6</t>
  </si>
  <si>
    <t>2009 DEC 21</t>
  </si>
  <si>
    <t>2010 JAN 8</t>
  </si>
  <si>
    <t>2010 JAN 22</t>
  </si>
  <si>
    <t>2010 FEB 7</t>
  </si>
  <si>
    <t>2010 FEB 23</t>
  </si>
  <si>
    <t>2010 MAR 9</t>
  </si>
  <si>
    <t>2010 MAR 28</t>
  </si>
  <si>
    <t>2010 APR 12</t>
  </si>
  <si>
    <t>2010 APR 25</t>
  </si>
  <si>
    <t>2010 MAY 9</t>
  </si>
  <si>
    <t>2010 MAY 24</t>
  </si>
  <si>
    <t>2010 AUG 6</t>
  </si>
  <si>
    <t>2010 SEP 9</t>
  </si>
  <si>
    <t>2010 SEP 26</t>
  </si>
  <si>
    <t>2010 OCT 9</t>
  </si>
  <si>
    <t>2010 OCT 24</t>
  </si>
  <si>
    <t>2010 NOV 10</t>
  </si>
  <si>
    <t>2010 NOV 29</t>
  </si>
  <si>
    <t>2010 DEC 10</t>
  </si>
  <si>
    <t>2011 JAN 4</t>
  </si>
  <si>
    <t>2011 JAN 16</t>
  </si>
  <si>
    <t>2011 FEB 2</t>
  </si>
  <si>
    <t>2011 FEB 17</t>
  </si>
  <si>
    <t>2011 MAR 4</t>
  </si>
  <si>
    <t>2011 MAR 21</t>
  </si>
  <si>
    <t>2011 APR 2</t>
  </si>
  <si>
    <t>2011 APR 18</t>
  </si>
  <si>
    <t>2011 MAY 2</t>
  </si>
  <si>
    <t>2011 AUG 3</t>
  </si>
  <si>
    <t>2011 AUG 30</t>
  </si>
  <si>
    <t>2011 SEP 11</t>
  </si>
  <si>
    <t>2011 SEP 29</t>
  </si>
  <si>
    <t>2011 OCT 18</t>
  </si>
  <si>
    <t>2011 NOV 4</t>
  </si>
  <si>
    <t>2011 NOV 22</t>
  </si>
  <si>
    <t>2011 DEC 7</t>
  </si>
  <si>
    <t>2011 DEC 23</t>
  </si>
  <si>
    <t>2012 JAN 9</t>
  </si>
  <si>
    <t>2012 JAN 26</t>
  </si>
  <si>
    <t>2012 FEB 11</t>
  </si>
  <si>
    <t>2012 FEB 23</t>
  </si>
  <si>
    <t>2012 MAR 10</t>
  </si>
  <si>
    <t>2012 MAR 25</t>
  </si>
  <si>
    <t>2012 APR 9</t>
  </si>
  <si>
    <t>2012 APR 25</t>
  </si>
  <si>
    <t>2012 MAY 10</t>
  </si>
  <si>
    <t>2012 JUL 23</t>
  </si>
  <si>
    <t>2012 AUG 25</t>
  </si>
  <si>
    <t>2012 SEP 15</t>
  </si>
  <si>
    <t>2012 OCT 2</t>
  </si>
  <si>
    <t>2012 NOV 9</t>
  </si>
  <si>
    <t>2012 NOV 28</t>
  </si>
  <si>
    <t>2012 DEC 13</t>
  </si>
  <si>
    <t>2013 JAN 6</t>
  </si>
  <si>
    <t>2013 JAN 18</t>
  </si>
  <si>
    <t>2013 FEB 6</t>
  </si>
  <si>
    <t>2013 FEB 21</t>
  </si>
  <si>
    <t>2013 MAR 9</t>
  </si>
  <si>
    <t>2013 MAR 24</t>
  </si>
  <si>
    <t>2013 APR 8</t>
  </si>
  <si>
    <t>2013 APR 26</t>
  </si>
  <si>
    <t>2013 MAY 6</t>
  </si>
  <si>
    <t>2013 JUL 20</t>
  </si>
  <si>
    <t>2013 AUG 13</t>
  </si>
  <si>
    <t>2013 SEP 9</t>
  </si>
  <si>
    <t>2013 SEP 30</t>
  </si>
  <si>
    <t>2013 OCT 12</t>
  </si>
  <si>
    <t>2013 OCT 31</t>
  </si>
  <si>
    <t>2013 NOV 14</t>
  </si>
  <si>
    <t>2013 DEC 4</t>
  </si>
  <si>
    <t>2013 DEC 21</t>
  </si>
  <si>
    <t>2014 JAN 1</t>
  </si>
  <si>
    <t>2014 JAN 31</t>
  </si>
  <si>
    <t>2014 FEB 20</t>
  </si>
  <si>
    <t>2014 MAR 6</t>
  </si>
  <si>
    <t>2014 MAR 22</t>
  </si>
  <si>
    <t>2014 APR 6</t>
  </si>
  <si>
    <t>2014 APR 22</t>
  </si>
  <si>
    <t>2014 MAY 4</t>
  </si>
  <si>
    <t>2014 JUL 28</t>
  </si>
  <si>
    <t>2014 AUG 20</t>
  </si>
  <si>
    <t>2014 SEP 5</t>
  </si>
  <si>
    <t>2014 SEP 23</t>
  </si>
  <si>
    <t>2014 OCT 3</t>
  </si>
  <si>
    <t>2014 OCT 24</t>
  </si>
  <si>
    <t>2014 NOV 10</t>
  </si>
  <si>
    <t>2014 NOV 25</t>
  </si>
  <si>
    <t>2014 DEC 10</t>
  </si>
  <si>
    <t>2014 DEC 24</t>
  </si>
  <si>
    <t>2015 JAN 14</t>
  </si>
  <si>
    <t>2015 FEB 14</t>
  </si>
  <si>
    <t>2015 MAR 1</t>
  </si>
  <si>
    <t>2015 MAR 17</t>
  </si>
  <si>
    <t>2015 APR 16</t>
  </si>
  <si>
    <t>2015 MAY 3</t>
  </si>
  <si>
    <t>2015 AUG 22</t>
  </si>
  <si>
    <t>2015 SEP 9</t>
  </si>
  <si>
    <t>2015 SEP 25</t>
  </si>
  <si>
    <t>2015 OCT 15</t>
  </si>
  <si>
    <t>2015 NOV 4</t>
  </si>
  <si>
    <t>2015 NOV 18</t>
  </si>
  <si>
    <t>2015 DEC 21</t>
  </si>
  <si>
    <t>2016 JAN 4</t>
  </si>
  <si>
    <t>2016 JAN 18</t>
  </si>
  <si>
    <t>2016 FEB 7</t>
  </si>
  <si>
    <t>2016 FEB 21</t>
  </si>
  <si>
    <t>2016 MAR 5</t>
  </si>
  <si>
    <t>2016 MAR 21</t>
  </si>
  <si>
    <t>2016 APR 6</t>
  </si>
  <si>
    <t>2016 APR 23</t>
  </si>
  <si>
    <t>2016 MAY 5</t>
  </si>
  <si>
    <t>2016 AUG 5</t>
  </si>
  <si>
    <t>2016 AUG 22</t>
  </si>
  <si>
    <t>2016 SEP 8</t>
  </si>
  <si>
    <t>2016 SEP 24</t>
  </si>
  <si>
    <t>2016 NOV 16</t>
  </si>
  <si>
    <t>2016 DEC 2</t>
  </si>
  <si>
    <t>2016 DEC 19</t>
  </si>
  <si>
    <t>2016 DEC 29</t>
  </si>
  <si>
    <t>2017 MAR 28</t>
  </si>
  <si>
    <t>Phase</t>
  </si>
  <si>
    <t>JD0</t>
  </si>
  <si>
    <t>E</t>
  </si>
  <si>
    <t>2017 JAN 8</t>
  </si>
  <si>
    <t>2017 JAN 21</t>
  </si>
  <si>
    <t>2017 JAN 30</t>
  </si>
  <si>
    <t>2017 FEB 14</t>
  </si>
  <si>
    <t>2017 FEB 21</t>
  </si>
  <si>
    <t>2017 MAR 8</t>
  </si>
  <si>
    <t>2017 MAR 18</t>
  </si>
  <si>
    <t>2017 APR 8</t>
  </si>
  <si>
    <t>2017 APR 20</t>
  </si>
  <si>
    <t>2017 APR 30</t>
  </si>
  <si>
    <t>2017 AUG 1</t>
  </si>
  <si>
    <t>2017 AUG 16</t>
  </si>
  <si>
    <t>2017 AUG 27</t>
  </si>
  <si>
    <t>2017 SEP 5</t>
  </si>
  <si>
    <t>2017 SEP 16</t>
  </si>
  <si>
    <t>2017 SEP 28</t>
  </si>
  <si>
    <t>2017 OCT 4</t>
  </si>
  <si>
    <t>2017 OCT 19</t>
  </si>
  <si>
    <t>2017 DEC 19</t>
  </si>
  <si>
    <t>2017 JAN 24</t>
  </si>
  <si>
    <t>2017 FEB 12</t>
  </si>
  <si>
    <t>2017 FEB 22</t>
  </si>
  <si>
    <t>2017 MAR 12</t>
  </si>
  <si>
    <t>2017 MAR 27</t>
  </si>
  <si>
    <t>2017 APR 12</t>
  </si>
  <si>
    <t>2017 APR 26</t>
  </si>
  <si>
    <t>2017 AUG 15</t>
  </si>
  <si>
    <t>2017 SEP 15</t>
  </si>
  <si>
    <t>2017 OCT 1</t>
  </si>
  <si>
    <t>2017 OCT 18</t>
  </si>
  <si>
    <t>2017 NOV 1</t>
  </si>
  <si>
    <t>2017 NOV 17</t>
  </si>
  <si>
    <t>2017 DEC 2</t>
  </si>
  <si>
    <t>2018 JAN 3</t>
  </si>
  <si>
    <t>2018 JAN 18</t>
  </si>
  <si>
    <t>2018 FEB 6</t>
  </si>
  <si>
    <t>2018 FEB 18</t>
  </si>
  <si>
    <t>2018 MAR 8</t>
  </si>
  <si>
    <t>2018 MAR 23</t>
  </si>
  <si>
    <t>2018 APR 9</t>
  </si>
  <si>
    <t>2018 APR 24</t>
  </si>
  <si>
    <t>2018 MAY 5</t>
  </si>
  <si>
    <t>2018 AUG 2</t>
  </si>
  <si>
    <t>2018 AUG 18</t>
  </si>
  <si>
    <t>2018 SEP 14</t>
  </si>
  <si>
    <t>2018 SEP 29</t>
  </si>
  <si>
    <t>2018 OCT 14</t>
  </si>
  <si>
    <t>2018 NOV 1</t>
  </si>
  <si>
    <t>2018 NOV 13</t>
  </si>
  <si>
    <t>2018 DEC 2</t>
  </si>
  <si>
    <t>2018 DEC 17</t>
  </si>
  <si>
    <t>2019 JAN 2</t>
  </si>
  <si>
    <t>2019 JAN 17</t>
  </si>
  <si>
    <t>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</si>
</sst>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;ss"/>
    <numFmt numFmtId="165" formatCode="h:mm;@"/>
    <numFmt numFmtId="166" formatCode="0.000"/>
  </numFmts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4" fontId="1" fillId="5" borderId="3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6" fontId="1" fillId="5" borderId="3" xfId="0" applyNumberFormat="1" applyFont="1" applyFill="1" applyBorder="1" applyAlignment="1">
      <alignment horizontal="center"/>
    </xf>
    <xf numFmtId="0" fontId="1" fillId="5" borderId="3" xfId="0" applyNumberFormat="1" applyFont="1" applyFill="1" applyBorder="1" applyAlignment="1">
      <alignment horizontal="center"/>
    </xf>
    <xf numFmtId="1" fontId="1" fillId="5" borderId="4" xfId="0" applyNumberFormat="1" applyFont="1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21" fontId="0" fillId="2" borderId="2" xfId="0" applyNumberFormat="1" applyFill="1" applyBorder="1" applyAlignment="1">
      <alignment horizontal="center"/>
    </xf>
    <xf numFmtId="1" fontId="1" fillId="5" borderId="1" xfId="0" applyNumberFormat="1" applyFont="1" applyFill="1" applyBorder="1" applyAlignment="1">
      <alignment horizontal="center"/>
    </xf>
    <xf numFmtId="14" fontId="1" fillId="5" borderId="5" xfId="0" applyNumberFormat="1" applyFont="1" applyFill="1" applyBorder="1" applyAlignment="1">
      <alignment horizontal="center"/>
    </xf>
    <xf numFmtId="165" fontId="1" fillId="5" borderId="5" xfId="0" applyNumberFormat="1" applyFont="1" applyFill="1" applyBorder="1" applyAlignment="1">
      <alignment horizontal="center"/>
    </xf>
    <xf numFmtId="166" fontId="1" fillId="5" borderId="5" xfId="0" applyNumberFormat="1" applyFont="1" applyFill="1" applyBorder="1" applyAlignment="1">
      <alignment horizontal="center"/>
    </xf>
    <xf numFmtId="0" fontId="1" fillId="5" borderId="5" xfId="0" applyNumberFormat="1" applyFont="1" applyFill="1" applyBorder="1" applyAlignment="1">
      <alignment horizontal="center"/>
    </xf>
    <xf numFmtId="1" fontId="1" fillId="5" borderId="5" xfId="0" applyNumberFormat="1" applyFont="1" applyFill="1" applyBorder="1" applyAlignment="1">
      <alignment horizontal="center"/>
    </xf>
    <xf numFmtId="1" fontId="1" fillId="5" borderId="3" xfId="0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1" fontId="0" fillId="2" borderId="1" xfId="0" applyNumberFormat="1" applyFill="1" applyBorder="1" applyAlignment="1">
      <alignment horizontal="center"/>
    </xf>
    <xf numFmtId="0" fontId="1" fillId="5" borderId="6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0" xfId="0" applyFill="1"/>
    <xf numFmtId="166" fontId="0" fillId="0" borderId="0" xfId="0" applyNumberFormat="1"/>
    <xf numFmtId="0" fontId="0" fillId="3" borderId="2" xfId="0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" fontId="1" fillId="7" borderId="4" xfId="0" applyNumberFormat="1" applyFont="1" applyFill="1" applyBorder="1" applyAlignment="1">
      <alignment horizontal="center"/>
    </xf>
    <xf numFmtId="14" fontId="1" fillId="7" borderId="3" xfId="0" applyNumberFormat="1" applyFont="1" applyFill="1" applyBorder="1" applyAlignment="1">
      <alignment horizontal="center"/>
    </xf>
    <xf numFmtId="165" fontId="1" fillId="7" borderId="3" xfId="0" applyNumberFormat="1" applyFont="1" applyFill="1" applyBorder="1" applyAlignment="1">
      <alignment horizontal="center"/>
    </xf>
    <xf numFmtId="166" fontId="1" fillId="7" borderId="3" xfId="0" applyNumberFormat="1" applyFont="1" applyFill="1" applyBorder="1" applyAlignment="1">
      <alignment horizontal="center"/>
    </xf>
    <xf numFmtId="0" fontId="1" fillId="7" borderId="3" xfId="0" applyNumberFormat="1" applyFont="1" applyFill="1" applyBorder="1" applyAlignment="1">
      <alignment horizontal="center"/>
    </xf>
    <xf numFmtId="1" fontId="1" fillId="7" borderId="3" xfId="0" applyNumberFormat="1" applyFont="1" applyFill="1" applyBorder="1" applyAlignment="1">
      <alignment horizontal="center"/>
    </xf>
    <xf numFmtId="0" fontId="0" fillId="8" borderId="0" xfId="0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Vis!$A$1:$A$1155</c:f>
              <c:numCache>
                <c:formatCode>General</c:formatCode>
                <c:ptCount val="1155"/>
                <c:pt idx="0">
                  <c:v>2434013.7000000002</c:v>
                </c:pt>
                <c:pt idx="1">
                  <c:v>2435012.2999999998</c:v>
                </c:pt>
                <c:pt idx="2">
                  <c:v>2435032.9</c:v>
                </c:pt>
                <c:pt idx="3">
                  <c:v>2435073.6</c:v>
                </c:pt>
                <c:pt idx="4">
                  <c:v>2435092.7000000002</c:v>
                </c:pt>
                <c:pt idx="5">
                  <c:v>2435133.0499999998</c:v>
                </c:pt>
                <c:pt idx="6">
                  <c:v>2435156.125</c:v>
                </c:pt>
                <c:pt idx="7">
                  <c:v>2435181.1</c:v>
                </c:pt>
                <c:pt idx="8">
                  <c:v>2435193.1</c:v>
                </c:pt>
                <c:pt idx="9">
                  <c:v>2435210.6</c:v>
                </c:pt>
                <c:pt idx="10">
                  <c:v>2435229.6</c:v>
                </c:pt>
                <c:pt idx="11">
                  <c:v>2435347.7999999998</c:v>
                </c:pt>
                <c:pt idx="12">
                  <c:v>2435395.25</c:v>
                </c:pt>
                <c:pt idx="13">
                  <c:v>2435431.2000000002</c:v>
                </c:pt>
                <c:pt idx="14">
                  <c:v>2435454.9333299999</c:v>
                </c:pt>
                <c:pt idx="15">
                  <c:v>2435478.6</c:v>
                </c:pt>
                <c:pt idx="16">
                  <c:v>2435511.6</c:v>
                </c:pt>
                <c:pt idx="17">
                  <c:v>2435532.6</c:v>
                </c:pt>
                <c:pt idx="18">
                  <c:v>2435553.6</c:v>
                </c:pt>
                <c:pt idx="19">
                  <c:v>2435567.1</c:v>
                </c:pt>
                <c:pt idx="20">
                  <c:v>2435839.6</c:v>
                </c:pt>
                <c:pt idx="21">
                  <c:v>2435896.1</c:v>
                </c:pt>
                <c:pt idx="22">
                  <c:v>2435919.6</c:v>
                </c:pt>
                <c:pt idx="23">
                  <c:v>2435934.6</c:v>
                </c:pt>
                <c:pt idx="24">
                  <c:v>2435958.6</c:v>
                </c:pt>
                <c:pt idx="25">
                  <c:v>2436270.6</c:v>
                </c:pt>
                <c:pt idx="26">
                  <c:v>2438714.7000000002</c:v>
                </c:pt>
                <c:pt idx="27">
                  <c:v>2438750.6</c:v>
                </c:pt>
                <c:pt idx="28">
                  <c:v>2438796.6</c:v>
                </c:pt>
                <c:pt idx="29">
                  <c:v>2438835.7000000002</c:v>
                </c:pt>
                <c:pt idx="30">
                  <c:v>2438857.6</c:v>
                </c:pt>
                <c:pt idx="31">
                  <c:v>2438961.9</c:v>
                </c:pt>
                <c:pt idx="32">
                  <c:v>2438996.9</c:v>
                </c:pt>
                <c:pt idx="33">
                  <c:v>2439030.9</c:v>
                </c:pt>
                <c:pt idx="34">
                  <c:v>2439101.7000000002</c:v>
                </c:pt>
                <c:pt idx="35">
                  <c:v>2439129.2999999998</c:v>
                </c:pt>
                <c:pt idx="36">
                  <c:v>2439172.6</c:v>
                </c:pt>
                <c:pt idx="37">
                  <c:v>2439203.6</c:v>
                </c:pt>
                <c:pt idx="38">
                  <c:v>2439363.9</c:v>
                </c:pt>
                <c:pt idx="39">
                  <c:v>2439390.7999999998</c:v>
                </c:pt>
                <c:pt idx="40">
                  <c:v>2439410.7999999998</c:v>
                </c:pt>
                <c:pt idx="41">
                  <c:v>2439526.6</c:v>
                </c:pt>
                <c:pt idx="42">
                  <c:v>2439556.7000000002</c:v>
                </c:pt>
                <c:pt idx="43">
                  <c:v>2439586.65</c:v>
                </c:pt>
                <c:pt idx="44">
                  <c:v>2439612.7000000002</c:v>
                </c:pt>
                <c:pt idx="45">
                  <c:v>2439696.9</c:v>
                </c:pt>
                <c:pt idx="46">
                  <c:v>2439733.9</c:v>
                </c:pt>
                <c:pt idx="47">
                  <c:v>2439765.35</c:v>
                </c:pt>
                <c:pt idx="48">
                  <c:v>2439823</c:v>
                </c:pt>
                <c:pt idx="49">
                  <c:v>2439897.6</c:v>
                </c:pt>
                <c:pt idx="50">
                  <c:v>2439923.6</c:v>
                </c:pt>
                <c:pt idx="51">
                  <c:v>2440079.7999999998</c:v>
                </c:pt>
                <c:pt idx="52">
                  <c:v>2440101.9</c:v>
                </c:pt>
                <c:pt idx="53">
                  <c:v>2440220.6</c:v>
                </c:pt>
                <c:pt idx="54">
                  <c:v>2440297.6</c:v>
                </c:pt>
                <c:pt idx="55">
                  <c:v>2440330.7000000002</c:v>
                </c:pt>
                <c:pt idx="56">
                  <c:v>2440454.7999999998</c:v>
                </c:pt>
                <c:pt idx="57">
                  <c:v>2440471.7999999998</c:v>
                </c:pt>
                <c:pt idx="58">
                  <c:v>2440834.7999999998</c:v>
                </c:pt>
                <c:pt idx="59">
                  <c:v>2442460.7000000002</c:v>
                </c:pt>
                <c:pt idx="60">
                  <c:v>2442499.6</c:v>
                </c:pt>
                <c:pt idx="61">
                  <c:v>2442831.7000000002</c:v>
                </c:pt>
                <c:pt idx="62">
                  <c:v>2443957.4</c:v>
                </c:pt>
                <c:pt idx="63">
                  <c:v>2443983.6666700002</c:v>
                </c:pt>
                <c:pt idx="64">
                  <c:v>2444194.9750000001</c:v>
                </c:pt>
                <c:pt idx="65">
                  <c:v>2444221.1549999998</c:v>
                </c:pt>
                <c:pt idx="66">
                  <c:v>2444252.23</c:v>
                </c:pt>
                <c:pt idx="67">
                  <c:v>2444273.0566699998</c:v>
                </c:pt>
                <c:pt idx="68">
                  <c:v>2444287.91</c:v>
                </c:pt>
                <c:pt idx="69">
                  <c:v>2444305.8424999998</c:v>
                </c:pt>
                <c:pt idx="70">
                  <c:v>2444327.85</c:v>
                </c:pt>
                <c:pt idx="71">
                  <c:v>2444341.85</c:v>
                </c:pt>
                <c:pt idx="72">
                  <c:v>2444466.5</c:v>
                </c:pt>
                <c:pt idx="73">
                  <c:v>2444494</c:v>
                </c:pt>
                <c:pt idx="74">
                  <c:v>2444508.5</c:v>
                </c:pt>
                <c:pt idx="75">
                  <c:v>2444537.42</c:v>
                </c:pt>
                <c:pt idx="76">
                  <c:v>2444553.42667</c:v>
                </c:pt>
                <c:pt idx="77">
                  <c:v>2444578.7349999999</c:v>
                </c:pt>
                <c:pt idx="78">
                  <c:v>2444606.8642899999</c:v>
                </c:pt>
                <c:pt idx="79">
                  <c:v>2444628.9271399998</c:v>
                </c:pt>
                <c:pt idx="80">
                  <c:v>2444640.82308</c:v>
                </c:pt>
                <c:pt idx="81">
                  <c:v>2444663.338</c:v>
                </c:pt>
                <c:pt idx="82">
                  <c:v>2444685.3199999998</c:v>
                </c:pt>
                <c:pt idx="83">
                  <c:v>2444696.35</c:v>
                </c:pt>
                <c:pt idx="84">
                  <c:v>2444864.5</c:v>
                </c:pt>
                <c:pt idx="85">
                  <c:v>2444882.6779999998</c:v>
                </c:pt>
                <c:pt idx="86">
                  <c:v>2444904.4849999999</c:v>
                </c:pt>
                <c:pt idx="87">
                  <c:v>2444918.375</c:v>
                </c:pt>
                <c:pt idx="88">
                  <c:v>2444933.7050000001</c:v>
                </c:pt>
                <c:pt idx="89">
                  <c:v>2444964.2233299999</c:v>
                </c:pt>
                <c:pt idx="90">
                  <c:v>2444986.3149999999</c:v>
                </c:pt>
                <c:pt idx="91">
                  <c:v>2444998.1283300002</c:v>
                </c:pt>
                <c:pt idx="92">
                  <c:v>2445018.57333</c:v>
                </c:pt>
                <c:pt idx="93">
                  <c:v>2445032.07143</c:v>
                </c:pt>
                <c:pt idx="94">
                  <c:v>2445048.4333299999</c:v>
                </c:pt>
                <c:pt idx="95">
                  <c:v>2445073.7420000001</c:v>
                </c:pt>
                <c:pt idx="96">
                  <c:v>2445083.2349999999</c:v>
                </c:pt>
                <c:pt idx="97">
                  <c:v>2445238.0674999999</c:v>
                </c:pt>
                <c:pt idx="98">
                  <c:v>2445291.1333300001</c:v>
                </c:pt>
                <c:pt idx="99">
                  <c:v>2445316.1</c:v>
                </c:pt>
                <c:pt idx="100">
                  <c:v>2445330.37</c:v>
                </c:pt>
                <c:pt idx="101">
                  <c:v>2445344.7866699998</c:v>
                </c:pt>
                <c:pt idx="102">
                  <c:v>2445361.33286</c:v>
                </c:pt>
                <c:pt idx="103">
                  <c:v>2445379.9175</c:v>
                </c:pt>
                <c:pt idx="104">
                  <c:v>2445401.6329999999</c:v>
                </c:pt>
                <c:pt idx="105">
                  <c:v>2445417.6666700002</c:v>
                </c:pt>
                <c:pt idx="106">
                  <c:v>2445433.03333</c:v>
                </c:pt>
                <c:pt idx="107">
                  <c:v>2445649.0966699999</c:v>
                </c:pt>
                <c:pt idx="108">
                  <c:v>2445669.35</c:v>
                </c:pt>
                <c:pt idx="109">
                  <c:v>2445704.4</c:v>
                </c:pt>
                <c:pt idx="110">
                  <c:v>2445728.5142899998</c:v>
                </c:pt>
                <c:pt idx="111">
                  <c:v>2445746.2000000002</c:v>
                </c:pt>
                <c:pt idx="112">
                  <c:v>2445766.82222</c:v>
                </c:pt>
                <c:pt idx="113">
                  <c:v>2445785.8666699999</c:v>
                </c:pt>
                <c:pt idx="114">
                  <c:v>2445805.5</c:v>
                </c:pt>
                <c:pt idx="115">
                  <c:v>2445822.6666700002</c:v>
                </c:pt>
                <c:pt idx="116">
                  <c:v>2445944.5</c:v>
                </c:pt>
                <c:pt idx="117">
                  <c:v>2446008.4</c:v>
                </c:pt>
                <c:pt idx="118">
                  <c:v>2446035.4500000002</c:v>
                </c:pt>
                <c:pt idx="119">
                  <c:v>2446058.625</c:v>
                </c:pt>
                <c:pt idx="120">
                  <c:v>2446093.2799999998</c:v>
                </c:pt>
                <c:pt idx="121">
                  <c:v>2446114.98</c:v>
                </c:pt>
                <c:pt idx="122">
                  <c:v>2446126.64</c:v>
                </c:pt>
                <c:pt idx="123">
                  <c:v>2446146.26364</c:v>
                </c:pt>
                <c:pt idx="124">
                  <c:v>2446160.78333</c:v>
                </c:pt>
                <c:pt idx="125">
                  <c:v>2446176.6988900001</c:v>
                </c:pt>
                <c:pt idx="126">
                  <c:v>2446291.5499999998</c:v>
                </c:pt>
                <c:pt idx="127">
                  <c:v>2446325</c:v>
                </c:pt>
                <c:pt idx="128">
                  <c:v>2446350.1</c:v>
                </c:pt>
                <c:pt idx="129">
                  <c:v>2446413.35</c:v>
                </c:pt>
                <c:pt idx="130">
                  <c:v>2446435.1800000002</c:v>
                </c:pt>
                <c:pt idx="131">
                  <c:v>2446454.0666700001</c:v>
                </c:pt>
                <c:pt idx="132">
                  <c:v>2446469.6666700002</c:v>
                </c:pt>
                <c:pt idx="133">
                  <c:v>2446491.6</c:v>
                </c:pt>
                <c:pt idx="134">
                  <c:v>2446508.8259999999</c:v>
                </c:pt>
                <c:pt idx="135">
                  <c:v>2446523.2777800001</c:v>
                </c:pt>
                <c:pt idx="136">
                  <c:v>2446543.5750000002</c:v>
                </c:pt>
                <c:pt idx="137">
                  <c:v>2446648.6</c:v>
                </c:pt>
                <c:pt idx="138">
                  <c:v>2446669.1733300001</c:v>
                </c:pt>
                <c:pt idx="139">
                  <c:v>2446705.4500000002</c:v>
                </c:pt>
                <c:pt idx="140">
                  <c:v>2446744.35</c:v>
                </c:pt>
                <c:pt idx="141">
                  <c:v>2446762.2999999998</c:v>
                </c:pt>
                <c:pt idx="142">
                  <c:v>2446778.2999999998</c:v>
                </c:pt>
                <c:pt idx="143">
                  <c:v>2446800.4</c:v>
                </c:pt>
                <c:pt idx="144">
                  <c:v>2446829.35</c:v>
                </c:pt>
                <c:pt idx="145">
                  <c:v>2446851.7066700002</c:v>
                </c:pt>
                <c:pt idx="146">
                  <c:v>2446867.7999999998</c:v>
                </c:pt>
                <c:pt idx="147">
                  <c:v>2446887.35</c:v>
                </c:pt>
                <c:pt idx="148">
                  <c:v>2446909.1</c:v>
                </c:pt>
                <c:pt idx="149">
                  <c:v>2447001.0499999998</c:v>
                </c:pt>
                <c:pt idx="150">
                  <c:v>2447041.6</c:v>
                </c:pt>
                <c:pt idx="151">
                  <c:v>2447061.53333</c:v>
                </c:pt>
                <c:pt idx="152">
                  <c:v>2447085.4</c:v>
                </c:pt>
                <c:pt idx="153">
                  <c:v>2447121.4</c:v>
                </c:pt>
                <c:pt idx="154">
                  <c:v>2447147.6749999998</c:v>
                </c:pt>
                <c:pt idx="155">
                  <c:v>2447161.46667</c:v>
                </c:pt>
                <c:pt idx="156">
                  <c:v>2447183.4</c:v>
                </c:pt>
                <c:pt idx="157">
                  <c:v>2447198.03333</c:v>
                </c:pt>
                <c:pt idx="158">
                  <c:v>2447210.8857100001</c:v>
                </c:pt>
                <c:pt idx="159">
                  <c:v>2447229.125</c:v>
                </c:pt>
                <c:pt idx="160">
                  <c:v>2447248.56</c:v>
                </c:pt>
                <c:pt idx="161">
                  <c:v>2447266.5874999999</c:v>
                </c:pt>
                <c:pt idx="162">
                  <c:v>2447359.6</c:v>
                </c:pt>
                <c:pt idx="163">
                  <c:v>2447372.2516000001</c:v>
                </c:pt>
                <c:pt idx="164">
                  <c:v>2447388.5782599999</c:v>
                </c:pt>
                <c:pt idx="165">
                  <c:v>2447420.8661699998</c:v>
                </c:pt>
                <c:pt idx="166">
                  <c:v>2447445.4626500001</c:v>
                </c:pt>
                <c:pt idx="167">
                  <c:v>2447472.43444</c:v>
                </c:pt>
                <c:pt idx="168">
                  <c:v>2447497.85</c:v>
                </c:pt>
                <c:pt idx="169">
                  <c:v>2447523.375</c:v>
                </c:pt>
                <c:pt idx="170">
                  <c:v>2447543.2999999998</c:v>
                </c:pt>
                <c:pt idx="171">
                  <c:v>2447560.92</c:v>
                </c:pt>
                <c:pt idx="172">
                  <c:v>2447574.2999999998</c:v>
                </c:pt>
                <c:pt idx="173">
                  <c:v>2447592.2285699998</c:v>
                </c:pt>
                <c:pt idx="174">
                  <c:v>2447605</c:v>
                </c:pt>
                <c:pt idx="175">
                  <c:v>2447620.5076899999</c:v>
                </c:pt>
                <c:pt idx="176">
                  <c:v>2447643.4</c:v>
                </c:pt>
                <c:pt idx="177">
                  <c:v>2447767.6</c:v>
                </c:pt>
                <c:pt idx="178">
                  <c:v>2447781.6</c:v>
                </c:pt>
                <c:pt idx="179">
                  <c:v>2447800.4333299999</c:v>
                </c:pt>
                <c:pt idx="180">
                  <c:v>2447823.3833300001</c:v>
                </c:pt>
                <c:pt idx="181">
                  <c:v>2447835.1897300002</c:v>
                </c:pt>
                <c:pt idx="182">
                  <c:v>2447856.5685800002</c:v>
                </c:pt>
                <c:pt idx="183">
                  <c:v>2447872.67667</c:v>
                </c:pt>
                <c:pt idx="184">
                  <c:v>2447892.36</c:v>
                </c:pt>
                <c:pt idx="185">
                  <c:v>2447910.6533300001</c:v>
                </c:pt>
                <c:pt idx="186">
                  <c:v>2447924.2999999998</c:v>
                </c:pt>
                <c:pt idx="187">
                  <c:v>2447944.11</c:v>
                </c:pt>
                <c:pt idx="188">
                  <c:v>2447962.2333300002</c:v>
                </c:pt>
                <c:pt idx="189">
                  <c:v>2447977.3840000001</c:v>
                </c:pt>
                <c:pt idx="190">
                  <c:v>2447996.9733299999</c:v>
                </c:pt>
                <c:pt idx="191">
                  <c:v>2448102.6</c:v>
                </c:pt>
                <c:pt idx="192">
                  <c:v>2448124.0499999998</c:v>
                </c:pt>
                <c:pt idx="193">
                  <c:v>2448141.6</c:v>
                </c:pt>
                <c:pt idx="194">
                  <c:v>2448160.0499999998</c:v>
                </c:pt>
                <c:pt idx="195">
                  <c:v>2448180.4598099999</c:v>
                </c:pt>
                <c:pt idx="196">
                  <c:v>2448197.5699999998</c:v>
                </c:pt>
                <c:pt idx="197">
                  <c:v>2448224.7740000002</c:v>
                </c:pt>
                <c:pt idx="198">
                  <c:v>2448245.46</c:v>
                </c:pt>
                <c:pt idx="199">
                  <c:v>2448268.6794799999</c:v>
                </c:pt>
                <c:pt idx="200">
                  <c:v>2448286.5175000001</c:v>
                </c:pt>
                <c:pt idx="201">
                  <c:v>2448308.1175000002</c:v>
                </c:pt>
                <c:pt idx="202">
                  <c:v>2448327.59</c:v>
                </c:pt>
                <c:pt idx="203">
                  <c:v>2448340.7999999998</c:v>
                </c:pt>
                <c:pt idx="204">
                  <c:v>2448479.56905</c:v>
                </c:pt>
                <c:pt idx="205">
                  <c:v>2448497.54734</c:v>
                </c:pt>
                <c:pt idx="206">
                  <c:v>2448516.5663600001</c:v>
                </c:pt>
                <c:pt idx="207">
                  <c:v>2448536.2053499999</c:v>
                </c:pt>
                <c:pt idx="208">
                  <c:v>2448553.5489500002</c:v>
                </c:pt>
                <c:pt idx="209">
                  <c:v>2448569.98232</c:v>
                </c:pt>
                <c:pt idx="210">
                  <c:v>2448595.9309700001</c:v>
                </c:pt>
                <c:pt idx="211">
                  <c:v>2448608.5377799999</c:v>
                </c:pt>
                <c:pt idx="212">
                  <c:v>2448625.8728100001</c:v>
                </c:pt>
                <c:pt idx="213">
                  <c:v>2448642.77355</c:v>
                </c:pt>
                <c:pt idx="214">
                  <c:v>2448653.78981</c:v>
                </c:pt>
                <c:pt idx="215">
                  <c:v>2448677.94246</c:v>
                </c:pt>
                <c:pt idx="216">
                  <c:v>2448690.5504999999</c:v>
                </c:pt>
                <c:pt idx="217">
                  <c:v>2448730.7000000002</c:v>
                </c:pt>
                <c:pt idx="218">
                  <c:v>2448869.7406700002</c:v>
                </c:pt>
                <c:pt idx="219">
                  <c:v>2448889</c:v>
                </c:pt>
                <c:pt idx="220">
                  <c:v>2448911.5033999998</c:v>
                </c:pt>
                <c:pt idx="221">
                  <c:v>2448923.9589999998</c:v>
                </c:pt>
                <c:pt idx="222">
                  <c:v>2448950.9140699999</c:v>
                </c:pt>
                <c:pt idx="223">
                  <c:v>2448965.3665200002</c:v>
                </c:pt>
                <c:pt idx="224">
                  <c:v>2448982.6122900001</c:v>
                </c:pt>
                <c:pt idx="225">
                  <c:v>2448997.1263199998</c:v>
                </c:pt>
                <c:pt idx="226">
                  <c:v>2449013.2783300001</c:v>
                </c:pt>
                <c:pt idx="227">
                  <c:v>2449035.3641400002</c:v>
                </c:pt>
                <c:pt idx="228">
                  <c:v>2449048.0599699998</c:v>
                </c:pt>
                <c:pt idx="229">
                  <c:v>2449063.1894200002</c:v>
                </c:pt>
                <c:pt idx="230">
                  <c:v>2449077.0926199998</c:v>
                </c:pt>
                <c:pt idx="231">
                  <c:v>2449095.90166</c:v>
                </c:pt>
                <c:pt idx="232">
                  <c:v>2449193.5972000002</c:v>
                </c:pt>
                <c:pt idx="233">
                  <c:v>2449212.4500000002</c:v>
                </c:pt>
                <c:pt idx="234">
                  <c:v>2449236.1333300001</c:v>
                </c:pt>
                <c:pt idx="235">
                  <c:v>2449249.2678800002</c:v>
                </c:pt>
                <c:pt idx="236">
                  <c:v>2449264.7683899999</c:v>
                </c:pt>
                <c:pt idx="237">
                  <c:v>2449279.2412100001</c:v>
                </c:pt>
                <c:pt idx="238">
                  <c:v>2449302.4074200001</c:v>
                </c:pt>
                <c:pt idx="239">
                  <c:v>2449312.1515100002</c:v>
                </c:pt>
                <c:pt idx="240">
                  <c:v>2449332.7469199998</c:v>
                </c:pt>
                <c:pt idx="241">
                  <c:v>2449350.8407999999</c:v>
                </c:pt>
                <c:pt idx="242">
                  <c:v>2449366.0709799998</c:v>
                </c:pt>
                <c:pt idx="243">
                  <c:v>2449382.8223799998</c:v>
                </c:pt>
                <c:pt idx="244">
                  <c:v>2449395.5395200001</c:v>
                </c:pt>
                <c:pt idx="245">
                  <c:v>2449417.06293</c:v>
                </c:pt>
                <c:pt idx="246">
                  <c:v>2449431.59039</c:v>
                </c:pt>
                <c:pt idx="247">
                  <c:v>2449451.6661899998</c:v>
                </c:pt>
                <c:pt idx="248">
                  <c:v>2449471.3538799998</c:v>
                </c:pt>
                <c:pt idx="249">
                  <c:v>2449568.56</c:v>
                </c:pt>
                <c:pt idx="250">
                  <c:v>2449583.3617199999</c:v>
                </c:pt>
                <c:pt idx="251">
                  <c:v>2449607.0444700001</c:v>
                </c:pt>
                <c:pt idx="252">
                  <c:v>2449634.0255200001</c:v>
                </c:pt>
                <c:pt idx="253">
                  <c:v>2449656.2535600001</c:v>
                </c:pt>
                <c:pt idx="254">
                  <c:v>2449675.2162700002</c:v>
                </c:pt>
                <c:pt idx="255">
                  <c:v>2449690.3335199999</c:v>
                </c:pt>
                <c:pt idx="256">
                  <c:v>2449706.18811</c:v>
                </c:pt>
                <c:pt idx="257">
                  <c:v>2449723.3393999999</c:v>
                </c:pt>
                <c:pt idx="258">
                  <c:v>2449746.7618800001</c:v>
                </c:pt>
                <c:pt idx="259">
                  <c:v>2449759.65485</c:v>
                </c:pt>
                <c:pt idx="260">
                  <c:v>2449777.8958299998</c:v>
                </c:pt>
                <c:pt idx="261">
                  <c:v>2449794.5621699998</c:v>
                </c:pt>
                <c:pt idx="262">
                  <c:v>2449807.6308400002</c:v>
                </c:pt>
                <c:pt idx="263">
                  <c:v>2449822.5481699998</c:v>
                </c:pt>
                <c:pt idx="264">
                  <c:v>2449838.24878</c:v>
                </c:pt>
                <c:pt idx="265">
                  <c:v>2449923.9556800001</c:v>
                </c:pt>
                <c:pt idx="266">
                  <c:v>2449939.48214</c:v>
                </c:pt>
                <c:pt idx="267">
                  <c:v>2449958.4331899998</c:v>
                </c:pt>
                <c:pt idx="268">
                  <c:v>2449988.5572799998</c:v>
                </c:pt>
                <c:pt idx="269">
                  <c:v>2450010.7034</c:v>
                </c:pt>
                <c:pt idx="270">
                  <c:v>2450020.3284800001</c:v>
                </c:pt>
                <c:pt idx="271">
                  <c:v>2450042.5078699999</c:v>
                </c:pt>
                <c:pt idx="272">
                  <c:v>2450060.11026</c:v>
                </c:pt>
                <c:pt idx="273">
                  <c:v>2450075.4938400001</c:v>
                </c:pt>
                <c:pt idx="274">
                  <c:v>2450093.9469599999</c:v>
                </c:pt>
                <c:pt idx="275">
                  <c:v>2450104.9463599999</c:v>
                </c:pt>
                <c:pt idx="276">
                  <c:v>2450121.9084899998</c:v>
                </c:pt>
                <c:pt idx="277">
                  <c:v>2450136.8031799998</c:v>
                </c:pt>
                <c:pt idx="278">
                  <c:v>2450153.8179700002</c:v>
                </c:pt>
                <c:pt idx="279">
                  <c:v>2450170.6979</c:v>
                </c:pt>
                <c:pt idx="280">
                  <c:v>2450184.54024</c:v>
                </c:pt>
                <c:pt idx="281">
                  <c:v>2450198.3286299999</c:v>
                </c:pt>
                <c:pt idx="282">
                  <c:v>2450216.4465000001</c:v>
                </c:pt>
                <c:pt idx="283">
                  <c:v>2450284.5</c:v>
                </c:pt>
                <c:pt idx="284">
                  <c:v>2450305.5</c:v>
                </c:pt>
                <c:pt idx="285">
                  <c:v>2450324.7723699999</c:v>
                </c:pt>
                <c:pt idx="286">
                  <c:v>2450343.9556999998</c:v>
                </c:pt>
                <c:pt idx="287">
                  <c:v>2450365.4206099999</c:v>
                </c:pt>
                <c:pt idx="288">
                  <c:v>2450383.24596</c:v>
                </c:pt>
                <c:pt idx="289">
                  <c:v>2450403.6624500002</c:v>
                </c:pt>
                <c:pt idx="290">
                  <c:v>2450423.3558100001</c:v>
                </c:pt>
                <c:pt idx="291">
                  <c:v>2450436.7079099999</c:v>
                </c:pt>
                <c:pt idx="292">
                  <c:v>2450457.9646999999</c:v>
                </c:pt>
                <c:pt idx="293">
                  <c:v>2450473.3607899998</c:v>
                </c:pt>
                <c:pt idx="294">
                  <c:v>2450487.5890199998</c:v>
                </c:pt>
                <c:pt idx="295">
                  <c:v>2450503.2873999998</c:v>
                </c:pt>
                <c:pt idx="296">
                  <c:v>2450517.6430100002</c:v>
                </c:pt>
                <c:pt idx="297">
                  <c:v>2450535.89304</c:v>
                </c:pt>
                <c:pt idx="298">
                  <c:v>2450548.4801099999</c:v>
                </c:pt>
                <c:pt idx="299">
                  <c:v>2450568.4045799999</c:v>
                </c:pt>
                <c:pt idx="300">
                  <c:v>2450586.0874999999</c:v>
                </c:pt>
                <c:pt idx="301">
                  <c:v>2450666.2439999999</c:v>
                </c:pt>
                <c:pt idx="302">
                  <c:v>2450686.5181</c:v>
                </c:pt>
                <c:pt idx="303">
                  <c:v>2450700.1195299998</c:v>
                </c:pt>
                <c:pt idx="304">
                  <c:v>2450723.8085500002</c:v>
                </c:pt>
                <c:pt idx="305">
                  <c:v>2450748.6024500001</c:v>
                </c:pt>
                <c:pt idx="306">
                  <c:v>2450769.4375</c:v>
                </c:pt>
                <c:pt idx="307">
                  <c:v>2450789.66817</c:v>
                </c:pt>
                <c:pt idx="308">
                  <c:v>2450814.3448100002</c:v>
                </c:pt>
                <c:pt idx="309">
                  <c:v>2450828.3732400001</c:v>
                </c:pt>
                <c:pt idx="310">
                  <c:v>2450844.8288099999</c:v>
                </c:pt>
                <c:pt idx="311">
                  <c:v>2450861.36992</c:v>
                </c:pt>
                <c:pt idx="312">
                  <c:v>2450874.0250499998</c:v>
                </c:pt>
                <c:pt idx="313">
                  <c:v>2450891.3464700002</c:v>
                </c:pt>
                <c:pt idx="314">
                  <c:v>2450911.4158899998</c:v>
                </c:pt>
                <c:pt idx="315">
                  <c:v>2450927.8168000001</c:v>
                </c:pt>
                <c:pt idx="316">
                  <c:v>2450939.7888699998</c:v>
                </c:pt>
                <c:pt idx="317">
                  <c:v>2451025.5</c:v>
                </c:pt>
                <c:pt idx="318">
                  <c:v>2451038.4810700002</c:v>
                </c:pt>
                <c:pt idx="319">
                  <c:v>2451052.7811199999</c:v>
                </c:pt>
                <c:pt idx="320">
                  <c:v>2451073.6069</c:v>
                </c:pt>
                <c:pt idx="321">
                  <c:v>2451080.8635900002</c:v>
                </c:pt>
                <c:pt idx="322">
                  <c:v>2451103.9750000001</c:v>
                </c:pt>
                <c:pt idx="323">
                  <c:v>2451111.36154</c:v>
                </c:pt>
                <c:pt idx="324">
                  <c:v>2451134.45688</c:v>
                </c:pt>
                <c:pt idx="325">
                  <c:v>2451154.5219899998</c:v>
                </c:pt>
                <c:pt idx="326">
                  <c:v>2451169.5572500001</c:v>
                </c:pt>
                <c:pt idx="327">
                  <c:v>2451186.6538399998</c:v>
                </c:pt>
                <c:pt idx="328">
                  <c:v>2451200.4485900002</c:v>
                </c:pt>
                <c:pt idx="329">
                  <c:v>2451217.5577699998</c:v>
                </c:pt>
                <c:pt idx="330">
                  <c:v>2451233.1966200001</c:v>
                </c:pt>
                <c:pt idx="331">
                  <c:v>2451249.5979300002</c:v>
                </c:pt>
                <c:pt idx="332">
                  <c:v>2451264.3020100002</c:v>
                </c:pt>
                <c:pt idx="333">
                  <c:v>2451278.7198899998</c:v>
                </c:pt>
                <c:pt idx="334">
                  <c:v>2451298.2822099999</c:v>
                </c:pt>
                <c:pt idx="335">
                  <c:v>2451392.0882700002</c:v>
                </c:pt>
                <c:pt idx="336">
                  <c:v>2451409.3305700002</c:v>
                </c:pt>
                <c:pt idx="337">
                  <c:v>2451430.8258600002</c:v>
                </c:pt>
                <c:pt idx="338">
                  <c:v>2451452.5506799999</c:v>
                </c:pt>
                <c:pt idx="339">
                  <c:v>2451464.7192299999</c:v>
                </c:pt>
                <c:pt idx="340">
                  <c:v>2451488.76878</c:v>
                </c:pt>
                <c:pt idx="341">
                  <c:v>2451506.2359799999</c:v>
                </c:pt>
                <c:pt idx="342">
                  <c:v>2451522.3773599998</c:v>
                </c:pt>
                <c:pt idx="343">
                  <c:v>2451538.77776</c:v>
                </c:pt>
                <c:pt idx="344">
                  <c:v>2451554.00673</c:v>
                </c:pt>
                <c:pt idx="345">
                  <c:v>2451574.43958</c:v>
                </c:pt>
                <c:pt idx="346">
                  <c:v>2451589.8130700001</c:v>
                </c:pt>
                <c:pt idx="347">
                  <c:v>2451606.83892</c:v>
                </c:pt>
                <c:pt idx="348">
                  <c:v>2451622.57271</c:v>
                </c:pt>
                <c:pt idx="349">
                  <c:v>2451638.3666300001</c:v>
                </c:pt>
                <c:pt idx="350">
                  <c:v>2451654.61204</c:v>
                </c:pt>
                <c:pt idx="351">
                  <c:v>2451670.7509499998</c:v>
                </c:pt>
                <c:pt idx="352">
                  <c:v>2451729.4375</c:v>
                </c:pt>
                <c:pt idx="353">
                  <c:v>2451743.7916299999</c:v>
                </c:pt>
                <c:pt idx="354">
                  <c:v>2451762.9120200002</c:v>
                </c:pt>
                <c:pt idx="355">
                  <c:v>2451778.7516600001</c:v>
                </c:pt>
                <c:pt idx="356">
                  <c:v>2451794.3139200001</c:v>
                </c:pt>
                <c:pt idx="357">
                  <c:v>2451817.7870299998</c:v>
                </c:pt>
                <c:pt idx="358">
                  <c:v>2451834.8395799999</c:v>
                </c:pt>
                <c:pt idx="359">
                  <c:v>2451850.5624899999</c:v>
                </c:pt>
                <c:pt idx="360">
                  <c:v>2451865.6166699999</c:v>
                </c:pt>
                <c:pt idx="361">
                  <c:v>2451877.8215100002</c:v>
                </c:pt>
                <c:pt idx="362">
                  <c:v>2451899.8879900002</c:v>
                </c:pt>
                <c:pt idx="363">
                  <c:v>2451918.9106899998</c:v>
                </c:pt>
                <c:pt idx="364">
                  <c:v>2451931.4383399999</c:v>
                </c:pt>
                <c:pt idx="365">
                  <c:v>2451952.72719</c:v>
                </c:pt>
                <c:pt idx="366">
                  <c:v>2451970.1233799998</c:v>
                </c:pt>
                <c:pt idx="367">
                  <c:v>2451985.60176</c:v>
                </c:pt>
                <c:pt idx="368">
                  <c:v>2452003.7245499999</c:v>
                </c:pt>
                <c:pt idx="369">
                  <c:v>2452019.43781</c:v>
                </c:pt>
                <c:pt idx="370">
                  <c:v>2452033.18346</c:v>
                </c:pt>
                <c:pt idx="371">
                  <c:v>2452123.6</c:v>
                </c:pt>
                <c:pt idx="372">
                  <c:v>2452139.2694399999</c:v>
                </c:pt>
                <c:pt idx="373">
                  <c:v>2452154.2379700001</c:v>
                </c:pt>
                <c:pt idx="374">
                  <c:v>2452177.3535699998</c:v>
                </c:pt>
                <c:pt idx="375">
                  <c:v>2452192.17778</c:v>
                </c:pt>
                <c:pt idx="376">
                  <c:v>2452204.63166</c:v>
                </c:pt>
                <c:pt idx="377">
                  <c:v>2452229.4735099999</c:v>
                </c:pt>
                <c:pt idx="378">
                  <c:v>2452246.49505</c:v>
                </c:pt>
                <c:pt idx="379">
                  <c:v>2452263.4857000001</c:v>
                </c:pt>
                <c:pt idx="380">
                  <c:v>2452280.49236</c:v>
                </c:pt>
                <c:pt idx="381">
                  <c:v>2452294.5872300002</c:v>
                </c:pt>
                <c:pt idx="382">
                  <c:v>2452315.1845499999</c:v>
                </c:pt>
                <c:pt idx="383">
                  <c:v>2452329.71355</c:v>
                </c:pt>
                <c:pt idx="384">
                  <c:v>2452343.8374999999</c:v>
                </c:pt>
                <c:pt idx="385">
                  <c:v>2452362.6806000001</c:v>
                </c:pt>
                <c:pt idx="386">
                  <c:v>2452374.8433599998</c:v>
                </c:pt>
                <c:pt idx="387">
                  <c:v>2452389.8357299999</c:v>
                </c:pt>
                <c:pt idx="388">
                  <c:v>2452460.4246499999</c:v>
                </c:pt>
                <c:pt idx="389">
                  <c:v>2452503.5585699999</c:v>
                </c:pt>
                <c:pt idx="390">
                  <c:v>2452514.87629</c:v>
                </c:pt>
                <c:pt idx="391">
                  <c:v>2452529.6240900001</c:v>
                </c:pt>
                <c:pt idx="392">
                  <c:v>2452549.4726900002</c:v>
                </c:pt>
                <c:pt idx="393">
                  <c:v>2452562.79482</c:v>
                </c:pt>
                <c:pt idx="394">
                  <c:v>2452580.3420799999</c:v>
                </c:pt>
                <c:pt idx="395">
                  <c:v>2452594.93194</c:v>
                </c:pt>
                <c:pt idx="396">
                  <c:v>2452613.1894800002</c:v>
                </c:pt>
                <c:pt idx="397">
                  <c:v>2452626.5261400002</c:v>
                </c:pt>
                <c:pt idx="398">
                  <c:v>2452645.13931</c:v>
                </c:pt>
                <c:pt idx="399">
                  <c:v>2452665.9912700001</c:v>
                </c:pt>
                <c:pt idx="400">
                  <c:v>2452680.6146900002</c:v>
                </c:pt>
                <c:pt idx="401">
                  <c:v>2452695.7884800001</c:v>
                </c:pt>
                <c:pt idx="402">
                  <c:v>2452711.9281199998</c:v>
                </c:pt>
                <c:pt idx="403">
                  <c:v>2452726.3640800002</c:v>
                </c:pt>
                <c:pt idx="404">
                  <c:v>2452742.1725499998</c:v>
                </c:pt>
                <c:pt idx="405">
                  <c:v>2452758.6596599999</c:v>
                </c:pt>
                <c:pt idx="406">
                  <c:v>2452769.3342200001</c:v>
                </c:pt>
                <c:pt idx="407">
                  <c:v>2452857.37384</c:v>
                </c:pt>
                <c:pt idx="408">
                  <c:v>2452876.7475999999</c:v>
                </c:pt>
                <c:pt idx="409">
                  <c:v>2452887.5748600001</c:v>
                </c:pt>
                <c:pt idx="410">
                  <c:v>2452908.0090299998</c:v>
                </c:pt>
                <c:pt idx="411">
                  <c:v>2452933.34112</c:v>
                </c:pt>
                <c:pt idx="412">
                  <c:v>2452946.4389900002</c:v>
                </c:pt>
                <c:pt idx="413">
                  <c:v>2452963.7773699998</c:v>
                </c:pt>
                <c:pt idx="414">
                  <c:v>2452977.7118500001</c:v>
                </c:pt>
                <c:pt idx="415">
                  <c:v>2452994.06971</c:v>
                </c:pt>
                <c:pt idx="416">
                  <c:v>2453010.4806400002</c:v>
                </c:pt>
                <c:pt idx="417">
                  <c:v>2453025.3046300001</c:v>
                </c:pt>
                <c:pt idx="418">
                  <c:v>2453040.2067900002</c:v>
                </c:pt>
                <c:pt idx="419">
                  <c:v>2453056.7003199998</c:v>
                </c:pt>
                <c:pt idx="420">
                  <c:v>2453076.5758500001</c:v>
                </c:pt>
                <c:pt idx="421">
                  <c:v>2453091.77678</c:v>
                </c:pt>
                <c:pt idx="422">
                  <c:v>2453111.19246</c:v>
                </c:pt>
                <c:pt idx="423">
                  <c:v>2453125.5830000001</c:v>
                </c:pt>
                <c:pt idx="424">
                  <c:v>2453232.5685000001</c:v>
                </c:pt>
                <c:pt idx="425">
                  <c:v>2453245.8901900002</c:v>
                </c:pt>
                <c:pt idx="426">
                  <c:v>2453263.8282300001</c:v>
                </c:pt>
                <c:pt idx="427">
                  <c:v>2453279.4352799999</c:v>
                </c:pt>
                <c:pt idx="428">
                  <c:v>2453295.28003</c:v>
                </c:pt>
                <c:pt idx="429">
                  <c:v>2453313.0215500002</c:v>
                </c:pt>
                <c:pt idx="430">
                  <c:v>2453326.1270400002</c:v>
                </c:pt>
                <c:pt idx="431">
                  <c:v>2453345.6263899999</c:v>
                </c:pt>
                <c:pt idx="432">
                  <c:v>2453359.8251</c:v>
                </c:pt>
                <c:pt idx="433">
                  <c:v>2453377.74009</c:v>
                </c:pt>
                <c:pt idx="434">
                  <c:v>2453392.9749400001</c:v>
                </c:pt>
                <c:pt idx="435">
                  <c:v>2453411.3709399998</c:v>
                </c:pt>
                <c:pt idx="436">
                  <c:v>2453430.1444199998</c:v>
                </c:pt>
                <c:pt idx="437">
                  <c:v>2453448.1794599998</c:v>
                </c:pt>
                <c:pt idx="438">
                  <c:v>2453462.5170999998</c:v>
                </c:pt>
                <c:pt idx="439">
                  <c:v>2453475.4247099999</c:v>
                </c:pt>
                <c:pt idx="440">
                  <c:v>2453503.2999999998</c:v>
                </c:pt>
                <c:pt idx="441">
                  <c:v>2453593.4628400002</c:v>
                </c:pt>
                <c:pt idx="442">
                  <c:v>2453615.4522600002</c:v>
                </c:pt>
                <c:pt idx="443">
                  <c:v>2453634.6764500001</c:v>
                </c:pt>
                <c:pt idx="444">
                  <c:v>2453652.3102699998</c:v>
                </c:pt>
                <c:pt idx="445">
                  <c:v>2453671.6339500002</c:v>
                </c:pt>
                <c:pt idx="446">
                  <c:v>2453684.3637999999</c:v>
                </c:pt>
                <c:pt idx="447">
                  <c:v>2453701.6897</c:v>
                </c:pt>
                <c:pt idx="448">
                  <c:v>2453714.33635</c:v>
                </c:pt>
                <c:pt idx="449">
                  <c:v>2453733.34754</c:v>
                </c:pt>
                <c:pt idx="450">
                  <c:v>2453745.6070300001</c:v>
                </c:pt>
                <c:pt idx="451">
                  <c:v>2453761.5585500002</c:v>
                </c:pt>
                <c:pt idx="452">
                  <c:v>2453778.8956800001</c:v>
                </c:pt>
                <c:pt idx="453">
                  <c:v>2453793.9614400002</c:v>
                </c:pt>
                <c:pt idx="454">
                  <c:v>2453809.3412299999</c:v>
                </c:pt>
                <c:pt idx="455">
                  <c:v>2453830.0973100001</c:v>
                </c:pt>
                <c:pt idx="456">
                  <c:v>2453847.73434</c:v>
                </c:pt>
                <c:pt idx="457">
                  <c:v>2453959.2666699998</c:v>
                </c:pt>
                <c:pt idx="458">
                  <c:v>2453975.9403599999</c:v>
                </c:pt>
                <c:pt idx="459">
                  <c:v>2453992.1916700001</c:v>
                </c:pt>
                <c:pt idx="460">
                  <c:v>2454004.7274600002</c:v>
                </c:pt>
                <c:pt idx="461">
                  <c:v>2454025.7440599999</c:v>
                </c:pt>
                <c:pt idx="462">
                  <c:v>2454036.7869299999</c:v>
                </c:pt>
                <c:pt idx="463">
                  <c:v>2454057.0962999999</c:v>
                </c:pt>
                <c:pt idx="464">
                  <c:v>2454071.5729299998</c:v>
                </c:pt>
                <c:pt idx="465">
                  <c:v>2454087.6732899998</c:v>
                </c:pt>
                <c:pt idx="466">
                  <c:v>2454104.9233599999</c:v>
                </c:pt>
                <c:pt idx="467">
                  <c:v>2454122.6114099999</c:v>
                </c:pt>
                <c:pt idx="468">
                  <c:v>2454137.3510599998</c:v>
                </c:pt>
                <c:pt idx="469">
                  <c:v>2454152.0879000002</c:v>
                </c:pt>
                <c:pt idx="470">
                  <c:v>2454171.6408199999</c:v>
                </c:pt>
                <c:pt idx="471">
                  <c:v>2454186.0096100001</c:v>
                </c:pt>
                <c:pt idx="472">
                  <c:v>2454201.0535300002</c:v>
                </c:pt>
                <c:pt idx="473">
                  <c:v>2454214.9865700002</c:v>
                </c:pt>
                <c:pt idx="474">
                  <c:v>2454234.2999999998</c:v>
                </c:pt>
                <c:pt idx="475">
                  <c:v>2454330.11338</c:v>
                </c:pt>
                <c:pt idx="476">
                  <c:v>2454359.3997</c:v>
                </c:pt>
                <c:pt idx="477">
                  <c:v>2454386.8528499999</c:v>
                </c:pt>
                <c:pt idx="478">
                  <c:v>2454399.3914100002</c:v>
                </c:pt>
                <c:pt idx="479">
                  <c:v>2454415.8732599998</c:v>
                </c:pt>
                <c:pt idx="480">
                  <c:v>2454432.5600399999</c:v>
                </c:pt>
                <c:pt idx="481">
                  <c:v>2454448.5638000001</c:v>
                </c:pt>
                <c:pt idx="482">
                  <c:v>2454467.06311</c:v>
                </c:pt>
                <c:pt idx="483">
                  <c:v>2454479.2968700002</c:v>
                </c:pt>
                <c:pt idx="484">
                  <c:v>2454498.2899099998</c:v>
                </c:pt>
                <c:pt idx="485">
                  <c:v>2454512.3531599999</c:v>
                </c:pt>
                <c:pt idx="486">
                  <c:v>2454527.3488599998</c:v>
                </c:pt>
                <c:pt idx="487">
                  <c:v>2454543.8077099998</c:v>
                </c:pt>
                <c:pt idx="488">
                  <c:v>2454558.3613499999</c:v>
                </c:pt>
                <c:pt idx="489">
                  <c:v>2454574.8772100001</c:v>
                </c:pt>
                <c:pt idx="490">
                  <c:v>2454589.3187500001</c:v>
                </c:pt>
                <c:pt idx="491">
                  <c:v>2454600.2999999998</c:v>
                </c:pt>
                <c:pt idx="492">
                  <c:v>2454683.5659699999</c:v>
                </c:pt>
                <c:pt idx="493">
                  <c:v>2454708.3342300002</c:v>
                </c:pt>
                <c:pt idx="494">
                  <c:v>2454721.95475</c:v>
                </c:pt>
                <c:pt idx="495">
                  <c:v>2454740.2912099999</c:v>
                </c:pt>
                <c:pt idx="496">
                  <c:v>2454759.97126</c:v>
                </c:pt>
                <c:pt idx="497">
                  <c:v>2454773.0441000001</c:v>
                </c:pt>
                <c:pt idx="498">
                  <c:v>2454796.2291299999</c:v>
                </c:pt>
                <c:pt idx="499">
                  <c:v>2454809.4629600001</c:v>
                </c:pt>
                <c:pt idx="500">
                  <c:v>2454830.23165</c:v>
                </c:pt>
                <c:pt idx="501">
                  <c:v>2454847.2788900002</c:v>
                </c:pt>
                <c:pt idx="502">
                  <c:v>2454859.5879099998</c:v>
                </c:pt>
                <c:pt idx="503">
                  <c:v>2454877.8790199999</c:v>
                </c:pt>
                <c:pt idx="504">
                  <c:v>2454894.2656800002</c:v>
                </c:pt>
                <c:pt idx="505">
                  <c:v>2454909.9984400002</c:v>
                </c:pt>
                <c:pt idx="506">
                  <c:v>2454924.98392</c:v>
                </c:pt>
                <c:pt idx="507">
                  <c:v>2454941.1864999998</c:v>
                </c:pt>
                <c:pt idx="508">
                  <c:v>2454957.9928199998</c:v>
                </c:pt>
                <c:pt idx="509">
                  <c:v>2455045.92313</c:v>
                </c:pt>
                <c:pt idx="510">
                  <c:v>2455067.7644500001</c:v>
                </c:pt>
                <c:pt idx="511">
                  <c:v>2455090.4726800001</c:v>
                </c:pt>
                <c:pt idx="512">
                  <c:v>2455104.43028</c:v>
                </c:pt>
                <c:pt idx="513">
                  <c:v>2455124.3368600002</c:v>
                </c:pt>
                <c:pt idx="514">
                  <c:v>2455140.51602</c:v>
                </c:pt>
                <c:pt idx="515">
                  <c:v>2455154.5218799999</c:v>
                </c:pt>
                <c:pt idx="516">
                  <c:v>2455172.2820700002</c:v>
                </c:pt>
                <c:pt idx="517">
                  <c:v>2455186.7632499998</c:v>
                </c:pt>
                <c:pt idx="518">
                  <c:v>2455204.8280500001</c:v>
                </c:pt>
                <c:pt idx="519">
                  <c:v>2455218.6133599998</c:v>
                </c:pt>
                <c:pt idx="520">
                  <c:v>2455234.9670299999</c:v>
                </c:pt>
                <c:pt idx="521">
                  <c:v>2455251.4442199999</c:v>
                </c:pt>
                <c:pt idx="522">
                  <c:v>2455264.7041699998</c:v>
                </c:pt>
                <c:pt idx="523">
                  <c:v>2455284.2818399998</c:v>
                </c:pt>
                <c:pt idx="524">
                  <c:v>2455298.6203700001</c:v>
                </c:pt>
                <c:pt idx="525">
                  <c:v>2455311.7293500002</c:v>
                </c:pt>
                <c:pt idx="526">
                  <c:v>2455325.9330500001</c:v>
                </c:pt>
                <c:pt idx="527">
                  <c:v>2455341.2999999998</c:v>
                </c:pt>
                <c:pt idx="528">
                  <c:v>2455414.5652999999</c:v>
                </c:pt>
                <c:pt idx="529">
                  <c:v>2455448.73318</c:v>
                </c:pt>
                <c:pt idx="530">
                  <c:v>2455466.1132</c:v>
                </c:pt>
                <c:pt idx="531">
                  <c:v>2455479.1542600002</c:v>
                </c:pt>
                <c:pt idx="532">
                  <c:v>2455494.3101900001</c:v>
                </c:pt>
                <c:pt idx="533">
                  <c:v>2455511.02819</c:v>
                </c:pt>
                <c:pt idx="534">
                  <c:v>2455529.8838</c:v>
                </c:pt>
                <c:pt idx="535">
                  <c:v>2455541.0633100001</c:v>
                </c:pt>
                <c:pt idx="536">
                  <c:v>2455565.9139399999</c:v>
                </c:pt>
                <c:pt idx="537">
                  <c:v>2455578.4430499999</c:v>
                </c:pt>
                <c:pt idx="538">
                  <c:v>2455594.5496200002</c:v>
                </c:pt>
                <c:pt idx="539">
                  <c:v>2455609.74339</c:v>
                </c:pt>
                <c:pt idx="540">
                  <c:v>2455624.6648300001</c:v>
                </c:pt>
                <c:pt idx="541">
                  <c:v>2455642.0413600001</c:v>
                </c:pt>
                <c:pt idx="542">
                  <c:v>2455654.47664</c:v>
                </c:pt>
                <c:pt idx="543">
                  <c:v>2455670.0623699999</c:v>
                </c:pt>
                <c:pt idx="544">
                  <c:v>2455684.43927</c:v>
                </c:pt>
                <c:pt idx="545">
                  <c:v>2455776.6</c:v>
                </c:pt>
                <c:pt idx="546">
                  <c:v>2455803.76199</c:v>
                </c:pt>
                <c:pt idx="547">
                  <c:v>2455816.3044599998</c:v>
                </c:pt>
                <c:pt idx="548">
                  <c:v>2455833.51376</c:v>
                </c:pt>
                <c:pt idx="549">
                  <c:v>2455852.8007</c:v>
                </c:pt>
                <c:pt idx="550">
                  <c:v>2455870.2794499998</c:v>
                </c:pt>
                <c:pt idx="551">
                  <c:v>2455888.0104800002</c:v>
                </c:pt>
                <c:pt idx="552">
                  <c:v>2455903.1662900001</c:v>
                </c:pt>
                <c:pt idx="553">
                  <c:v>2455918.6068799999</c:v>
                </c:pt>
                <c:pt idx="554">
                  <c:v>2455935.8702699998</c:v>
                </c:pt>
                <c:pt idx="555">
                  <c:v>2455952.89169</c:v>
                </c:pt>
                <c:pt idx="556">
                  <c:v>2455968.7958200001</c:v>
                </c:pt>
                <c:pt idx="557">
                  <c:v>2455980.77147</c:v>
                </c:pt>
                <c:pt idx="558">
                  <c:v>2455997.4686699999</c:v>
                </c:pt>
                <c:pt idx="559">
                  <c:v>2456012.0178700001</c:v>
                </c:pt>
                <c:pt idx="560">
                  <c:v>2456026.57913</c:v>
                </c:pt>
                <c:pt idx="561">
                  <c:v>2456042.6189999999</c:v>
                </c:pt>
                <c:pt idx="562">
                  <c:v>2456057.8698</c:v>
                </c:pt>
                <c:pt idx="563">
                  <c:v>2456131.5882000001</c:v>
                </c:pt>
                <c:pt idx="564">
                  <c:v>2456164.92821</c:v>
                </c:pt>
                <c:pt idx="565">
                  <c:v>2456185.5481699998</c:v>
                </c:pt>
                <c:pt idx="566">
                  <c:v>2456203.2591599999</c:v>
                </c:pt>
                <c:pt idx="567">
                  <c:v>2456219.8132699998</c:v>
                </c:pt>
                <c:pt idx="568">
                  <c:v>2456240.8591999998</c:v>
                </c:pt>
                <c:pt idx="569">
                  <c:v>2456259.95059</c:v>
                </c:pt>
                <c:pt idx="570">
                  <c:v>2456275.1027000002</c:v>
                </c:pt>
                <c:pt idx="571">
                  <c:v>2456299.2394400002</c:v>
                </c:pt>
                <c:pt idx="572">
                  <c:v>2456310.9257499999</c:v>
                </c:pt>
                <c:pt idx="573">
                  <c:v>2456329.6107899998</c:v>
                </c:pt>
                <c:pt idx="574">
                  <c:v>2456345.01357</c:v>
                </c:pt>
                <c:pt idx="575">
                  <c:v>2456361.1165900002</c:v>
                </c:pt>
                <c:pt idx="576">
                  <c:v>2456376.3556599999</c:v>
                </c:pt>
                <c:pt idx="577">
                  <c:v>2456390.5026699998</c:v>
                </c:pt>
                <c:pt idx="578">
                  <c:v>2456408.5908900001</c:v>
                </c:pt>
                <c:pt idx="579">
                  <c:v>2456419.10513</c:v>
                </c:pt>
                <c:pt idx="580">
                  <c:v>2456493.5970000001</c:v>
                </c:pt>
                <c:pt idx="581">
                  <c:v>2456517.5630000001</c:v>
                </c:pt>
                <c:pt idx="582">
                  <c:v>2456545.28883</c:v>
                </c:pt>
                <c:pt idx="583">
                  <c:v>2456566.1554700001</c:v>
                </c:pt>
                <c:pt idx="584">
                  <c:v>2456578.4642500002</c:v>
                </c:pt>
                <c:pt idx="585">
                  <c:v>2456597.12115</c:v>
                </c:pt>
                <c:pt idx="586">
                  <c:v>2456610.5151800001</c:v>
                </c:pt>
                <c:pt idx="587">
                  <c:v>2456630.77813</c:v>
                </c:pt>
                <c:pt idx="588">
                  <c:v>2456647.5054600001</c:v>
                </c:pt>
                <c:pt idx="589">
                  <c:v>2456659.4975299998</c:v>
                </c:pt>
                <c:pt idx="590">
                  <c:v>2456676.6119900001</c:v>
                </c:pt>
                <c:pt idx="591">
                  <c:v>2456689.1715500001</c:v>
                </c:pt>
                <c:pt idx="592">
                  <c:v>2456709.1491999999</c:v>
                </c:pt>
                <c:pt idx="593">
                  <c:v>2456722.5979200001</c:v>
                </c:pt>
                <c:pt idx="594">
                  <c:v>2456739.4601500002</c:v>
                </c:pt>
                <c:pt idx="595">
                  <c:v>2456753.8745200001</c:v>
                </c:pt>
                <c:pt idx="596">
                  <c:v>2456769.5791099998</c:v>
                </c:pt>
                <c:pt idx="597">
                  <c:v>2456781.6068500001</c:v>
                </c:pt>
                <c:pt idx="598">
                  <c:v>2456867.08</c:v>
                </c:pt>
                <c:pt idx="599">
                  <c:v>2456889.8204299998</c:v>
                </c:pt>
                <c:pt idx="600">
                  <c:v>2456905.5883999998</c:v>
                </c:pt>
                <c:pt idx="601">
                  <c:v>2456923.9848699998</c:v>
                </c:pt>
                <c:pt idx="602">
                  <c:v>2456934.4274200001</c:v>
                </c:pt>
                <c:pt idx="603">
                  <c:v>2456955.4654600001</c:v>
                </c:pt>
                <c:pt idx="604">
                  <c:v>2456971.6367899999</c:v>
                </c:pt>
                <c:pt idx="605">
                  <c:v>2456987.40123</c:v>
                </c:pt>
                <c:pt idx="606">
                  <c:v>2457001.5581299998</c:v>
                </c:pt>
                <c:pt idx="607">
                  <c:v>2457015.8113600002</c:v>
                </c:pt>
                <c:pt idx="608">
                  <c:v>2457036.9898299999</c:v>
                </c:pt>
                <c:pt idx="609">
                  <c:v>2457051.4933000002</c:v>
                </c:pt>
                <c:pt idx="610">
                  <c:v>2457067.7166200001</c:v>
                </c:pt>
                <c:pt idx="611">
                  <c:v>2457083.3108399999</c:v>
                </c:pt>
                <c:pt idx="612">
                  <c:v>2457098.8210999998</c:v>
                </c:pt>
                <c:pt idx="613">
                  <c:v>2457114.2788399998</c:v>
                </c:pt>
                <c:pt idx="614">
                  <c:v>2457129.0850499999</c:v>
                </c:pt>
                <c:pt idx="615">
                  <c:v>2457145.5917099998</c:v>
                </c:pt>
                <c:pt idx="616">
                  <c:v>2457257.0392499999</c:v>
                </c:pt>
                <c:pt idx="617">
                  <c:v>2457275.2472999999</c:v>
                </c:pt>
                <c:pt idx="618">
                  <c:v>2457291.3447599998</c:v>
                </c:pt>
                <c:pt idx="619">
                  <c:v>2457311.3346899999</c:v>
                </c:pt>
                <c:pt idx="620">
                  <c:v>2457330.5700599998</c:v>
                </c:pt>
                <c:pt idx="621">
                  <c:v>2457345.20915</c:v>
                </c:pt>
                <c:pt idx="622">
                  <c:v>2457362.61472</c:v>
                </c:pt>
                <c:pt idx="623">
                  <c:v>2457377.5100699998</c:v>
                </c:pt>
                <c:pt idx="624">
                  <c:v>2457392.2312599998</c:v>
                </c:pt>
                <c:pt idx="625">
                  <c:v>2457406.4698700001</c:v>
                </c:pt>
                <c:pt idx="626">
                  <c:v>2457425.8265999998</c:v>
                </c:pt>
                <c:pt idx="627">
                  <c:v>2457439.8399700001</c:v>
                </c:pt>
                <c:pt idx="628">
                  <c:v>2457453.4487200002</c:v>
                </c:pt>
                <c:pt idx="629">
                  <c:v>2457468.8093500002</c:v>
                </c:pt>
                <c:pt idx="630">
                  <c:v>2457485.35971</c:v>
                </c:pt>
                <c:pt idx="631">
                  <c:v>2457501.5178999999</c:v>
                </c:pt>
                <c:pt idx="632">
                  <c:v>2457513.7264100001</c:v>
                </c:pt>
                <c:pt idx="633">
                  <c:v>2457606.33458</c:v>
                </c:pt>
                <c:pt idx="634">
                  <c:v>2457623.35934</c:v>
                </c:pt>
                <c:pt idx="635">
                  <c:v>2457640.1727700001</c:v>
                </c:pt>
                <c:pt idx="636">
                  <c:v>2457655.9305199999</c:v>
                </c:pt>
                <c:pt idx="637">
                  <c:v>2457667.1615200001</c:v>
                </c:pt>
                <c:pt idx="638">
                  <c:v>2457690.3993500001</c:v>
                </c:pt>
                <c:pt idx="639">
                  <c:v>2457708.68677</c:v>
                </c:pt>
                <c:pt idx="640">
                  <c:v>2457725.1745600002</c:v>
                </c:pt>
                <c:pt idx="641">
                  <c:v>2457741.8766700001</c:v>
                </c:pt>
                <c:pt idx="642">
                  <c:v>2457752.43071</c:v>
                </c:pt>
                <c:pt idx="643">
                  <c:v>2457762.37237</c:v>
                </c:pt>
                <c:pt idx="644">
                  <c:v>2457774.9954200001</c:v>
                </c:pt>
                <c:pt idx="645">
                  <c:v>2457783.5024799998</c:v>
                </c:pt>
                <c:pt idx="646">
                  <c:v>2457798.8605800001</c:v>
                </c:pt>
                <c:pt idx="647">
                  <c:v>2457806.4194499999</c:v>
                </c:pt>
                <c:pt idx="648">
                  <c:v>2457820.8765699998</c:v>
                </c:pt>
                <c:pt idx="649">
                  <c:v>2457830.6899100002</c:v>
                </c:pt>
                <c:pt idx="650">
                  <c:v>2457840.7507600002</c:v>
                </c:pt>
                <c:pt idx="651">
                  <c:v>2457852.13564</c:v>
                </c:pt>
                <c:pt idx="652">
                  <c:v>2457864.2798899999</c:v>
                </c:pt>
                <c:pt idx="653">
                  <c:v>2457873.6101600002</c:v>
                </c:pt>
                <c:pt idx="654">
                  <c:v>2457966.5819999999</c:v>
                </c:pt>
                <c:pt idx="655">
                  <c:v>2457981.7644400001</c:v>
                </c:pt>
                <c:pt idx="656">
                  <c:v>2457992.9218100002</c:v>
                </c:pt>
                <c:pt idx="657">
                  <c:v>2458002.0595200001</c:v>
                </c:pt>
                <c:pt idx="658">
                  <c:v>2458013.06195</c:v>
                </c:pt>
                <c:pt idx="659">
                  <c:v>2458024.5296200002</c:v>
                </c:pt>
                <c:pt idx="660">
                  <c:v>2458031.4256000002</c:v>
                </c:pt>
                <c:pt idx="661">
                  <c:v>2458045.8079300001</c:v>
                </c:pt>
                <c:pt idx="662">
                  <c:v>2458350</c:v>
                </c:pt>
                <c:pt idx="663">
                  <c:v>2458370</c:v>
                </c:pt>
                <c:pt idx="664">
                  <c:v>2458380</c:v>
                </c:pt>
                <c:pt idx="665">
                  <c:v>2458390</c:v>
                </c:pt>
                <c:pt idx="666">
                  <c:v>2458400</c:v>
                </c:pt>
                <c:pt idx="667">
                  <c:v>2458410</c:v>
                </c:pt>
                <c:pt idx="668">
                  <c:v>2458420</c:v>
                </c:pt>
                <c:pt idx="669">
                  <c:v>2458430</c:v>
                </c:pt>
                <c:pt idx="670">
                  <c:v>2458440</c:v>
                </c:pt>
                <c:pt idx="671">
                  <c:v>2458450</c:v>
                </c:pt>
                <c:pt idx="672">
                  <c:v>2458460</c:v>
                </c:pt>
                <c:pt idx="673">
                  <c:v>2458470</c:v>
                </c:pt>
                <c:pt idx="674">
                  <c:v>2458480</c:v>
                </c:pt>
                <c:pt idx="675">
                  <c:v>2458490</c:v>
                </c:pt>
                <c:pt idx="676">
                  <c:v>2458500</c:v>
                </c:pt>
                <c:pt idx="677">
                  <c:v>2458510</c:v>
                </c:pt>
                <c:pt idx="678">
                  <c:v>2458520</c:v>
                </c:pt>
                <c:pt idx="679">
                  <c:v>2458530</c:v>
                </c:pt>
                <c:pt idx="680">
                  <c:v>2458540</c:v>
                </c:pt>
                <c:pt idx="681">
                  <c:v>2458550</c:v>
                </c:pt>
                <c:pt idx="682">
                  <c:v>2458560</c:v>
                </c:pt>
                <c:pt idx="683">
                  <c:v>2458570</c:v>
                </c:pt>
                <c:pt idx="684">
                  <c:v>2458580</c:v>
                </c:pt>
                <c:pt idx="685">
                  <c:v>2458590</c:v>
                </c:pt>
                <c:pt idx="686">
                  <c:v>2458600</c:v>
                </c:pt>
                <c:pt idx="687">
                  <c:v>2458700</c:v>
                </c:pt>
                <c:pt idx="688">
                  <c:v>2458710</c:v>
                </c:pt>
                <c:pt idx="689">
                  <c:v>2458720</c:v>
                </c:pt>
                <c:pt idx="690">
                  <c:v>2458730</c:v>
                </c:pt>
                <c:pt idx="691">
                  <c:v>2458740</c:v>
                </c:pt>
                <c:pt idx="692">
                  <c:v>2458750</c:v>
                </c:pt>
                <c:pt idx="693">
                  <c:v>2458760</c:v>
                </c:pt>
                <c:pt idx="694">
                  <c:v>2458770</c:v>
                </c:pt>
                <c:pt idx="695">
                  <c:v>2458780</c:v>
                </c:pt>
                <c:pt idx="696">
                  <c:v>2458790</c:v>
                </c:pt>
                <c:pt idx="697">
                  <c:v>2458800</c:v>
                </c:pt>
                <c:pt idx="698">
                  <c:v>2458810</c:v>
                </c:pt>
                <c:pt idx="699">
                  <c:v>2458820</c:v>
                </c:pt>
                <c:pt idx="700">
                  <c:v>2458830</c:v>
                </c:pt>
                <c:pt idx="701">
                  <c:v>2458840</c:v>
                </c:pt>
                <c:pt idx="702">
                  <c:v>2458850</c:v>
                </c:pt>
                <c:pt idx="703">
                  <c:v>2458860</c:v>
                </c:pt>
                <c:pt idx="704">
                  <c:v>2458870</c:v>
                </c:pt>
                <c:pt idx="705">
                  <c:v>2458880</c:v>
                </c:pt>
                <c:pt idx="706">
                  <c:v>2458890</c:v>
                </c:pt>
                <c:pt idx="707">
                  <c:v>2458900</c:v>
                </c:pt>
                <c:pt idx="708">
                  <c:v>2458910</c:v>
                </c:pt>
                <c:pt idx="709">
                  <c:v>2458920</c:v>
                </c:pt>
                <c:pt idx="710">
                  <c:v>2458930</c:v>
                </c:pt>
                <c:pt idx="711">
                  <c:v>2458940</c:v>
                </c:pt>
                <c:pt idx="712">
                  <c:v>2458950</c:v>
                </c:pt>
                <c:pt idx="713">
                  <c:v>2458960</c:v>
                </c:pt>
                <c:pt idx="714">
                  <c:v>2458970</c:v>
                </c:pt>
                <c:pt idx="715">
                  <c:v>2459060</c:v>
                </c:pt>
                <c:pt idx="716">
                  <c:v>2459070</c:v>
                </c:pt>
                <c:pt idx="717">
                  <c:v>2459080</c:v>
                </c:pt>
                <c:pt idx="718">
                  <c:v>2459090</c:v>
                </c:pt>
                <c:pt idx="719">
                  <c:v>2459100</c:v>
                </c:pt>
                <c:pt idx="720">
                  <c:v>2459110</c:v>
                </c:pt>
                <c:pt idx="721">
                  <c:v>2459120</c:v>
                </c:pt>
                <c:pt idx="722">
                  <c:v>2459130</c:v>
                </c:pt>
                <c:pt idx="723">
                  <c:v>2459140</c:v>
                </c:pt>
                <c:pt idx="724">
                  <c:v>2459150</c:v>
                </c:pt>
                <c:pt idx="725">
                  <c:v>2459160</c:v>
                </c:pt>
                <c:pt idx="726">
                  <c:v>2459170</c:v>
                </c:pt>
                <c:pt idx="727">
                  <c:v>2459180</c:v>
                </c:pt>
                <c:pt idx="728">
                  <c:v>2459190</c:v>
                </c:pt>
                <c:pt idx="729">
                  <c:v>2459200</c:v>
                </c:pt>
                <c:pt idx="730">
                  <c:v>2459210</c:v>
                </c:pt>
                <c:pt idx="731">
                  <c:v>2459220</c:v>
                </c:pt>
                <c:pt idx="732">
                  <c:v>2459230</c:v>
                </c:pt>
                <c:pt idx="733">
                  <c:v>2459240</c:v>
                </c:pt>
                <c:pt idx="734">
                  <c:v>2459250</c:v>
                </c:pt>
                <c:pt idx="735">
                  <c:v>2459260</c:v>
                </c:pt>
                <c:pt idx="736">
                  <c:v>2459270</c:v>
                </c:pt>
                <c:pt idx="737">
                  <c:v>2459280</c:v>
                </c:pt>
                <c:pt idx="738">
                  <c:v>2459290</c:v>
                </c:pt>
                <c:pt idx="739">
                  <c:v>2459300</c:v>
                </c:pt>
                <c:pt idx="740">
                  <c:v>2459310</c:v>
                </c:pt>
                <c:pt idx="741">
                  <c:v>2459320</c:v>
                </c:pt>
                <c:pt idx="742">
                  <c:v>2459330</c:v>
                </c:pt>
              </c:numCache>
            </c:numRef>
          </c:xVal>
          <c:yVal>
            <c:numRef>
              <c:f>Vis!$C$1:$C$1155</c:f>
              <c:numCache>
                <c:formatCode>General</c:formatCode>
                <c:ptCount val="1155"/>
                <c:pt idx="0">
                  <c:v>8.9</c:v>
                </c:pt>
                <c:pt idx="1">
                  <c:v>10</c:v>
                </c:pt>
                <c:pt idx="2">
                  <c:v>10.1</c:v>
                </c:pt>
                <c:pt idx="3">
                  <c:v>9.8000000000000007</c:v>
                </c:pt>
                <c:pt idx="4">
                  <c:v>9.5</c:v>
                </c:pt>
                <c:pt idx="5">
                  <c:v>9.0500000000000007</c:v>
                </c:pt>
                <c:pt idx="6">
                  <c:v>8.7249999999999996</c:v>
                </c:pt>
                <c:pt idx="7">
                  <c:v>8.35</c:v>
                </c:pt>
                <c:pt idx="8">
                  <c:v>8.7750000000000004</c:v>
                </c:pt>
                <c:pt idx="9">
                  <c:v>8.6999999999999993</c:v>
                </c:pt>
                <c:pt idx="10">
                  <c:v>8.9</c:v>
                </c:pt>
                <c:pt idx="11">
                  <c:v>10.1</c:v>
                </c:pt>
                <c:pt idx="12">
                  <c:v>10.199999999999999</c:v>
                </c:pt>
                <c:pt idx="13">
                  <c:v>9.5</c:v>
                </c:pt>
                <c:pt idx="14">
                  <c:v>9.233333</c:v>
                </c:pt>
                <c:pt idx="15">
                  <c:v>9.9</c:v>
                </c:pt>
                <c:pt idx="16">
                  <c:v>9.3000000000000007</c:v>
                </c:pt>
                <c:pt idx="17">
                  <c:v>8.8000000000000007</c:v>
                </c:pt>
                <c:pt idx="18">
                  <c:v>8.5</c:v>
                </c:pt>
                <c:pt idx="19">
                  <c:v>8.5500000000000007</c:v>
                </c:pt>
                <c:pt idx="20">
                  <c:v>9.9</c:v>
                </c:pt>
                <c:pt idx="21">
                  <c:v>9.75</c:v>
                </c:pt>
                <c:pt idx="22">
                  <c:v>9.4</c:v>
                </c:pt>
                <c:pt idx="23">
                  <c:v>8.75</c:v>
                </c:pt>
                <c:pt idx="24">
                  <c:v>8.5</c:v>
                </c:pt>
                <c:pt idx="25">
                  <c:v>10</c:v>
                </c:pt>
                <c:pt idx="26">
                  <c:v>8.8000000000000007</c:v>
                </c:pt>
                <c:pt idx="27">
                  <c:v>9.4</c:v>
                </c:pt>
                <c:pt idx="28">
                  <c:v>8.75</c:v>
                </c:pt>
                <c:pt idx="29">
                  <c:v>8.5</c:v>
                </c:pt>
                <c:pt idx="30">
                  <c:v>8.9</c:v>
                </c:pt>
                <c:pt idx="31">
                  <c:v>9.3000000000000007</c:v>
                </c:pt>
                <c:pt idx="32">
                  <c:v>11</c:v>
                </c:pt>
                <c:pt idx="33">
                  <c:v>10.25</c:v>
                </c:pt>
                <c:pt idx="34">
                  <c:v>9.3000000000000007</c:v>
                </c:pt>
                <c:pt idx="35">
                  <c:v>7.9</c:v>
                </c:pt>
                <c:pt idx="36">
                  <c:v>8.4</c:v>
                </c:pt>
                <c:pt idx="37">
                  <c:v>8.9</c:v>
                </c:pt>
                <c:pt idx="38">
                  <c:v>10.3</c:v>
                </c:pt>
                <c:pt idx="39">
                  <c:v>10.5</c:v>
                </c:pt>
                <c:pt idx="40">
                  <c:v>10.7</c:v>
                </c:pt>
                <c:pt idx="41">
                  <c:v>9.1999999999999993</c:v>
                </c:pt>
                <c:pt idx="42">
                  <c:v>8.9</c:v>
                </c:pt>
                <c:pt idx="43">
                  <c:v>8.9499999999999993</c:v>
                </c:pt>
                <c:pt idx="44">
                  <c:v>8.6999999999999993</c:v>
                </c:pt>
                <c:pt idx="45">
                  <c:v>9.1999999999999993</c:v>
                </c:pt>
                <c:pt idx="46">
                  <c:v>9.8000000000000007</c:v>
                </c:pt>
                <c:pt idx="47">
                  <c:v>11.25</c:v>
                </c:pt>
                <c:pt idx="48">
                  <c:v>10</c:v>
                </c:pt>
                <c:pt idx="49">
                  <c:v>8.9</c:v>
                </c:pt>
                <c:pt idx="50">
                  <c:v>8.6999999999999993</c:v>
                </c:pt>
                <c:pt idx="51">
                  <c:v>10.3</c:v>
                </c:pt>
                <c:pt idx="52">
                  <c:v>9.5</c:v>
                </c:pt>
                <c:pt idx="53">
                  <c:v>10</c:v>
                </c:pt>
                <c:pt idx="54">
                  <c:v>7.5</c:v>
                </c:pt>
                <c:pt idx="55">
                  <c:v>8</c:v>
                </c:pt>
                <c:pt idx="56">
                  <c:v>10.5</c:v>
                </c:pt>
                <c:pt idx="57">
                  <c:v>9.5</c:v>
                </c:pt>
                <c:pt idx="58">
                  <c:v>10</c:v>
                </c:pt>
                <c:pt idx="59">
                  <c:v>10.5</c:v>
                </c:pt>
                <c:pt idx="60">
                  <c:v>10</c:v>
                </c:pt>
                <c:pt idx="61">
                  <c:v>8.1999999999999993</c:v>
                </c:pt>
                <c:pt idx="62">
                  <c:v>10.4</c:v>
                </c:pt>
                <c:pt idx="63">
                  <c:v>10.133333</c:v>
                </c:pt>
                <c:pt idx="64">
                  <c:v>8.2249999999999996</c:v>
                </c:pt>
                <c:pt idx="65">
                  <c:v>8.6999999999999993</c:v>
                </c:pt>
                <c:pt idx="66">
                  <c:v>8.6333330000000004</c:v>
                </c:pt>
                <c:pt idx="67">
                  <c:v>8.8000000000000007</c:v>
                </c:pt>
                <c:pt idx="68">
                  <c:v>8.9333329999999993</c:v>
                </c:pt>
                <c:pt idx="69">
                  <c:v>9.3249999999999993</c:v>
                </c:pt>
                <c:pt idx="70">
                  <c:v>9.4499999999999993</c:v>
                </c:pt>
                <c:pt idx="71">
                  <c:v>9.375</c:v>
                </c:pt>
                <c:pt idx="72">
                  <c:v>9.5</c:v>
                </c:pt>
                <c:pt idx="73">
                  <c:v>9.25</c:v>
                </c:pt>
                <c:pt idx="74">
                  <c:v>9.5</c:v>
                </c:pt>
                <c:pt idx="75">
                  <c:v>8.75</c:v>
                </c:pt>
                <c:pt idx="76">
                  <c:v>8.5333330000000007</c:v>
                </c:pt>
                <c:pt idx="77">
                  <c:v>8.483333</c:v>
                </c:pt>
                <c:pt idx="78">
                  <c:v>8.5857139999999994</c:v>
                </c:pt>
                <c:pt idx="79">
                  <c:v>8.4285709999999998</c:v>
                </c:pt>
                <c:pt idx="80">
                  <c:v>8.4538460000000004</c:v>
                </c:pt>
                <c:pt idx="81">
                  <c:v>8.56</c:v>
                </c:pt>
                <c:pt idx="82">
                  <c:v>9</c:v>
                </c:pt>
                <c:pt idx="83">
                  <c:v>8.9</c:v>
                </c:pt>
                <c:pt idx="84">
                  <c:v>9.4</c:v>
                </c:pt>
                <c:pt idx="85">
                  <c:v>9.48</c:v>
                </c:pt>
                <c:pt idx="86">
                  <c:v>8.9499999999999993</c:v>
                </c:pt>
                <c:pt idx="87">
                  <c:v>8.9</c:v>
                </c:pt>
                <c:pt idx="88">
                  <c:v>8.7249999999999996</c:v>
                </c:pt>
                <c:pt idx="89">
                  <c:v>8.1</c:v>
                </c:pt>
                <c:pt idx="90">
                  <c:v>8.3000000000000007</c:v>
                </c:pt>
                <c:pt idx="91">
                  <c:v>8.4333329999999993</c:v>
                </c:pt>
                <c:pt idx="92">
                  <c:v>8.4533330000000007</c:v>
                </c:pt>
                <c:pt idx="93">
                  <c:v>8.5285709999999995</c:v>
                </c:pt>
                <c:pt idx="94">
                  <c:v>8.9333329999999993</c:v>
                </c:pt>
                <c:pt idx="95">
                  <c:v>8.85</c:v>
                </c:pt>
                <c:pt idx="96">
                  <c:v>9</c:v>
                </c:pt>
                <c:pt idx="97">
                  <c:v>9.15</c:v>
                </c:pt>
                <c:pt idx="98">
                  <c:v>9.0666670000000007</c:v>
                </c:pt>
                <c:pt idx="99">
                  <c:v>8.6199999999999992</c:v>
                </c:pt>
                <c:pt idx="100">
                  <c:v>8.1999999999999993</c:v>
                </c:pt>
                <c:pt idx="101">
                  <c:v>8.0222219999999993</c:v>
                </c:pt>
                <c:pt idx="102">
                  <c:v>8.0714290000000002</c:v>
                </c:pt>
                <c:pt idx="103">
                  <c:v>8.1624999999999996</c:v>
                </c:pt>
                <c:pt idx="104">
                  <c:v>8.4</c:v>
                </c:pt>
                <c:pt idx="105">
                  <c:v>8.4666669999999993</c:v>
                </c:pt>
                <c:pt idx="106">
                  <c:v>8.6333330000000004</c:v>
                </c:pt>
                <c:pt idx="107">
                  <c:v>9.6999999999999993</c:v>
                </c:pt>
                <c:pt idx="108">
                  <c:v>9.1666670000000003</c:v>
                </c:pt>
                <c:pt idx="109">
                  <c:v>9.1</c:v>
                </c:pt>
                <c:pt idx="110">
                  <c:v>8.1999999999999993</c:v>
                </c:pt>
                <c:pt idx="111">
                  <c:v>7.9166670000000003</c:v>
                </c:pt>
                <c:pt idx="112">
                  <c:v>7.9888890000000004</c:v>
                </c:pt>
                <c:pt idx="113">
                  <c:v>8.1583330000000007</c:v>
                </c:pt>
                <c:pt idx="114">
                  <c:v>8.1</c:v>
                </c:pt>
                <c:pt idx="115">
                  <c:v>8.0666670000000007</c:v>
                </c:pt>
                <c:pt idx="116">
                  <c:v>9.3000000000000007</c:v>
                </c:pt>
                <c:pt idx="117">
                  <c:v>10.7</c:v>
                </c:pt>
                <c:pt idx="118">
                  <c:v>10</c:v>
                </c:pt>
                <c:pt idx="119">
                  <c:v>9.375</c:v>
                </c:pt>
                <c:pt idx="120">
                  <c:v>9.08</c:v>
                </c:pt>
                <c:pt idx="121">
                  <c:v>8.64</c:v>
                </c:pt>
                <c:pt idx="122">
                  <c:v>8.2799999999999994</c:v>
                </c:pt>
                <c:pt idx="123">
                  <c:v>7.9454549999999999</c:v>
                </c:pt>
                <c:pt idx="124">
                  <c:v>7.8833330000000004</c:v>
                </c:pt>
                <c:pt idx="125">
                  <c:v>8.0444440000000004</c:v>
                </c:pt>
                <c:pt idx="126">
                  <c:v>9.4</c:v>
                </c:pt>
                <c:pt idx="127">
                  <c:v>9.5</c:v>
                </c:pt>
                <c:pt idx="128">
                  <c:v>9.9</c:v>
                </c:pt>
                <c:pt idx="129">
                  <c:v>10.1</c:v>
                </c:pt>
                <c:pt idx="130">
                  <c:v>9.3000000000000007</c:v>
                </c:pt>
                <c:pt idx="131">
                  <c:v>9.1333330000000004</c:v>
                </c:pt>
                <c:pt idx="132">
                  <c:v>9.1333330000000004</c:v>
                </c:pt>
                <c:pt idx="133">
                  <c:v>9.0399999999999991</c:v>
                </c:pt>
                <c:pt idx="134">
                  <c:v>8.56</c:v>
                </c:pt>
                <c:pt idx="135">
                  <c:v>8.2777779999999996</c:v>
                </c:pt>
                <c:pt idx="136">
                  <c:v>8.0500000000000007</c:v>
                </c:pt>
                <c:pt idx="137">
                  <c:v>8.9</c:v>
                </c:pt>
                <c:pt idx="138">
                  <c:v>9.3333329999999997</c:v>
                </c:pt>
                <c:pt idx="139">
                  <c:v>9.4</c:v>
                </c:pt>
                <c:pt idx="140">
                  <c:v>10.050000000000001</c:v>
                </c:pt>
                <c:pt idx="141">
                  <c:v>10.3</c:v>
                </c:pt>
                <c:pt idx="142">
                  <c:v>10.6</c:v>
                </c:pt>
                <c:pt idx="143">
                  <c:v>9.8000000000000007</c:v>
                </c:pt>
                <c:pt idx="144">
                  <c:v>9.4499999999999993</c:v>
                </c:pt>
                <c:pt idx="145">
                  <c:v>9.3000000000000007</c:v>
                </c:pt>
                <c:pt idx="146">
                  <c:v>8.9499999999999993</c:v>
                </c:pt>
                <c:pt idx="147">
                  <c:v>9.0500000000000007</c:v>
                </c:pt>
                <c:pt idx="148">
                  <c:v>8.8000000000000007</c:v>
                </c:pt>
                <c:pt idx="149">
                  <c:v>8.5500000000000007</c:v>
                </c:pt>
                <c:pt idx="150">
                  <c:v>8.8000000000000007</c:v>
                </c:pt>
                <c:pt idx="151">
                  <c:v>9.0333330000000007</c:v>
                </c:pt>
                <c:pt idx="152">
                  <c:v>9</c:v>
                </c:pt>
                <c:pt idx="153">
                  <c:v>10.199999999999999</c:v>
                </c:pt>
                <c:pt idx="154">
                  <c:v>10.15</c:v>
                </c:pt>
                <c:pt idx="155">
                  <c:v>9.6999999999999993</c:v>
                </c:pt>
                <c:pt idx="156">
                  <c:v>10.199999999999999</c:v>
                </c:pt>
                <c:pt idx="157">
                  <c:v>10.4</c:v>
                </c:pt>
                <c:pt idx="158">
                  <c:v>9.8000000000000007</c:v>
                </c:pt>
                <c:pt idx="159">
                  <c:v>9.8249999999999993</c:v>
                </c:pt>
                <c:pt idx="160">
                  <c:v>9.2200000000000006</c:v>
                </c:pt>
                <c:pt idx="161">
                  <c:v>9.2375000000000007</c:v>
                </c:pt>
                <c:pt idx="162">
                  <c:v>8.4</c:v>
                </c:pt>
                <c:pt idx="163">
                  <c:v>8.4</c:v>
                </c:pt>
                <c:pt idx="164">
                  <c:v>8.5571429999999999</c:v>
                </c:pt>
                <c:pt idx="165">
                  <c:v>8.766667</c:v>
                </c:pt>
                <c:pt idx="166">
                  <c:v>9.3000000000000007</c:v>
                </c:pt>
                <c:pt idx="167">
                  <c:v>9.1199999999999992</c:v>
                </c:pt>
                <c:pt idx="168">
                  <c:v>8.9499999999999993</c:v>
                </c:pt>
                <c:pt idx="169">
                  <c:v>9.5500000000000007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10.1</c:v>
                </c:pt>
                <c:pt idx="173">
                  <c:v>10.085713999999999</c:v>
                </c:pt>
                <c:pt idx="174">
                  <c:v>10</c:v>
                </c:pt>
                <c:pt idx="175">
                  <c:v>9.6384620000000005</c:v>
                </c:pt>
                <c:pt idx="176">
                  <c:v>9.5</c:v>
                </c:pt>
                <c:pt idx="177">
                  <c:v>8.3000000000000007</c:v>
                </c:pt>
                <c:pt idx="178">
                  <c:v>8.6999999999999993</c:v>
                </c:pt>
                <c:pt idx="179">
                  <c:v>8.75</c:v>
                </c:pt>
                <c:pt idx="180">
                  <c:v>9.1166669999999996</c:v>
                </c:pt>
                <c:pt idx="181">
                  <c:v>9.0875000000000004</c:v>
                </c:pt>
                <c:pt idx="182">
                  <c:v>9.2200000000000006</c:v>
                </c:pt>
                <c:pt idx="183">
                  <c:v>9.6666670000000003</c:v>
                </c:pt>
                <c:pt idx="184">
                  <c:v>10.1</c:v>
                </c:pt>
                <c:pt idx="185">
                  <c:v>10.1</c:v>
                </c:pt>
                <c:pt idx="186">
                  <c:v>9.9499999999999993</c:v>
                </c:pt>
                <c:pt idx="187">
                  <c:v>10.014286</c:v>
                </c:pt>
                <c:pt idx="188">
                  <c:v>10.199999999999999</c:v>
                </c:pt>
                <c:pt idx="189">
                  <c:v>10.26</c:v>
                </c:pt>
                <c:pt idx="190">
                  <c:v>10.033333000000001</c:v>
                </c:pt>
                <c:pt idx="191">
                  <c:v>8.6</c:v>
                </c:pt>
                <c:pt idx="192">
                  <c:v>8.5250000000000004</c:v>
                </c:pt>
                <c:pt idx="193">
                  <c:v>8.5500000000000007</c:v>
                </c:pt>
                <c:pt idx="194">
                  <c:v>8.9</c:v>
                </c:pt>
                <c:pt idx="195">
                  <c:v>9.0857139999999994</c:v>
                </c:pt>
                <c:pt idx="196">
                  <c:v>9.15</c:v>
                </c:pt>
                <c:pt idx="197">
                  <c:v>9.32</c:v>
                </c:pt>
                <c:pt idx="198">
                  <c:v>9.3000000000000007</c:v>
                </c:pt>
                <c:pt idx="199">
                  <c:v>9.5374999999999996</c:v>
                </c:pt>
                <c:pt idx="200">
                  <c:v>10.574999999999999</c:v>
                </c:pt>
                <c:pt idx="201">
                  <c:v>10.475</c:v>
                </c:pt>
                <c:pt idx="202">
                  <c:v>9.8249999999999993</c:v>
                </c:pt>
                <c:pt idx="203">
                  <c:v>9.5</c:v>
                </c:pt>
                <c:pt idx="204">
                  <c:v>9.3000000000000007</c:v>
                </c:pt>
                <c:pt idx="205">
                  <c:v>8.9339999999999993</c:v>
                </c:pt>
                <c:pt idx="206">
                  <c:v>8.8071429999999999</c:v>
                </c:pt>
                <c:pt idx="207">
                  <c:v>8.8238099999999999</c:v>
                </c:pt>
                <c:pt idx="208">
                  <c:v>9.016667</c:v>
                </c:pt>
                <c:pt idx="209">
                  <c:v>9.1560000000000006</c:v>
                </c:pt>
                <c:pt idx="210">
                  <c:v>9.5366669999999996</c:v>
                </c:pt>
                <c:pt idx="211">
                  <c:v>9.8800000000000008</c:v>
                </c:pt>
                <c:pt idx="212">
                  <c:v>10.262499999999999</c:v>
                </c:pt>
                <c:pt idx="213">
                  <c:v>10.2125</c:v>
                </c:pt>
                <c:pt idx="214">
                  <c:v>10.262499999999999</c:v>
                </c:pt>
                <c:pt idx="215">
                  <c:v>10.628571000000001</c:v>
                </c:pt>
                <c:pt idx="216">
                  <c:v>10.56</c:v>
                </c:pt>
                <c:pt idx="217">
                  <c:v>10.233333</c:v>
                </c:pt>
                <c:pt idx="218">
                  <c:v>9.9285709999999998</c:v>
                </c:pt>
                <c:pt idx="219">
                  <c:v>10.5</c:v>
                </c:pt>
                <c:pt idx="220">
                  <c:v>9.9</c:v>
                </c:pt>
                <c:pt idx="221">
                  <c:v>9.65</c:v>
                </c:pt>
                <c:pt idx="222">
                  <c:v>9.9499999999999993</c:v>
                </c:pt>
                <c:pt idx="223">
                  <c:v>9.8000000000000007</c:v>
                </c:pt>
                <c:pt idx="224">
                  <c:v>10</c:v>
                </c:pt>
                <c:pt idx="225">
                  <c:v>9.6875</c:v>
                </c:pt>
                <c:pt idx="226">
                  <c:v>10.022</c:v>
                </c:pt>
                <c:pt idx="227">
                  <c:v>9.8428570000000004</c:v>
                </c:pt>
                <c:pt idx="228">
                  <c:v>10.142856999999999</c:v>
                </c:pt>
                <c:pt idx="229">
                  <c:v>10.412105</c:v>
                </c:pt>
                <c:pt idx="230">
                  <c:v>10.380833000000001</c:v>
                </c:pt>
                <c:pt idx="231">
                  <c:v>10.305999999999999</c:v>
                </c:pt>
                <c:pt idx="232">
                  <c:v>10.7</c:v>
                </c:pt>
                <c:pt idx="233">
                  <c:v>10.675000000000001</c:v>
                </c:pt>
                <c:pt idx="234">
                  <c:v>10.6</c:v>
                </c:pt>
                <c:pt idx="235">
                  <c:v>10.0625</c:v>
                </c:pt>
                <c:pt idx="236">
                  <c:v>9.76</c:v>
                </c:pt>
                <c:pt idx="237">
                  <c:v>9.5529410000000006</c:v>
                </c:pt>
                <c:pt idx="238">
                  <c:v>9.2166669999999993</c:v>
                </c:pt>
                <c:pt idx="239">
                  <c:v>9.2026920000000008</c:v>
                </c:pt>
                <c:pt idx="240">
                  <c:v>8.9721050000000009</c:v>
                </c:pt>
                <c:pt idx="241">
                  <c:v>8.9364290000000004</c:v>
                </c:pt>
                <c:pt idx="242">
                  <c:v>8.9945000000000004</c:v>
                </c:pt>
                <c:pt idx="243">
                  <c:v>9.0869999999999997</c:v>
                </c:pt>
                <c:pt idx="244">
                  <c:v>9.1090909999999994</c:v>
                </c:pt>
                <c:pt idx="245">
                  <c:v>9.3360000000000003</c:v>
                </c:pt>
                <c:pt idx="246">
                  <c:v>9.5043749999999996</c:v>
                </c:pt>
                <c:pt idx="247">
                  <c:v>9.8275000000000006</c:v>
                </c:pt>
                <c:pt idx="248">
                  <c:v>9.9939999999999998</c:v>
                </c:pt>
                <c:pt idx="249">
                  <c:v>10.5</c:v>
                </c:pt>
                <c:pt idx="250">
                  <c:v>9.98</c:v>
                </c:pt>
                <c:pt idx="251">
                  <c:v>10.138571000000001</c:v>
                </c:pt>
                <c:pt idx="252">
                  <c:v>9.8249999999999993</c:v>
                </c:pt>
                <c:pt idx="253">
                  <c:v>9.7323079999999997</c:v>
                </c:pt>
                <c:pt idx="254">
                  <c:v>9.4845450000000007</c:v>
                </c:pt>
                <c:pt idx="255">
                  <c:v>9.4253850000000003</c:v>
                </c:pt>
                <c:pt idx="256">
                  <c:v>9.2663639999999994</c:v>
                </c:pt>
                <c:pt idx="257">
                  <c:v>9.2082610000000003</c:v>
                </c:pt>
                <c:pt idx="258">
                  <c:v>9.2579999999999991</c:v>
                </c:pt>
                <c:pt idx="259">
                  <c:v>9.224615</c:v>
                </c:pt>
                <c:pt idx="260">
                  <c:v>9.2428000000000008</c:v>
                </c:pt>
                <c:pt idx="261">
                  <c:v>9.2200000000000006</c:v>
                </c:pt>
                <c:pt idx="262">
                  <c:v>9.2486359999999994</c:v>
                </c:pt>
                <c:pt idx="263">
                  <c:v>9.3030430000000006</c:v>
                </c:pt>
                <c:pt idx="264">
                  <c:v>9.6</c:v>
                </c:pt>
                <c:pt idx="265">
                  <c:v>9.98</c:v>
                </c:pt>
                <c:pt idx="266">
                  <c:v>10.085713999999999</c:v>
                </c:pt>
                <c:pt idx="267">
                  <c:v>10.118570999999999</c:v>
                </c:pt>
                <c:pt idx="268">
                  <c:v>10.4125</c:v>
                </c:pt>
                <c:pt idx="269">
                  <c:v>9.85</c:v>
                </c:pt>
                <c:pt idx="270">
                  <c:v>9.8620000000000001</c:v>
                </c:pt>
                <c:pt idx="271">
                  <c:v>9.762143</c:v>
                </c:pt>
                <c:pt idx="272">
                  <c:v>9.4789999999999992</c:v>
                </c:pt>
                <c:pt idx="273">
                  <c:v>9.4035709999999995</c:v>
                </c:pt>
                <c:pt idx="274">
                  <c:v>8.8722220000000007</c:v>
                </c:pt>
                <c:pt idx="275">
                  <c:v>8.8142859999999992</c:v>
                </c:pt>
                <c:pt idx="276">
                  <c:v>8.6188889999999994</c:v>
                </c:pt>
                <c:pt idx="277">
                  <c:v>8.6346150000000002</c:v>
                </c:pt>
                <c:pt idx="278">
                  <c:v>8.6769230000000004</c:v>
                </c:pt>
                <c:pt idx="279">
                  <c:v>8.7584619999999997</c:v>
                </c:pt>
                <c:pt idx="280">
                  <c:v>9.0549999999999997</c:v>
                </c:pt>
                <c:pt idx="281">
                  <c:v>9.1412499999999994</c:v>
                </c:pt>
                <c:pt idx="282">
                  <c:v>9.15</c:v>
                </c:pt>
                <c:pt idx="283">
                  <c:v>10.8</c:v>
                </c:pt>
                <c:pt idx="284">
                  <c:v>10.3</c:v>
                </c:pt>
                <c:pt idx="285">
                  <c:v>10.1</c:v>
                </c:pt>
                <c:pt idx="286">
                  <c:v>10.057499999999999</c:v>
                </c:pt>
                <c:pt idx="287">
                  <c:v>10.085000000000001</c:v>
                </c:pt>
                <c:pt idx="288">
                  <c:v>10.17</c:v>
                </c:pt>
                <c:pt idx="289">
                  <c:v>9.6954550000000008</c:v>
                </c:pt>
                <c:pt idx="290">
                  <c:v>9.5374999999999996</c:v>
                </c:pt>
                <c:pt idx="291">
                  <c:v>9.3214290000000002</c:v>
                </c:pt>
                <c:pt idx="292">
                  <c:v>9.3000000000000007</c:v>
                </c:pt>
                <c:pt idx="293">
                  <c:v>8.8961109999999994</c:v>
                </c:pt>
                <c:pt idx="294">
                  <c:v>8.6014999999999997</c:v>
                </c:pt>
                <c:pt idx="295">
                  <c:v>8.3857140000000001</c:v>
                </c:pt>
                <c:pt idx="296">
                  <c:v>8.3856249999999992</c:v>
                </c:pt>
                <c:pt idx="297">
                  <c:v>8.3143750000000001</c:v>
                </c:pt>
                <c:pt idx="298">
                  <c:v>8.5020000000000007</c:v>
                </c:pt>
                <c:pt idx="299">
                  <c:v>8.8000000000000007</c:v>
                </c:pt>
                <c:pt idx="300">
                  <c:v>9.1</c:v>
                </c:pt>
                <c:pt idx="301">
                  <c:v>8.9666669999999993</c:v>
                </c:pt>
                <c:pt idx="302">
                  <c:v>9.9</c:v>
                </c:pt>
                <c:pt idx="303">
                  <c:v>9.766667</c:v>
                </c:pt>
                <c:pt idx="304">
                  <c:v>9.9499999999999993</c:v>
                </c:pt>
                <c:pt idx="305">
                  <c:v>10.074999999999999</c:v>
                </c:pt>
                <c:pt idx="306">
                  <c:v>10.050000000000001</c:v>
                </c:pt>
                <c:pt idx="307">
                  <c:v>9.8166670000000007</c:v>
                </c:pt>
                <c:pt idx="308">
                  <c:v>9.7208330000000007</c:v>
                </c:pt>
                <c:pt idx="309">
                  <c:v>9.6281250000000007</c:v>
                </c:pt>
                <c:pt idx="310">
                  <c:v>9.4295650000000002</c:v>
                </c:pt>
                <c:pt idx="311">
                  <c:v>9.1686669999999992</c:v>
                </c:pt>
                <c:pt idx="312">
                  <c:v>8.8723080000000003</c:v>
                </c:pt>
                <c:pt idx="313">
                  <c:v>8.5441179999999992</c:v>
                </c:pt>
                <c:pt idx="314">
                  <c:v>8.5954549999999994</c:v>
                </c:pt>
                <c:pt idx="315">
                  <c:v>8.61</c:v>
                </c:pt>
                <c:pt idx="316">
                  <c:v>8.65</c:v>
                </c:pt>
                <c:pt idx="317">
                  <c:v>9.3000000000000007</c:v>
                </c:pt>
                <c:pt idx="318">
                  <c:v>9.6333330000000004</c:v>
                </c:pt>
                <c:pt idx="319">
                  <c:v>10.36</c:v>
                </c:pt>
                <c:pt idx="320">
                  <c:v>9.9</c:v>
                </c:pt>
                <c:pt idx="321">
                  <c:v>10.4</c:v>
                </c:pt>
                <c:pt idx="322">
                  <c:v>10.525</c:v>
                </c:pt>
                <c:pt idx="323">
                  <c:v>10.606249999999999</c:v>
                </c:pt>
                <c:pt idx="324">
                  <c:v>10.536842</c:v>
                </c:pt>
                <c:pt idx="325">
                  <c:v>9.9528569999999998</c:v>
                </c:pt>
                <c:pt idx="326">
                  <c:v>9.9361540000000002</c:v>
                </c:pt>
                <c:pt idx="327">
                  <c:v>9.7542860000000005</c:v>
                </c:pt>
                <c:pt idx="328">
                  <c:v>9.6111109999999993</c:v>
                </c:pt>
                <c:pt idx="329">
                  <c:v>9.4492309999999993</c:v>
                </c:pt>
                <c:pt idx="330">
                  <c:v>9.2816670000000006</c:v>
                </c:pt>
                <c:pt idx="331">
                  <c:v>9.1564289999999993</c:v>
                </c:pt>
                <c:pt idx="332">
                  <c:v>8.8618179999999995</c:v>
                </c:pt>
                <c:pt idx="333">
                  <c:v>8.8458330000000007</c:v>
                </c:pt>
                <c:pt idx="334">
                  <c:v>8.7357139999999998</c:v>
                </c:pt>
                <c:pt idx="335">
                  <c:v>9.1999999999999993</c:v>
                </c:pt>
                <c:pt idx="336">
                  <c:v>9.4</c:v>
                </c:pt>
                <c:pt idx="337">
                  <c:v>9.766667</c:v>
                </c:pt>
                <c:pt idx="338">
                  <c:v>10.1</c:v>
                </c:pt>
                <c:pt idx="339">
                  <c:v>9.9957139999999995</c:v>
                </c:pt>
                <c:pt idx="340">
                  <c:v>10.175000000000001</c:v>
                </c:pt>
                <c:pt idx="341">
                  <c:v>9.9499999999999993</c:v>
                </c:pt>
                <c:pt idx="342">
                  <c:v>10.108333</c:v>
                </c:pt>
                <c:pt idx="343">
                  <c:v>10.057143</c:v>
                </c:pt>
                <c:pt idx="344">
                  <c:v>9.7857140000000005</c:v>
                </c:pt>
                <c:pt idx="345">
                  <c:v>9.7799999999999994</c:v>
                </c:pt>
                <c:pt idx="346">
                  <c:v>9.983333</c:v>
                </c:pt>
                <c:pt idx="347">
                  <c:v>9.5500000000000007</c:v>
                </c:pt>
                <c:pt idx="348">
                  <c:v>9.3318180000000002</c:v>
                </c:pt>
                <c:pt idx="349">
                  <c:v>9.0421049999999994</c:v>
                </c:pt>
                <c:pt idx="350">
                  <c:v>8.7823530000000005</c:v>
                </c:pt>
                <c:pt idx="351">
                  <c:v>8.3363639999999997</c:v>
                </c:pt>
                <c:pt idx="352">
                  <c:v>8.1999999999999993</c:v>
                </c:pt>
                <c:pt idx="353">
                  <c:v>8.4666669999999993</c:v>
                </c:pt>
                <c:pt idx="354">
                  <c:v>9.0333330000000007</c:v>
                </c:pt>
                <c:pt idx="355">
                  <c:v>9.1</c:v>
                </c:pt>
                <c:pt idx="356">
                  <c:v>9.3777779999999993</c:v>
                </c:pt>
                <c:pt idx="357">
                  <c:v>9.6666670000000003</c:v>
                </c:pt>
                <c:pt idx="358">
                  <c:v>9.9</c:v>
                </c:pt>
                <c:pt idx="359">
                  <c:v>10.095833000000001</c:v>
                </c:pt>
                <c:pt idx="360">
                  <c:v>10.4</c:v>
                </c:pt>
                <c:pt idx="361">
                  <c:v>10.231</c:v>
                </c:pt>
                <c:pt idx="362">
                  <c:v>10.328571</c:v>
                </c:pt>
                <c:pt idx="363">
                  <c:v>10.246667</c:v>
                </c:pt>
                <c:pt idx="364">
                  <c:v>10.206250000000001</c:v>
                </c:pt>
                <c:pt idx="365">
                  <c:v>10.091666999999999</c:v>
                </c:pt>
                <c:pt idx="366">
                  <c:v>10.006667</c:v>
                </c:pt>
                <c:pt idx="367">
                  <c:v>9.7692309999999996</c:v>
                </c:pt>
                <c:pt idx="368">
                  <c:v>9.6428569999999993</c:v>
                </c:pt>
                <c:pt idx="369">
                  <c:v>9.5428569999999997</c:v>
                </c:pt>
                <c:pt idx="370">
                  <c:v>9.2799999999999994</c:v>
                </c:pt>
                <c:pt idx="371">
                  <c:v>8.6999999999999993</c:v>
                </c:pt>
                <c:pt idx="372">
                  <c:v>9.0222219999999993</c:v>
                </c:pt>
                <c:pt idx="373">
                  <c:v>9.5333330000000007</c:v>
                </c:pt>
                <c:pt idx="374">
                  <c:v>9.2142859999999995</c:v>
                </c:pt>
                <c:pt idx="375">
                  <c:v>9.588889</c:v>
                </c:pt>
                <c:pt idx="376">
                  <c:v>9.7200000000000006</c:v>
                </c:pt>
                <c:pt idx="377">
                  <c:v>9.8666669999999996</c:v>
                </c:pt>
                <c:pt idx="378">
                  <c:v>9.8800000000000008</c:v>
                </c:pt>
                <c:pt idx="379">
                  <c:v>10.035294</c:v>
                </c:pt>
                <c:pt idx="380">
                  <c:v>10.205556</c:v>
                </c:pt>
                <c:pt idx="381">
                  <c:v>10.172222</c:v>
                </c:pt>
                <c:pt idx="382">
                  <c:v>10.223528999999999</c:v>
                </c:pt>
                <c:pt idx="383">
                  <c:v>10.017647</c:v>
                </c:pt>
                <c:pt idx="384">
                  <c:v>10.009524000000001</c:v>
                </c:pt>
                <c:pt idx="385">
                  <c:v>9.8375000000000004</c:v>
                </c:pt>
                <c:pt idx="386">
                  <c:v>9.8000000000000007</c:v>
                </c:pt>
                <c:pt idx="387">
                  <c:v>9.588889</c:v>
                </c:pt>
                <c:pt idx="388">
                  <c:v>8.8000000000000007</c:v>
                </c:pt>
                <c:pt idx="389">
                  <c:v>8.9333329999999993</c:v>
                </c:pt>
                <c:pt idx="390">
                  <c:v>8.5428569999999997</c:v>
                </c:pt>
                <c:pt idx="391">
                  <c:v>8.7153849999999995</c:v>
                </c:pt>
                <c:pt idx="392">
                  <c:v>9.0555559999999993</c:v>
                </c:pt>
                <c:pt idx="393">
                  <c:v>8.9499999999999993</c:v>
                </c:pt>
                <c:pt idx="394">
                  <c:v>9.3882349999999999</c:v>
                </c:pt>
                <c:pt idx="395">
                  <c:v>9.5428569999999997</c:v>
                </c:pt>
                <c:pt idx="396">
                  <c:v>9.7476190000000003</c:v>
                </c:pt>
                <c:pt idx="397">
                  <c:v>9.7272730000000003</c:v>
                </c:pt>
                <c:pt idx="398">
                  <c:v>9.7761899999999997</c:v>
                </c:pt>
                <c:pt idx="399">
                  <c:v>10.007692</c:v>
                </c:pt>
                <c:pt idx="400">
                  <c:v>10.164286000000001</c:v>
                </c:pt>
                <c:pt idx="401">
                  <c:v>10.208</c:v>
                </c:pt>
                <c:pt idx="402">
                  <c:v>10.137499999999999</c:v>
                </c:pt>
                <c:pt idx="403">
                  <c:v>9.9379310000000007</c:v>
                </c:pt>
                <c:pt idx="404">
                  <c:v>9.9681820000000005</c:v>
                </c:pt>
                <c:pt idx="405">
                  <c:v>9.6999999999999993</c:v>
                </c:pt>
                <c:pt idx="406">
                  <c:v>9.2750000000000004</c:v>
                </c:pt>
                <c:pt idx="407">
                  <c:v>8.42</c:v>
                </c:pt>
                <c:pt idx="408">
                  <c:v>8.5818180000000002</c:v>
                </c:pt>
                <c:pt idx="409">
                  <c:v>8.7200000000000006</c:v>
                </c:pt>
                <c:pt idx="410">
                  <c:v>8.85</c:v>
                </c:pt>
                <c:pt idx="411">
                  <c:v>8.9877780000000005</c:v>
                </c:pt>
                <c:pt idx="412">
                  <c:v>9.2066669999999995</c:v>
                </c:pt>
                <c:pt idx="413">
                  <c:v>9.2588240000000006</c:v>
                </c:pt>
                <c:pt idx="414">
                  <c:v>9.5</c:v>
                </c:pt>
                <c:pt idx="415">
                  <c:v>9.6333330000000004</c:v>
                </c:pt>
                <c:pt idx="416">
                  <c:v>9.4749999999999996</c:v>
                </c:pt>
                <c:pt idx="417">
                  <c:v>9.9250000000000007</c:v>
                </c:pt>
                <c:pt idx="418">
                  <c:v>9.855556</c:v>
                </c:pt>
                <c:pt idx="419">
                  <c:v>10.125833</c:v>
                </c:pt>
                <c:pt idx="420">
                  <c:v>10.157692000000001</c:v>
                </c:pt>
                <c:pt idx="421">
                  <c:v>10.235455</c:v>
                </c:pt>
                <c:pt idx="422">
                  <c:v>10.154999999999999</c:v>
                </c:pt>
                <c:pt idx="423">
                  <c:v>10.215</c:v>
                </c:pt>
                <c:pt idx="424">
                  <c:v>8.8409089999999999</c:v>
                </c:pt>
                <c:pt idx="425">
                  <c:v>8.76</c:v>
                </c:pt>
                <c:pt idx="426">
                  <c:v>8.6088240000000003</c:v>
                </c:pt>
                <c:pt idx="427">
                  <c:v>8.4600000000000009</c:v>
                </c:pt>
                <c:pt idx="428">
                  <c:v>8.6608330000000002</c:v>
                </c:pt>
                <c:pt idx="429">
                  <c:v>8.7356250000000006</c:v>
                </c:pt>
                <c:pt idx="430">
                  <c:v>8.8585709999999995</c:v>
                </c:pt>
                <c:pt idx="431">
                  <c:v>8.9857139999999998</c:v>
                </c:pt>
                <c:pt idx="432">
                  <c:v>9.11</c:v>
                </c:pt>
                <c:pt idx="433">
                  <c:v>9.2933330000000005</c:v>
                </c:pt>
                <c:pt idx="434">
                  <c:v>9.52</c:v>
                </c:pt>
                <c:pt idx="435">
                  <c:v>9.7357139999999998</c:v>
                </c:pt>
                <c:pt idx="436">
                  <c:v>9.6875</c:v>
                </c:pt>
                <c:pt idx="437">
                  <c:v>9.8928569999999993</c:v>
                </c:pt>
                <c:pt idx="438">
                  <c:v>10.00625</c:v>
                </c:pt>
                <c:pt idx="439">
                  <c:v>10.1</c:v>
                </c:pt>
                <c:pt idx="440">
                  <c:v>9</c:v>
                </c:pt>
                <c:pt idx="441">
                  <c:v>8.7799999999999994</c:v>
                </c:pt>
                <c:pt idx="442">
                  <c:v>8.5250000000000004</c:v>
                </c:pt>
                <c:pt idx="443">
                  <c:v>8.0500000000000007</c:v>
                </c:pt>
                <c:pt idx="444">
                  <c:v>7.9421049999999997</c:v>
                </c:pt>
                <c:pt idx="445">
                  <c:v>8.0055560000000003</c:v>
                </c:pt>
                <c:pt idx="446">
                  <c:v>8.2437500000000004</c:v>
                </c:pt>
                <c:pt idx="447">
                  <c:v>8.536842</c:v>
                </c:pt>
                <c:pt idx="448">
                  <c:v>8.8117649999999994</c:v>
                </c:pt>
                <c:pt idx="449">
                  <c:v>9.0250000000000004</c:v>
                </c:pt>
                <c:pt idx="450">
                  <c:v>9.0588239999999995</c:v>
                </c:pt>
                <c:pt idx="451">
                  <c:v>9.2739130000000003</c:v>
                </c:pt>
                <c:pt idx="452">
                  <c:v>9.5500000000000007</c:v>
                </c:pt>
                <c:pt idx="453">
                  <c:v>9.6769230000000004</c:v>
                </c:pt>
                <c:pt idx="454">
                  <c:v>10.007142999999999</c:v>
                </c:pt>
                <c:pt idx="455">
                  <c:v>9.8187499999999996</c:v>
                </c:pt>
                <c:pt idx="456">
                  <c:v>10.181818</c:v>
                </c:pt>
                <c:pt idx="457">
                  <c:v>9.3000000000000007</c:v>
                </c:pt>
                <c:pt idx="458">
                  <c:v>9.411111</c:v>
                </c:pt>
                <c:pt idx="459">
                  <c:v>9.516667</c:v>
                </c:pt>
                <c:pt idx="460">
                  <c:v>9.3090910000000004</c:v>
                </c:pt>
                <c:pt idx="461">
                  <c:v>8.6875</c:v>
                </c:pt>
                <c:pt idx="462">
                  <c:v>8.7176469999999995</c:v>
                </c:pt>
                <c:pt idx="463">
                  <c:v>8.6285710000000009</c:v>
                </c:pt>
                <c:pt idx="464">
                  <c:v>8.7576920000000005</c:v>
                </c:pt>
                <c:pt idx="465">
                  <c:v>8.7117649999999998</c:v>
                </c:pt>
                <c:pt idx="466">
                  <c:v>8.8857140000000001</c:v>
                </c:pt>
                <c:pt idx="467">
                  <c:v>9.1047619999999991</c:v>
                </c:pt>
                <c:pt idx="468">
                  <c:v>9.1571429999999996</c:v>
                </c:pt>
                <c:pt idx="469">
                  <c:v>9.1959999999999997</c:v>
                </c:pt>
                <c:pt idx="470">
                  <c:v>9.3347829999999998</c:v>
                </c:pt>
                <c:pt idx="471">
                  <c:v>9.4821430000000007</c:v>
                </c:pt>
                <c:pt idx="472">
                  <c:v>9.6156249999999996</c:v>
                </c:pt>
                <c:pt idx="473">
                  <c:v>9.7133330000000004</c:v>
                </c:pt>
                <c:pt idx="474">
                  <c:v>9.8000000000000007</c:v>
                </c:pt>
                <c:pt idx="475">
                  <c:v>9.3000000000000007</c:v>
                </c:pt>
                <c:pt idx="476">
                  <c:v>9.3153849999999991</c:v>
                </c:pt>
                <c:pt idx="477">
                  <c:v>8.76</c:v>
                </c:pt>
                <c:pt idx="478">
                  <c:v>8.4499999999999993</c:v>
                </c:pt>
                <c:pt idx="479">
                  <c:v>7.9857139999999998</c:v>
                </c:pt>
                <c:pt idx="480">
                  <c:v>8.0095240000000008</c:v>
                </c:pt>
                <c:pt idx="481">
                  <c:v>8.0117650000000005</c:v>
                </c:pt>
                <c:pt idx="482">
                  <c:v>8.09</c:v>
                </c:pt>
                <c:pt idx="483">
                  <c:v>8.2722219999999993</c:v>
                </c:pt>
                <c:pt idx="484">
                  <c:v>8.6</c:v>
                </c:pt>
                <c:pt idx="485">
                  <c:v>8.7166669999999993</c:v>
                </c:pt>
                <c:pt idx="486">
                  <c:v>8.9269230000000004</c:v>
                </c:pt>
                <c:pt idx="487">
                  <c:v>9.0299999999999994</c:v>
                </c:pt>
                <c:pt idx="488">
                  <c:v>9.1933330000000009</c:v>
                </c:pt>
                <c:pt idx="489">
                  <c:v>9.3272729999999999</c:v>
                </c:pt>
                <c:pt idx="490">
                  <c:v>9.6999999999999993</c:v>
                </c:pt>
                <c:pt idx="491">
                  <c:v>9.5</c:v>
                </c:pt>
                <c:pt idx="492">
                  <c:v>10</c:v>
                </c:pt>
                <c:pt idx="493">
                  <c:v>9.2857140000000005</c:v>
                </c:pt>
                <c:pt idx="494">
                  <c:v>9.1833329999999993</c:v>
                </c:pt>
                <c:pt idx="495">
                  <c:v>9.1999999999999993</c:v>
                </c:pt>
                <c:pt idx="496">
                  <c:v>9.0625</c:v>
                </c:pt>
                <c:pt idx="497">
                  <c:v>8.7777779999999996</c:v>
                </c:pt>
                <c:pt idx="498">
                  <c:v>8.40625</c:v>
                </c:pt>
                <c:pt idx="499">
                  <c:v>8.2624999999999993</c:v>
                </c:pt>
                <c:pt idx="500">
                  <c:v>8.0809519999999999</c:v>
                </c:pt>
                <c:pt idx="501">
                  <c:v>8.32</c:v>
                </c:pt>
                <c:pt idx="502">
                  <c:v>8.3210529999999991</c:v>
                </c:pt>
                <c:pt idx="503">
                  <c:v>8.4142860000000006</c:v>
                </c:pt>
                <c:pt idx="504">
                  <c:v>8.5500000000000007</c:v>
                </c:pt>
                <c:pt idx="505">
                  <c:v>8.6999999999999993</c:v>
                </c:pt>
                <c:pt idx="506">
                  <c:v>8.875</c:v>
                </c:pt>
                <c:pt idx="507">
                  <c:v>9.1230770000000003</c:v>
                </c:pt>
                <c:pt idx="508">
                  <c:v>8.9600000000000009</c:v>
                </c:pt>
                <c:pt idx="509">
                  <c:v>9.4666669999999993</c:v>
                </c:pt>
                <c:pt idx="510">
                  <c:v>9.66</c:v>
                </c:pt>
                <c:pt idx="511">
                  <c:v>9.6666670000000003</c:v>
                </c:pt>
                <c:pt idx="512">
                  <c:v>9.5333330000000007</c:v>
                </c:pt>
                <c:pt idx="513">
                  <c:v>9.5111109999999996</c:v>
                </c:pt>
                <c:pt idx="514">
                  <c:v>9.1666670000000003</c:v>
                </c:pt>
                <c:pt idx="515">
                  <c:v>9.1615380000000002</c:v>
                </c:pt>
                <c:pt idx="516">
                  <c:v>8.82</c:v>
                </c:pt>
                <c:pt idx="517">
                  <c:v>8.3249999999999993</c:v>
                </c:pt>
                <c:pt idx="518">
                  <c:v>8.0399999999999991</c:v>
                </c:pt>
                <c:pt idx="519">
                  <c:v>7.9</c:v>
                </c:pt>
                <c:pt idx="520">
                  <c:v>7.89</c:v>
                </c:pt>
                <c:pt idx="521">
                  <c:v>7.9636360000000002</c:v>
                </c:pt>
                <c:pt idx="522">
                  <c:v>8.2652169999999998</c:v>
                </c:pt>
                <c:pt idx="523">
                  <c:v>8.7357139999999998</c:v>
                </c:pt>
                <c:pt idx="524">
                  <c:v>8.9312500000000004</c:v>
                </c:pt>
                <c:pt idx="525">
                  <c:v>9.0374999999999996</c:v>
                </c:pt>
                <c:pt idx="526">
                  <c:v>9.0500000000000007</c:v>
                </c:pt>
                <c:pt idx="527">
                  <c:v>9.4</c:v>
                </c:pt>
                <c:pt idx="528">
                  <c:v>9.6999999999999993</c:v>
                </c:pt>
                <c:pt idx="529">
                  <c:v>9.8800000000000008</c:v>
                </c:pt>
                <c:pt idx="530">
                  <c:v>9.9749999999999996</c:v>
                </c:pt>
                <c:pt idx="531">
                  <c:v>10.137499999999999</c:v>
                </c:pt>
                <c:pt idx="532">
                  <c:v>10.14</c:v>
                </c:pt>
                <c:pt idx="533">
                  <c:v>9.99</c:v>
                </c:pt>
                <c:pt idx="534">
                  <c:v>9.766667</c:v>
                </c:pt>
                <c:pt idx="535">
                  <c:v>9.6999999999999993</c:v>
                </c:pt>
                <c:pt idx="536">
                  <c:v>9.1272730000000006</c:v>
                </c:pt>
                <c:pt idx="537">
                  <c:v>8.89</c:v>
                </c:pt>
                <c:pt idx="538">
                  <c:v>8.7111110000000007</c:v>
                </c:pt>
                <c:pt idx="539">
                  <c:v>8.5133329999999994</c:v>
                </c:pt>
                <c:pt idx="540">
                  <c:v>8.5250000000000004</c:v>
                </c:pt>
                <c:pt idx="541">
                  <c:v>8.5038459999999993</c:v>
                </c:pt>
                <c:pt idx="542">
                  <c:v>8.6384620000000005</c:v>
                </c:pt>
                <c:pt idx="543">
                  <c:v>8.86</c:v>
                </c:pt>
                <c:pt idx="544">
                  <c:v>8.8769229999999997</c:v>
                </c:pt>
                <c:pt idx="545">
                  <c:v>9.4</c:v>
                </c:pt>
                <c:pt idx="546">
                  <c:v>9.82</c:v>
                </c:pt>
                <c:pt idx="547">
                  <c:v>9.75</c:v>
                </c:pt>
                <c:pt idx="548">
                  <c:v>9.9</c:v>
                </c:pt>
                <c:pt idx="549">
                  <c:v>10.1</c:v>
                </c:pt>
                <c:pt idx="550">
                  <c:v>10.199999999999999</c:v>
                </c:pt>
                <c:pt idx="551">
                  <c:v>9.9857139999999998</c:v>
                </c:pt>
                <c:pt idx="552">
                  <c:v>9.7375000000000007</c:v>
                </c:pt>
                <c:pt idx="553">
                  <c:v>9.8538460000000008</c:v>
                </c:pt>
                <c:pt idx="554">
                  <c:v>9.5500000000000007</c:v>
                </c:pt>
                <c:pt idx="555">
                  <c:v>9.3083329999999993</c:v>
                </c:pt>
                <c:pt idx="556">
                  <c:v>9.0250000000000004</c:v>
                </c:pt>
                <c:pt idx="557">
                  <c:v>8.6846150000000009</c:v>
                </c:pt>
                <c:pt idx="558">
                  <c:v>8.2142859999999995</c:v>
                </c:pt>
                <c:pt idx="559">
                  <c:v>7.8323530000000003</c:v>
                </c:pt>
                <c:pt idx="560">
                  <c:v>7.822222</c:v>
                </c:pt>
                <c:pt idx="561">
                  <c:v>7.9714289999999997</c:v>
                </c:pt>
                <c:pt idx="562">
                  <c:v>7.9</c:v>
                </c:pt>
                <c:pt idx="563">
                  <c:v>9.4</c:v>
                </c:pt>
                <c:pt idx="564">
                  <c:v>9.4666669999999993</c:v>
                </c:pt>
                <c:pt idx="565">
                  <c:v>9.6888889999999996</c:v>
                </c:pt>
                <c:pt idx="566">
                  <c:v>10.08</c:v>
                </c:pt>
                <c:pt idx="567">
                  <c:v>10.11</c:v>
                </c:pt>
                <c:pt idx="568">
                  <c:v>9.9636359999999993</c:v>
                </c:pt>
                <c:pt idx="569">
                  <c:v>10.242857000000001</c:v>
                </c:pt>
                <c:pt idx="570">
                  <c:v>10.125</c:v>
                </c:pt>
                <c:pt idx="571">
                  <c:v>9.891667</c:v>
                </c:pt>
                <c:pt idx="572">
                  <c:v>9.9555559999999996</c:v>
                </c:pt>
                <c:pt idx="573">
                  <c:v>9.5615380000000005</c:v>
                </c:pt>
                <c:pt idx="574">
                  <c:v>9.4285709999999998</c:v>
                </c:pt>
                <c:pt idx="575">
                  <c:v>9.0760000000000005</c:v>
                </c:pt>
                <c:pt idx="576">
                  <c:v>8.7454549999999998</c:v>
                </c:pt>
                <c:pt idx="577">
                  <c:v>8.3695649999999997</c:v>
                </c:pt>
                <c:pt idx="578">
                  <c:v>7.9769230000000002</c:v>
                </c:pt>
                <c:pt idx="579">
                  <c:v>7.9</c:v>
                </c:pt>
                <c:pt idx="580">
                  <c:v>9.1999999999999993</c:v>
                </c:pt>
                <c:pt idx="581">
                  <c:v>9.6</c:v>
                </c:pt>
                <c:pt idx="582">
                  <c:v>9.8142859999999992</c:v>
                </c:pt>
                <c:pt idx="583">
                  <c:v>9.8142859999999992</c:v>
                </c:pt>
                <c:pt idx="584">
                  <c:v>9.9499999999999993</c:v>
                </c:pt>
                <c:pt idx="585">
                  <c:v>10.28</c:v>
                </c:pt>
                <c:pt idx="586">
                  <c:v>10.362500000000001</c:v>
                </c:pt>
                <c:pt idx="587">
                  <c:v>10.446154</c:v>
                </c:pt>
                <c:pt idx="588">
                  <c:v>10.388889000000001</c:v>
                </c:pt>
                <c:pt idx="589">
                  <c:v>10.414286000000001</c:v>
                </c:pt>
                <c:pt idx="590">
                  <c:v>10.425000000000001</c:v>
                </c:pt>
                <c:pt idx="591">
                  <c:v>10.262499999999999</c:v>
                </c:pt>
                <c:pt idx="592">
                  <c:v>10.328571</c:v>
                </c:pt>
                <c:pt idx="593">
                  <c:v>9.9727270000000008</c:v>
                </c:pt>
                <c:pt idx="594">
                  <c:v>9.8227270000000004</c:v>
                </c:pt>
                <c:pt idx="595">
                  <c:v>9.7181820000000005</c:v>
                </c:pt>
                <c:pt idx="596">
                  <c:v>9.5952380000000002</c:v>
                </c:pt>
                <c:pt idx="597">
                  <c:v>9.4250000000000007</c:v>
                </c:pt>
                <c:pt idx="598">
                  <c:v>8.5</c:v>
                </c:pt>
                <c:pt idx="599">
                  <c:v>9.1999999999999993</c:v>
                </c:pt>
                <c:pt idx="600">
                  <c:v>9.1</c:v>
                </c:pt>
                <c:pt idx="601">
                  <c:v>9.5111109999999996</c:v>
                </c:pt>
                <c:pt idx="602">
                  <c:v>9.5333330000000007</c:v>
                </c:pt>
                <c:pt idx="603">
                  <c:v>9.8000000000000007</c:v>
                </c:pt>
                <c:pt idx="604">
                  <c:v>10.077778</c:v>
                </c:pt>
                <c:pt idx="605">
                  <c:v>10.009091</c:v>
                </c:pt>
                <c:pt idx="606">
                  <c:v>10.145455</c:v>
                </c:pt>
                <c:pt idx="607">
                  <c:v>10.331579</c:v>
                </c:pt>
                <c:pt idx="608">
                  <c:v>10.361110999999999</c:v>
                </c:pt>
                <c:pt idx="609">
                  <c:v>10.37</c:v>
                </c:pt>
                <c:pt idx="610">
                  <c:v>10.442308000000001</c:v>
                </c:pt>
                <c:pt idx="611">
                  <c:v>10.456250000000001</c:v>
                </c:pt>
                <c:pt idx="612">
                  <c:v>10.343182000000001</c:v>
                </c:pt>
                <c:pt idx="613">
                  <c:v>10.128571000000001</c:v>
                </c:pt>
                <c:pt idx="614">
                  <c:v>9.9076920000000008</c:v>
                </c:pt>
                <c:pt idx="615">
                  <c:v>9.75</c:v>
                </c:pt>
                <c:pt idx="616">
                  <c:v>8.5250000000000004</c:v>
                </c:pt>
                <c:pt idx="617">
                  <c:v>8.7285710000000005</c:v>
                </c:pt>
                <c:pt idx="618">
                  <c:v>9.108333</c:v>
                </c:pt>
                <c:pt idx="619">
                  <c:v>9.3699999999999992</c:v>
                </c:pt>
                <c:pt idx="620">
                  <c:v>9.35</c:v>
                </c:pt>
                <c:pt idx="621">
                  <c:v>9.3545449999999999</c:v>
                </c:pt>
                <c:pt idx="622">
                  <c:v>9.7952379999999994</c:v>
                </c:pt>
                <c:pt idx="623">
                  <c:v>9.9785710000000005</c:v>
                </c:pt>
                <c:pt idx="624">
                  <c:v>10.088234999999999</c:v>
                </c:pt>
                <c:pt idx="625">
                  <c:v>10.172727</c:v>
                </c:pt>
                <c:pt idx="626">
                  <c:v>10.247826</c:v>
                </c:pt>
                <c:pt idx="627">
                  <c:v>10.193333000000001</c:v>
                </c:pt>
                <c:pt idx="628">
                  <c:v>10.288966</c:v>
                </c:pt>
                <c:pt idx="629">
                  <c:v>10.346667</c:v>
                </c:pt>
                <c:pt idx="630">
                  <c:v>10.15</c:v>
                </c:pt>
                <c:pt idx="631">
                  <c:v>9.9</c:v>
                </c:pt>
                <c:pt idx="632">
                  <c:v>9.9166670000000003</c:v>
                </c:pt>
                <c:pt idx="633">
                  <c:v>7.9</c:v>
                </c:pt>
                <c:pt idx="634">
                  <c:v>8.0333330000000007</c:v>
                </c:pt>
                <c:pt idx="635">
                  <c:v>7.9076919999999999</c:v>
                </c:pt>
                <c:pt idx="636">
                  <c:v>8.16</c:v>
                </c:pt>
                <c:pt idx="637">
                  <c:v>8.24</c:v>
                </c:pt>
                <c:pt idx="638">
                  <c:v>8.9769229999999993</c:v>
                </c:pt>
                <c:pt idx="639">
                  <c:v>9.1916670000000007</c:v>
                </c:pt>
                <c:pt idx="640">
                  <c:v>9.4722220000000004</c:v>
                </c:pt>
                <c:pt idx="641">
                  <c:v>9.86</c:v>
                </c:pt>
                <c:pt idx="642">
                  <c:v>10.058332999999999</c:v>
                </c:pt>
                <c:pt idx="643">
                  <c:v>10.1</c:v>
                </c:pt>
                <c:pt idx="644">
                  <c:v>10.050000000000001</c:v>
                </c:pt>
                <c:pt idx="645">
                  <c:v>10.133333</c:v>
                </c:pt>
                <c:pt idx="646">
                  <c:v>10.166667</c:v>
                </c:pt>
                <c:pt idx="647">
                  <c:v>10.192308000000001</c:v>
                </c:pt>
                <c:pt idx="648">
                  <c:v>10.262499999999999</c:v>
                </c:pt>
                <c:pt idx="649">
                  <c:v>10.444444000000001</c:v>
                </c:pt>
                <c:pt idx="650">
                  <c:v>10.404999999999999</c:v>
                </c:pt>
                <c:pt idx="651">
                  <c:v>10.3</c:v>
                </c:pt>
                <c:pt idx="652">
                  <c:v>10.383333</c:v>
                </c:pt>
                <c:pt idx="653">
                  <c:v>10.133333</c:v>
                </c:pt>
                <c:pt idx="654">
                  <c:v>9</c:v>
                </c:pt>
                <c:pt idx="655">
                  <c:v>8.0399999999999991</c:v>
                </c:pt>
                <c:pt idx="656">
                  <c:v>8.088889</c:v>
                </c:pt>
                <c:pt idx="657">
                  <c:v>8</c:v>
                </c:pt>
                <c:pt idx="658">
                  <c:v>8.375</c:v>
                </c:pt>
                <c:pt idx="659">
                  <c:v>8.4333329999999993</c:v>
                </c:pt>
                <c:pt idx="660">
                  <c:v>8.4666669999999993</c:v>
                </c:pt>
                <c:pt idx="661">
                  <c:v>8.6555560000000007</c:v>
                </c:pt>
                <c:pt idx="662">
                  <c:v>8.5</c:v>
                </c:pt>
                <c:pt idx="663">
                  <c:v>8.2999999999999989</c:v>
                </c:pt>
                <c:pt idx="664">
                  <c:v>7.9666666666666659</c:v>
                </c:pt>
                <c:pt idx="665">
                  <c:v>7.7666666666666684</c:v>
                </c:pt>
                <c:pt idx="666">
                  <c:v>7.8538461538461553</c:v>
                </c:pt>
                <c:pt idx="667">
                  <c:v>8.0599999999999987</c:v>
                </c:pt>
                <c:pt idx="668">
                  <c:v>8.1909090909090914</c:v>
                </c:pt>
                <c:pt idx="669">
                  <c:v>8.2333333333333343</c:v>
                </c:pt>
                <c:pt idx="670">
                  <c:v>8.4</c:v>
                </c:pt>
                <c:pt idx="671">
                  <c:v>8.5222222222222221</c:v>
                </c:pt>
                <c:pt idx="672">
                  <c:v>8.66</c:v>
                </c:pt>
                <c:pt idx="673">
                  <c:v>8.7777777777777786</c:v>
                </c:pt>
                <c:pt idx="674">
                  <c:v>9.1125000000000007</c:v>
                </c:pt>
                <c:pt idx="675">
                  <c:v>9.1214285714285701</c:v>
                </c:pt>
                <c:pt idx="676">
                  <c:v>9.3399999999999981</c:v>
                </c:pt>
                <c:pt idx="677">
                  <c:v>9.4500000000000011</c:v>
                </c:pt>
                <c:pt idx="678">
                  <c:v>9.6857142857142868</c:v>
                </c:pt>
                <c:pt idx="679">
                  <c:v>9.6937500000000014</c:v>
                </c:pt>
                <c:pt idx="680">
                  <c:v>9.878947368421052</c:v>
                </c:pt>
                <c:pt idx="681">
                  <c:v>9.9083333333333332</c:v>
                </c:pt>
                <c:pt idx="682">
                  <c:v>9.9857142857142858</c:v>
                </c:pt>
                <c:pt idx="683">
                  <c:v>10.123529411764707</c:v>
                </c:pt>
                <c:pt idx="684">
                  <c:v>10.146153846153847</c:v>
                </c:pt>
                <c:pt idx="685">
                  <c:v>10.074999999999999</c:v>
                </c:pt>
                <c:pt idx="686">
                  <c:v>10.25</c:v>
                </c:pt>
                <c:pt idx="687">
                  <c:v>9.5666666666666647</c:v>
                </c:pt>
                <c:pt idx="688">
                  <c:v>9.875</c:v>
                </c:pt>
                <c:pt idx="689">
                  <c:v>9.8600000000000012</c:v>
                </c:pt>
                <c:pt idx="690">
                  <c:v>9.1727272727272737</c:v>
                </c:pt>
                <c:pt idx="691">
                  <c:v>8.84</c:v>
                </c:pt>
                <c:pt idx="692">
                  <c:v>8.4</c:v>
                </c:pt>
                <c:pt idx="693">
                  <c:v>8.14</c:v>
                </c:pt>
                <c:pt idx="694">
                  <c:v>7.7833333333333341</c:v>
                </c:pt>
                <c:pt idx="695">
                  <c:v>7.9666666666666677</c:v>
                </c:pt>
                <c:pt idx="696">
                  <c:v>7.757142857142858</c:v>
                </c:pt>
                <c:pt idx="697">
                  <c:v>7.9599999999999991</c:v>
                </c:pt>
                <c:pt idx="698">
                  <c:v>8.0545454545454547</c:v>
                </c:pt>
                <c:pt idx="699">
                  <c:v>8.2142857142857153</c:v>
                </c:pt>
                <c:pt idx="700">
                  <c:v>8.3909090909090907</c:v>
                </c:pt>
                <c:pt idx="701">
                  <c:v>8.5499999999999989</c:v>
                </c:pt>
                <c:pt idx="702">
                  <c:v>8.5900000000000016</c:v>
                </c:pt>
                <c:pt idx="703">
                  <c:v>8.5153846153846171</c:v>
                </c:pt>
                <c:pt idx="704">
                  <c:v>8.6499999999999986</c:v>
                </c:pt>
                <c:pt idx="705">
                  <c:v>8.8099999999999987</c:v>
                </c:pt>
                <c:pt idx="706">
                  <c:v>9.1142857142857139</c:v>
                </c:pt>
                <c:pt idx="707">
                  <c:v>9.0428571428571427</c:v>
                </c:pt>
                <c:pt idx="708">
                  <c:v>8.9833333333333325</c:v>
                </c:pt>
                <c:pt idx="709">
                  <c:v>9.6666666666666661</c:v>
                </c:pt>
                <c:pt idx="710">
                  <c:v>9.7388888888888889</c:v>
                </c:pt>
                <c:pt idx="711">
                  <c:v>9.9600000000000009</c:v>
                </c:pt>
                <c:pt idx="712">
                  <c:v>10.083333333333334</c:v>
                </c:pt>
                <c:pt idx="713">
                  <c:v>10.018750000000001</c:v>
                </c:pt>
                <c:pt idx="714">
                  <c:v>10.4</c:v>
                </c:pt>
                <c:pt idx="715">
                  <c:v>10.4</c:v>
                </c:pt>
                <c:pt idx="716">
                  <c:v>9.6999999999999993</c:v>
                </c:pt>
                <c:pt idx="717">
                  <c:v>10.199999999999999</c:v>
                </c:pt>
                <c:pt idx="718">
                  <c:v>10.199999999999999</c:v>
                </c:pt>
                <c:pt idx="719">
                  <c:v>9.9</c:v>
                </c:pt>
                <c:pt idx="720">
                  <c:v>9.8714285714285719</c:v>
                </c:pt>
                <c:pt idx="721">
                  <c:v>9.7333333333333325</c:v>
                </c:pt>
                <c:pt idx="722">
                  <c:v>9.8333333333333339</c:v>
                </c:pt>
                <c:pt idx="723">
                  <c:v>9.3000000000000007</c:v>
                </c:pt>
                <c:pt idx="724">
                  <c:v>9.0333333333333332</c:v>
                </c:pt>
                <c:pt idx="725">
                  <c:v>8.4</c:v>
                </c:pt>
                <c:pt idx="726">
                  <c:v>8.2083333333333339</c:v>
                </c:pt>
                <c:pt idx="727">
                  <c:v>7.9666666666666659</c:v>
                </c:pt>
                <c:pt idx="728">
                  <c:v>7.8666666666666663</c:v>
                </c:pt>
                <c:pt idx="729">
                  <c:v>8.09</c:v>
                </c:pt>
                <c:pt idx="730">
                  <c:v>7.9</c:v>
                </c:pt>
                <c:pt idx="731">
                  <c:v>8.0500000000000007</c:v>
                </c:pt>
                <c:pt idx="732">
                  <c:v>7.8125</c:v>
                </c:pt>
                <c:pt idx="733">
                  <c:v>8</c:v>
                </c:pt>
                <c:pt idx="734">
                  <c:v>8.2666666666666675</c:v>
                </c:pt>
                <c:pt idx="735">
                  <c:v>8.3428571428571434</c:v>
                </c:pt>
                <c:pt idx="736">
                  <c:v>8.5428571428571427</c:v>
                </c:pt>
                <c:pt idx="737">
                  <c:v>8.7428571428571438</c:v>
                </c:pt>
                <c:pt idx="738">
                  <c:v>8.9499999999999993</c:v>
                </c:pt>
                <c:pt idx="739">
                  <c:v>9.3374999999999986</c:v>
                </c:pt>
                <c:pt idx="740">
                  <c:v>9.6142857142857139</c:v>
                </c:pt>
                <c:pt idx="741">
                  <c:v>9.4666666666666668</c:v>
                </c:pt>
                <c:pt idx="742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EA-4BC7-807A-5295B63A02A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Index!$M$24:$M$118</c:f>
              <c:numCache>
                <c:formatCode>General</c:formatCode>
                <c:ptCount val="95"/>
                <c:pt idx="82">
                  <c:v>8850.4805000000633</c:v>
                </c:pt>
                <c:pt idx="83">
                  <c:v>8891.5343999997713</c:v>
                </c:pt>
                <c:pt idx="84">
                  <c:v>8893.3905000002123</c:v>
                </c:pt>
                <c:pt idx="85">
                  <c:v>8893.3905000002123</c:v>
                </c:pt>
                <c:pt idx="86">
                  <c:v>8903.344800000079</c:v>
                </c:pt>
                <c:pt idx="87">
                  <c:v>8939.4062000000849</c:v>
                </c:pt>
                <c:pt idx="88">
                  <c:v>9193.4369000000879</c:v>
                </c:pt>
                <c:pt idx="89">
                  <c:v>9201.6554000000469</c:v>
                </c:pt>
              </c:numCache>
            </c:numRef>
          </c:xVal>
          <c:yVal>
            <c:numRef>
              <c:f>Index!$N$24:$N$118</c:f>
              <c:numCache>
                <c:formatCode>General</c:formatCode>
                <c:ptCount val="95"/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EA-4BC7-807A-5295B63A0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in val="24577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365"/>
      </c:valAx>
      <c:valAx>
        <c:axId val="480140568"/>
        <c:scaling>
          <c:orientation val="maxMin"/>
          <c:max val="11"/>
          <c:min val="7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1"/>
        <c:min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Vis!$A$1:$A$1155</c:f>
              <c:numCache>
                <c:formatCode>General</c:formatCode>
                <c:ptCount val="1155"/>
                <c:pt idx="0">
                  <c:v>2434013.7000000002</c:v>
                </c:pt>
                <c:pt idx="1">
                  <c:v>2435012.2999999998</c:v>
                </c:pt>
                <c:pt idx="2">
                  <c:v>2435032.9</c:v>
                </c:pt>
                <c:pt idx="3">
                  <c:v>2435073.6</c:v>
                </c:pt>
                <c:pt idx="4">
                  <c:v>2435092.7000000002</c:v>
                </c:pt>
                <c:pt idx="5">
                  <c:v>2435133.0499999998</c:v>
                </c:pt>
                <c:pt idx="6">
                  <c:v>2435156.125</c:v>
                </c:pt>
                <c:pt idx="7">
                  <c:v>2435181.1</c:v>
                </c:pt>
                <c:pt idx="8">
                  <c:v>2435193.1</c:v>
                </c:pt>
                <c:pt idx="9">
                  <c:v>2435210.6</c:v>
                </c:pt>
                <c:pt idx="10">
                  <c:v>2435229.6</c:v>
                </c:pt>
                <c:pt idx="11">
                  <c:v>2435347.7999999998</c:v>
                </c:pt>
                <c:pt idx="12">
                  <c:v>2435395.25</c:v>
                </c:pt>
                <c:pt idx="13">
                  <c:v>2435431.2000000002</c:v>
                </c:pt>
                <c:pt idx="14">
                  <c:v>2435454.9333299999</c:v>
                </c:pt>
                <c:pt idx="15">
                  <c:v>2435478.6</c:v>
                </c:pt>
                <c:pt idx="16">
                  <c:v>2435511.6</c:v>
                </c:pt>
                <c:pt idx="17">
                  <c:v>2435532.6</c:v>
                </c:pt>
                <c:pt idx="18">
                  <c:v>2435553.6</c:v>
                </c:pt>
                <c:pt idx="19">
                  <c:v>2435567.1</c:v>
                </c:pt>
                <c:pt idx="20">
                  <c:v>2435839.6</c:v>
                </c:pt>
                <c:pt idx="21">
                  <c:v>2435896.1</c:v>
                </c:pt>
                <c:pt idx="22">
                  <c:v>2435919.6</c:v>
                </c:pt>
                <c:pt idx="23">
                  <c:v>2435934.6</c:v>
                </c:pt>
                <c:pt idx="24">
                  <c:v>2435958.6</c:v>
                </c:pt>
                <c:pt idx="25">
                  <c:v>2436270.6</c:v>
                </c:pt>
                <c:pt idx="26">
                  <c:v>2438714.7000000002</c:v>
                </c:pt>
                <c:pt idx="27">
                  <c:v>2438750.6</c:v>
                </c:pt>
                <c:pt idx="28">
                  <c:v>2438796.6</c:v>
                </c:pt>
                <c:pt idx="29">
                  <c:v>2438835.7000000002</c:v>
                </c:pt>
                <c:pt idx="30">
                  <c:v>2438857.6</c:v>
                </c:pt>
                <c:pt idx="31">
                  <c:v>2438961.9</c:v>
                </c:pt>
                <c:pt idx="32">
                  <c:v>2438996.9</c:v>
                </c:pt>
                <c:pt idx="33">
                  <c:v>2439030.9</c:v>
                </c:pt>
                <c:pt idx="34">
                  <c:v>2439101.7000000002</c:v>
                </c:pt>
                <c:pt idx="35">
                  <c:v>2439129.2999999998</c:v>
                </c:pt>
                <c:pt idx="36">
                  <c:v>2439172.6</c:v>
                </c:pt>
                <c:pt idx="37">
                  <c:v>2439203.6</c:v>
                </c:pt>
                <c:pt idx="38">
                  <c:v>2439363.9</c:v>
                </c:pt>
                <c:pt idx="39">
                  <c:v>2439390.7999999998</c:v>
                </c:pt>
                <c:pt idx="40">
                  <c:v>2439410.7999999998</c:v>
                </c:pt>
                <c:pt idx="41">
                  <c:v>2439526.6</c:v>
                </c:pt>
                <c:pt idx="42">
                  <c:v>2439556.7000000002</c:v>
                </c:pt>
                <c:pt idx="43">
                  <c:v>2439586.65</c:v>
                </c:pt>
                <c:pt idx="44">
                  <c:v>2439612.7000000002</c:v>
                </c:pt>
                <c:pt idx="45">
                  <c:v>2439696.9</c:v>
                </c:pt>
                <c:pt idx="46">
                  <c:v>2439733.9</c:v>
                </c:pt>
                <c:pt idx="47">
                  <c:v>2439765.35</c:v>
                </c:pt>
                <c:pt idx="48">
                  <c:v>2439823</c:v>
                </c:pt>
                <c:pt idx="49">
                  <c:v>2439897.6</c:v>
                </c:pt>
                <c:pt idx="50">
                  <c:v>2439923.6</c:v>
                </c:pt>
                <c:pt idx="51">
                  <c:v>2440079.7999999998</c:v>
                </c:pt>
                <c:pt idx="52">
                  <c:v>2440101.9</c:v>
                </c:pt>
                <c:pt idx="53">
                  <c:v>2440220.6</c:v>
                </c:pt>
                <c:pt idx="54">
                  <c:v>2440297.6</c:v>
                </c:pt>
                <c:pt idx="55">
                  <c:v>2440330.7000000002</c:v>
                </c:pt>
                <c:pt idx="56">
                  <c:v>2440454.7999999998</c:v>
                </c:pt>
                <c:pt idx="57">
                  <c:v>2440471.7999999998</c:v>
                </c:pt>
                <c:pt idx="58">
                  <c:v>2440834.7999999998</c:v>
                </c:pt>
                <c:pt idx="59">
                  <c:v>2442460.7000000002</c:v>
                </c:pt>
                <c:pt idx="60">
                  <c:v>2442499.6</c:v>
                </c:pt>
                <c:pt idx="61">
                  <c:v>2442831.7000000002</c:v>
                </c:pt>
                <c:pt idx="62">
                  <c:v>2443957.4</c:v>
                </c:pt>
                <c:pt idx="63">
                  <c:v>2443983.6666700002</c:v>
                </c:pt>
                <c:pt idx="64">
                  <c:v>2444194.9750000001</c:v>
                </c:pt>
                <c:pt idx="65">
                  <c:v>2444221.1549999998</c:v>
                </c:pt>
                <c:pt idx="66">
                  <c:v>2444252.23</c:v>
                </c:pt>
                <c:pt idx="67">
                  <c:v>2444273.0566699998</c:v>
                </c:pt>
                <c:pt idx="68">
                  <c:v>2444287.91</c:v>
                </c:pt>
                <c:pt idx="69">
                  <c:v>2444305.8424999998</c:v>
                </c:pt>
                <c:pt idx="70">
                  <c:v>2444327.85</c:v>
                </c:pt>
                <c:pt idx="71">
                  <c:v>2444341.85</c:v>
                </c:pt>
                <c:pt idx="72">
                  <c:v>2444466.5</c:v>
                </c:pt>
                <c:pt idx="73">
                  <c:v>2444494</c:v>
                </c:pt>
                <c:pt idx="74">
                  <c:v>2444508.5</c:v>
                </c:pt>
                <c:pt idx="75">
                  <c:v>2444537.42</c:v>
                </c:pt>
                <c:pt idx="76">
                  <c:v>2444553.42667</c:v>
                </c:pt>
                <c:pt idx="77">
                  <c:v>2444578.7349999999</c:v>
                </c:pt>
                <c:pt idx="78">
                  <c:v>2444606.8642899999</c:v>
                </c:pt>
                <c:pt idx="79">
                  <c:v>2444628.9271399998</c:v>
                </c:pt>
                <c:pt idx="80">
                  <c:v>2444640.82308</c:v>
                </c:pt>
                <c:pt idx="81">
                  <c:v>2444663.338</c:v>
                </c:pt>
                <c:pt idx="82">
                  <c:v>2444685.3199999998</c:v>
                </c:pt>
                <c:pt idx="83">
                  <c:v>2444696.35</c:v>
                </c:pt>
                <c:pt idx="84">
                  <c:v>2444864.5</c:v>
                </c:pt>
                <c:pt idx="85">
                  <c:v>2444882.6779999998</c:v>
                </c:pt>
                <c:pt idx="86">
                  <c:v>2444904.4849999999</c:v>
                </c:pt>
                <c:pt idx="87">
                  <c:v>2444918.375</c:v>
                </c:pt>
                <c:pt idx="88">
                  <c:v>2444933.7050000001</c:v>
                </c:pt>
                <c:pt idx="89">
                  <c:v>2444964.2233299999</c:v>
                </c:pt>
                <c:pt idx="90">
                  <c:v>2444986.3149999999</c:v>
                </c:pt>
                <c:pt idx="91">
                  <c:v>2444998.1283300002</c:v>
                </c:pt>
                <c:pt idx="92">
                  <c:v>2445018.57333</c:v>
                </c:pt>
                <c:pt idx="93">
                  <c:v>2445032.07143</c:v>
                </c:pt>
                <c:pt idx="94">
                  <c:v>2445048.4333299999</c:v>
                </c:pt>
                <c:pt idx="95">
                  <c:v>2445073.7420000001</c:v>
                </c:pt>
                <c:pt idx="96">
                  <c:v>2445083.2349999999</c:v>
                </c:pt>
                <c:pt idx="97">
                  <c:v>2445238.0674999999</c:v>
                </c:pt>
                <c:pt idx="98">
                  <c:v>2445291.1333300001</c:v>
                </c:pt>
                <c:pt idx="99">
                  <c:v>2445316.1</c:v>
                </c:pt>
                <c:pt idx="100">
                  <c:v>2445330.37</c:v>
                </c:pt>
                <c:pt idx="101">
                  <c:v>2445344.7866699998</c:v>
                </c:pt>
                <c:pt idx="102">
                  <c:v>2445361.33286</c:v>
                </c:pt>
                <c:pt idx="103">
                  <c:v>2445379.9175</c:v>
                </c:pt>
                <c:pt idx="104">
                  <c:v>2445401.6329999999</c:v>
                </c:pt>
                <c:pt idx="105">
                  <c:v>2445417.6666700002</c:v>
                </c:pt>
                <c:pt idx="106">
                  <c:v>2445433.03333</c:v>
                </c:pt>
                <c:pt idx="107">
                  <c:v>2445649.0966699999</c:v>
                </c:pt>
                <c:pt idx="108">
                  <c:v>2445669.35</c:v>
                </c:pt>
                <c:pt idx="109">
                  <c:v>2445704.4</c:v>
                </c:pt>
                <c:pt idx="110">
                  <c:v>2445728.5142899998</c:v>
                </c:pt>
                <c:pt idx="111">
                  <c:v>2445746.2000000002</c:v>
                </c:pt>
                <c:pt idx="112">
                  <c:v>2445766.82222</c:v>
                </c:pt>
                <c:pt idx="113">
                  <c:v>2445785.8666699999</c:v>
                </c:pt>
                <c:pt idx="114">
                  <c:v>2445805.5</c:v>
                </c:pt>
                <c:pt idx="115">
                  <c:v>2445822.6666700002</c:v>
                </c:pt>
                <c:pt idx="116">
                  <c:v>2445944.5</c:v>
                </c:pt>
                <c:pt idx="117">
                  <c:v>2446008.4</c:v>
                </c:pt>
                <c:pt idx="118">
                  <c:v>2446035.4500000002</c:v>
                </c:pt>
                <c:pt idx="119">
                  <c:v>2446058.625</c:v>
                </c:pt>
                <c:pt idx="120">
                  <c:v>2446093.2799999998</c:v>
                </c:pt>
                <c:pt idx="121">
                  <c:v>2446114.98</c:v>
                </c:pt>
                <c:pt idx="122">
                  <c:v>2446126.64</c:v>
                </c:pt>
                <c:pt idx="123">
                  <c:v>2446146.26364</c:v>
                </c:pt>
                <c:pt idx="124">
                  <c:v>2446160.78333</c:v>
                </c:pt>
                <c:pt idx="125">
                  <c:v>2446176.6988900001</c:v>
                </c:pt>
                <c:pt idx="126">
                  <c:v>2446291.5499999998</c:v>
                </c:pt>
                <c:pt idx="127">
                  <c:v>2446325</c:v>
                </c:pt>
                <c:pt idx="128">
                  <c:v>2446350.1</c:v>
                </c:pt>
                <c:pt idx="129">
                  <c:v>2446413.35</c:v>
                </c:pt>
                <c:pt idx="130">
                  <c:v>2446435.1800000002</c:v>
                </c:pt>
                <c:pt idx="131">
                  <c:v>2446454.0666700001</c:v>
                </c:pt>
                <c:pt idx="132">
                  <c:v>2446469.6666700002</c:v>
                </c:pt>
                <c:pt idx="133">
                  <c:v>2446491.6</c:v>
                </c:pt>
                <c:pt idx="134">
                  <c:v>2446508.8259999999</c:v>
                </c:pt>
                <c:pt idx="135">
                  <c:v>2446523.2777800001</c:v>
                </c:pt>
                <c:pt idx="136">
                  <c:v>2446543.5750000002</c:v>
                </c:pt>
                <c:pt idx="137">
                  <c:v>2446648.6</c:v>
                </c:pt>
                <c:pt idx="138">
                  <c:v>2446669.1733300001</c:v>
                </c:pt>
                <c:pt idx="139">
                  <c:v>2446705.4500000002</c:v>
                </c:pt>
                <c:pt idx="140">
                  <c:v>2446744.35</c:v>
                </c:pt>
                <c:pt idx="141">
                  <c:v>2446762.2999999998</c:v>
                </c:pt>
                <c:pt idx="142">
                  <c:v>2446778.2999999998</c:v>
                </c:pt>
                <c:pt idx="143">
                  <c:v>2446800.4</c:v>
                </c:pt>
                <c:pt idx="144">
                  <c:v>2446829.35</c:v>
                </c:pt>
                <c:pt idx="145">
                  <c:v>2446851.7066700002</c:v>
                </c:pt>
                <c:pt idx="146">
                  <c:v>2446867.7999999998</c:v>
                </c:pt>
                <c:pt idx="147">
                  <c:v>2446887.35</c:v>
                </c:pt>
                <c:pt idx="148">
                  <c:v>2446909.1</c:v>
                </c:pt>
                <c:pt idx="149">
                  <c:v>2447001.0499999998</c:v>
                </c:pt>
                <c:pt idx="150">
                  <c:v>2447041.6</c:v>
                </c:pt>
                <c:pt idx="151">
                  <c:v>2447061.53333</c:v>
                </c:pt>
                <c:pt idx="152">
                  <c:v>2447085.4</c:v>
                </c:pt>
                <c:pt idx="153">
                  <c:v>2447121.4</c:v>
                </c:pt>
                <c:pt idx="154">
                  <c:v>2447147.6749999998</c:v>
                </c:pt>
                <c:pt idx="155">
                  <c:v>2447161.46667</c:v>
                </c:pt>
                <c:pt idx="156">
                  <c:v>2447183.4</c:v>
                </c:pt>
                <c:pt idx="157">
                  <c:v>2447198.03333</c:v>
                </c:pt>
                <c:pt idx="158">
                  <c:v>2447210.8857100001</c:v>
                </c:pt>
                <c:pt idx="159">
                  <c:v>2447229.125</c:v>
                </c:pt>
                <c:pt idx="160">
                  <c:v>2447248.56</c:v>
                </c:pt>
                <c:pt idx="161">
                  <c:v>2447266.5874999999</c:v>
                </c:pt>
                <c:pt idx="162">
                  <c:v>2447359.6</c:v>
                </c:pt>
                <c:pt idx="163">
                  <c:v>2447372.2516000001</c:v>
                </c:pt>
                <c:pt idx="164">
                  <c:v>2447388.5782599999</c:v>
                </c:pt>
                <c:pt idx="165">
                  <c:v>2447420.8661699998</c:v>
                </c:pt>
                <c:pt idx="166">
                  <c:v>2447445.4626500001</c:v>
                </c:pt>
                <c:pt idx="167">
                  <c:v>2447472.43444</c:v>
                </c:pt>
                <c:pt idx="168">
                  <c:v>2447497.85</c:v>
                </c:pt>
                <c:pt idx="169">
                  <c:v>2447523.375</c:v>
                </c:pt>
                <c:pt idx="170">
                  <c:v>2447543.2999999998</c:v>
                </c:pt>
                <c:pt idx="171">
                  <c:v>2447560.92</c:v>
                </c:pt>
                <c:pt idx="172">
                  <c:v>2447574.2999999998</c:v>
                </c:pt>
                <c:pt idx="173">
                  <c:v>2447592.2285699998</c:v>
                </c:pt>
                <c:pt idx="174">
                  <c:v>2447605</c:v>
                </c:pt>
                <c:pt idx="175">
                  <c:v>2447620.5076899999</c:v>
                </c:pt>
                <c:pt idx="176">
                  <c:v>2447643.4</c:v>
                </c:pt>
                <c:pt idx="177">
                  <c:v>2447767.6</c:v>
                </c:pt>
                <c:pt idx="178">
                  <c:v>2447781.6</c:v>
                </c:pt>
                <c:pt idx="179">
                  <c:v>2447800.4333299999</c:v>
                </c:pt>
                <c:pt idx="180">
                  <c:v>2447823.3833300001</c:v>
                </c:pt>
                <c:pt idx="181">
                  <c:v>2447835.1897300002</c:v>
                </c:pt>
                <c:pt idx="182">
                  <c:v>2447856.5685800002</c:v>
                </c:pt>
                <c:pt idx="183">
                  <c:v>2447872.67667</c:v>
                </c:pt>
                <c:pt idx="184">
                  <c:v>2447892.36</c:v>
                </c:pt>
                <c:pt idx="185">
                  <c:v>2447910.6533300001</c:v>
                </c:pt>
                <c:pt idx="186">
                  <c:v>2447924.2999999998</c:v>
                </c:pt>
                <c:pt idx="187">
                  <c:v>2447944.11</c:v>
                </c:pt>
                <c:pt idx="188">
                  <c:v>2447962.2333300002</c:v>
                </c:pt>
                <c:pt idx="189">
                  <c:v>2447977.3840000001</c:v>
                </c:pt>
                <c:pt idx="190">
                  <c:v>2447996.9733299999</c:v>
                </c:pt>
                <c:pt idx="191">
                  <c:v>2448102.6</c:v>
                </c:pt>
                <c:pt idx="192">
                  <c:v>2448124.0499999998</c:v>
                </c:pt>
                <c:pt idx="193">
                  <c:v>2448141.6</c:v>
                </c:pt>
                <c:pt idx="194">
                  <c:v>2448160.0499999998</c:v>
                </c:pt>
                <c:pt idx="195">
                  <c:v>2448180.4598099999</c:v>
                </c:pt>
                <c:pt idx="196">
                  <c:v>2448197.5699999998</c:v>
                </c:pt>
                <c:pt idx="197">
                  <c:v>2448224.7740000002</c:v>
                </c:pt>
                <c:pt idx="198">
                  <c:v>2448245.46</c:v>
                </c:pt>
                <c:pt idx="199">
                  <c:v>2448268.6794799999</c:v>
                </c:pt>
                <c:pt idx="200">
                  <c:v>2448286.5175000001</c:v>
                </c:pt>
                <c:pt idx="201">
                  <c:v>2448308.1175000002</c:v>
                </c:pt>
                <c:pt idx="202">
                  <c:v>2448327.59</c:v>
                </c:pt>
                <c:pt idx="203">
                  <c:v>2448340.7999999998</c:v>
                </c:pt>
                <c:pt idx="204">
                  <c:v>2448479.56905</c:v>
                </c:pt>
                <c:pt idx="205">
                  <c:v>2448497.54734</c:v>
                </c:pt>
                <c:pt idx="206">
                  <c:v>2448516.5663600001</c:v>
                </c:pt>
                <c:pt idx="207">
                  <c:v>2448536.2053499999</c:v>
                </c:pt>
                <c:pt idx="208">
                  <c:v>2448553.5489500002</c:v>
                </c:pt>
                <c:pt idx="209">
                  <c:v>2448569.98232</c:v>
                </c:pt>
                <c:pt idx="210">
                  <c:v>2448595.9309700001</c:v>
                </c:pt>
                <c:pt idx="211">
                  <c:v>2448608.5377799999</c:v>
                </c:pt>
                <c:pt idx="212">
                  <c:v>2448625.8728100001</c:v>
                </c:pt>
                <c:pt idx="213">
                  <c:v>2448642.77355</c:v>
                </c:pt>
                <c:pt idx="214">
                  <c:v>2448653.78981</c:v>
                </c:pt>
                <c:pt idx="215">
                  <c:v>2448677.94246</c:v>
                </c:pt>
                <c:pt idx="216">
                  <c:v>2448690.5504999999</c:v>
                </c:pt>
                <c:pt idx="217">
                  <c:v>2448730.7000000002</c:v>
                </c:pt>
                <c:pt idx="218">
                  <c:v>2448869.7406700002</c:v>
                </c:pt>
                <c:pt idx="219">
                  <c:v>2448889</c:v>
                </c:pt>
                <c:pt idx="220">
                  <c:v>2448911.5033999998</c:v>
                </c:pt>
                <c:pt idx="221">
                  <c:v>2448923.9589999998</c:v>
                </c:pt>
                <c:pt idx="222">
                  <c:v>2448950.9140699999</c:v>
                </c:pt>
                <c:pt idx="223">
                  <c:v>2448965.3665200002</c:v>
                </c:pt>
                <c:pt idx="224">
                  <c:v>2448982.6122900001</c:v>
                </c:pt>
                <c:pt idx="225">
                  <c:v>2448997.1263199998</c:v>
                </c:pt>
                <c:pt idx="226">
                  <c:v>2449013.2783300001</c:v>
                </c:pt>
                <c:pt idx="227">
                  <c:v>2449035.3641400002</c:v>
                </c:pt>
                <c:pt idx="228">
                  <c:v>2449048.0599699998</c:v>
                </c:pt>
                <c:pt idx="229">
                  <c:v>2449063.1894200002</c:v>
                </c:pt>
                <c:pt idx="230">
                  <c:v>2449077.0926199998</c:v>
                </c:pt>
                <c:pt idx="231">
                  <c:v>2449095.90166</c:v>
                </c:pt>
                <c:pt idx="232">
                  <c:v>2449193.5972000002</c:v>
                </c:pt>
                <c:pt idx="233">
                  <c:v>2449212.4500000002</c:v>
                </c:pt>
                <c:pt idx="234">
                  <c:v>2449236.1333300001</c:v>
                </c:pt>
                <c:pt idx="235">
                  <c:v>2449249.2678800002</c:v>
                </c:pt>
                <c:pt idx="236">
                  <c:v>2449264.7683899999</c:v>
                </c:pt>
                <c:pt idx="237">
                  <c:v>2449279.2412100001</c:v>
                </c:pt>
                <c:pt idx="238">
                  <c:v>2449302.4074200001</c:v>
                </c:pt>
                <c:pt idx="239">
                  <c:v>2449312.1515100002</c:v>
                </c:pt>
                <c:pt idx="240">
                  <c:v>2449332.7469199998</c:v>
                </c:pt>
                <c:pt idx="241">
                  <c:v>2449350.8407999999</c:v>
                </c:pt>
                <c:pt idx="242">
                  <c:v>2449366.0709799998</c:v>
                </c:pt>
                <c:pt idx="243">
                  <c:v>2449382.8223799998</c:v>
                </c:pt>
                <c:pt idx="244">
                  <c:v>2449395.5395200001</c:v>
                </c:pt>
                <c:pt idx="245">
                  <c:v>2449417.06293</c:v>
                </c:pt>
                <c:pt idx="246">
                  <c:v>2449431.59039</c:v>
                </c:pt>
                <c:pt idx="247">
                  <c:v>2449451.6661899998</c:v>
                </c:pt>
                <c:pt idx="248">
                  <c:v>2449471.3538799998</c:v>
                </c:pt>
                <c:pt idx="249">
                  <c:v>2449568.56</c:v>
                </c:pt>
                <c:pt idx="250">
                  <c:v>2449583.3617199999</c:v>
                </c:pt>
                <c:pt idx="251">
                  <c:v>2449607.0444700001</c:v>
                </c:pt>
                <c:pt idx="252">
                  <c:v>2449634.0255200001</c:v>
                </c:pt>
                <c:pt idx="253">
                  <c:v>2449656.2535600001</c:v>
                </c:pt>
                <c:pt idx="254">
                  <c:v>2449675.2162700002</c:v>
                </c:pt>
                <c:pt idx="255">
                  <c:v>2449690.3335199999</c:v>
                </c:pt>
                <c:pt idx="256">
                  <c:v>2449706.18811</c:v>
                </c:pt>
                <c:pt idx="257">
                  <c:v>2449723.3393999999</c:v>
                </c:pt>
                <c:pt idx="258">
                  <c:v>2449746.7618800001</c:v>
                </c:pt>
                <c:pt idx="259">
                  <c:v>2449759.65485</c:v>
                </c:pt>
                <c:pt idx="260">
                  <c:v>2449777.8958299998</c:v>
                </c:pt>
                <c:pt idx="261">
                  <c:v>2449794.5621699998</c:v>
                </c:pt>
                <c:pt idx="262">
                  <c:v>2449807.6308400002</c:v>
                </c:pt>
                <c:pt idx="263">
                  <c:v>2449822.5481699998</c:v>
                </c:pt>
                <c:pt idx="264">
                  <c:v>2449838.24878</c:v>
                </c:pt>
                <c:pt idx="265">
                  <c:v>2449923.9556800001</c:v>
                </c:pt>
                <c:pt idx="266">
                  <c:v>2449939.48214</c:v>
                </c:pt>
                <c:pt idx="267">
                  <c:v>2449958.4331899998</c:v>
                </c:pt>
                <c:pt idx="268">
                  <c:v>2449988.5572799998</c:v>
                </c:pt>
                <c:pt idx="269">
                  <c:v>2450010.7034</c:v>
                </c:pt>
                <c:pt idx="270">
                  <c:v>2450020.3284800001</c:v>
                </c:pt>
                <c:pt idx="271">
                  <c:v>2450042.5078699999</c:v>
                </c:pt>
                <c:pt idx="272">
                  <c:v>2450060.11026</c:v>
                </c:pt>
                <c:pt idx="273">
                  <c:v>2450075.4938400001</c:v>
                </c:pt>
                <c:pt idx="274">
                  <c:v>2450093.9469599999</c:v>
                </c:pt>
                <c:pt idx="275">
                  <c:v>2450104.9463599999</c:v>
                </c:pt>
                <c:pt idx="276">
                  <c:v>2450121.9084899998</c:v>
                </c:pt>
                <c:pt idx="277">
                  <c:v>2450136.8031799998</c:v>
                </c:pt>
                <c:pt idx="278">
                  <c:v>2450153.8179700002</c:v>
                </c:pt>
                <c:pt idx="279">
                  <c:v>2450170.6979</c:v>
                </c:pt>
                <c:pt idx="280">
                  <c:v>2450184.54024</c:v>
                </c:pt>
                <c:pt idx="281">
                  <c:v>2450198.3286299999</c:v>
                </c:pt>
                <c:pt idx="282">
                  <c:v>2450216.4465000001</c:v>
                </c:pt>
                <c:pt idx="283">
                  <c:v>2450284.5</c:v>
                </c:pt>
                <c:pt idx="284">
                  <c:v>2450305.5</c:v>
                </c:pt>
                <c:pt idx="285">
                  <c:v>2450324.7723699999</c:v>
                </c:pt>
                <c:pt idx="286">
                  <c:v>2450343.9556999998</c:v>
                </c:pt>
                <c:pt idx="287">
                  <c:v>2450365.4206099999</c:v>
                </c:pt>
                <c:pt idx="288">
                  <c:v>2450383.24596</c:v>
                </c:pt>
                <c:pt idx="289">
                  <c:v>2450403.6624500002</c:v>
                </c:pt>
                <c:pt idx="290">
                  <c:v>2450423.3558100001</c:v>
                </c:pt>
                <c:pt idx="291">
                  <c:v>2450436.7079099999</c:v>
                </c:pt>
                <c:pt idx="292">
                  <c:v>2450457.9646999999</c:v>
                </c:pt>
                <c:pt idx="293">
                  <c:v>2450473.3607899998</c:v>
                </c:pt>
                <c:pt idx="294">
                  <c:v>2450487.5890199998</c:v>
                </c:pt>
                <c:pt idx="295">
                  <c:v>2450503.2873999998</c:v>
                </c:pt>
                <c:pt idx="296">
                  <c:v>2450517.6430100002</c:v>
                </c:pt>
                <c:pt idx="297">
                  <c:v>2450535.89304</c:v>
                </c:pt>
                <c:pt idx="298">
                  <c:v>2450548.4801099999</c:v>
                </c:pt>
                <c:pt idx="299">
                  <c:v>2450568.4045799999</c:v>
                </c:pt>
                <c:pt idx="300">
                  <c:v>2450586.0874999999</c:v>
                </c:pt>
                <c:pt idx="301">
                  <c:v>2450666.2439999999</c:v>
                </c:pt>
                <c:pt idx="302">
                  <c:v>2450686.5181</c:v>
                </c:pt>
                <c:pt idx="303">
                  <c:v>2450700.1195299998</c:v>
                </c:pt>
                <c:pt idx="304">
                  <c:v>2450723.8085500002</c:v>
                </c:pt>
                <c:pt idx="305">
                  <c:v>2450748.6024500001</c:v>
                </c:pt>
                <c:pt idx="306">
                  <c:v>2450769.4375</c:v>
                </c:pt>
                <c:pt idx="307">
                  <c:v>2450789.66817</c:v>
                </c:pt>
                <c:pt idx="308">
                  <c:v>2450814.3448100002</c:v>
                </c:pt>
                <c:pt idx="309">
                  <c:v>2450828.3732400001</c:v>
                </c:pt>
                <c:pt idx="310">
                  <c:v>2450844.8288099999</c:v>
                </c:pt>
                <c:pt idx="311">
                  <c:v>2450861.36992</c:v>
                </c:pt>
                <c:pt idx="312">
                  <c:v>2450874.0250499998</c:v>
                </c:pt>
                <c:pt idx="313">
                  <c:v>2450891.3464700002</c:v>
                </c:pt>
                <c:pt idx="314">
                  <c:v>2450911.4158899998</c:v>
                </c:pt>
                <c:pt idx="315">
                  <c:v>2450927.8168000001</c:v>
                </c:pt>
                <c:pt idx="316">
                  <c:v>2450939.7888699998</c:v>
                </c:pt>
                <c:pt idx="317">
                  <c:v>2451025.5</c:v>
                </c:pt>
                <c:pt idx="318">
                  <c:v>2451038.4810700002</c:v>
                </c:pt>
                <c:pt idx="319">
                  <c:v>2451052.7811199999</c:v>
                </c:pt>
                <c:pt idx="320">
                  <c:v>2451073.6069</c:v>
                </c:pt>
                <c:pt idx="321">
                  <c:v>2451080.8635900002</c:v>
                </c:pt>
                <c:pt idx="322">
                  <c:v>2451103.9750000001</c:v>
                </c:pt>
                <c:pt idx="323">
                  <c:v>2451111.36154</c:v>
                </c:pt>
                <c:pt idx="324">
                  <c:v>2451134.45688</c:v>
                </c:pt>
                <c:pt idx="325">
                  <c:v>2451154.5219899998</c:v>
                </c:pt>
                <c:pt idx="326">
                  <c:v>2451169.5572500001</c:v>
                </c:pt>
                <c:pt idx="327">
                  <c:v>2451186.6538399998</c:v>
                </c:pt>
                <c:pt idx="328">
                  <c:v>2451200.4485900002</c:v>
                </c:pt>
                <c:pt idx="329">
                  <c:v>2451217.5577699998</c:v>
                </c:pt>
                <c:pt idx="330">
                  <c:v>2451233.1966200001</c:v>
                </c:pt>
                <c:pt idx="331">
                  <c:v>2451249.5979300002</c:v>
                </c:pt>
                <c:pt idx="332">
                  <c:v>2451264.3020100002</c:v>
                </c:pt>
                <c:pt idx="333">
                  <c:v>2451278.7198899998</c:v>
                </c:pt>
                <c:pt idx="334">
                  <c:v>2451298.2822099999</c:v>
                </c:pt>
                <c:pt idx="335">
                  <c:v>2451392.0882700002</c:v>
                </c:pt>
                <c:pt idx="336">
                  <c:v>2451409.3305700002</c:v>
                </c:pt>
                <c:pt idx="337">
                  <c:v>2451430.8258600002</c:v>
                </c:pt>
                <c:pt idx="338">
                  <c:v>2451452.5506799999</c:v>
                </c:pt>
                <c:pt idx="339">
                  <c:v>2451464.7192299999</c:v>
                </c:pt>
                <c:pt idx="340">
                  <c:v>2451488.76878</c:v>
                </c:pt>
                <c:pt idx="341">
                  <c:v>2451506.2359799999</c:v>
                </c:pt>
                <c:pt idx="342">
                  <c:v>2451522.3773599998</c:v>
                </c:pt>
                <c:pt idx="343">
                  <c:v>2451538.77776</c:v>
                </c:pt>
                <c:pt idx="344">
                  <c:v>2451554.00673</c:v>
                </c:pt>
                <c:pt idx="345">
                  <c:v>2451574.43958</c:v>
                </c:pt>
                <c:pt idx="346">
                  <c:v>2451589.8130700001</c:v>
                </c:pt>
                <c:pt idx="347">
                  <c:v>2451606.83892</c:v>
                </c:pt>
                <c:pt idx="348">
                  <c:v>2451622.57271</c:v>
                </c:pt>
                <c:pt idx="349">
                  <c:v>2451638.3666300001</c:v>
                </c:pt>
                <c:pt idx="350">
                  <c:v>2451654.61204</c:v>
                </c:pt>
                <c:pt idx="351">
                  <c:v>2451670.7509499998</c:v>
                </c:pt>
                <c:pt idx="352">
                  <c:v>2451729.4375</c:v>
                </c:pt>
                <c:pt idx="353">
                  <c:v>2451743.7916299999</c:v>
                </c:pt>
                <c:pt idx="354">
                  <c:v>2451762.9120200002</c:v>
                </c:pt>
                <c:pt idx="355">
                  <c:v>2451778.7516600001</c:v>
                </c:pt>
                <c:pt idx="356">
                  <c:v>2451794.3139200001</c:v>
                </c:pt>
                <c:pt idx="357">
                  <c:v>2451817.7870299998</c:v>
                </c:pt>
                <c:pt idx="358">
                  <c:v>2451834.8395799999</c:v>
                </c:pt>
                <c:pt idx="359">
                  <c:v>2451850.5624899999</c:v>
                </c:pt>
                <c:pt idx="360">
                  <c:v>2451865.6166699999</c:v>
                </c:pt>
                <c:pt idx="361">
                  <c:v>2451877.8215100002</c:v>
                </c:pt>
                <c:pt idx="362">
                  <c:v>2451899.8879900002</c:v>
                </c:pt>
                <c:pt idx="363">
                  <c:v>2451918.9106899998</c:v>
                </c:pt>
                <c:pt idx="364">
                  <c:v>2451931.4383399999</c:v>
                </c:pt>
                <c:pt idx="365">
                  <c:v>2451952.72719</c:v>
                </c:pt>
                <c:pt idx="366">
                  <c:v>2451970.1233799998</c:v>
                </c:pt>
                <c:pt idx="367">
                  <c:v>2451985.60176</c:v>
                </c:pt>
                <c:pt idx="368">
                  <c:v>2452003.7245499999</c:v>
                </c:pt>
                <c:pt idx="369">
                  <c:v>2452019.43781</c:v>
                </c:pt>
                <c:pt idx="370">
                  <c:v>2452033.18346</c:v>
                </c:pt>
                <c:pt idx="371">
                  <c:v>2452123.6</c:v>
                </c:pt>
                <c:pt idx="372">
                  <c:v>2452139.2694399999</c:v>
                </c:pt>
                <c:pt idx="373">
                  <c:v>2452154.2379700001</c:v>
                </c:pt>
                <c:pt idx="374">
                  <c:v>2452177.3535699998</c:v>
                </c:pt>
                <c:pt idx="375">
                  <c:v>2452192.17778</c:v>
                </c:pt>
                <c:pt idx="376">
                  <c:v>2452204.63166</c:v>
                </c:pt>
                <c:pt idx="377">
                  <c:v>2452229.4735099999</c:v>
                </c:pt>
                <c:pt idx="378">
                  <c:v>2452246.49505</c:v>
                </c:pt>
                <c:pt idx="379">
                  <c:v>2452263.4857000001</c:v>
                </c:pt>
                <c:pt idx="380">
                  <c:v>2452280.49236</c:v>
                </c:pt>
                <c:pt idx="381">
                  <c:v>2452294.5872300002</c:v>
                </c:pt>
                <c:pt idx="382">
                  <c:v>2452315.1845499999</c:v>
                </c:pt>
                <c:pt idx="383">
                  <c:v>2452329.71355</c:v>
                </c:pt>
                <c:pt idx="384">
                  <c:v>2452343.8374999999</c:v>
                </c:pt>
                <c:pt idx="385">
                  <c:v>2452362.6806000001</c:v>
                </c:pt>
                <c:pt idx="386">
                  <c:v>2452374.8433599998</c:v>
                </c:pt>
                <c:pt idx="387">
                  <c:v>2452389.8357299999</c:v>
                </c:pt>
                <c:pt idx="388">
                  <c:v>2452460.4246499999</c:v>
                </c:pt>
                <c:pt idx="389">
                  <c:v>2452503.5585699999</c:v>
                </c:pt>
                <c:pt idx="390">
                  <c:v>2452514.87629</c:v>
                </c:pt>
                <c:pt idx="391">
                  <c:v>2452529.6240900001</c:v>
                </c:pt>
                <c:pt idx="392">
                  <c:v>2452549.4726900002</c:v>
                </c:pt>
                <c:pt idx="393">
                  <c:v>2452562.79482</c:v>
                </c:pt>
                <c:pt idx="394">
                  <c:v>2452580.3420799999</c:v>
                </c:pt>
                <c:pt idx="395">
                  <c:v>2452594.93194</c:v>
                </c:pt>
                <c:pt idx="396">
                  <c:v>2452613.1894800002</c:v>
                </c:pt>
                <c:pt idx="397">
                  <c:v>2452626.5261400002</c:v>
                </c:pt>
                <c:pt idx="398">
                  <c:v>2452645.13931</c:v>
                </c:pt>
                <c:pt idx="399">
                  <c:v>2452665.9912700001</c:v>
                </c:pt>
                <c:pt idx="400">
                  <c:v>2452680.6146900002</c:v>
                </c:pt>
                <c:pt idx="401">
                  <c:v>2452695.7884800001</c:v>
                </c:pt>
                <c:pt idx="402">
                  <c:v>2452711.9281199998</c:v>
                </c:pt>
                <c:pt idx="403">
                  <c:v>2452726.3640800002</c:v>
                </c:pt>
                <c:pt idx="404">
                  <c:v>2452742.1725499998</c:v>
                </c:pt>
                <c:pt idx="405">
                  <c:v>2452758.6596599999</c:v>
                </c:pt>
                <c:pt idx="406">
                  <c:v>2452769.3342200001</c:v>
                </c:pt>
                <c:pt idx="407">
                  <c:v>2452857.37384</c:v>
                </c:pt>
                <c:pt idx="408">
                  <c:v>2452876.7475999999</c:v>
                </c:pt>
                <c:pt idx="409">
                  <c:v>2452887.5748600001</c:v>
                </c:pt>
                <c:pt idx="410">
                  <c:v>2452908.0090299998</c:v>
                </c:pt>
                <c:pt idx="411">
                  <c:v>2452933.34112</c:v>
                </c:pt>
                <c:pt idx="412">
                  <c:v>2452946.4389900002</c:v>
                </c:pt>
                <c:pt idx="413">
                  <c:v>2452963.7773699998</c:v>
                </c:pt>
                <c:pt idx="414">
                  <c:v>2452977.7118500001</c:v>
                </c:pt>
                <c:pt idx="415">
                  <c:v>2452994.06971</c:v>
                </c:pt>
                <c:pt idx="416">
                  <c:v>2453010.4806400002</c:v>
                </c:pt>
                <c:pt idx="417">
                  <c:v>2453025.3046300001</c:v>
                </c:pt>
                <c:pt idx="418">
                  <c:v>2453040.2067900002</c:v>
                </c:pt>
                <c:pt idx="419">
                  <c:v>2453056.7003199998</c:v>
                </c:pt>
                <c:pt idx="420">
                  <c:v>2453076.5758500001</c:v>
                </c:pt>
                <c:pt idx="421">
                  <c:v>2453091.77678</c:v>
                </c:pt>
                <c:pt idx="422">
                  <c:v>2453111.19246</c:v>
                </c:pt>
                <c:pt idx="423">
                  <c:v>2453125.5830000001</c:v>
                </c:pt>
                <c:pt idx="424">
                  <c:v>2453232.5685000001</c:v>
                </c:pt>
                <c:pt idx="425">
                  <c:v>2453245.8901900002</c:v>
                </c:pt>
                <c:pt idx="426">
                  <c:v>2453263.8282300001</c:v>
                </c:pt>
                <c:pt idx="427">
                  <c:v>2453279.4352799999</c:v>
                </c:pt>
                <c:pt idx="428">
                  <c:v>2453295.28003</c:v>
                </c:pt>
                <c:pt idx="429">
                  <c:v>2453313.0215500002</c:v>
                </c:pt>
                <c:pt idx="430">
                  <c:v>2453326.1270400002</c:v>
                </c:pt>
                <c:pt idx="431">
                  <c:v>2453345.6263899999</c:v>
                </c:pt>
                <c:pt idx="432">
                  <c:v>2453359.8251</c:v>
                </c:pt>
                <c:pt idx="433">
                  <c:v>2453377.74009</c:v>
                </c:pt>
                <c:pt idx="434">
                  <c:v>2453392.9749400001</c:v>
                </c:pt>
                <c:pt idx="435">
                  <c:v>2453411.3709399998</c:v>
                </c:pt>
                <c:pt idx="436">
                  <c:v>2453430.1444199998</c:v>
                </c:pt>
                <c:pt idx="437">
                  <c:v>2453448.1794599998</c:v>
                </c:pt>
                <c:pt idx="438">
                  <c:v>2453462.5170999998</c:v>
                </c:pt>
                <c:pt idx="439">
                  <c:v>2453475.4247099999</c:v>
                </c:pt>
                <c:pt idx="440">
                  <c:v>2453503.2999999998</c:v>
                </c:pt>
                <c:pt idx="441">
                  <c:v>2453593.4628400002</c:v>
                </c:pt>
                <c:pt idx="442">
                  <c:v>2453615.4522600002</c:v>
                </c:pt>
                <c:pt idx="443">
                  <c:v>2453634.6764500001</c:v>
                </c:pt>
                <c:pt idx="444">
                  <c:v>2453652.3102699998</c:v>
                </c:pt>
                <c:pt idx="445">
                  <c:v>2453671.6339500002</c:v>
                </c:pt>
                <c:pt idx="446">
                  <c:v>2453684.3637999999</c:v>
                </c:pt>
                <c:pt idx="447">
                  <c:v>2453701.6897</c:v>
                </c:pt>
                <c:pt idx="448">
                  <c:v>2453714.33635</c:v>
                </c:pt>
                <c:pt idx="449">
                  <c:v>2453733.34754</c:v>
                </c:pt>
                <c:pt idx="450">
                  <c:v>2453745.6070300001</c:v>
                </c:pt>
                <c:pt idx="451">
                  <c:v>2453761.5585500002</c:v>
                </c:pt>
                <c:pt idx="452">
                  <c:v>2453778.8956800001</c:v>
                </c:pt>
                <c:pt idx="453">
                  <c:v>2453793.9614400002</c:v>
                </c:pt>
                <c:pt idx="454">
                  <c:v>2453809.3412299999</c:v>
                </c:pt>
                <c:pt idx="455">
                  <c:v>2453830.0973100001</c:v>
                </c:pt>
                <c:pt idx="456">
                  <c:v>2453847.73434</c:v>
                </c:pt>
                <c:pt idx="457">
                  <c:v>2453959.2666699998</c:v>
                </c:pt>
                <c:pt idx="458">
                  <c:v>2453975.9403599999</c:v>
                </c:pt>
                <c:pt idx="459">
                  <c:v>2453992.1916700001</c:v>
                </c:pt>
                <c:pt idx="460">
                  <c:v>2454004.7274600002</c:v>
                </c:pt>
                <c:pt idx="461">
                  <c:v>2454025.7440599999</c:v>
                </c:pt>
                <c:pt idx="462">
                  <c:v>2454036.7869299999</c:v>
                </c:pt>
                <c:pt idx="463">
                  <c:v>2454057.0962999999</c:v>
                </c:pt>
                <c:pt idx="464">
                  <c:v>2454071.5729299998</c:v>
                </c:pt>
                <c:pt idx="465">
                  <c:v>2454087.6732899998</c:v>
                </c:pt>
                <c:pt idx="466">
                  <c:v>2454104.9233599999</c:v>
                </c:pt>
                <c:pt idx="467">
                  <c:v>2454122.6114099999</c:v>
                </c:pt>
                <c:pt idx="468">
                  <c:v>2454137.3510599998</c:v>
                </c:pt>
                <c:pt idx="469">
                  <c:v>2454152.0879000002</c:v>
                </c:pt>
                <c:pt idx="470">
                  <c:v>2454171.6408199999</c:v>
                </c:pt>
                <c:pt idx="471">
                  <c:v>2454186.0096100001</c:v>
                </c:pt>
                <c:pt idx="472">
                  <c:v>2454201.0535300002</c:v>
                </c:pt>
                <c:pt idx="473">
                  <c:v>2454214.9865700002</c:v>
                </c:pt>
                <c:pt idx="474">
                  <c:v>2454234.2999999998</c:v>
                </c:pt>
                <c:pt idx="475">
                  <c:v>2454330.11338</c:v>
                </c:pt>
                <c:pt idx="476">
                  <c:v>2454359.3997</c:v>
                </c:pt>
                <c:pt idx="477">
                  <c:v>2454386.8528499999</c:v>
                </c:pt>
                <c:pt idx="478">
                  <c:v>2454399.3914100002</c:v>
                </c:pt>
                <c:pt idx="479">
                  <c:v>2454415.8732599998</c:v>
                </c:pt>
                <c:pt idx="480">
                  <c:v>2454432.5600399999</c:v>
                </c:pt>
                <c:pt idx="481">
                  <c:v>2454448.5638000001</c:v>
                </c:pt>
                <c:pt idx="482">
                  <c:v>2454467.06311</c:v>
                </c:pt>
                <c:pt idx="483">
                  <c:v>2454479.2968700002</c:v>
                </c:pt>
                <c:pt idx="484">
                  <c:v>2454498.2899099998</c:v>
                </c:pt>
                <c:pt idx="485">
                  <c:v>2454512.3531599999</c:v>
                </c:pt>
                <c:pt idx="486">
                  <c:v>2454527.3488599998</c:v>
                </c:pt>
                <c:pt idx="487">
                  <c:v>2454543.8077099998</c:v>
                </c:pt>
                <c:pt idx="488">
                  <c:v>2454558.3613499999</c:v>
                </c:pt>
                <c:pt idx="489">
                  <c:v>2454574.8772100001</c:v>
                </c:pt>
                <c:pt idx="490">
                  <c:v>2454589.3187500001</c:v>
                </c:pt>
                <c:pt idx="491">
                  <c:v>2454600.2999999998</c:v>
                </c:pt>
                <c:pt idx="492">
                  <c:v>2454683.5659699999</c:v>
                </c:pt>
                <c:pt idx="493">
                  <c:v>2454708.3342300002</c:v>
                </c:pt>
                <c:pt idx="494">
                  <c:v>2454721.95475</c:v>
                </c:pt>
                <c:pt idx="495">
                  <c:v>2454740.2912099999</c:v>
                </c:pt>
                <c:pt idx="496">
                  <c:v>2454759.97126</c:v>
                </c:pt>
                <c:pt idx="497">
                  <c:v>2454773.0441000001</c:v>
                </c:pt>
                <c:pt idx="498">
                  <c:v>2454796.2291299999</c:v>
                </c:pt>
                <c:pt idx="499">
                  <c:v>2454809.4629600001</c:v>
                </c:pt>
                <c:pt idx="500">
                  <c:v>2454830.23165</c:v>
                </c:pt>
                <c:pt idx="501">
                  <c:v>2454847.2788900002</c:v>
                </c:pt>
                <c:pt idx="502">
                  <c:v>2454859.5879099998</c:v>
                </c:pt>
                <c:pt idx="503">
                  <c:v>2454877.8790199999</c:v>
                </c:pt>
                <c:pt idx="504">
                  <c:v>2454894.2656800002</c:v>
                </c:pt>
                <c:pt idx="505">
                  <c:v>2454909.9984400002</c:v>
                </c:pt>
                <c:pt idx="506">
                  <c:v>2454924.98392</c:v>
                </c:pt>
                <c:pt idx="507">
                  <c:v>2454941.1864999998</c:v>
                </c:pt>
                <c:pt idx="508">
                  <c:v>2454957.9928199998</c:v>
                </c:pt>
                <c:pt idx="509">
                  <c:v>2455045.92313</c:v>
                </c:pt>
                <c:pt idx="510">
                  <c:v>2455067.7644500001</c:v>
                </c:pt>
                <c:pt idx="511">
                  <c:v>2455090.4726800001</c:v>
                </c:pt>
                <c:pt idx="512">
                  <c:v>2455104.43028</c:v>
                </c:pt>
                <c:pt idx="513">
                  <c:v>2455124.3368600002</c:v>
                </c:pt>
                <c:pt idx="514">
                  <c:v>2455140.51602</c:v>
                </c:pt>
                <c:pt idx="515">
                  <c:v>2455154.5218799999</c:v>
                </c:pt>
                <c:pt idx="516">
                  <c:v>2455172.2820700002</c:v>
                </c:pt>
                <c:pt idx="517">
                  <c:v>2455186.7632499998</c:v>
                </c:pt>
                <c:pt idx="518">
                  <c:v>2455204.8280500001</c:v>
                </c:pt>
                <c:pt idx="519">
                  <c:v>2455218.6133599998</c:v>
                </c:pt>
                <c:pt idx="520">
                  <c:v>2455234.9670299999</c:v>
                </c:pt>
                <c:pt idx="521">
                  <c:v>2455251.4442199999</c:v>
                </c:pt>
                <c:pt idx="522">
                  <c:v>2455264.7041699998</c:v>
                </c:pt>
                <c:pt idx="523">
                  <c:v>2455284.2818399998</c:v>
                </c:pt>
                <c:pt idx="524">
                  <c:v>2455298.6203700001</c:v>
                </c:pt>
                <c:pt idx="525">
                  <c:v>2455311.7293500002</c:v>
                </c:pt>
                <c:pt idx="526">
                  <c:v>2455325.9330500001</c:v>
                </c:pt>
                <c:pt idx="527">
                  <c:v>2455341.2999999998</c:v>
                </c:pt>
                <c:pt idx="528">
                  <c:v>2455414.5652999999</c:v>
                </c:pt>
                <c:pt idx="529">
                  <c:v>2455448.73318</c:v>
                </c:pt>
                <c:pt idx="530">
                  <c:v>2455466.1132</c:v>
                </c:pt>
                <c:pt idx="531">
                  <c:v>2455479.1542600002</c:v>
                </c:pt>
                <c:pt idx="532">
                  <c:v>2455494.3101900001</c:v>
                </c:pt>
                <c:pt idx="533">
                  <c:v>2455511.02819</c:v>
                </c:pt>
                <c:pt idx="534">
                  <c:v>2455529.8838</c:v>
                </c:pt>
                <c:pt idx="535">
                  <c:v>2455541.0633100001</c:v>
                </c:pt>
                <c:pt idx="536">
                  <c:v>2455565.9139399999</c:v>
                </c:pt>
                <c:pt idx="537">
                  <c:v>2455578.4430499999</c:v>
                </c:pt>
                <c:pt idx="538">
                  <c:v>2455594.5496200002</c:v>
                </c:pt>
                <c:pt idx="539">
                  <c:v>2455609.74339</c:v>
                </c:pt>
                <c:pt idx="540">
                  <c:v>2455624.6648300001</c:v>
                </c:pt>
                <c:pt idx="541">
                  <c:v>2455642.0413600001</c:v>
                </c:pt>
                <c:pt idx="542">
                  <c:v>2455654.47664</c:v>
                </c:pt>
                <c:pt idx="543">
                  <c:v>2455670.0623699999</c:v>
                </c:pt>
                <c:pt idx="544">
                  <c:v>2455684.43927</c:v>
                </c:pt>
                <c:pt idx="545">
                  <c:v>2455776.6</c:v>
                </c:pt>
                <c:pt idx="546">
                  <c:v>2455803.76199</c:v>
                </c:pt>
                <c:pt idx="547">
                  <c:v>2455816.3044599998</c:v>
                </c:pt>
                <c:pt idx="548">
                  <c:v>2455833.51376</c:v>
                </c:pt>
                <c:pt idx="549">
                  <c:v>2455852.8007</c:v>
                </c:pt>
                <c:pt idx="550">
                  <c:v>2455870.2794499998</c:v>
                </c:pt>
                <c:pt idx="551">
                  <c:v>2455888.0104800002</c:v>
                </c:pt>
                <c:pt idx="552">
                  <c:v>2455903.1662900001</c:v>
                </c:pt>
                <c:pt idx="553">
                  <c:v>2455918.6068799999</c:v>
                </c:pt>
                <c:pt idx="554">
                  <c:v>2455935.8702699998</c:v>
                </c:pt>
                <c:pt idx="555">
                  <c:v>2455952.89169</c:v>
                </c:pt>
                <c:pt idx="556">
                  <c:v>2455968.7958200001</c:v>
                </c:pt>
                <c:pt idx="557">
                  <c:v>2455980.77147</c:v>
                </c:pt>
                <c:pt idx="558">
                  <c:v>2455997.4686699999</c:v>
                </c:pt>
                <c:pt idx="559">
                  <c:v>2456012.0178700001</c:v>
                </c:pt>
                <c:pt idx="560">
                  <c:v>2456026.57913</c:v>
                </c:pt>
                <c:pt idx="561">
                  <c:v>2456042.6189999999</c:v>
                </c:pt>
                <c:pt idx="562">
                  <c:v>2456057.8698</c:v>
                </c:pt>
                <c:pt idx="563">
                  <c:v>2456131.5882000001</c:v>
                </c:pt>
                <c:pt idx="564">
                  <c:v>2456164.92821</c:v>
                </c:pt>
                <c:pt idx="565">
                  <c:v>2456185.5481699998</c:v>
                </c:pt>
                <c:pt idx="566">
                  <c:v>2456203.2591599999</c:v>
                </c:pt>
                <c:pt idx="567">
                  <c:v>2456219.8132699998</c:v>
                </c:pt>
                <c:pt idx="568">
                  <c:v>2456240.8591999998</c:v>
                </c:pt>
                <c:pt idx="569">
                  <c:v>2456259.95059</c:v>
                </c:pt>
                <c:pt idx="570">
                  <c:v>2456275.1027000002</c:v>
                </c:pt>
                <c:pt idx="571">
                  <c:v>2456299.2394400002</c:v>
                </c:pt>
                <c:pt idx="572">
                  <c:v>2456310.9257499999</c:v>
                </c:pt>
                <c:pt idx="573">
                  <c:v>2456329.6107899998</c:v>
                </c:pt>
                <c:pt idx="574">
                  <c:v>2456345.01357</c:v>
                </c:pt>
                <c:pt idx="575">
                  <c:v>2456361.1165900002</c:v>
                </c:pt>
                <c:pt idx="576">
                  <c:v>2456376.3556599999</c:v>
                </c:pt>
                <c:pt idx="577">
                  <c:v>2456390.5026699998</c:v>
                </c:pt>
                <c:pt idx="578">
                  <c:v>2456408.5908900001</c:v>
                </c:pt>
                <c:pt idx="579">
                  <c:v>2456419.10513</c:v>
                </c:pt>
                <c:pt idx="580">
                  <c:v>2456493.5970000001</c:v>
                </c:pt>
                <c:pt idx="581">
                  <c:v>2456517.5630000001</c:v>
                </c:pt>
                <c:pt idx="582">
                  <c:v>2456545.28883</c:v>
                </c:pt>
                <c:pt idx="583">
                  <c:v>2456566.1554700001</c:v>
                </c:pt>
                <c:pt idx="584">
                  <c:v>2456578.4642500002</c:v>
                </c:pt>
                <c:pt idx="585">
                  <c:v>2456597.12115</c:v>
                </c:pt>
                <c:pt idx="586">
                  <c:v>2456610.5151800001</c:v>
                </c:pt>
                <c:pt idx="587">
                  <c:v>2456630.77813</c:v>
                </c:pt>
                <c:pt idx="588">
                  <c:v>2456647.5054600001</c:v>
                </c:pt>
                <c:pt idx="589">
                  <c:v>2456659.4975299998</c:v>
                </c:pt>
                <c:pt idx="590">
                  <c:v>2456676.6119900001</c:v>
                </c:pt>
                <c:pt idx="591">
                  <c:v>2456689.1715500001</c:v>
                </c:pt>
                <c:pt idx="592">
                  <c:v>2456709.1491999999</c:v>
                </c:pt>
                <c:pt idx="593">
                  <c:v>2456722.5979200001</c:v>
                </c:pt>
                <c:pt idx="594">
                  <c:v>2456739.4601500002</c:v>
                </c:pt>
                <c:pt idx="595">
                  <c:v>2456753.8745200001</c:v>
                </c:pt>
                <c:pt idx="596">
                  <c:v>2456769.5791099998</c:v>
                </c:pt>
                <c:pt idx="597">
                  <c:v>2456781.6068500001</c:v>
                </c:pt>
                <c:pt idx="598">
                  <c:v>2456867.08</c:v>
                </c:pt>
                <c:pt idx="599">
                  <c:v>2456889.8204299998</c:v>
                </c:pt>
                <c:pt idx="600">
                  <c:v>2456905.5883999998</c:v>
                </c:pt>
                <c:pt idx="601">
                  <c:v>2456923.9848699998</c:v>
                </c:pt>
                <c:pt idx="602">
                  <c:v>2456934.4274200001</c:v>
                </c:pt>
                <c:pt idx="603">
                  <c:v>2456955.4654600001</c:v>
                </c:pt>
                <c:pt idx="604">
                  <c:v>2456971.6367899999</c:v>
                </c:pt>
                <c:pt idx="605">
                  <c:v>2456987.40123</c:v>
                </c:pt>
                <c:pt idx="606">
                  <c:v>2457001.5581299998</c:v>
                </c:pt>
                <c:pt idx="607">
                  <c:v>2457015.8113600002</c:v>
                </c:pt>
                <c:pt idx="608">
                  <c:v>2457036.9898299999</c:v>
                </c:pt>
                <c:pt idx="609">
                  <c:v>2457051.4933000002</c:v>
                </c:pt>
                <c:pt idx="610">
                  <c:v>2457067.7166200001</c:v>
                </c:pt>
                <c:pt idx="611">
                  <c:v>2457083.3108399999</c:v>
                </c:pt>
                <c:pt idx="612">
                  <c:v>2457098.8210999998</c:v>
                </c:pt>
                <c:pt idx="613">
                  <c:v>2457114.2788399998</c:v>
                </c:pt>
                <c:pt idx="614">
                  <c:v>2457129.0850499999</c:v>
                </c:pt>
                <c:pt idx="615">
                  <c:v>2457145.5917099998</c:v>
                </c:pt>
                <c:pt idx="616">
                  <c:v>2457257.0392499999</c:v>
                </c:pt>
                <c:pt idx="617">
                  <c:v>2457275.2472999999</c:v>
                </c:pt>
                <c:pt idx="618">
                  <c:v>2457291.3447599998</c:v>
                </c:pt>
                <c:pt idx="619">
                  <c:v>2457311.3346899999</c:v>
                </c:pt>
                <c:pt idx="620">
                  <c:v>2457330.5700599998</c:v>
                </c:pt>
                <c:pt idx="621">
                  <c:v>2457345.20915</c:v>
                </c:pt>
                <c:pt idx="622">
                  <c:v>2457362.61472</c:v>
                </c:pt>
                <c:pt idx="623">
                  <c:v>2457377.5100699998</c:v>
                </c:pt>
                <c:pt idx="624">
                  <c:v>2457392.2312599998</c:v>
                </c:pt>
                <c:pt idx="625">
                  <c:v>2457406.4698700001</c:v>
                </c:pt>
                <c:pt idx="626">
                  <c:v>2457425.8265999998</c:v>
                </c:pt>
                <c:pt idx="627">
                  <c:v>2457439.8399700001</c:v>
                </c:pt>
                <c:pt idx="628">
                  <c:v>2457453.4487200002</c:v>
                </c:pt>
                <c:pt idx="629">
                  <c:v>2457468.8093500002</c:v>
                </c:pt>
                <c:pt idx="630">
                  <c:v>2457485.35971</c:v>
                </c:pt>
                <c:pt idx="631">
                  <c:v>2457501.5178999999</c:v>
                </c:pt>
                <c:pt idx="632">
                  <c:v>2457513.7264100001</c:v>
                </c:pt>
                <c:pt idx="633">
                  <c:v>2457606.33458</c:v>
                </c:pt>
                <c:pt idx="634">
                  <c:v>2457623.35934</c:v>
                </c:pt>
                <c:pt idx="635">
                  <c:v>2457640.1727700001</c:v>
                </c:pt>
                <c:pt idx="636">
                  <c:v>2457655.9305199999</c:v>
                </c:pt>
                <c:pt idx="637">
                  <c:v>2457667.1615200001</c:v>
                </c:pt>
                <c:pt idx="638">
                  <c:v>2457690.3993500001</c:v>
                </c:pt>
                <c:pt idx="639">
                  <c:v>2457708.68677</c:v>
                </c:pt>
                <c:pt idx="640">
                  <c:v>2457725.1745600002</c:v>
                </c:pt>
                <c:pt idx="641">
                  <c:v>2457741.8766700001</c:v>
                </c:pt>
                <c:pt idx="642">
                  <c:v>2457752.43071</c:v>
                </c:pt>
                <c:pt idx="643">
                  <c:v>2457762.37237</c:v>
                </c:pt>
                <c:pt idx="644">
                  <c:v>2457774.9954200001</c:v>
                </c:pt>
                <c:pt idx="645">
                  <c:v>2457783.5024799998</c:v>
                </c:pt>
                <c:pt idx="646">
                  <c:v>2457798.8605800001</c:v>
                </c:pt>
                <c:pt idx="647">
                  <c:v>2457806.4194499999</c:v>
                </c:pt>
                <c:pt idx="648">
                  <c:v>2457820.8765699998</c:v>
                </c:pt>
                <c:pt idx="649">
                  <c:v>2457830.6899100002</c:v>
                </c:pt>
                <c:pt idx="650">
                  <c:v>2457840.7507600002</c:v>
                </c:pt>
                <c:pt idx="651">
                  <c:v>2457852.13564</c:v>
                </c:pt>
                <c:pt idx="652">
                  <c:v>2457864.2798899999</c:v>
                </c:pt>
                <c:pt idx="653">
                  <c:v>2457873.6101600002</c:v>
                </c:pt>
                <c:pt idx="654">
                  <c:v>2457966.5819999999</c:v>
                </c:pt>
                <c:pt idx="655">
                  <c:v>2457981.7644400001</c:v>
                </c:pt>
                <c:pt idx="656">
                  <c:v>2457992.9218100002</c:v>
                </c:pt>
                <c:pt idx="657">
                  <c:v>2458002.0595200001</c:v>
                </c:pt>
                <c:pt idx="658">
                  <c:v>2458013.06195</c:v>
                </c:pt>
                <c:pt idx="659">
                  <c:v>2458024.5296200002</c:v>
                </c:pt>
                <c:pt idx="660">
                  <c:v>2458031.4256000002</c:v>
                </c:pt>
                <c:pt idx="661">
                  <c:v>2458045.8079300001</c:v>
                </c:pt>
                <c:pt idx="662">
                  <c:v>2458350</c:v>
                </c:pt>
                <c:pt idx="663">
                  <c:v>2458370</c:v>
                </c:pt>
                <c:pt idx="664">
                  <c:v>2458380</c:v>
                </c:pt>
                <c:pt idx="665">
                  <c:v>2458390</c:v>
                </c:pt>
                <c:pt idx="666">
                  <c:v>2458400</c:v>
                </c:pt>
                <c:pt idx="667">
                  <c:v>2458410</c:v>
                </c:pt>
                <c:pt idx="668">
                  <c:v>2458420</c:v>
                </c:pt>
                <c:pt idx="669">
                  <c:v>2458430</c:v>
                </c:pt>
                <c:pt idx="670">
                  <c:v>2458440</c:v>
                </c:pt>
                <c:pt idx="671">
                  <c:v>2458450</c:v>
                </c:pt>
                <c:pt idx="672">
                  <c:v>2458460</c:v>
                </c:pt>
                <c:pt idx="673">
                  <c:v>2458470</c:v>
                </c:pt>
                <c:pt idx="674">
                  <c:v>2458480</c:v>
                </c:pt>
                <c:pt idx="675">
                  <c:v>2458490</c:v>
                </c:pt>
                <c:pt idx="676">
                  <c:v>2458500</c:v>
                </c:pt>
                <c:pt idx="677">
                  <c:v>2458510</c:v>
                </c:pt>
                <c:pt idx="678">
                  <c:v>2458520</c:v>
                </c:pt>
                <c:pt idx="679">
                  <c:v>2458530</c:v>
                </c:pt>
                <c:pt idx="680">
                  <c:v>2458540</c:v>
                </c:pt>
                <c:pt idx="681">
                  <c:v>2458550</c:v>
                </c:pt>
                <c:pt idx="682">
                  <c:v>2458560</c:v>
                </c:pt>
                <c:pt idx="683">
                  <c:v>2458570</c:v>
                </c:pt>
                <c:pt idx="684">
                  <c:v>2458580</c:v>
                </c:pt>
                <c:pt idx="685">
                  <c:v>2458590</c:v>
                </c:pt>
                <c:pt idx="686">
                  <c:v>2458600</c:v>
                </c:pt>
                <c:pt idx="687">
                  <c:v>2458700</c:v>
                </c:pt>
                <c:pt idx="688">
                  <c:v>2458710</c:v>
                </c:pt>
                <c:pt idx="689">
                  <c:v>2458720</c:v>
                </c:pt>
                <c:pt idx="690">
                  <c:v>2458730</c:v>
                </c:pt>
                <c:pt idx="691">
                  <c:v>2458740</c:v>
                </c:pt>
                <c:pt idx="692">
                  <c:v>2458750</c:v>
                </c:pt>
                <c:pt idx="693">
                  <c:v>2458760</c:v>
                </c:pt>
                <c:pt idx="694">
                  <c:v>2458770</c:v>
                </c:pt>
                <c:pt idx="695">
                  <c:v>2458780</c:v>
                </c:pt>
                <c:pt idx="696">
                  <c:v>2458790</c:v>
                </c:pt>
                <c:pt idx="697">
                  <c:v>2458800</c:v>
                </c:pt>
                <c:pt idx="698">
                  <c:v>2458810</c:v>
                </c:pt>
                <c:pt idx="699">
                  <c:v>2458820</c:v>
                </c:pt>
                <c:pt idx="700">
                  <c:v>2458830</c:v>
                </c:pt>
                <c:pt idx="701">
                  <c:v>2458840</c:v>
                </c:pt>
                <c:pt idx="702">
                  <c:v>2458850</c:v>
                </c:pt>
                <c:pt idx="703">
                  <c:v>2458860</c:v>
                </c:pt>
                <c:pt idx="704">
                  <c:v>2458870</c:v>
                </c:pt>
                <c:pt idx="705">
                  <c:v>2458880</c:v>
                </c:pt>
                <c:pt idx="706">
                  <c:v>2458890</c:v>
                </c:pt>
                <c:pt idx="707">
                  <c:v>2458900</c:v>
                </c:pt>
                <c:pt idx="708">
                  <c:v>2458910</c:v>
                </c:pt>
                <c:pt idx="709">
                  <c:v>2458920</c:v>
                </c:pt>
                <c:pt idx="710">
                  <c:v>2458930</c:v>
                </c:pt>
                <c:pt idx="711">
                  <c:v>2458940</c:v>
                </c:pt>
                <c:pt idx="712">
                  <c:v>2458950</c:v>
                </c:pt>
                <c:pt idx="713">
                  <c:v>2458960</c:v>
                </c:pt>
                <c:pt idx="714">
                  <c:v>2458970</c:v>
                </c:pt>
                <c:pt idx="715">
                  <c:v>2459060</c:v>
                </c:pt>
                <c:pt idx="716">
                  <c:v>2459070</c:v>
                </c:pt>
                <c:pt idx="717">
                  <c:v>2459080</c:v>
                </c:pt>
                <c:pt idx="718">
                  <c:v>2459090</c:v>
                </c:pt>
                <c:pt idx="719">
                  <c:v>2459100</c:v>
                </c:pt>
                <c:pt idx="720">
                  <c:v>2459110</c:v>
                </c:pt>
                <c:pt idx="721">
                  <c:v>2459120</c:v>
                </c:pt>
                <c:pt idx="722">
                  <c:v>2459130</c:v>
                </c:pt>
                <c:pt idx="723">
                  <c:v>2459140</c:v>
                </c:pt>
                <c:pt idx="724">
                  <c:v>2459150</c:v>
                </c:pt>
                <c:pt idx="725">
                  <c:v>2459160</c:v>
                </c:pt>
                <c:pt idx="726">
                  <c:v>2459170</c:v>
                </c:pt>
                <c:pt idx="727">
                  <c:v>2459180</c:v>
                </c:pt>
                <c:pt idx="728">
                  <c:v>2459190</c:v>
                </c:pt>
                <c:pt idx="729">
                  <c:v>2459200</c:v>
                </c:pt>
                <c:pt idx="730">
                  <c:v>2459210</c:v>
                </c:pt>
                <c:pt idx="731">
                  <c:v>2459220</c:v>
                </c:pt>
                <c:pt idx="732">
                  <c:v>2459230</c:v>
                </c:pt>
                <c:pt idx="733">
                  <c:v>2459240</c:v>
                </c:pt>
                <c:pt idx="734">
                  <c:v>2459250</c:v>
                </c:pt>
                <c:pt idx="735">
                  <c:v>2459260</c:v>
                </c:pt>
                <c:pt idx="736">
                  <c:v>2459270</c:v>
                </c:pt>
                <c:pt idx="737">
                  <c:v>2459280</c:v>
                </c:pt>
                <c:pt idx="738">
                  <c:v>2459290</c:v>
                </c:pt>
                <c:pt idx="739">
                  <c:v>2459300</c:v>
                </c:pt>
                <c:pt idx="740">
                  <c:v>2459310</c:v>
                </c:pt>
                <c:pt idx="741">
                  <c:v>2459320</c:v>
                </c:pt>
                <c:pt idx="742">
                  <c:v>2459330</c:v>
                </c:pt>
              </c:numCache>
            </c:numRef>
          </c:xVal>
          <c:yVal>
            <c:numRef>
              <c:f>Vis!$C$1:$C$1155</c:f>
              <c:numCache>
                <c:formatCode>General</c:formatCode>
                <c:ptCount val="1155"/>
                <c:pt idx="0">
                  <c:v>8.9</c:v>
                </c:pt>
                <c:pt idx="1">
                  <c:v>10</c:v>
                </c:pt>
                <c:pt idx="2">
                  <c:v>10.1</c:v>
                </c:pt>
                <c:pt idx="3">
                  <c:v>9.8000000000000007</c:v>
                </c:pt>
                <c:pt idx="4">
                  <c:v>9.5</c:v>
                </c:pt>
                <c:pt idx="5">
                  <c:v>9.0500000000000007</c:v>
                </c:pt>
                <c:pt idx="6">
                  <c:v>8.7249999999999996</c:v>
                </c:pt>
                <c:pt idx="7">
                  <c:v>8.35</c:v>
                </c:pt>
                <c:pt idx="8">
                  <c:v>8.7750000000000004</c:v>
                </c:pt>
                <c:pt idx="9">
                  <c:v>8.6999999999999993</c:v>
                </c:pt>
                <c:pt idx="10">
                  <c:v>8.9</c:v>
                </c:pt>
                <c:pt idx="11">
                  <c:v>10.1</c:v>
                </c:pt>
                <c:pt idx="12">
                  <c:v>10.199999999999999</c:v>
                </c:pt>
                <c:pt idx="13">
                  <c:v>9.5</c:v>
                </c:pt>
                <c:pt idx="14">
                  <c:v>9.233333</c:v>
                </c:pt>
                <c:pt idx="15">
                  <c:v>9.9</c:v>
                </c:pt>
                <c:pt idx="16">
                  <c:v>9.3000000000000007</c:v>
                </c:pt>
                <c:pt idx="17">
                  <c:v>8.8000000000000007</c:v>
                </c:pt>
                <c:pt idx="18">
                  <c:v>8.5</c:v>
                </c:pt>
                <c:pt idx="19">
                  <c:v>8.5500000000000007</c:v>
                </c:pt>
                <c:pt idx="20">
                  <c:v>9.9</c:v>
                </c:pt>
                <c:pt idx="21">
                  <c:v>9.75</c:v>
                </c:pt>
                <c:pt idx="22">
                  <c:v>9.4</c:v>
                </c:pt>
                <c:pt idx="23">
                  <c:v>8.75</c:v>
                </c:pt>
                <c:pt idx="24">
                  <c:v>8.5</c:v>
                </c:pt>
                <c:pt idx="25">
                  <c:v>10</c:v>
                </c:pt>
                <c:pt idx="26">
                  <c:v>8.8000000000000007</c:v>
                </c:pt>
                <c:pt idx="27">
                  <c:v>9.4</c:v>
                </c:pt>
                <c:pt idx="28">
                  <c:v>8.75</c:v>
                </c:pt>
                <c:pt idx="29">
                  <c:v>8.5</c:v>
                </c:pt>
                <c:pt idx="30">
                  <c:v>8.9</c:v>
                </c:pt>
                <c:pt idx="31">
                  <c:v>9.3000000000000007</c:v>
                </c:pt>
                <c:pt idx="32">
                  <c:v>11</c:v>
                </c:pt>
                <c:pt idx="33">
                  <c:v>10.25</c:v>
                </c:pt>
                <c:pt idx="34">
                  <c:v>9.3000000000000007</c:v>
                </c:pt>
                <c:pt idx="35">
                  <c:v>7.9</c:v>
                </c:pt>
                <c:pt idx="36">
                  <c:v>8.4</c:v>
                </c:pt>
                <c:pt idx="37">
                  <c:v>8.9</c:v>
                </c:pt>
                <c:pt idx="38">
                  <c:v>10.3</c:v>
                </c:pt>
                <c:pt idx="39">
                  <c:v>10.5</c:v>
                </c:pt>
                <c:pt idx="40">
                  <c:v>10.7</c:v>
                </c:pt>
                <c:pt idx="41">
                  <c:v>9.1999999999999993</c:v>
                </c:pt>
                <c:pt idx="42">
                  <c:v>8.9</c:v>
                </c:pt>
                <c:pt idx="43">
                  <c:v>8.9499999999999993</c:v>
                </c:pt>
                <c:pt idx="44">
                  <c:v>8.6999999999999993</c:v>
                </c:pt>
                <c:pt idx="45">
                  <c:v>9.1999999999999993</c:v>
                </c:pt>
                <c:pt idx="46">
                  <c:v>9.8000000000000007</c:v>
                </c:pt>
                <c:pt idx="47">
                  <c:v>11.25</c:v>
                </c:pt>
                <c:pt idx="48">
                  <c:v>10</c:v>
                </c:pt>
                <c:pt idx="49">
                  <c:v>8.9</c:v>
                </c:pt>
                <c:pt idx="50">
                  <c:v>8.6999999999999993</c:v>
                </c:pt>
                <c:pt idx="51">
                  <c:v>10.3</c:v>
                </c:pt>
                <c:pt idx="52">
                  <c:v>9.5</c:v>
                </c:pt>
                <c:pt idx="53">
                  <c:v>10</c:v>
                </c:pt>
                <c:pt idx="54">
                  <c:v>7.5</c:v>
                </c:pt>
                <c:pt idx="55">
                  <c:v>8</c:v>
                </c:pt>
                <c:pt idx="56">
                  <c:v>10.5</c:v>
                </c:pt>
                <c:pt idx="57">
                  <c:v>9.5</c:v>
                </c:pt>
                <c:pt idx="58">
                  <c:v>10</c:v>
                </c:pt>
                <c:pt idx="59">
                  <c:v>10.5</c:v>
                </c:pt>
                <c:pt idx="60">
                  <c:v>10</c:v>
                </c:pt>
                <c:pt idx="61">
                  <c:v>8.1999999999999993</c:v>
                </c:pt>
                <c:pt idx="62">
                  <c:v>10.4</c:v>
                </c:pt>
                <c:pt idx="63">
                  <c:v>10.133333</c:v>
                </c:pt>
                <c:pt idx="64">
                  <c:v>8.2249999999999996</c:v>
                </c:pt>
                <c:pt idx="65">
                  <c:v>8.6999999999999993</c:v>
                </c:pt>
                <c:pt idx="66">
                  <c:v>8.6333330000000004</c:v>
                </c:pt>
                <c:pt idx="67">
                  <c:v>8.8000000000000007</c:v>
                </c:pt>
                <c:pt idx="68">
                  <c:v>8.9333329999999993</c:v>
                </c:pt>
                <c:pt idx="69">
                  <c:v>9.3249999999999993</c:v>
                </c:pt>
                <c:pt idx="70">
                  <c:v>9.4499999999999993</c:v>
                </c:pt>
                <c:pt idx="71">
                  <c:v>9.375</c:v>
                </c:pt>
                <c:pt idx="72">
                  <c:v>9.5</c:v>
                </c:pt>
                <c:pt idx="73">
                  <c:v>9.25</c:v>
                </c:pt>
                <c:pt idx="74">
                  <c:v>9.5</c:v>
                </c:pt>
                <c:pt idx="75">
                  <c:v>8.75</c:v>
                </c:pt>
                <c:pt idx="76">
                  <c:v>8.5333330000000007</c:v>
                </c:pt>
                <c:pt idx="77">
                  <c:v>8.483333</c:v>
                </c:pt>
                <c:pt idx="78">
                  <c:v>8.5857139999999994</c:v>
                </c:pt>
                <c:pt idx="79">
                  <c:v>8.4285709999999998</c:v>
                </c:pt>
                <c:pt idx="80">
                  <c:v>8.4538460000000004</c:v>
                </c:pt>
                <c:pt idx="81">
                  <c:v>8.56</c:v>
                </c:pt>
                <c:pt idx="82">
                  <c:v>9</c:v>
                </c:pt>
                <c:pt idx="83">
                  <c:v>8.9</c:v>
                </c:pt>
                <c:pt idx="84">
                  <c:v>9.4</c:v>
                </c:pt>
                <c:pt idx="85">
                  <c:v>9.48</c:v>
                </c:pt>
                <c:pt idx="86">
                  <c:v>8.9499999999999993</c:v>
                </c:pt>
                <c:pt idx="87">
                  <c:v>8.9</c:v>
                </c:pt>
                <c:pt idx="88">
                  <c:v>8.7249999999999996</c:v>
                </c:pt>
                <c:pt idx="89">
                  <c:v>8.1</c:v>
                </c:pt>
                <c:pt idx="90">
                  <c:v>8.3000000000000007</c:v>
                </c:pt>
                <c:pt idx="91">
                  <c:v>8.4333329999999993</c:v>
                </c:pt>
                <c:pt idx="92">
                  <c:v>8.4533330000000007</c:v>
                </c:pt>
                <c:pt idx="93">
                  <c:v>8.5285709999999995</c:v>
                </c:pt>
                <c:pt idx="94">
                  <c:v>8.9333329999999993</c:v>
                </c:pt>
                <c:pt idx="95">
                  <c:v>8.85</c:v>
                </c:pt>
                <c:pt idx="96">
                  <c:v>9</c:v>
                </c:pt>
                <c:pt idx="97">
                  <c:v>9.15</c:v>
                </c:pt>
                <c:pt idx="98">
                  <c:v>9.0666670000000007</c:v>
                </c:pt>
                <c:pt idx="99">
                  <c:v>8.6199999999999992</c:v>
                </c:pt>
                <c:pt idx="100">
                  <c:v>8.1999999999999993</c:v>
                </c:pt>
                <c:pt idx="101">
                  <c:v>8.0222219999999993</c:v>
                </c:pt>
                <c:pt idx="102">
                  <c:v>8.0714290000000002</c:v>
                </c:pt>
                <c:pt idx="103">
                  <c:v>8.1624999999999996</c:v>
                </c:pt>
                <c:pt idx="104">
                  <c:v>8.4</c:v>
                </c:pt>
                <c:pt idx="105">
                  <c:v>8.4666669999999993</c:v>
                </c:pt>
                <c:pt idx="106">
                  <c:v>8.6333330000000004</c:v>
                </c:pt>
                <c:pt idx="107">
                  <c:v>9.6999999999999993</c:v>
                </c:pt>
                <c:pt idx="108">
                  <c:v>9.1666670000000003</c:v>
                </c:pt>
                <c:pt idx="109">
                  <c:v>9.1</c:v>
                </c:pt>
                <c:pt idx="110">
                  <c:v>8.1999999999999993</c:v>
                </c:pt>
                <c:pt idx="111">
                  <c:v>7.9166670000000003</c:v>
                </c:pt>
                <c:pt idx="112">
                  <c:v>7.9888890000000004</c:v>
                </c:pt>
                <c:pt idx="113">
                  <c:v>8.1583330000000007</c:v>
                </c:pt>
                <c:pt idx="114">
                  <c:v>8.1</c:v>
                </c:pt>
                <c:pt idx="115">
                  <c:v>8.0666670000000007</c:v>
                </c:pt>
                <c:pt idx="116">
                  <c:v>9.3000000000000007</c:v>
                </c:pt>
                <c:pt idx="117">
                  <c:v>10.7</c:v>
                </c:pt>
                <c:pt idx="118">
                  <c:v>10</c:v>
                </c:pt>
                <c:pt idx="119">
                  <c:v>9.375</c:v>
                </c:pt>
                <c:pt idx="120">
                  <c:v>9.08</c:v>
                </c:pt>
                <c:pt idx="121">
                  <c:v>8.64</c:v>
                </c:pt>
                <c:pt idx="122">
                  <c:v>8.2799999999999994</c:v>
                </c:pt>
                <c:pt idx="123">
                  <c:v>7.9454549999999999</c:v>
                </c:pt>
                <c:pt idx="124">
                  <c:v>7.8833330000000004</c:v>
                </c:pt>
                <c:pt idx="125">
                  <c:v>8.0444440000000004</c:v>
                </c:pt>
                <c:pt idx="126">
                  <c:v>9.4</c:v>
                </c:pt>
                <c:pt idx="127">
                  <c:v>9.5</c:v>
                </c:pt>
                <c:pt idx="128">
                  <c:v>9.9</c:v>
                </c:pt>
                <c:pt idx="129">
                  <c:v>10.1</c:v>
                </c:pt>
                <c:pt idx="130">
                  <c:v>9.3000000000000007</c:v>
                </c:pt>
                <c:pt idx="131">
                  <c:v>9.1333330000000004</c:v>
                </c:pt>
                <c:pt idx="132">
                  <c:v>9.1333330000000004</c:v>
                </c:pt>
                <c:pt idx="133">
                  <c:v>9.0399999999999991</c:v>
                </c:pt>
                <c:pt idx="134">
                  <c:v>8.56</c:v>
                </c:pt>
                <c:pt idx="135">
                  <c:v>8.2777779999999996</c:v>
                </c:pt>
                <c:pt idx="136">
                  <c:v>8.0500000000000007</c:v>
                </c:pt>
                <c:pt idx="137">
                  <c:v>8.9</c:v>
                </c:pt>
                <c:pt idx="138">
                  <c:v>9.3333329999999997</c:v>
                </c:pt>
                <c:pt idx="139">
                  <c:v>9.4</c:v>
                </c:pt>
                <c:pt idx="140">
                  <c:v>10.050000000000001</c:v>
                </c:pt>
                <c:pt idx="141">
                  <c:v>10.3</c:v>
                </c:pt>
                <c:pt idx="142">
                  <c:v>10.6</c:v>
                </c:pt>
                <c:pt idx="143">
                  <c:v>9.8000000000000007</c:v>
                </c:pt>
                <c:pt idx="144">
                  <c:v>9.4499999999999993</c:v>
                </c:pt>
                <c:pt idx="145">
                  <c:v>9.3000000000000007</c:v>
                </c:pt>
                <c:pt idx="146">
                  <c:v>8.9499999999999993</c:v>
                </c:pt>
                <c:pt idx="147">
                  <c:v>9.0500000000000007</c:v>
                </c:pt>
                <c:pt idx="148">
                  <c:v>8.8000000000000007</c:v>
                </c:pt>
                <c:pt idx="149">
                  <c:v>8.5500000000000007</c:v>
                </c:pt>
                <c:pt idx="150">
                  <c:v>8.8000000000000007</c:v>
                </c:pt>
                <c:pt idx="151">
                  <c:v>9.0333330000000007</c:v>
                </c:pt>
                <c:pt idx="152">
                  <c:v>9</c:v>
                </c:pt>
                <c:pt idx="153">
                  <c:v>10.199999999999999</c:v>
                </c:pt>
                <c:pt idx="154">
                  <c:v>10.15</c:v>
                </c:pt>
                <c:pt idx="155">
                  <c:v>9.6999999999999993</c:v>
                </c:pt>
                <c:pt idx="156">
                  <c:v>10.199999999999999</c:v>
                </c:pt>
                <c:pt idx="157">
                  <c:v>10.4</c:v>
                </c:pt>
                <c:pt idx="158">
                  <c:v>9.8000000000000007</c:v>
                </c:pt>
                <c:pt idx="159">
                  <c:v>9.8249999999999993</c:v>
                </c:pt>
                <c:pt idx="160">
                  <c:v>9.2200000000000006</c:v>
                </c:pt>
                <c:pt idx="161">
                  <c:v>9.2375000000000007</c:v>
                </c:pt>
                <c:pt idx="162">
                  <c:v>8.4</c:v>
                </c:pt>
                <c:pt idx="163">
                  <c:v>8.4</c:v>
                </c:pt>
                <c:pt idx="164">
                  <c:v>8.5571429999999999</c:v>
                </c:pt>
                <c:pt idx="165">
                  <c:v>8.766667</c:v>
                </c:pt>
                <c:pt idx="166">
                  <c:v>9.3000000000000007</c:v>
                </c:pt>
                <c:pt idx="167">
                  <c:v>9.1199999999999992</c:v>
                </c:pt>
                <c:pt idx="168">
                  <c:v>8.9499999999999993</c:v>
                </c:pt>
                <c:pt idx="169">
                  <c:v>9.5500000000000007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10.1</c:v>
                </c:pt>
                <c:pt idx="173">
                  <c:v>10.085713999999999</c:v>
                </c:pt>
                <c:pt idx="174">
                  <c:v>10</c:v>
                </c:pt>
                <c:pt idx="175">
                  <c:v>9.6384620000000005</c:v>
                </c:pt>
                <c:pt idx="176">
                  <c:v>9.5</c:v>
                </c:pt>
                <c:pt idx="177">
                  <c:v>8.3000000000000007</c:v>
                </c:pt>
                <c:pt idx="178">
                  <c:v>8.6999999999999993</c:v>
                </c:pt>
                <c:pt idx="179">
                  <c:v>8.75</c:v>
                </c:pt>
                <c:pt idx="180">
                  <c:v>9.1166669999999996</c:v>
                </c:pt>
                <c:pt idx="181">
                  <c:v>9.0875000000000004</c:v>
                </c:pt>
                <c:pt idx="182">
                  <c:v>9.2200000000000006</c:v>
                </c:pt>
                <c:pt idx="183">
                  <c:v>9.6666670000000003</c:v>
                </c:pt>
                <c:pt idx="184">
                  <c:v>10.1</c:v>
                </c:pt>
                <c:pt idx="185">
                  <c:v>10.1</c:v>
                </c:pt>
                <c:pt idx="186">
                  <c:v>9.9499999999999993</c:v>
                </c:pt>
                <c:pt idx="187">
                  <c:v>10.014286</c:v>
                </c:pt>
                <c:pt idx="188">
                  <c:v>10.199999999999999</c:v>
                </c:pt>
                <c:pt idx="189">
                  <c:v>10.26</c:v>
                </c:pt>
                <c:pt idx="190">
                  <c:v>10.033333000000001</c:v>
                </c:pt>
                <c:pt idx="191">
                  <c:v>8.6</c:v>
                </c:pt>
                <c:pt idx="192">
                  <c:v>8.5250000000000004</c:v>
                </c:pt>
                <c:pt idx="193">
                  <c:v>8.5500000000000007</c:v>
                </c:pt>
                <c:pt idx="194">
                  <c:v>8.9</c:v>
                </c:pt>
                <c:pt idx="195">
                  <c:v>9.0857139999999994</c:v>
                </c:pt>
                <c:pt idx="196">
                  <c:v>9.15</c:v>
                </c:pt>
                <c:pt idx="197">
                  <c:v>9.32</c:v>
                </c:pt>
                <c:pt idx="198">
                  <c:v>9.3000000000000007</c:v>
                </c:pt>
                <c:pt idx="199">
                  <c:v>9.5374999999999996</c:v>
                </c:pt>
                <c:pt idx="200">
                  <c:v>10.574999999999999</c:v>
                </c:pt>
                <c:pt idx="201">
                  <c:v>10.475</c:v>
                </c:pt>
                <c:pt idx="202">
                  <c:v>9.8249999999999993</c:v>
                </c:pt>
                <c:pt idx="203">
                  <c:v>9.5</c:v>
                </c:pt>
                <c:pt idx="204">
                  <c:v>9.3000000000000007</c:v>
                </c:pt>
                <c:pt idx="205">
                  <c:v>8.9339999999999993</c:v>
                </c:pt>
                <c:pt idx="206">
                  <c:v>8.8071429999999999</c:v>
                </c:pt>
                <c:pt idx="207">
                  <c:v>8.8238099999999999</c:v>
                </c:pt>
                <c:pt idx="208">
                  <c:v>9.016667</c:v>
                </c:pt>
                <c:pt idx="209">
                  <c:v>9.1560000000000006</c:v>
                </c:pt>
                <c:pt idx="210">
                  <c:v>9.5366669999999996</c:v>
                </c:pt>
                <c:pt idx="211">
                  <c:v>9.8800000000000008</c:v>
                </c:pt>
                <c:pt idx="212">
                  <c:v>10.262499999999999</c:v>
                </c:pt>
                <c:pt idx="213">
                  <c:v>10.2125</c:v>
                </c:pt>
                <c:pt idx="214">
                  <c:v>10.262499999999999</c:v>
                </c:pt>
                <c:pt idx="215">
                  <c:v>10.628571000000001</c:v>
                </c:pt>
                <c:pt idx="216">
                  <c:v>10.56</c:v>
                </c:pt>
                <c:pt idx="217">
                  <c:v>10.233333</c:v>
                </c:pt>
                <c:pt idx="218">
                  <c:v>9.9285709999999998</c:v>
                </c:pt>
                <c:pt idx="219">
                  <c:v>10.5</c:v>
                </c:pt>
                <c:pt idx="220">
                  <c:v>9.9</c:v>
                </c:pt>
                <c:pt idx="221">
                  <c:v>9.65</c:v>
                </c:pt>
                <c:pt idx="222">
                  <c:v>9.9499999999999993</c:v>
                </c:pt>
                <c:pt idx="223">
                  <c:v>9.8000000000000007</c:v>
                </c:pt>
                <c:pt idx="224">
                  <c:v>10</c:v>
                </c:pt>
                <c:pt idx="225">
                  <c:v>9.6875</c:v>
                </c:pt>
                <c:pt idx="226">
                  <c:v>10.022</c:v>
                </c:pt>
                <c:pt idx="227">
                  <c:v>9.8428570000000004</c:v>
                </c:pt>
                <c:pt idx="228">
                  <c:v>10.142856999999999</c:v>
                </c:pt>
                <c:pt idx="229">
                  <c:v>10.412105</c:v>
                </c:pt>
                <c:pt idx="230">
                  <c:v>10.380833000000001</c:v>
                </c:pt>
                <c:pt idx="231">
                  <c:v>10.305999999999999</c:v>
                </c:pt>
                <c:pt idx="232">
                  <c:v>10.7</c:v>
                </c:pt>
                <c:pt idx="233">
                  <c:v>10.675000000000001</c:v>
                </c:pt>
                <c:pt idx="234">
                  <c:v>10.6</c:v>
                </c:pt>
                <c:pt idx="235">
                  <c:v>10.0625</c:v>
                </c:pt>
                <c:pt idx="236">
                  <c:v>9.76</c:v>
                </c:pt>
                <c:pt idx="237">
                  <c:v>9.5529410000000006</c:v>
                </c:pt>
                <c:pt idx="238">
                  <c:v>9.2166669999999993</c:v>
                </c:pt>
                <c:pt idx="239">
                  <c:v>9.2026920000000008</c:v>
                </c:pt>
                <c:pt idx="240">
                  <c:v>8.9721050000000009</c:v>
                </c:pt>
                <c:pt idx="241">
                  <c:v>8.9364290000000004</c:v>
                </c:pt>
                <c:pt idx="242">
                  <c:v>8.9945000000000004</c:v>
                </c:pt>
                <c:pt idx="243">
                  <c:v>9.0869999999999997</c:v>
                </c:pt>
                <c:pt idx="244">
                  <c:v>9.1090909999999994</c:v>
                </c:pt>
                <c:pt idx="245">
                  <c:v>9.3360000000000003</c:v>
                </c:pt>
                <c:pt idx="246">
                  <c:v>9.5043749999999996</c:v>
                </c:pt>
                <c:pt idx="247">
                  <c:v>9.8275000000000006</c:v>
                </c:pt>
                <c:pt idx="248">
                  <c:v>9.9939999999999998</c:v>
                </c:pt>
                <c:pt idx="249">
                  <c:v>10.5</c:v>
                </c:pt>
                <c:pt idx="250">
                  <c:v>9.98</c:v>
                </c:pt>
                <c:pt idx="251">
                  <c:v>10.138571000000001</c:v>
                </c:pt>
                <c:pt idx="252">
                  <c:v>9.8249999999999993</c:v>
                </c:pt>
                <c:pt idx="253">
                  <c:v>9.7323079999999997</c:v>
                </c:pt>
                <c:pt idx="254">
                  <c:v>9.4845450000000007</c:v>
                </c:pt>
                <c:pt idx="255">
                  <c:v>9.4253850000000003</c:v>
                </c:pt>
                <c:pt idx="256">
                  <c:v>9.2663639999999994</c:v>
                </c:pt>
                <c:pt idx="257">
                  <c:v>9.2082610000000003</c:v>
                </c:pt>
                <c:pt idx="258">
                  <c:v>9.2579999999999991</c:v>
                </c:pt>
                <c:pt idx="259">
                  <c:v>9.224615</c:v>
                </c:pt>
                <c:pt idx="260">
                  <c:v>9.2428000000000008</c:v>
                </c:pt>
                <c:pt idx="261">
                  <c:v>9.2200000000000006</c:v>
                </c:pt>
                <c:pt idx="262">
                  <c:v>9.2486359999999994</c:v>
                </c:pt>
                <c:pt idx="263">
                  <c:v>9.3030430000000006</c:v>
                </c:pt>
                <c:pt idx="264">
                  <c:v>9.6</c:v>
                </c:pt>
                <c:pt idx="265">
                  <c:v>9.98</c:v>
                </c:pt>
                <c:pt idx="266">
                  <c:v>10.085713999999999</c:v>
                </c:pt>
                <c:pt idx="267">
                  <c:v>10.118570999999999</c:v>
                </c:pt>
                <c:pt idx="268">
                  <c:v>10.4125</c:v>
                </c:pt>
                <c:pt idx="269">
                  <c:v>9.85</c:v>
                </c:pt>
                <c:pt idx="270">
                  <c:v>9.8620000000000001</c:v>
                </c:pt>
                <c:pt idx="271">
                  <c:v>9.762143</c:v>
                </c:pt>
                <c:pt idx="272">
                  <c:v>9.4789999999999992</c:v>
                </c:pt>
                <c:pt idx="273">
                  <c:v>9.4035709999999995</c:v>
                </c:pt>
                <c:pt idx="274">
                  <c:v>8.8722220000000007</c:v>
                </c:pt>
                <c:pt idx="275">
                  <c:v>8.8142859999999992</c:v>
                </c:pt>
                <c:pt idx="276">
                  <c:v>8.6188889999999994</c:v>
                </c:pt>
                <c:pt idx="277">
                  <c:v>8.6346150000000002</c:v>
                </c:pt>
                <c:pt idx="278">
                  <c:v>8.6769230000000004</c:v>
                </c:pt>
                <c:pt idx="279">
                  <c:v>8.7584619999999997</c:v>
                </c:pt>
                <c:pt idx="280">
                  <c:v>9.0549999999999997</c:v>
                </c:pt>
                <c:pt idx="281">
                  <c:v>9.1412499999999994</c:v>
                </c:pt>
                <c:pt idx="282">
                  <c:v>9.15</c:v>
                </c:pt>
                <c:pt idx="283">
                  <c:v>10.8</c:v>
                </c:pt>
                <c:pt idx="284">
                  <c:v>10.3</c:v>
                </c:pt>
                <c:pt idx="285">
                  <c:v>10.1</c:v>
                </c:pt>
                <c:pt idx="286">
                  <c:v>10.057499999999999</c:v>
                </c:pt>
                <c:pt idx="287">
                  <c:v>10.085000000000001</c:v>
                </c:pt>
                <c:pt idx="288">
                  <c:v>10.17</c:v>
                </c:pt>
                <c:pt idx="289">
                  <c:v>9.6954550000000008</c:v>
                </c:pt>
                <c:pt idx="290">
                  <c:v>9.5374999999999996</c:v>
                </c:pt>
                <c:pt idx="291">
                  <c:v>9.3214290000000002</c:v>
                </c:pt>
                <c:pt idx="292">
                  <c:v>9.3000000000000007</c:v>
                </c:pt>
                <c:pt idx="293">
                  <c:v>8.8961109999999994</c:v>
                </c:pt>
                <c:pt idx="294">
                  <c:v>8.6014999999999997</c:v>
                </c:pt>
                <c:pt idx="295">
                  <c:v>8.3857140000000001</c:v>
                </c:pt>
                <c:pt idx="296">
                  <c:v>8.3856249999999992</c:v>
                </c:pt>
                <c:pt idx="297">
                  <c:v>8.3143750000000001</c:v>
                </c:pt>
                <c:pt idx="298">
                  <c:v>8.5020000000000007</c:v>
                </c:pt>
                <c:pt idx="299">
                  <c:v>8.8000000000000007</c:v>
                </c:pt>
                <c:pt idx="300">
                  <c:v>9.1</c:v>
                </c:pt>
                <c:pt idx="301">
                  <c:v>8.9666669999999993</c:v>
                </c:pt>
                <c:pt idx="302">
                  <c:v>9.9</c:v>
                </c:pt>
                <c:pt idx="303">
                  <c:v>9.766667</c:v>
                </c:pt>
                <c:pt idx="304">
                  <c:v>9.9499999999999993</c:v>
                </c:pt>
                <c:pt idx="305">
                  <c:v>10.074999999999999</c:v>
                </c:pt>
                <c:pt idx="306">
                  <c:v>10.050000000000001</c:v>
                </c:pt>
                <c:pt idx="307">
                  <c:v>9.8166670000000007</c:v>
                </c:pt>
                <c:pt idx="308">
                  <c:v>9.7208330000000007</c:v>
                </c:pt>
                <c:pt idx="309">
                  <c:v>9.6281250000000007</c:v>
                </c:pt>
                <c:pt idx="310">
                  <c:v>9.4295650000000002</c:v>
                </c:pt>
                <c:pt idx="311">
                  <c:v>9.1686669999999992</c:v>
                </c:pt>
                <c:pt idx="312">
                  <c:v>8.8723080000000003</c:v>
                </c:pt>
                <c:pt idx="313">
                  <c:v>8.5441179999999992</c:v>
                </c:pt>
                <c:pt idx="314">
                  <c:v>8.5954549999999994</c:v>
                </c:pt>
                <c:pt idx="315">
                  <c:v>8.61</c:v>
                </c:pt>
                <c:pt idx="316">
                  <c:v>8.65</c:v>
                </c:pt>
                <c:pt idx="317">
                  <c:v>9.3000000000000007</c:v>
                </c:pt>
                <c:pt idx="318">
                  <c:v>9.6333330000000004</c:v>
                </c:pt>
                <c:pt idx="319">
                  <c:v>10.36</c:v>
                </c:pt>
                <c:pt idx="320">
                  <c:v>9.9</c:v>
                </c:pt>
                <c:pt idx="321">
                  <c:v>10.4</c:v>
                </c:pt>
                <c:pt idx="322">
                  <c:v>10.525</c:v>
                </c:pt>
                <c:pt idx="323">
                  <c:v>10.606249999999999</c:v>
                </c:pt>
                <c:pt idx="324">
                  <c:v>10.536842</c:v>
                </c:pt>
                <c:pt idx="325">
                  <c:v>9.9528569999999998</c:v>
                </c:pt>
                <c:pt idx="326">
                  <c:v>9.9361540000000002</c:v>
                </c:pt>
                <c:pt idx="327">
                  <c:v>9.7542860000000005</c:v>
                </c:pt>
                <c:pt idx="328">
                  <c:v>9.6111109999999993</c:v>
                </c:pt>
                <c:pt idx="329">
                  <c:v>9.4492309999999993</c:v>
                </c:pt>
                <c:pt idx="330">
                  <c:v>9.2816670000000006</c:v>
                </c:pt>
                <c:pt idx="331">
                  <c:v>9.1564289999999993</c:v>
                </c:pt>
                <c:pt idx="332">
                  <c:v>8.8618179999999995</c:v>
                </c:pt>
                <c:pt idx="333">
                  <c:v>8.8458330000000007</c:v>
                </c:pt>
                <c:pt idx="334">
                  <c:v>8.7357139999999998</c:v>
                </c:pt>
                <c:pt idx="335">
                  <c:v>9.1999999999999993</c:v>
                </c:pt>
                <c:pt idx="336">
                  <c:v>9.4</c:v>
                </c:pt>
                <c:pt idx="337">
                  <c:v>9.766667</c:v>
                </c:pt>
                <c:pt idx="338">
                  <c:v>10.1</c:v>
                </c:pt>
                <c:pt idx="339">
                  <c:v>9.9957139999999995</c:v>
                </c:pt>
                <c:pt idx="340">
                  <c:v>10.175000000000001</c:v>
                </c:pt>
                <c:pt idx="341">
                  <c:v>9.9499999999999993</c:v>
                </c:pt>
                <c:pt idx="342">
                  <c:v>10.108333</c:v>
                </c:pt>
                <c:pt idx="343">
                  <c:v>10.057143</c:v>
                </c:pt>
                <c:pt idx="344">
                  <c:v>9.7857140000000005</c:v>
                </c:pt>
                <c:pt idx="345">
                  <c:v>9.7799999999999994</c:v>
                </c:pt>
                <c:pt idx="346">
                  <c:v>9.983333</c:v>
                </c:pt>
                <c:pt idx="347">
                  <c:v>9.5500000000000007</c:v>
                </c:pt>
                <c:pt idx="348">
                  <c:v>9.3318180000000002</c:v>
                </c:pt>
                <c:pt idx="349">
                  <c:v>9.0421049999999994</c:v>
                </c:pt>
                <c:pt idx="350">
                  <c:v>8.7823530000000005</c:v>
                </c:pt>
                <c:pt idx="351">
                  <c:v>8.3363639999999997</c:v>
                </c:pt>
                <c:pt idx="352">
                  <c:v>8.1999999999999993</c:v>
                </c:pt>
                <c:pt idx="353">
                  <c:v>8.4666669999999993</c:v>
                </c:pt>
                <c:pt idx="354">
                  <c:v>9.0333330000000007</c:v>
                </c:pt>
                <c:pt idx="355">
                  <c:v>9.1</c:v>
                </c:pt>
                <c:pt idx="356">
                  <c:v>9.3777779999999993</c:v>
                </c:pt>
                <c:pt idx="357">
                  <c:v>9.6666670000000003</c:v>
                </c:pt>
                <c:pt idx="358">
                  <c:v>9.9</c:v>
                </c:pt>
                <c:pt idx="359">
                  <c:v>10.095833000000001</c:v>
                </c:pt>
                <c:pt idx="360">
                  <c:v>10.4</c:v>
                </c:pt>
                <c:pt idx="361">
                  <c:v>10.231</c:v>
                </c:pt>
                <c:pt idx="362">
                  <c:v>10.328571</c:v>
                </c:pt>
                <c:pt idx="363">
                  <c:v>10.246667</c:v>
                </c:pt>
                <c:pt idx="364">
                  <c:v>10.206250000000001</c:v>
                </c:pt>
                <c:pt idx="365">
                  <c:v>10.091666999999999</c:v>
                </c:pt>
                <c:pt idx="366">
                  <c:v>10.006667</c:v>
                </c:pt>
                <c:pt idx="367">
                  <c:v>9.7692309999999996</c:v>
                </c:pt>
                <c:pt idx="368">
                  <c:v>9.6428569999999993</c:v>
                </c:pt>
                <c:pt idx="369">
                  <c:v>9.5428569999999997</c:v>
                </c:pt>
                <c:pt idx="370">
                  <c:v>9.2799999999999994</c:v>
                </c:pt>
                <c:pt idx="371">
                  <c:v>8.6999999999999993</c:v>
                </c:pt>
                <c:pt idx="372">
                  <c:v>9.0222219999999993</c:v>
                </c:pt>
                <c:pt idx="373">
                  <c:v>9.5333330000000007</c:v>
                </c:pt>
                <c:pt idx="374">
                  <c:v>9.2142859999999995</c:v>
                </c:pt>
                <c:pt idx="375">
                  <c:v>9.588889</c:v>
                </c:pt>
                <c:pt idx="376">
                  <c:v>9.7200000000000006</c:v>
                </c:pt>
                <c:pt idx="377">
                  <c:v>9.8666669999999996</c:v>
                </c:pt>
                <c:pt idx="378">
                  <c:v>9.8800000000000008</c:v>
                </c:pt>
                <c:pt idx="379">
                  <c:v>10.035294</c:v>
                </c:pt>
                <c:pt idx="380">
                  <c:v>10.205556</c:v>
                </c:pt>
                <c:pt idx="381">
                  <c:v>10.172222</c:v>
                </c:pt>
                <c:pt idx="382">
                  <c:v>10.223528999999999</c:v>
                </c:pt>
                <c:pt idx="383">
                  <c:v>10.017647</c:v>
                </c:pt>
                <c:pt idx="384">
                  <c:v>10.009524000000001</c:v>
                </c:pt>
                <c:pt idx="385">
                  <c:v>9.8375000000000004</c:v>
                </c:pt>
                <c:pt idx="386">
                  <c:v>9.8000000000000007</c:v>
                </c:pt>
                <c:pt idx="387">
                  <c:v>9.588889</c:v>
                </c:pt>
                <c:pt idx="388">
                  <c:v>8.8000000000000007</c:v>
                </c:pt>
                <c:pt idx="389">
                  <c:v>8.9333329999999993</c:v>
                </c:pt>
                <c:pt idx="390">
                  <c:v>8.5428569999999997</c:v>
                </c:pt>
                <c:pt idx="391">
                  <c:v>8.7153849999999995</c:v>
                </c:pt>
                <c:pt idx="392">
                  <c:v>9.0555559999999993</c:v>
                </c:pt>
                <c:pt idx="393">
                  <c:v>8.9499999999999993</c:v>
                </c:pt>
                <c:pt idx="394">
                  <c:v>9.3882349999999999</c:v>
                </c:pt>
                <c:pt idx="395">
                  <c:v>9.5428569999999997</c:v>
                </c:pt>
                <c:pt idx="396">
                  <c:v>9.7476190000000003</c:v>
                </c:pt>
                <c:pt idx="397">
                  <c:v>9.7272730000000003</c:v>
                </c:pt>
                <c:pt idx="398">
                  <c:v>9.7761899999999997</c:v>
                </c:pt>
                <c:pt idx="399">
                  <c:v>10.007692</c:v>
                </c:pt>
                <c:pt idx="400">
                  <c:v>10.164286000000001</c:v>
                </c:pt>
                <c:pt idx="401">
                  <c:v>10.208</c:v>
                </c:pt>
                <c:pt idx="402">
                  <c:v>10.137499999999999</c:v>
                </c:pt>
                <c:pt idx="403">
                  <c:v>9.9379310000000007</c:v>
                </c:pt>
                <c:pt idx="404">
                  <c:v>9.9681820000000005</c:v>
                </c:pt>
                <c:pt idx="405">
                  <c:v>9.6999999999999993</c:v>
                </c:pt>
                <c:pt idx="406">
                  <c:v>9.2750000000000004</c:v>
                </c:pt>
                <c:pt idx="407">
                  <c:v>8.42</c:v>
                </c:pt>
                <c:pt idx="408">
                  <c:v>8.5818180000000002</c:v>
                </c:pt>
                <c:pt idx="409">
                  <c:v>8.7200000000000006</c:v>
                </c:pt>
                <c:pt idx="410">
                  <c:v>8.85</c:v>
                </c:pt>
                <c:pt idx="411">
                  <c:v>8.9877780000000005</c:v>
                </c:pt>
                <c:pt idx="412">
                  <c:v>9.2066669999999995</c:v>
                </c:pt>
                <c:pt idx="413">
                  <c:v>9.2588240000000006</c:v>
                </c:pt>
                <c:pt idx="414">
                  <c:v>9.5</c:v>
                </c:pt>
                <c:pt idx="415">
                  <c:v>9.6333330000000004</c:v>
                </c:pt>
                <c:pt idx="416">
                  <c:v>9.4749999999999996</c:v>
                </c:pt>
                <c:pt idx="417">
                  <c:v>9.9250000000000007</c:v>
                </c:pt>
                <c:pt idx="418">
                  <c:v>9.855556</c:v>
                </c:pt>
                <c:pt idx="419">
                  <c:v>10.125833</c:v>
                </c:pt>
                <c:pt idx="420">
                  <c:v>10.157692000000001</c:v>
                </c:pt>
                <c:pt idx="421">
                  <c:v>10.235455</c:v>
                </c:pt>
                <c:pt idx="422">
                  <c:v>10.154999999999999</c:v>
                </c:pt>
                <c:pt idx="423">
                  <c:v>10.215</c:v>
                </c:pt>
                <c:pt idx="424">
                  <c:v>8.8409089999999999</c:v>
                </c:pt>
                <c:pt idx="425">
                  <c:v>8.76</c:v>
                </c:pt>
                <c:pt idx="426">
                  <c:v>8.6088240000000003</c:v>
                </c:pt>
                <c:pt idx="427">
                  <c:v>8.4600000000000009</c:v>
                </c:pt>
                <c:pt idx="428">
                  <c:v>8.6608330000000002</c:v>
                </c:pt>
                <c:pt idx="429">
                  <c:v>8.7356250000000006</c:v>
                </c:pt>
                <c:pt idx="430">
                  <c:v>8.8585709999999995</c:v>
                </c:pt>
                <c:pt idx="431">
                  <c:v>8.9857139999999998</c:v>
                </c:pt>
                <c:pt idx="432">
                  <c:v>9.11</c:v>
                </c:pt>
                <c:pt idx="433">
                  <c:v>9.2933330000000005</c:v>
                </c:pt>
                <c:pt idx="434">
                  <c:v>9.52</c:v>
                </c:pt>
                <c:pt idx="435">
                  <c:v>9.7357139999999998</c:v>
                </c:pt>
                <c:pt idx="436">
                  <c:v>9.6875</c:v>
                </c:pt>
                <c:pt idx="437">
                  <c:v>9.8928569999999993</c:v>
                </c:pt>
                <c:pt idx="438">
                  <c:v>10.00625</c:v>
                </c:pt>
                <c:pt idx="439">
                  <c:v>10.1</c:v>
                </c:pt>
                <c:pt idx="440">
                  <c:v>9</c:v>
                </c:pt>
                <c:pt idx="441">
                  <c:v>8.7799999999999994</c:v>
                </c:pt>
                <c:pt idx="442">
                  <c:v>8.5250000000000004</c:v>
                </c:pt>
                <c:pt idx="443">
                  <c:v>8.0500000000000007</c:v>
                </c:pt>
                <c:pt idx="444">
                  <c:v>7.9421049999999997</c:v>
                </c:pt>
                <c:pt idx="445">
                  <c:v>8.0055560000000003</c:v>
                </c:pt>
                <c:pt idx="446">
                  <c:v>8.2437500000000004</c:v>
                </c:pt>
                <c:pt idx="447">
                  <c:v>8.536842</c:v>
                </c:pt>
                <c:pt idx="448">
                  <c:v>8.8117649999999994</c:v>
                </c:pt>
                <c:pt idx="449">
                  <c:v>9.0250000000000004</c:v>
                </c:pt>
                <c:pt idx="450">
                  <c:v>9.0588239999999995</c:v>
                </c:pt>
                <c:pt idx="451">
                  <c:v>9.2739130000000003</c:v>
                </c:pt>
                <c:pt idx="452">
                  <c:v>9.5500000000000007</c:v>
                </c:pt>
                <c:pt idx="453">
                  <c:v>9.6769230000000004</c:v>
                </c:pt>
                <c:pt idx="454">
                  <c:v>10.007142999999999</c:v>
                </c:pt>
                <c:pt idx="455">
                  <c:v>9.8187499999999996</c:v>
                </c:pt>
                <c:pt idx="456">
                  <c:v>10.181818</c:v>
                </c:pt>
                <c:pt idx="457">
                  <c:v>9.3000000000000007</c:v>
                </c:pt>
                <c:pt idx="458">
                  <c:v>9.411111</c:v>
                </c:pt>
                <c:pt idx="459">
                  <c:v>9.516667</c:v>
                </c:pt>
                <c:pt idx="460">
                  <c:v>9.3090910000000004</c:v>
                </c:pt>
                <c:pt idx="461">
                  <c:v>8.6875</c:v>
                </c:pt>
                <c:pt idx="462">
                  <c:v>8.7176469999999995</c:v>
                </c:pt>
                <c:pt idx="463">
                  <c:v>8.6285710000000009</c:v>
                </c:pt>
                <c:pt idx="464">
                  <c:v>8.7576920000000005</c:v>
                </c:pt>
                <c:pt idx="465">
                  <c:v>8.7117649999999998</c:v>
                </c:pt>
                <c:pt idx="466">
                  <c:v>8.8857140000000001</c:v>
                </c:pt>
                <c:pt idx="467">
                  <c:v>9.1047619999999991</c:v>
                </c:pt>
                <c:pt idx="468">
                  <c:v>9.1571429999999996</c:v>
                </c:pt>
                <c:pt idx="469">
                  <c:v>9.1959999999999997</c:v>
                </c:pt>
                <c:pt idx="470">
                  <c:v>9.3347829999999998</c:v>
                </c:pt>
                <c:pt idx="471">
                  <c:v>9.4821430000000007</c:v>
                </c:pt>
                <c:pt idx="472">
                  <c:v>9.6156249999999996</c:v>
                </c:pt>
                <c:pt idx="473">
                  <c:v>9.7133330000000004</c:v>
                </c:pt>
                <c:pt idx="474">
                  <c:v>9.8000000000000007</c:v>
                </c:pt>
                <c:pt idx="475">
                  <c:v>9.3000000000000007</c:v>
                </c:pt>
                <c:pt idx="476">
                  <c:v>9.3153849999999991</c:v>
                </c:pt>
                <c:pt idx="477">
                  <c:v>8.76</c:v>
                </c:pt>
                <c:pt idx="478">
                  <c:v>8.4499999999999993</c:v>
                </c:pt>
                <c:pt idx="479">
                  <c:v>7.9857139999999998</c:v>
                </c:pt>
                <c:pt idx="480">
                  <c:v>8.0095240000000008</c:v>
                </c:pt>
                <c:pt idx="481">
                  <c:v>8.0117650000000005</c:v>
                </c:pt>
                <c:pt idx="482">
                  <c:v>8.09</c:v>
                </c:pt>
                <c:pt idx="483">
                  <c:v>8.2722219999999993</c:v>
                </c:pt>
                <c:pt idx="484">
                  <c:v>8.6</c:v>
                </c:pt>
                <c:pt idx="485">
                  <c:v>8.7166669999999993</c:v>
                </c:pt>
                <c:pt idx="486">
                  <c:v>8.9269230000000004</c:v>
                </c:pt>
                <c:pt idx="487">
                  <c:v>9.0299999999999994</c:v>
                </c:pt>
                <c:pt idx="488">
                  <c:v>9.1933330000000009</c:v>
                </c:pt>
                <c:pt idx="489">
                  <c:v>9.3272729999999999</c:v>
                </c:pt>
                <c:pt idx="490">
                  <c:v>9.6999999999999993</c:v>
                </c:pt>
                <c:pt idx="491">
                  <c:v>9.5</c:v>
                </c:pt>
                <c:pt idx="492">
                  <c:v>10</c:v>
                </c:pt>
                <c:pt idx="493">
                  <c:v>9.2857140000000005</c:v>
                </c:pt>
                <c:pt idx="494">
                  <c:v>9.1833329999999993</c:v>
                </c:pt>
                <c:pt idx="495">
                  <c:v>9.1999999999999993</c:v>
                </c:pt>
                <c:pt idx="496">
                  <c:v>9.0625</c:v>
                </c:pt>
                <c:pt idx="497">
                  <c:v>8.7777779999999996</c:v>
                </c:pt>
                <c:pt idx="498">
                  <c:v>8.40625</c:v>
                </c:pt>
                <c:pt idx="499">
                  <c:v>8.2624999999999993</c:v>
                </c:pt>
                <c:pt idx="500">
                  <c:v>8.0809519999999999</c:v>
                </c:pt>
                <c:pt idx="501">
                  <c:v>8.32</c:v>
                </c:pt>
                <c:pt idx="502">
                  <c:v>8.3210529999999991</c:v>
                </c:pt>
                <c:pt idx="503">
                  <c:v>8.4142860000000006</c:v>
                </c:pt>
                <c:pt idx="504">
                  <c:v>8.5500000000000007</c:v>
                </c:pt>
                <c:pt idx="505">
                  <c:v>8.6999999999999993</c:v>
                </c:pt>
                <c:pt idx="506">
                  <c:v>8.875</c:v>
                </c:pt>
                <c:pt idx="507">
                  <c:v>9.1230770000000003</c:v>
                </c:pt>
                <c:pt idx="508">
                  <c:v>8.9600000000000009</c:v>
                </c:pt>
                <c:pt idx="509">
                  <c:v>9.4666669999999993</c:v>
                </c:pt>
                <c:pt idx="510">
                  <c:v>9.66</c:v>
                </c:pt>
                <c:pt idx="511">
                  <c:v>9.6666670000000003</c:v>
                </c:pt>
                <c:pt idx="512">
                  <c:v>9.5333330000000007</c:v>
                </c:pt>
                <c:pt idx="513">
                  <c:v>9.5111109999999996</c:v>
                </c:pt>
                <c:pt idx="514">
                  <c:v>9.1666670000000003</c:v>
                </c:pt>
                <c:pt idx="515">
                  <c:v>9.1615380000000002</c:v>
                </c:pt>
                <c:pt idx="516">
                  <c:v>8.82</c:v>
                </c:pt>
                <c:pt idx="517">
                  <c:v>8.3249999999999993</c:v>
                </c:pt>
                <c:pt idx="518">
                  <c:v>8.0399999999999991</c:v>
                </c:pt>
                <c:pt idx="519">
                  <c:v>7.9</c:v>
                </c:pt>
                <c:pt idx="520">
                  <c:v>7.89</c:v>
                </c:pt>
                <c:pt idx="521">
                  <c:v>7.9636360000000002</c:v>
                </c:pt>
                <c:pt idx="522">
                  <c:v>8.2652169999999998</c:v>
                </c:pt>
                <c:pt idx="523">
                  <c:v>8.7357139999999998</c:v>
                </c:pt>
                <c:pt idx="524">
                  <c:v>8.9312500000000004</c:v>
                </c:pt>
                <c:pt idx="525">
                  <c:v>9.0374999999999996</c:v>
                </c:pt>
                <c:pt idx="526">
                  <c:v>9.0500000000000007</c:v>
                </c:pt>
                <c:pt idx="527">
                  <c:v>9.4</c:v>
                </c:pt>
                <c:pt idx="528">
                  <c:v>9.6999999999999993</c:v>
                </c:pt>
                <c:pt idx="529">
                  <c:v>9.8800000000000008</c:v>
                </c:pt>
                <c:pt idx="530">
                  <c:v>9.9749999999999996</c:v>
                </c:pt>
                <c:pt idx="531">
                  <c:v>10.137499999999999</c:v>
                </c:pt>
                <c:pt idx="532">
                  <c:v>10.14</c:v>
                </c:pt>
                <c:pt idx="533">
                  <c:v>9.99</c:v>
                </c:pt>
                <c:pt idx="534">
                  <c:v>9.766667</c:v>
                </c:pt>
                <c:pt idx="535">
                  <c:v>9.6999999999999993</c:v>
                </c:pt>
                <c:pt idx="536">
                  <c:v>9.1272730000000006</c:v>
                </c:pt>
                <c:pt idx="537">
                  <c:v>8.89</c:v>
                </c:pt>
                <c:pt idx="538">
                  <c:v>8.7111110000000007</c:v>
                </c:pt>
                <c:pt idx="539">
                  <c:v>8.5133329999999994</c:v>
                </c:pt>
                <c:pt idx="540">
                  <c:v>8.5250000000000004</c:v>
                </c:pt>
                <c:pt idx="541">
                  <c:v>8.5038459999999993</c:v>
                </c:pt>
                <c:pt idx="542">
                  <c:v>8.6384620000000005</c:v>
                </c:pt>
                <c:pt idx="543">
                  <c:v>8.86</c:v>
                </c:pt>
                <c:pt idx="544">
                  <c:v>8.8769229999999997</c:v>
                </c:pt>
                <c:pt idx="545">
                  <c:v>9.4</c:v>
                </c:pt>
                <c:pt idx="546">
                  <c:v>9.82</c:v>
                </c:pt>
                <c:pt idx="547">
                  <c:v>9.75</c:v>
                </c:pt>
                <c:pt idx="548">
                  <c:v>9.9</c:v>
                </c:pt>
                <c:pt idx="549">
                  <c:v>10.1</c:v>
                </c:pt>
                <c:pt idx="550">
                  <c:v>10.199999999999999</c:v>
                </c:pt>
                <c:pt idx="551">
                  <c:v>9.9857139999999998</c:v>
                </c:pt>
                <c:pt idx="552">
                  <c:v>9.7375000000000007</c:v>
                </c:pt>
                <c:pt idx="553">
                  <c:v>9.8538460000000008</c:v>
                </c:pt>
                <c:pt idx="554">
                  <c:v>9.5500000000000007</c:v>
                </c:pt>
                <c:pt idx="555">
                  <c:v>9.3083329999999993</c:v>
                </c:pt>
                <c:pt idx="556">
                  <c:v>9.0250000000000004</c:v>
                </c:pt>
                <c:pt idx="557">
                  <c:v>8.6846150000000009</c:v>
                </c:pt>
                <c:pt idx="558">
                  <c:v>8.2142859999999995</c:v>
                </c:pt>
                <c:pt idx="559">
                  <c:v>7.8323530000000003</c:v>
                </c:pt>
                <c:pt idx="560">
                  <c:v>7.822222</c:v>
                </c:pt>
                <c:pt idx="561">
                  <c:v>7.9714289999999997</c:v>
                </c:pt>
                <c:pt idx="562">
                  <c:v>7.9</c:v>
                </c:pt>
                <c:pt idx="563">
                  <c:v>9.4</c:v>
                </c:pt>
                <c:pt idx="564">
                  <c:v>9.4666669999999993</c:v>
                </c:pt>
                <c:pt idx="565">
                  <c:v>9.6888889999999996</c:v>
                </c:pt>
                <c:pt idx="566">
                  <c:v>10.08</c:v>
                </c:pt>
                <c:pt idx="567">
                  <c:v>10.11</c:v>
                </c:pt>
                <c:pt idx="568">
                  <c:v>9.9636359999999993</c:v>
                </c:pt>
                <c:pt idx="569">
                  <c:v>10.242857000000001</c:v>
                </c:pt>
                <c:pt idx="570">
                  <c:v>10.125</c:v>
                </c:pt>
                <c:pt idx="571">
                  <c:v>9.891667</c:v>
                </c:pt>
                <c:pt idx="572">
                  <c:v>9.9555559999999996</c:v>
                </c:pt>
                <c:pt idx="573">
                  <c:v>9.5615380000000005</c:v>
                </c:pt>
                <c:pt idx="574">
                  <c:v>9.4285709999999998</c:v>
                </c:pt>
                <c:pt idx="575">
                  <c:v>9.0760000000000005</c:v>
                </c:pt>
                <c:pt idx="576">
                  <c:v>8.7454549999999998</c:v>
                </c:pt>
                <c:pt idx="577">
                  <c:v>8.3695649999999997</c:v>
                </c:pt>
                <c:pt idx="578">
                  <c:v>7.9769230000000002</c:v>
                </c:pt>
                <c:pt idx="579">
                  <c:v>7.9</c:v>
                </c:pt>
                <c:pt idx="580">
                  <c:v>9.1999999999999993</c:v>
                </c:pt>
                <c:pt idx="581">
                  <c:v>9.6</c:v>
                </c:pt>
                <c:pt idx="582">
                  <c:v>9.8142859999999992</c:v>
                </c:pt>
                <c:pt idx="583">
                  <c:v>9.8142859999999992</c:v>
                </c:pt>
                <c:pt idx="584">
                  <c:v>9.9499999999999993</c:v>
                </c:pt>
                <c:pt idx="585">
                  <c:v>10.28</c:v>
                </c:pt>
                <c:pt idx="586">
                  <c:v>10.362500000000001</c:v>
                </c:pt>
                <c:pt idx="587">
                  <c:v>10.446154</c:v>
                </c:pt>
                <c:pt idx="588">
                  <c:v>10.388889000000001</c:v>
                </c:pt>
                <c:pt idx="589">
                  <c:v>10.414286000000001</c:v>
                </c:pt>
                <c:pt idx="590">
                  <c:v>10.425000000000001</c:v>
                </c:pt>
                <c:pt idx="591">
                  <c:v>10.262499999999999</c:v>
                </c:pt>
                <c:pt idx="592">
                  <c:v>10.328571</c:v>
                </c:pt>
                <c:pt idx="593">
                  <c:v>9.9727270000000008</c:v>
                </c:pt>
                <c:pt idx="594">
                  <c:v>9.8227270000000004</c:v>
                </c:pt>
                <c:pt idx="595">
                  <c:v>9.7181820000000005</c:v>
                </c:pt>
                <c:pt idx="596">
                  <c:v>9.5952380000000002</c:v>
                </c:pt>
                <c:pt idx="597">
                  <c:v>9.4250000000000007</c:v>
                </c:pt>
                <c:pt idx="598">
                  <c:v>8.5</c:v>
                </c:pt>
                <c:pt idx="599">
                  <c:v>9.1999999999999993</c:v>
                </c:pt>
                <c:pt idx="600">
                  <c:v>9.1</c:v>
                </c:pt>
                <c:pt idx="601">
                  <c:v>9.5111109999999996</c:v>
                </c:pt>
                <c:pt idx="602">
                  <c:v>9.5333330000000007</c:v>
                </c:pt>
                <c:pt idx="603">
                  <c:v>9.8000000000000007</c:v>
                </c:pt>
                <c:pt idx="604">
                  <c:v>10.077778</c:v>
                </c:pt>
                <c:pt idx="605">
                  <c:v>10.009091</c:v>
                </c:pt>
                <c:pt idx="606">
                  <c:v>10.145455</c:v>
                </c:pt>
                <c:pt idx="607">
                  <c:v>10.331579</c:v>
                </c:pt>
                <c:pt idx="608">
                  <c:v>10.361110999999999</c:v>
                </c:pt>
                <c:pt idx="609">
                  <c:v>10.37</c:v>
                </c:pt>
                <c:pt idx="610">
                  <c:v>10.442308000000001</c:v>
                </c:pt>
                <c:pt idx="611">
                  <c:v>10.456250000000001</c:v>
                </c:pt>
                <c:pt idx="612">
                  <c:v>10.343182000000001</c:v>
                </c:pt>
                <c:pt idx="613">
                  <c:v>10.128571000000001</c:v>
                </c:pt>
                <c:pt idx="614">
                  <c:v>9.9076920000000008</c:v>
                </c:pt>
                <c:pt idx="615">
                  <c:v>9.75</c:v>
                </c:pt>
                <c:pt idx="616">
                  <c:v>8.5250000000000004</c:v>
                </c:pt>
                <c:pt idx="617">
                  <c:v>8.7285710000000005</c:v>
                </c:pt>
                <c:pt idx="618">
                  <c:v>9.108333</c:v>
                </c:pt>
                <c:pt idx="619">
                  <c:v>9.3699999999999992</c:v>
                </c:pt>
                <c:pt idx="620">
                  <c:v>9.35</c:v>
                </c:pt>
                <c:pt idx="621">
                  <c:v>9.3545449999999999</c:v>
                </c:pt>
                <c:pt idx="622">
                  <c:v>9.7952379999999994</c:v>
                </c:pt>
                <c:pt idx="623">
                  <c:v>9.9785710000000005</c:v>
                </c:pt>
                <c:pt idx="624">
                  <c:v>10.088234999999999</c:v>
                </c:pt>
                <c:pt idx="625">
                  <c:v>10.172727</c:v>
                </c:pt>
                <c:pt idx="626">
                  <c:v>10.247826</c:v>
                </c:pt>
                <c:pt idx="627">
                  <c:v>10.193333000000001</c:v>
                </c:pt>
                <c:pt idx="628">
                  <c:v>10.288966</c:v>
                </c:pt>
                <c:pt idx="629">
                  <c:v>10.346667</c:v>
                </c:pt>
                <c:pt idx="630">
                  <c:v>10.15</c:v>
                </c:pt>
                <c:pt idx="631">
                  <c:v>9.9</c:v>
                </c:pt>
                <c:pt idx="632">
                  <c:v>9.9166670000000003</c:v>
                </c:pt>
                <c:pt idx="633">
                  <c:v>7.9</c:v>
                </c:pt>
                <c:pt idx="634">
                  <c:v>8.0333330000000007</c:v>
                </c:pt>
                <c:pt idx="635">
                  <c:v>7.9076919999999999</c:v>
                </c:pt>
                <c:pt idx="636">
                  <c:v>8.16</c:v>
                </c:pt>
                <c:pt idx="637">
                  <c:v>8.24</c:v>
                </c:pt>
                <c:pt idx="638">
                  <c:v>8.9769229999999993</c:v>
                </c:pt>
                <c:pt idx="639">
                  <c:v>9.1916670000000007</c:v>
                </c:pt>
                <c:pt idx="640">
                  <c:v>9.4722220000000004</c:v>
                </c:pt>
                <c:pt idx="641">
                  <c:v>9.86</c:v>
                </c:pt>
                <c:pt idx="642">
                  <c:v>10.058332999999999</c:v>
                </c:pt>
                <c:pt idx="643">
                  <c:v>10.1</c:v>
                </c:pt>
                <c:pt idx="644">
                  <c:v>10.050000000000001</c:v>
                </c:pt>
                <c:pt idx="645">
                  <c:v>10.133333</c:v>
                </c:pt>
                <c:pt idx="646">
                  <c:v>10.166667</c:v>
                </c:pt>
                <c:pt idx="647">
                  <c:v>10.192308000000001</c:v>
                </c:pt>
                <c:pt idx="648">
                  <c:v>10.262499999999999</c:v>
                </c:pt>
                <c:pt idx="649">
                  <c:v>10.444444000000001</c:v>
                </c:pt>
                <c:pt idx="650">
                  <c:v>10.404999999999999</c:v>
                </c:pt>
                <c:pt idx="651">
                  <c:v>10.3</c:v>
                </c:pt>
                <c:pt idx="652">
                  <c:v>10.383333</c:v>
                </c:pt>
                <c:pt idx="653">
                  <c:v>10.133333</c:v>
                </c:pt>
                <c:pt idx="654">
                  <c:v>9</c:v>
                </c:pt>
                <c:pt idx="655">
                  <c:v>8.0399999999999991</c:v>
                </c:pt>
                <c:pt idx="656">
                  <c:v>8.088889</c:v>
                </c:pt>
                <c:pt idx="657">
                  <c:v>8</c:v>
                </c:pt>
                <c:pt idx="658">
                  <c:v>8.375</c:v>
                </c:pt>
                <c:pt idx="659">
                  <c:v>8.4333329999999993</c:v>
                </c:pt>
                <c:pt idx="660">
                  <c:v>8.4666669999999993</c:v>
                </c:pt>
                <c:pt idx="661">
                  <c:v>8.6555560000000007</c:v>
                </c:pt>
                <c:pt idx="662">
                  <c:v>8.5</c:v>
                </c:pt>
                <c:pt idx="663">
                  <c:v>8.2999999999999989</c:v>
                </c:pt>
                <c:pt idx="664">
                  <c:v>7.9666666666666659</c:v>
                </c:pt>
                <c:pt idx="665">
                  <c:v>7.7666666666666684</c:v>
                </c:pt>
                <c:pt idx="666">
                  <c:v>7.8538461538461553</c:v>
                </c:pt>
                <c:pt idx="667">
                  <c:v>8.0599999999999987</c:v>
                </c:pt>
                <c:pt idx="668">
                  <c:v>8.1909090909090914</c:v>
                </c:pt>
                <c:pt idx="669">
                  <c:v>8.2333333333333343</c:v>
                </c:pt>
                <c:pt idx="670">
                  <c:v>8.4</c:v>
                </c:pt>
                <c:pt idx="671">
                  <c:v>8.5222222222222221</c:v>
                </c:pt>
                <c:pt idx="672">
                  <c:v>8.66</c:v>
                </c:pt>
                <c:pt idx="673">
                  <c:v>8.7777777777777786</c:v>
                </c:pt>
                <c:pt idx="674">
                  <c:v>9.1125000000000007</c:v>
                </c:pt>
                <c:pt idx="675">
                  <c:v>9.1214285714285701</c:v>
                </c:pt>
                <c:pt idx="676">
                  <c:v>9.3399999999999981</c:v>
                </c:pt>
                <c:pt idx="677">
                  <c:v>9.4500000000000011</c:v>
                </c:pt>
                <c:pt idx="678">
                  <c:v>9.6857142857142868</c:v>
                </c:pt>
                <c:pt idx="679">
                  <c:v>9.6937500000000014</c:v>
                </c:pt>
                <c:pt idx="680">
                  <c:v>9.878947368421052</c:v>
                </c:pt>
                <c:pt idx="681">
                  <c:v>9.9083333333333332</c:v>
                </c:pt>
                <c:pt idx="682">
                  <c:v>9.9857142857142858</c:v>
                </c:pt>
                <c:pt idx="683">
                  <c:v>10.123529411764707</c:v>
                </c:pt>
                <c:pt idx="684">
                  <c:v>10.146153846153847</c:v>
                </c:pt>
                <c:pt idx="685">
                  <c:v>10.074999999999999</c:v>
                </c:pt>
                <c:pt idx="686">
                  <c:v>10.25</c:v>
                </c:pt>
                <c:pt idx="687">
                  <c:v>9.5666666666666647</c:v>
                </c:pt>
                <c:pt idx="688">
                  <c:v>9.875</c:v>
                </c:pt>
                <c:pt idx="689">
                  <c:v>9.8600000000000012</c:v>
                </c:pt>
                <c:pt idx="690">
                  <c:v>9.1727272727272737</c:v>
                </c:pt>
                <c:pt idx="691">
                  <c:v>8.84</c:v>
                </c:pt>
                <c:pt idx="692">
                  <c:v>8.4</c:v>
                </c:pt>
                <c:pt idx="693">
                  <c:v>8.14</c:v>
                </c:pt>
                <c:pt idx="694">
                  <c:v>7.7833333333333341</c:v>
                </c:pt>
                <c:pt idx="695">
                  <c:v>7.9666666666666677</c:v>
                </c:pt>
                <c:pt idx="696">
                  <c:v>7.757142857142858</c:v>
                </c:pt>
                <c:pt idx="697">
                  <c:v>7.9599999999999991</c:v>
                </c:pt>
                <c:pt idx="698">
                  <c:v>8.0545454545454547</c:v>
                </c:pt>
                <c:pt idx="699">
                  <c:v>8.2142857142857153</c:v>
                </c:pt>
                <c:pt idx="700">
                  <c:v>8.3909090909090907</c:v>
                </c:pt>
                <c:pt idx="701">
                  <c:v>8.5499999999999989</c:v>
                </c:pt>
                <c:pt idx="702">
                  <c:v>8.5900000000000016</c:v>
                </c:pt>
                <c:pt idx="703">
                  <c:v>8.5153846153846171</c:v>
                </c:pt>
                <c:pt idx="704">
                  <c:v>8.6499999999999986</c:v>
                </c:pt>
                <c:pt idx="705">
                  <c:v>8.8099999999999987</c:v>
                </c:pt>
                <c:pt idx="706">
                  <c:v>9.1142857142857139</c:v>
                </c:pt>
                <c:pt idx="707">
                  <c:v>9.0428571428571427</c:v>
                </c:pt>
                <c:pt idx="708">
                  <c:v>8.9833333333333325</c:v>
                </c:pt>
                <c:pt idx="709">
                  <c:v>9.6666666666666661</c:v>
                </c:pt>
                <c:pt idx="710">
                  <c:v>9.7388888888888889</c:v>
                </c:pt>
                <c:pt idx="711">
                  <c:v>9.9600000000000009</c:v>
                </c:pt>
                <c:pt idx="712">
                  <c:v>10.083333333333334</c:v>
                </c:pt>
                <c:pt idx="713">
                  <c:v>10.018750000000001</c:v>
                </c:pt>
                <c:pt idx="714">
                  <c:v>10.4</c:v>
                </c:pt>
                <c:pt idx="715">
                  <c:v>10.4</c:v>
                </c:pt>
                <c:pt idx="716">
                  <c:v>9.6999999999999993</c:v>
                </c:pt>
                <c:pt idx="717">
                  <c:v>10.199999999999999</c:v>
                </c:pt>
                <c:pt idx="718">
                  <c:v>10.199999999999999</c:v>
                </c:pt>
                <c:pt idx="719">
                  <c:v>9.9</c:v>
                </c:pt>
                <c:pt idx="720">
                  <c:v>9.8714285714285719</c:v>
                </c:pt>
                <c:pt idx="721">
                  <c:v>9.7333333333333325</c:v>
                </c:pt>
                <c:pt idx="722">
                  <c:v>9.8333333333333339</c:v>
                </c:pt>
                <c:pt idx="723">
                  <c:v>9.3000000000000007</c:v>
                </c:pt>
                <c:pt idx="724">
                  <c:v>9.0333333333333332</c:v>
                </c:pt>
                <c:pt idx="725">
                  <c:v>8.4</c:v>
                </c:pt>
                <c:pt idx="726">
                  <c:v>8.2083333333333339</c:v>
                </c:pt>
                <c:pt idx="727">
                  <c:v>7.9666666666666659</c:v>
                </c:pt>
                <c:pt idx="728">
                  <c:v>7.8666666666666663</c:v>
                </c:pt>
                <c:pt idx="729">
                  <c:v>8.09</c:v>
                </c:pt>
                <c:pt idx="730">
                  <c:v>7.9</c:v>
                </c:pt>
                <c:pt idx="731">
                  <c:v>8.0500000000000007</c:v>
                </c:pt>
                <c:pt idx="732">
                  <c:v>7.8125</c:v>
                </c:pt>
                <c:pt idx="733">
                  <c:v>8</c:v>
                </c:pt>
                <c:pt idx="734">
                  <c:v>8.2666666666666675</c:v>
                </c:pt>
                <c:pt idx="735">
                  <c:v>8.3428571428571434</c:v>
                </c:pt>
                <c:pt idx="736">
                  <c:v>8.5428571428571427</c:v>
                </c:pt>
                <c:pt idx="737">
                  <c:v>8.7428571428571438</c:v>
                </c:pt>
                <c:pt idx="738">
                  <c:v>8.9499999999999993</c:v>
                </c:pt>
                <c:pt idx="739">
                  <c:v>9.3374999999999986</c:v>
                </c:pt>
                <c:pt idx="740">
                  <c:v>9.6142857142857139</c:v>
                </c:pt>
                <c:pt idx="741">
                  <c:v>9.4666666666666668</c:v>
                </c:pt>
                <c:pt idx="742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6-46C9-8CBA-49D6F718E12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Index!$M$88:$M$96</c:f>
              <c:numCache>
                <c:formatCode>General</c:formatCode>
                <c:ptCount val="9"/>
              </c:numCache>
            </c:numRef>
          </c:xVal>
          <c:yVal>
            <c:numRef>
              <c:f>Index!$N$88:$N$96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66-46C9-8CBA-49D6F718E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in val="24577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90"/>
      </c:valAx>
      <c:valAx>
        <c:axId val="480140568"/>
        <c:scaling>
          <c:orientation val="maxMin"/>
          <c:max val="11"/>
          <c:min val="8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Vis!$A$1:$A$1155</c:f>
              <c:numCache>
                <c:formatCode>General</c:formatCode>
                <c:ptCount val="1155"/>
                <c:pt idx="0">
                  <c:v>2434013.7000000002</c:v>
                </c:pt>
                <c:pt idx="1">
                  <c:v>2435012.2999999998</c:v>
                </c:pt>
                <c:pt idx="2">
                  <c:v>2435032.9</c:v>
                </c:pt>
                <c:pt idx="3">
                  <c:v>2435073.6</c:v>
                </c:pt>
                <c:pt idx="4">
                  <c:v>2435092.7000000002</c:v>
                </c:pt>
                <c:pt idx="5">
                  <c:v>2435133.0499999998</c:v>
                </c:pt>
                <c:pt idx="6">
                  <c:v>2435156.125</c:v>
                </c:pt>
                <c:pt idx="7">
                  <c:v>2435181.1</c:v>
                </c:pt>
                <c:pt idx="8">
                  <c:v>2435193.1</c:v>
                </c:pt>
                <c:pt idx="9">
                  <c:v>2435210.6</c:v>
                </c:pt>
                <c:pt idx="10">
                  <c:v>2435229.6</c:v>
                </c:pt>
                <c:pt idx="11">
                  <c:v>2435347.7999999998</c:v>
                </c:pt>
                <c:pt idx="12">
                  <c:v>2435395.25</c:v>
                </c:pt>
                <c:pt idx="13">
                  <c:v>2435431.2000000002</c:v>
                </c:pt>
                <c:pt idx="14">
                  <c:v>2435454.9333299999</c:v>
                </c:pt>
                <c:pt idx="15">
                  <c:v>2435478.6</c:v>
                </c:pt>
                <c:pt idx="16">
                  <c:v>2435511.6</c:v>
                </c:pt>
                <c:pt idx="17">
                  <c:v>2435532.6</c:v>
                </c:pt>
                <c:pt idx="18">
                  <c:v>2435553.6</c:v>
                </c:pt>
                <c:pt idx="19">
                  <c:v>2435567.1</c:v>
                </c:pt>
                <c:pt idx="20">
                  <c:v>2435839.6</c:v>
                </c:pt>
                <c:pt idx="21">
                  <c:v>2435896.1</c:v>
                </c:pt>
                <c:pt idx="22">
                  <c:v>2435919.6</c:v>
                </c:pt>
                <c:pt idx="23">
                  <c:v>2435934.6</c:v>
                </c:pt>
                <c:pt idx="24">
                  <c:v>2435958.6</c:v>
                </c:pt>
                <c:pt idx="25">
                  <c:v>2436270.6</c:v>
                </c:pt>
                <c:pt idx="26">
                  <c:v>2438714.7000000002</c:v>
                </c:pt>
                <c:pt idx="27">
                  <c:v>2438750.6</c:v>
                </c:pt>
                <c:pt idx="28">
                  <c:v>2438796.6</c:v>
                </c:pt>
                <c:pt idx="29">
                  <c:v>2438835.7000000002</c:v>
                </c:pt>
                <c:pt idx="30">
                  <c:v>2438857.6</c:v>
                </c:pt>
                <c:pt idx="31">
                  <c:v>2438961.9</c:v>
                </c:pt>
                <c:pt idx="32">
                  <c:v>2438996.9</c:v>
                </c:pt>
                <c:pt idx="33">
                  <c:v>2439030.9</c:v>
                </c:pt>
                <c:pt idx="34">
                  <c:v>2439101.7000000002</c:v>
                </c:pt>
                <c:pt idx="35">
                  <c:v>2439129.2999999998</c:v>
                </c:pt>
                <c:pt idx="36">
                  <c:v>2439172.6</c:v>
                </c:pt>
                <c:pt idx="37">
                  <c:v>2439203.6</c:v>
                </c:pt>
                <c:pt idx="38">
                  <c:v>2439363.9</c:v>
                </c:pt>
                <c:pt idx="39">
                  <c:v>2439390.7999999998</c:v>
                </c:pt>
                <c:pt idx="40">
                  <c:v>2439410.7999999998</c:v>
                </c:pt>
                <c:pt idx="41">
                  <c:v>2439526.6</c:v>
                </c:pt>
                <c:pt idx="42">
                  <c:v>2439556.7000000002</c:v>
                </c:pt>
                <c:pt idx="43">
                  <c:v>2439586.65</c:v>
                </c:pt>
                <c:pt idx="44">
                  <c:v>2439612.7000000002</c:v>
                </c:pt>
                <c:pt idx="45">
                  <c:v>2439696.9</c:v>
                </c:pt>
                <c:pt idx="46">
                  <c:v>2439733.9</c:v>
                </c:pt>
                <c:pt idx="47">
                  <c:v>2439765.35</c:v>
                </c:pt>
                <c:pt idx="48">
                  <c:v>2439823</c:v>
                </c:pt>
                <c:pt idx="49">
                  <c:v>2439897.6</c:v>
                </c:pt>
                <c:pt idx="50">
                  <c:v>2439923.6</c:v>
                </c:pt>
                <c:pt idx="51">
                  <c:v>2440079.7999999998</c:v>
                </c:pt>
                <c:pt idx="52">
                  <c:v>2440101.9</c:v>
                </c:pt>
                <c:pt idx="53">
                  <c:v>2440220.6</c:v>
                </c:pt>
                <c:pt idx="54">
                  <c:v>2440297.6</c:v>
                </c:pt>
                <c:pt idx="55">
                  <c:v>2440330.7000000002</c:v>
                </c:pt>
                <c:pt idx="56">
                  <c:v>2440454.7999999998</c:v>
                </c:pt>
                <c:pt idx="57">
                  <c:v>2440471.7999999998</c:v>
                </c:pt>
                <c:pt idx="58">
                  <c:v>2440834.7999999998</c:v>
                </c:pt>
                <c:pt idx="59">
                  <c:v>2442460.7000000002</c:v>
                </c:pt>
                <c:pt idx="60">
                  <c:v>2442499.6</c:v>
                </c:pt>
                <c:pt idx="61">
                  <c:v>2442831.7000000002</c:v>
                </c:pt>
                <c:pt idx="62">
                  <c:v>2443957.4</c:v>
                </c:pt>
                <c:pt idx="63">
                  <c:v>2443983.6666700002</c:v>
                </c:pt>
                <c:pt idx="64">
                  <c:v>2444194.9750000001</c:v>
                </c:pt>
                <c:pt idx="65">
                  <c:v>2444221.1549999998</c:v>
                </c:pt>
                <c:pt idx="66">
                  <c:v>2444252.23</c:v>
                </c:pt>
                <c:pt idx="67">
                  <c:v>2444273.0566699998</c:v>
                </c:pt>
                <c:pt idx="68">
                  <c:v>2444287.91</c:v>
                </c:pt>
                <c:pt idx="69">
                  <c:v>2444305.8424999998</c:v>
                </c:pt>
                <c:pt idx="70">
                  <c:v>2444327.85</c:v>
                </c:pt>
                <c:pt idx="71">
                  <c:v>2444341.85</c:v>
                </c:pt>
                <c:pt idx="72">
                  <c:v>2444466.5</c:v>
                </c:pt>
                <c:pt idx="73">
                  <c:v>2444494</c:v>
                </c:pt>
                <c:pt idx="74">
                  <c:v>2444508.5</c:v>
                </c:pt>
                <c:pt idx="75">
                  <c:v>2444537.42</c:v>
                </c:pt>
                <c:pt idx="76">
                  <c:v>2444553.42667</c:v>
                </c:pt>
                <c:pt idx="77">
                  <c:v>2444578.7349999999</c:v>
                </c:pt>
                <c:pt idx="78">
                  <c:v>2444606.8642899999</c:v>
                </c:pt>
                <c:pt idx="79">
                  <c:v>2444628.9271399998</c:v>
                </c:pt>
                <c:pt idx="80">
                  <c:v>2444640.82308</c:v>
                </c:pt>
                <c:pt idx="81">
                  <c:v>2444663.338</c:v>
                </c:pt>
                <c:pt idx="82">
                  <c:v>2444685.3199999998</c:v>
                </c:pt>
                <c:pt idx="83">
                  <c:v>2444696.35</c:v>
                </c:pt>
                <c:pt idx="84">
                  <c:v>2444864.5</c:v>
                </c:pt>
                <c:pt idx="85">
                  <c:v>2444882.6779999998</c:v>
                </c:pt>
                <c:pt idx="86">
                  <c:v>2444904.4849999999</c:v>
                </c:pt>
                <c:pt idx="87">
                  <c:v>2444918.375</c:v>
                </c:pt>
                <c:pt idx="88">
                  <c:v>2444933.7050000001</c:v>
                </c:pt>
                <c:pt idx="89">
                  <c:v>2444964.2233299999</c:v>
                </c:pt>
                <c:pt idx="90">
                  <c:v>2444986.3149999999</c:v>
                </c:pt>
                <c:pt idx="91">
                  <c:v>2444998.1283300002</c:v>
                </c:pt>
                <c:pt idx="92">
                  <c:v>2445018.57333</c:v>
                </c:pt>
                <c:pt idx="93">
                  <c:v>2445032.07143</c:v>
                </c:pt>
                <c:pt idx="94">
                  <c:v>2445048.4333299999</c:v>
                </c:pt>
                <c:pt idx="95">
                  <c:v>2445073.7420000001</c:v>
                </c:pt>
                <c:pt idx="96">
                  <c:v>2445083.2349999999</c:v>
                </c:pt>
                <c:pt idx="97">
                  <c:v>2445238.0674999999</c:v>
                </c:pt>
                <c:pt idx="98">
                  <c:v>2445291.1333300001</c:v>
                </c:pt>
                <c:pt idx="99">
                  <c:v>2445316.1</c:v>
                </c:pt>
                <c:pt idx="100">
                  <c:v>2445330.37</c:v>
                </c:pt>
                <c:pt idx="101">
                  <c:v>2445344.7866699998</c:v>
                </c:pt>
                <c:pt idx="102">
                  <c:v>2445361.33286</c:v>
                </c:pt>
                <c:pt idx="103">
                  <c:v>2445379.9175</c:v>
                </c:pt>
                <c:pt idx="104">
                  <c:v>2445401.6329999999</c:v>
                </c:pt>
                <c:pt idx="105">
                  <c:v>2445417.6666700002</c:v>
                </c:pt>
                <c:pt idx="106">
                  <c:v>2445433.03333</c:v>
                </c:pt>
                <c:pt idx="107">
                  <c:v>2445649.0966699999</c:v>
                </c:pt>
                <c:pt idx="108">
                  <c:v>2445669.35</c:v>
                </c:pt>
                <c:pt idx="109">
                  <c:v>2445704.4</c:v>
                </c:pt>
                <c:pt idx="110">
                  <c:v>2445728.5142899998</c:v>
                </c:pt>
                <c:pt idx="111">
                  <c:v>2445746.2000000002</c:v>
                </c:pt>
                <c:pt idx="112">
                  <c:v>2445766.82222</c:v>
                </c:pt>
                <c:pt idx="113">
                  <c:v>2445785.8666699999</c:v>
                </c:pt>
                <c:pt idx="114">
                  <c:v>2445805.5</c:v>
                </c:pt>
                <c:pt idx="115">
                  <c:v>2445822.6666700002</c:v>
                </c:pt>
                <c:pt idx="116">
                  <c:v>2445944.5</c:v>
                </c:pt>
                <c:pt idx="117">
                  <c:v>2446008.4</c:v>
                </c:pt>
                <c:pt idx="118">
                  <c:v>2446035.4500000002</c:v>
                </c:pt>
                <c:pt idx="119">
                  <c:v>2446058.625</c:v>
                </c:pt>
                <c:pt idx="120">
                  <c:v>2446093.2799999998</c:v>
                </c:pt>
                <c:pt idx="121">
                  <c:v>2446114.98</c:v>
                </c:pt>
                <c:pt idx="122">
                  <c:v>2446126.64</c:v>
                </c:pt>
                <c:pt idx="123">
                  <c:v>2446146.26364</c:v>
                </c:pt>
                <c:pt idx="124">
                  <c:v>2446160.78333</c:v>
                </c:pt>
                <c:pt idx="125">
                  <c:v>2446176.6988900001</c:v>
                </c:pt>
                <c:pt idx="126">
                  <c:v>2446291.5499999998</c:v>
                </c:pt>
                <c:pt idx="127">
                  <c:v>2446325</c:v>
                </c:pt>
                <c:pt idx="128">
                  <c:v>2446350.1</c:v>
                </c:pt>
                <c:pt idx="129">
                  <c:v>2446413.35</c:v>
                </c:pt>
                <c:pt idx="130">
                  <c:v>2446435.1800000002</c:v>
                </c:pt>
                <c:pt idx="131">
                  <c:v>2446454.0666700001</c:v>
                </c:pt>
                <c:pt idx="132">
                  <c:v>2446469.6666700002</c:v>
                </c:pt>
                <c:pt idx="133">
                  <c:v>2446491.6</c:v>
                </c:pt>
                <c:pt idx="134">
                  <c:v>2446508.8259999999</c:v>
                </c:pt>
                <c:pt idx="135">
                  <c:v>2446523.2777800001</c:v>
                </c:pt>
                <c:pt idx="136">
                  <c:v>2446543.5750000002</c:v>
                </c:pt>
                <c:pt idx="137">
                  <c:v>2446648.6</c:v>
                </c:pt>
                <c:pt idx="138">
                  <c:v>2446669.1733300001</c:v>
                </c:pt>
                <c:pt idx="139">
                  <c:v>2446705.4500000002</c:v>
                </c:pt>
                <c:pt idx="140">
                  <c:v>2446744.35</c:v>
                </c:pt>
                <c:pt idx="141">
                  <c:v>2446762.2999999998</c:v>
                </c:pt>
                <c:pt idx="142">
                  <c:v>2446778.2999999998</c:v>
                </c:pt>
                <c:pt idx="143">
                  <c:v>2446800.4</c:v>
                </c:pt>
                <c:pt idx="144">
                  <c:v>2446829.35</c:v>
                </c:pt>
                <c:pt idx="145">
                  <c:v>2446851.7066700002</c:v>
                </c:pt>
                <c:pt idx="146">
                  <c:v>2446867.7999999998</c:v>
                </c:pt>
                <c:pt idx="147">
                  <c:v>2446887.35</c:v>
                </c:pt>
                <c:pt idx="148">
                  <c:v>2446909.1</c:v>
                </c:pt>
                <c:pt idx="149">
                  <c:v>2447001.0499999998</c:v>
                </c:pt>
                <c:pt idx="150">
                  <c:v>2447041.6</c:v>
                </c:pt>
                <c:pt idx="151">
                  <c:v>2447061.53333</c:v>
                </c:pt>
                <c:pt idx="152">
                  <c:v>2447085.4</c:v>
                </c:pt>
                <c:pt idx="153">
                  <c:v>2447121.4</c:v>
                </c:pt>
                <c:pt idx="154">
                  <c:v>2447147.6749999998</c:v>
                </c:pt>
                <c:pt idx="155">
                  <c:v>2447161.46667</c:v>
                </c:pt>
                <c:pt idx="156">
                  <c:v>2447183.4</c:v>
                </c:pt>
                <c:pt idx="157">
                  <c:v>2447198.03333</c:v>
                </c:pt>
                <c:pt idx="158">
                  <c:v>2447210.8857100001</c:v>
                </c:pt>
                <c:pt idx="159">
                  <c:v>2447229.125</c:v>
                </c:pt>
                <c:pt idx="160">
                  <c:v>2447248.56</c:v>
                </c:pt>
                <c:pt idx="161">
                  <c:v>2447266.5874999999</c:v>
                </c:pt>
                <c:pt idx="162">
                  <c:v>2447359.6</c:v>
                </c:pt>
                <c:pt idx="163">
                  <c:v>2447372.2516000001</c:v>
                </c:pt>
                <c:pt idx="164">
                  <c:v>2447388.5782599999</c:v>
                </c:pt>
                <c:pt idx="165">
                  <c:v>2447420.8661699998</c:v>
                </c:pt>
                <c:pt idx="166">
                  <c:v>2447445.4626500001</c:v>
                </c:pt>
                <c:pt idx="167">
                  <c:v>2447472.43444</c:v>
                </c:pt>
                <c:pt idx="168">
                  <c:v>2447497.85</c:v>
                </c:pt>
                <c:pt idx="169">
                  <c:v>2447523.375</c:v>
                </c:pt>
                <c:pt idx="170">
                  <c:v>2447543.2999999998</c:v>
                </c:pt>
                <c:pt idx="171">
                  <c:v>2447560.92</c:v>
                </c:pt>
                <c:pt idx="172">
                  <c:v>2447574.2999999998</c:v>
                </c:pt>
                <c:pt idx="173">
                  <c:v>2447592.2285699998</c:v>
                </c:pt>
                <c:pt idx="174">
                  <c:v>2447605</c:v>
                </c:pt>
                <c:pt idx="175">
                  <c:v>2447620.5076899999</c:v>
                </c:pt>
                <c:pt idx="176">
                  <c:v>2447643.4</c:v>
                </c:pt>
                <c:pt idx="177">
                  <c:v>2447767.6</c:v>
                </c:pt>
                <c:pt idx="178">
                  <c:v>2447781.6</c:v>
                </c:pt>
                <c:pt idx="179">
                  <c:v>2447800.4333299999</c:v>
                </c:pt>
                <c:pt idx="180">
                  <c:v>2447823.3833300001</c:v>
                </c:pt>
                <c:pt idx="181">
                  <c:v>2447835.1897300002</c:v>
                </c:pt>
                <c:pt idx="182">
                  <c:v>2447856.5685800002</c:v>
                </c:pt>
                <c:pt idx="183">
                  <c:v>2447872.67667</c:v>
                </c:pt>
                <c:pt idx="184">
                  <c:v>2447892.36</c:v>
                </c:pt>
                <c:pt idx="185">
                  <c:v>2447910.6533300001</c:v>
                </c:pt>
                <c:pt idx="186">
                  <c:v>2447924.2999999998</c:v>
                </c:pt>
                <c:pt idx="187">
                  <c:v>2447944.11</c:v>
                </c:pt>
                <c:pt idx="188">
                  <c:v>2447962.2333300002</c:v>
                </c:pt>
                <c:pt idx="189">
                  <c:v>2447977.3840000001</c:v>
                </c:pt>
                <c:pt idx="190">
                  <c:v>2447996.9733299999</c:v>
                </c:pt>
                <c:pt idx="191">
                  <c:v>2448102.6</c:v>
                </c:pt>
                <c:pt idx="192">
                  <c:v>2448124.0499999998</c:v>
                </c:pt>
                <c:pt idx="193">
                  <c:v>2448141.6</c:v>
                </c:pt>
                <c:pt idx="194">
                  <c:v>2448160.0499999998</c:v>
                </c:pt>
                <c:pt idx="195">
                  <c:v>2448180.4598099999</c:v>
                </c:pt>
                <c:pt idx="196">
                  <c:v>2448197.5699999998</c:v>
                </c:pt>
                <c:pt idx="197">
                  <c:v>2448224.7740000002</c:v>
                </c:pt>
                <c:pt idx="198">
                  <c:v>2448245.46</c:v>
                </c:pt>
                <c:pt idx="199">
                  <c:v>2448268.6794799999</c:v>
                </c:pt>
                <c:pt idx="200">
                  <c:v>2448286.5175000001</c:v>
                </c:pt>
                <c:pt idx="201">
                  <c:v>2448308.1175000002</c:v>
                </c:pt>
                <c:pt idx="202">
                  <c:v>2448327.59</c:v>
                </c:pt>
                <c:pt idx="203">
                  <c:v>2448340.7999999998</c:v>
                </c:pt>
                <c:pt idx="204">
                  <c:v>2448479.56905</c:v>
                </c:pt>
                <c:pt idx="205">
                  <c:v>2448497.54734</c:v>
                </c:pt>
                <c:pt idx="206">
                  <c:v>2448516.5663600001</c:v>
                </c:pt>
                <c:pt idx="207">
                  <c:v>2448536.2053499999</c:v>
                </c:pt>
                <c:pt idx="208">
                  <c:v>2448553.5489500002</c:v>
                </c:pt>
                <c:pt idx="209">
                  <c:v>2448569.98232</c:v>
                </c:pt>
                <c:pt idx="210">
                  <c:v>2448595.9309700001</c:v>
                </c:pt>
                <c:pt idx="211">
                  <c:v>2448608.5377799999</c:v>
                </c:pt>
                <c:pt idx="212">
                  <c:v>2448625.8728100001</c:v>
                </c:pt>
                <c:pt idx="213">
                  <c:v>2448642.77355</c:v>
                </c:pt>
                <c:pt idx="214">
                  <c:v>2448653.78981</c:v>
                </c:pt>
                <c:pt idx="215">
                  <c:v>2448677.94246</c:v>
                </c:pt>
                <c:pt idx="216">
                  <c:v>2448690.5504999999</c:v>
                </c:pt>
                <c:pt idx="217">
                  <c:v>2448730.7000000002</c:v>
                </c:pt>
                <c:pt idx="218">
                  <c:v>2448869.7406700002</c:v>
                </c:pt>
                <c:pt idx="219">
                  <c:v>2448889</c:v>
                </c:pt>
                <c:pt idx="220">
                  <c:v>2448911.5033999998</c:v>
                </c:pt>
                <c:pt idx="221">
                  <c:v>2448923.9589999998</c:v>
                </c:pt>
                <c:pt idx="222">
                  <c:v>2448950.9140699999</c:v>
                </c:pt>
                <c:pt idx="223">
                  <c:v>2448965.3665200002</c:v>
                </c:pt>
                <c:pt idx="224">
                  <c:v>2448982.6122900001</c:v>
                </c:pt>
                <c:pt idx="225">
                  <c:v>2448997.1263199998</c:v>
                </c:pt>
                <c:pt idx="226">
                  <c:v>2449013.2783300001</c:v>
                </c:pt>
                <c:pt idx="227">
                  <c:v>2449035.3641400002</c:v>
                </c:pt>
                <c:pt idx="228">
                  <c:v>2449048.0599699998</c:v>
                </c:pt>
                <c:pt idx="229">
                  <c:v>2449063.1894200002</c:v>
                </c:pt>
                <c:pt idx="230">
                  <c:v>2449077.0926199998</c:v>
                </c:pt>
                <c:pt idx="231">
                  <c:v>2449095.90166</c:v>
                </c:pt>
                <c:pt idx="232">
                  <c:v>2449193.5972000002</c:v>
                </c:pt>
                <c:pt idx="233">
                  <c:v>2449212.4500000002</c:v>
                </c:pt>
                <c:pt idx="234">
                  <c:v>2449236.1333300001</c:v>
                </c:pt>
                <c:pt idx="235">
                  <c:v>2449249.2678800002</c:v>
                </c:pt>
                <c:pt idx="236">
                  <c:v>2449264.7683899999</c:v>
                </c:pt>
                <c:pt idx="237">
                  <c:v>2449279.2412100001</c:v>
                </c:pt>
                <c:pt idx="238">
                  <c:v>2449302.4074200001</c:v>
                </c:pt>
                <c:pt idx="239">
                  <c:v>2449312.1515100002</c:v>
                </c:pt>
                <c:pt idx="240">
                  <c:v>2449332.7469199998</c:v>
                </c:pt>
                <c:pt idx="241">
                  <c:v>2449350.8407999999</c:v>
                </c:pt>
                <c:pt idx="242">
                  <c:v>2449366.0709799998</c:v>
                </c:pt>
                <c:pt idx="243">
                  <c:v>2449382.8223799998</c:v>
                </c:pt>
                <c:pt idx="244">
                  <c:v>2449395.5395200001</c:v>
                </c:pt>
                <c:pt idx="245">
                  <c:v>2449417.06293</c:v>
                </c:pt>
                <c:pt idx="246">
                  <c:v>2449431.59039</c:v>
                </c:pt>
                <c:pt idx="247">
                  <c:v>2449451.6661899998</c:v>
                </c:pt>
                <c:pt idx="248">
                  <c:v>2449471.3538799998</c:v>
                </c:pt>
                <c:pt idx="249">
                  <c:v>2449568.56</c:v>
                </c:pt>
                <c:pt idx="250">
                  <c:v>2449583.3617199999</c:v>
                </c:pt>
                <c:pt idx="251">
                  <c:v>2449607.0444700001</c:v>
                </c:pt>
                <c:pt idx="252">
                  <c:v>2449634.0255200001</c:v>
                </c:pt>
                <c:pt idx="253">
                  <c:v>2449656.2535600001</c:v>
                </c:pt>
                <c:pt idx="254">
                  <c:v>2449675.2162700002</c:v>
                </c:pt>
                <c:pt idx="255">
                  <c:v>2449690.3335199999</c:v>
                </c:pt>
                <c:pt idx="256">
                  <c:v>2449706.18811</c:v>
                </c:pt>
                <c:pt idx="257">
                  <c:v>2449723.3393999999</c:v>
                </c:pt>
                <c:pt idx="258">
                  <c:v>2449746.7618800001</c:v>
                </c:pt>
                <c:pt idx="259">
                  <c:v>2449759.65485</c:v>
                </c:pt>
                <c:pt idx="260">
                  <c:v>2449777.8958299998</c:v>
                </c:pt>
                <c:pt idx="261">
                  <c:v>2449794.5621699998</c:v>
                </c:pt>
                <c:pt idx="262">
                  <c:v>2449807.6308400002</c:v>
                </c:pt>
                <c:pt idx="263">
                  <c:v>2449822.5481699998</c:v>
                </c:pt>
                <c:pt idx="264">
                  <c:v>2449838.24878</c:v>
                </c:pt>
                <c:pt idx="265">
                  <c:v>2449923.9556800001</c:v>
                </c:pt>
                <c:pt idx="266">
                  <c:v>2449939.48214</c:v>
                </c:pt>
                <c:pt idx="267">
                  <c:v>2449958.4331899998</c:v>
                </c:pt>
                <c:pt idx="268">
                  <c:v>2449988.5572799998</c:v>
                </c:pt>
                <c:pt idx="269">
                  <c:v>2450010.7034</c:v>
                </c:pt>
                <c:pt idx="270">
                  <c:v>2450020.3284800001</c:v>
                </c:pt>
                <c:pt idx="271">
                  <c:v>2450042.5078699999</c:v>
                </c:pt>
                <c:pt idx="272">
                  <c:v>2450060.11026</c:v>
                </c:pt>
                <c:pt idx="273">
                  <c:v>2450075.4938400001</c:v>
                </c:pt>
                <c:pt idx="274">
                  <c:v>2450093.9469599999</c:v>
                </c:pt>
                <c:pt idx="275">
                  <c:v>2450104.9463599999</c:v>
                </c:pt>
                <c:pt idx="276">
                  <c:v>2450121.9084899998</c:v>
                </c:pt>
                <c:pt idx="277">
                  <c:v>2450136.8031799998</c:v>
                </c:pt>
                <c:pt idx="278">
                  <c:v>2450153.8179700002</c:v>
                </c:pt>
                <c:pt idx="279">
                  <c:v>2450170.6979</c:v>
                </c:pt>
                <c:pt idx="280">
                  <c:v>2450184.54024</c:v>
                </c:pt>
                <c:pt idx="281">
                  <c:v>2450198.3286299999</c:v>
                </c:pt>
                <c:pt idx="282">
                  <c:v>2450216.4465000001</c:v>
                </c:pt>
                <c:pt idx="283">
                  <c:v>2450284.5</c:v>
                </c:pt>
                <c:pt idx="284">
                  <c:v>2450305.5</c:v>
                </c:pt>
                <c:pt idx="285">
                  <c:v>2450324.7723699999</c:v>
                </c:pt>
                <c:pt idx="286">
                  <c:v>2450343.9556999998</c:v>
                </c:pt>
                <c:pt idx="287">
                  <c:v>2450365.4206099999</c:v>
                </c:pt>
                <c:pt idx="288">
                  <c:v>2450383.24596</c:v>
                </c:pt>
                <c:pt idx="289">
                  <c:v>2450403.6624500002</c:v>
                </c:pt>
                <c:pt idx="290">
                  <c:v>2450423.3558100001</c:v>
                </c:pt>
                <c:pt idx="291">
                  <c:v>2450436.7079099999</c:v>
                </c:pt>
                <c:pt idx="292">
                  <c:v>2450457.9646999999</c:v>
                </c:pt>
                <c:pt idx="293">
                  <c:v>2450473.3607899998</c:v>
                </c:pt>
                <c:pt idx="294">
                  <c:v>2450487.5890199998</c:v>
                </c:pt>
                <c:pt idx="295">
                  <c:v>2450503.2873999998</c:v>
                </c:pt>
                <c:pt idx="296">
                  <c:v>2450517.6430100002</c:v>
                </c:pt>
                <c:pt idx="297">
                  <c:v>2450535.89304</c:v>
                </c:pt>
                <c:pt idx="298">
                  <c:v>2450548.4801099999</c:v>
                </c:pt>
                <c:pt idx="299">
                  <c:v>2450568.4045799999</c:v>
                </c:pt>
                <c:pt idx="300">
                  <c:v>2450586.0874999999</c:v>
                </c:pt>
                <c:pt idx="301">
                  <c:v>2450666.2439999999</c:v>
                </c:pt>
                <c:pt idx="302">
                  <c:v>2450686.5181</c:v>
                </c:pt>
                <c:pt idx="303">
                  <c:v>2450700.1195299998</c:v>
                </c:pt>
                <c:pt idx="304">
                  <c:v>2450723.8085500002</c:v>
                </c:pt>
                <c:pt idx="305">
                  <c:v>2450748.6024500001</c:v>
                </c:pt>
                <c:pt idx="306">
                  <c:v>2450769.4375</c:v>
                </c:pt>
                <c:pt idx="307">
                  <c:v>2450789.66817</c:v>
                </c:pt>
                <c:pt idx="308">
                  <c:v>2450814.3448100002</c:v>
                </c:pt>
                <c:pt idx="309">
                  <c:v>2450828.3732400001</c:v>
                </c:pt>
                <c:pt idx="310">
                  <c:v>2450844.8288099999</c:v>
                </c:pt>
                <c:pt idx="311">
                  <c:v>2450861.36992</c:v>
                </c:pt>
                <c:pt idx="312">
                  <c:v>2450874.0250499998</c:v>
                </c:pt>
                <c:pt idx="313">
                  <c:v>2450891.3464700002</c:v>
                </c:pt>
                <c:pt idx="314">
                  <c:v>2450911.4158899998</c:v>
                </c:pt>
                <c:pt idx="315">
                  <c:v>2450927.8168000001</c:v>
                </c:pt>
                <c:pt idx="316">
                  <c:v>2450939.7888699998</c:v>
                </c:pt>
                <c:pt idx="317">
                  <c:v>2451025.5</c:v>
                </c:pt>
                <c:pt idx="318">
                  <c:v>2451038.4810700002</c:v>
                </c:pt>
                <c:pt idx="319">
                  <c:v>2451052.7811199999</c:v>
                </c:pt>
                <c:pt idx="320">
                  <c:v>2451073.6069</c:v>
                </c:pt>
                <c:pt idx="321">
                  <c:v>2451080.8635900002</c:v>
                </c:pt>
                <c:pt idx="322">
                  <c:v>2451103.9750000001</c:v>
                </c:pt>
                <c:pt idx="323">
                  <c:v>2451111.36154</c:v>
                </c:pt>
                <c:pt idx="324">
                  <c:v>2451134.45688</c:v>
                </c:pt>
                <c:pt idx="325">
                  <c:v>2451154.5219899998</c:v>
                </c:pt>
                <c:pt idx="326">
                  <c:v>2451169.5572500001</c:v>
                </c:pt>
                <c:pt idx="327">
                  <c:v>2451186.6538399998</c:v>
                </c:pt>
                <c:pt idx="328">
                  <c:v>2451200.4485900002</c:v>
                </c:pt>
                <c:pt idx="329">
                  <c:v>2451217.5577699998</c:v>
                </c:pt>
                <c:pt idx="330">
                  <c:v>2451233.1966200001</c:v>
                </c:pt>
                <c:pt idx="331">
                  <c:v>2451249.5979300002</c:v>
                </c:pt>
                <c:pt idx="332">
                  <c:v>2451264.3020100002</c:v>
                </c:pt>
                <c:pt idx="333">
                  <c:v>2451278.7198899998</c:v>
                </c:pt>
                <c:pt idx="334">
                  <c:v>2451298.2822099999</c:v>
                </c:pt>
                <c:pt idx="335">
                  <c:v>2451392.0882700002</c:v>
                </c:pt>
                <c:pt idx="336">
                  <c:v>2451409.3305700002</c:v>
                </c:pt>
                <c:pt idx="337">
                  <c:v>2451430.8258600002</c:v>
                </c:pt>
                <c:pt idx="338">
                  <c:v>2451452.5506799999</c:v>
                </c:pt>
                <c:pt idx="339">
                  <c:v>2451464.7192299999</c:v>
                </c:pt>
                <c:pt idx="340">
                  <c:v>2451488.76878</c:v>
                </c:pt>
                <c:pt idx="341">
                  <c:v>2451506.2359799999</c:v>
                </c:pt>
                <c:pt idx="342">
                  <c:v>2451522.3773599998</c:v>
                </c:pt>
                <c:pt idx="343">
                  <c:v>2451538.77776</c:v>
                </c:pt>
                <c:pt idx="344">
                  <c:v>2451554.00673</c:v>
                </c:pt>
                <c:pt idx="345">
                  <c:v>2451574.43958</c:v>
                </c:pt>
                <c:pt idx="346">
                  <c:v>2451589.8130700001</c:v>
                </c:pt>
                <c:pt idx="347">
                  <c:v>2451606.83892</c:v>
                </c:pt>
                <c:pt idx="348">
                  <c:v>2451622.57271</c:v>
                </c:pt>
                <c:pt idx="349">
                  <c:v>2451638.3666300001</c:v>
                </c:pt>
                <c:pt idx="350">
                  <c:v>2451654.61204</c:v>
                </c:pt>
                <c:pt idx="351">
                  <c:v>2451670.7509499998</c:v>
                </c:pt>
                <c:pt idx="352">
                  <c:v>2451729.4375</c:v>
                </c:pt>
                <c:pt idx="353">
                  <c:v>2451743.7916299999</c:v>
                </c:pt>
                <c:pt idx="354">
                  <c:v>2451762.9120200002</c:v>
                </c:pt>
                <c:pt idx="355">
                  <c:v>2451778.7516600001</c:v>
                </c:pt>
                <c:pt idx="356">
                  <c:v>2451794.3139200001</c:v>
                </c:pt>
                <c:pt idx="357">
                  <c:v>2451817.7870299998</c:v>
                </c:pt>
                <c:pt idx="358">
                  <c:v>2451834.8395799999</c:v>
                </c:pt>
                <c:pt idx="359">
                  <c:v>2451850.5624899999</c:v>
                </c:pt>
                <c:pt idx="360">
                  <c:v>2451865.6166699999</c:v>
                </c:pt>
                <c:pt idx="361">
                  <c:v>2451877.8215100002</c:v>
                </c:pt>
                <c:pt idx="362">
                  <c:v>2451899.8879900002</c:v>
                </c:pt>
                <c:pt idx="363">
                  <c:v>2451918.9106899998</c:v>
                </c:pt>
                <c:pt idx="364">
                  <c:v>2451931.4383399999</c:v>
                </c:pt>
                <c:pt idx="365">
                  <c:v>2451952.72719</c:v>
                </c:pt>
                <c:pt idx="366">
                  <c:v>2451970.1233799998</c:v>
                </c:pt>
                <c:pt idx="367">
                  <c:v>2451985.60176</c:v>
                </c:pt>
                <c:pt idx="368">
                  <c:v>2452003.7245499999</c:v>
                </c:pt>
                <c:pt idx="369">
                  <c:v>2452019.43781</c:v>
                </c:pt>
                <c:pt idx="370">
                  <c:v>2452033.18346</c:v>
                </c:pt>
                <c:pt idx="371">
                  <c:v>2452123.6</c:v>
                </c:pt>
                <c:pt idx="372">
                  <c:v>2452139.2694399999</c:v>
                </c:pt>
                <c:pt idx="373">
                  <c:v>2452154.2379700001</c:v>
                </c:pt>
                <c:pt idx="374">
                  <c:v>2452177.3535699998</c:v>
                </c:pt>
                <c:pt idx="375">
                  <c:v>2452192.17778</c:v>
                </c:pt>
                <c:pt idx="376">
                  <c:v>2452204.63166</c:v>
                </c:pt>
                <c:pt idx="377">
                  <c:v>2452229.4735099999</c:v>
                </c:pt>
                <c:pt idx="378">
                  <c:v>2452246.49505</c:v>
                </c:pt>
                <c:pt idx="379">
                  <c:v>2452263.4857000001</c:v>
                </c:pt>
                <c:pt idx="380">
                  <c:v>2452280.49236</c:v>
                </c:pt>
                <c:pt idx="381">
                  <c:v>2452294.5872300002</c:v>
                </c:pt>
                <c:pt idx="382">
                  <c:v>2452315.1845499999</c:v>
                </c:pt>
                <c:pt idx="383">
                  <c:v>2452329.71355</c:v>
                </c:pt>
                <c:pt idx="384">
                  <c:v>2452343.8374999999</c:v>
                </c:pt>
                <c:pt idx="385">
                  <c:v>2452362.6806000001</c:v>
                </c:pt>
                <c:pt idx="386">
                  <c:v>2452374.8433599998</c:v>
                </c:pt>
                <c:pt idx="387">
                  <c:v>2452389.8357299999</c:v>
                </c:pt>
                <c:pt idx="388">
                  <c:v>2452460.4246499999</c:v>
                </c:pt>
                <c:pt idx="389">
                  <c:v>2452503.5585699999</c:v>
                </c:pt>
                <c:pt idx="390">
                  <c:v>2452514.87629</c:v>
                </c:pt>
                <c:pt idx="391">
                  <c:v>2452529.6240900001</c:v>
                </c:pt>
                <c:pt idx="392">
                  <c:v>2452549.4726900002</c:v>
                </c:pt>
                <c:pt idx="393">
                  <c:v>2452562.79482</c:v>
                </c:pt>
                <c:pt idx="394">
                  <c:v>2452580.3420799999</c:v>
                </c:pt>
                <c:pt idx="395">
                  <c:v>2452594.93194</c:v>
                </c:pt>
                <c:pt idx="396">
                  <c:v>2452613.1894800002</c:v>
                </c:pt>
                <c:pt idx="397">
                  <c:v>2452626.5261400002</c:v>
                </c:pt>
                <c:pt idx="398">
                  <c:v>2452645.13931</c:v>
                </c:pt>
                <c:pt idx="399">
                  <c:v>2452665.9912700001</c:v>
                </c:pt>
                <c:pt idx="400">
                  <c:v>2452680.6146900002</c:v>
                </c:pt>
                <c:pt idx="401">
                  <c:v>2452695.7884800001</c:v>
                </c:pt>
                <c:pt idx="402">
                  <c:v>2452711.9281199998</c:v>
                </c:pt>
                <c:pt idx="403">
                  <c:v>2452726.3640800002</c:v>
                </c:pt>
                <c:pt idx="404">
                  <c:v>2452742.1725499998</c:v>
                </c:pt>
                <c:pt idx="405">
                  <c:v>2452758.6596599999</c:v>
                </c:pt>
                <c:pt idx="406">
                  <c:v>2452769.3342200001</c:v>
                </c:pt>
                <c:pt idx="407">
                  <c:v>2452857.37384</c:v>
                </c:pt>
                <c:pt idx="408">
                  <c:v>2452876.7475999999</c:v>
                </c:pt>
                <c:pt idx="409">
                  <c:v>2452887.5748600001</c:v>
                </c:pt>
                <c:pt idx="410">
                  <c:v>2452908.0090299998</c:v>
                </c:pt>
                <c:pt idx="411">
                  <c:v>2452933.34112</c:v>
                </c:pt>
                <c:pt idx="412">
                  <c:v>2452946.4389900002</c:v>
                </c:pt>
                <c:pt idx="413">
                  <c:v>2452963.7773699998</c:v>
                </c:pt>
                <c:pt idx="414">
                  <c:v>2452977.7118500001</c:v>
                </c:pt>
                <c:pt idx="415">
                  <c:v>2452994.06971</c:v>
                </c:pt>
                <c:pt idx="416">
                  <c:v>2453010.4806400002</c:v>
                </c:pt>
                <c:pt idx="417">
                  <c:v>2453025.3046300001</c:v>
                </c:pt>
                <c:pt idx="418">
                  <c:v>2453040.2067900002</c:v>
                </c:pt>
                <c:pt idx="419">
                  <c:v>2453056.7003199998</c:v>
                </c:pt>
                <c:pt idx="420">
                  <c:v>2453076.5758500001</c:v>
                </c:pt>
                <c:pt idx="421">
                  <c:v>2453091.77678</c:v>
                </c:pt>
                <c:pt idx="422">
                  <c:v>2453111.19246</c:v>
                </c:pt>
                <c:pt idx="423">
                  <c:v>2453125.5830000001</c:v>
                </c:pt>
                <c:pt idx="424">
                  <c:v>2453232.5685000001</c:v>
                </c:pt>
                <c:pt idx="425">
                  <c:v>2453245.8901900002</c:v>
                </c:pt>
                <c:pt idx="426">
                  <c:v>2453263.8282300001</c:v>
                </c:pt>
                <c:pt idx="427">
                  <c:v>2453279.4352799999</c:v>
                </c:pt>
                <c:pt idx="428">
                  <c:v>2453295.28003</c:v>
                </c:pt>
                <c:pt idx="429">
                  <c:v>2453313.0215500002</c:v>
                </c:pt>
                <c:pt idx="430">
                  <c:v>2453326.1270400002</c:v>
                </c:pt>
                <c:pt idx="431">
                  <c:v>2453345.6263899999</c:v>
                </c:pt>
                <c:pt idx="432">
                  <c:v>2453359.8251</c:v>
                </c:pt>
                <c:pt idx="433">
                  <c:v>2453377.74009</c:v>
                </c:pt>
                <c:pt idx="434">
                  <c:v>2453392.9749400001</c:v>
                </c:pt>
                <c:pt idx="435">
                  <c:v>2453411.3709399998</c:v>
                </c:pt>
                <c:pt idx="436">
                  <c:v>2453430.1444199998</c:v>
                </c:pt>
                <c:pt idx="437">
                  <c:v>2453448.1794599998</c:v>
                </c:pt>
                <c:pt idx="438">
                  <c:v>2453462.5170999998</c:v>
                </c:pt>
                <c:pt idx="439">
                  <c:v>2453475.4247099999</c:v>
                </c:pt>
                <c:pt idx="440">
                  <c:v>2453503.2999999998</c:v>
                </c:pt>
                <c:pt idx="441">
                  <c:v>2453593.4628400002</c:v>
                </c:pt>
                <c:pt idx="442">
                  <c:v>2453615.4522600002</c:v>
                </c:pt>
                <c:pt idx="443">
                  <c:v>2453634.6764500001</c:v>
                </c:pt>
                <c:pt idx="444">
                  <c:v>2453652.3102699998</c:v>
                </c:pt>
                <c:pt idx="445">
                  <c:v>2453671.6339500002</c:v>
                </c:pt>
                <c:pt idx="446">
                  <c:v>2453684.3637999999</c:v>
                </c:pt>
                <c:pt idx="447">
                  <c:v>2453701.6897</c:v>
                </c:pt>
                <c:pt idx="448">
                  <c:v>2453714.33635</c:v>
                </c:pt>
                <c:pt idx="449">
                  <c:v>2453733.34754</c:v>
                </c:pt>
                <c:pt idx="450">
                  <c:v>2453745.6070300001</c:v>
                </c:pt>
                <c:pt idx="451">
                  <c:v>2453761.5585500002</c:v>
                </c:pt>
                <c:pt idx="452">
                  <c:v>2453778.8956800001</c:v>
                </c:pt>
                <c:pt idx="453">
                  <c:v>2453793.9614400002</c:v>
                </c:pt>
                <c:pt idx="454">
                  <c:v>2453809.3412299999</c:v>
                </c:pt>
                <c:pt idx="455">
                  <c:v>2453830.0973100001</c:v>
                </c:pt>
                <c:pt idx="456">
                  <c:v>2453847.73434</c:v>
                </c:pt>
                <c:pt idx="457">
                  <c:v>2453959.2666699998</c:v>
                </c:pt>
                <c:pt idx="458">
                  <c:v>2453975.9403599999</c:v>
                </c:pt>
                <c:pt idx="459">
                  <c:v>2453992.1916700001</c:v>
                </c:pt>
                <c:pt idx="460">
                  <c:v>2454004.7274600002</c:v>
                </c:pt>
                <c:pt idx="461">
                  <c:v>2454025.7440599999</c:v>
                </c:pt>
                <c:pt idx="462">
                  <c:v>2454036.7869299999</c:v>
                </c:pt>
                <c:pt idx="463">
                  <c:v>2454057.0962999999</c:v>
                </c:pt>
                <c:pt idx="464">
                  <c:v>2454071.5729299998</c:v>
                </c:pt>
                <c:pt idx="465">
                  <c:v>2454087.6732899998</c:v>
                </c:pt>
                <c:pt idx="466">
                  <c:v>2454104.9233599999</c:v>
                </c:pt>
                <c:pt idx="467">
                  <c:v>2454122.6114099999</c:v>
                </c:pt>
                <c:pt idx="468">
                  <c:v>2454137.3510599998</c:v>
                </c:pt>
                <c:pt idx="469">
                  <c:v>2454152.0879000002</c:v>
                </c:pt>
                <c:pt idx="470">
                  <c:v>2454171.6408199999</c:v>
                </c:pt>
                <c:pt idx="471">
                  <c:v>2454186.0096100001</c:v>
                </c:pt>
                <c:pt idx="472">
                  <c:v>2454201.0535300002</c:v>
                </c:pt>
                <c:pt idx="473">
                  <c:v>2454214.9865700002</c:v>
                </c:pt>
                <c:pt idx="474">
                  <c:v>2454234.2999999998</c:v>
                </c:pt>
                <c:pt idx="475">
                  <c:v>2454330.11338</c:v>
                </c:pt>
                <c:pt idx="476">
                  <c:v>2454359.3997</c:v>
                </c:pt>
                <c:pt idx="477">
                  <c:v>2454386.8528499999</c:v>
                </c:pt>
                <c:pt idx="478">
                  <c:v>2454399.3914100002</c:v>
                </c:pt>
                <c:pt idx="479">
                  <c:v>2454415.8732599998</c:v>
                </c:pt>
                <c:pt idx="480">
                  <c:v>2454432.5600399999</c:v>
                </c:pt>
                <c:pt idx="481">
                  <c:v>2454448.5638000001</c:v>
                </c:pt>
                <c:pt idx="482">
                  <c:v>2454467.06311</c:v>
                </c:pt>
                <c:pt idx="483">
                  <c:v>2454479.2968700002</c:v>
                </c:pt>
                <c:pt idx="484">
                  <c:v>2454498.2899099998</c:v>
                </c:pt>
                <c:pt idx="485">
                  <c:v>2454512.3531599999</c:v>
                </c:pt>
                <c:pt idx="486">
                  <c:v>2454527.3488599998</c:v>
                </c:pt>
                <c:pt idx="487">
                  <c:v>2454543.8077099998</c:v>
                </c:pt>
                <c:pt idx="488">
                  <c:v>2454558.3613499999</c:v>
                </c:pt>
                <c:pt idx="489">
                  <c:v>2454574.8772100001</c:v>
                </c:pt>
                <c:pt idx="490">
                  <c:v>2454589.3187500001</c:v>
                </c:pt>
                <c:pt idx="491">
                  <c:v>2454600.2999999998</c:v>
                </c:pt>
                <c:pt idx="492">
                  <c:v>2454683.5659699999</c:v>
                </c:pt>
                <c:pt idx="493">
                  <c:v>2454708.3342300002</c:v>
                </c:pt>
                <c:pt idx="494">
                  <c:v>2454721.95475</c:v>
                </c:pt>
                <c:pt idx="495">
                  <c:v>2454740.2912099999</c:v>
                </c:pt>
                <c:pt idx="496">
                  <c:v>2454759.97126</c:v>
                </c:pt>
                <c:pt idx="497">
                  <c:v>2454773.0441000001</c:v>
                </c:pt>
                <c:pt idx="498">
                  <c:v>2454796.2291299999</c:v>
                </c:pt>
                <c:pt idx="499">
                  <c:v>2454809.4629600001</c:v>
                </c:pt>
                <c:pt idx="500">
                  <c:v>2454830.23165</c:v>
                </c:pt>
                <c:pt idx="501">
                  <c:v>2454847.2788900002</c:v>
                </c:pt>
                <c:pt idx="502">
                  <c:v>2454859.5879099998</c:v>
                </c:pt>
                <c:pt idx="503">
                  <c:v>2454877.8790199999</c:v>
                </c:pt>
                <c:pt idx="504">
                  <c:v>2454894.2656800002</c:v>
                </c:pt>
                <c:pt idx="505">
                  <c:v>2454909.9984400002</c:v>
                </c:pt>
                <c:pt idx="506">
                  <c:v>2454924.98392</c:v>
                </c:pt>
                <c:pt idx="507">
                  <c:v>2454941.1864999998</c:v>
                </c:pt>
                <c:pt idx="508">
                  <c:v>2454957.9928199998</c:v>
                </c:pt>
                <c:pt idx="509">
                  <c:v>2455045.92313</c:v>
                </c:pt>
                <c:pt idx="510">
                  <c:v>2455067.7644500001</c:v>
                </c:pt>
                <c:pt idx="511">
                  <c:v>2455090.4726800001</c:v>
                </c:pt>
                <c:pt idx="512">
                  <c:v>2455104.43028</c:v>
                </c:pt>
                <c:pt idx="513">
                  <c:v>2455124.3368600002</c:v>
                </c:pt>
                <c:pt idx="514">
                  <c:v>2455140.51602</c:v>
                </c:pt>
                <c:pt idx="515">
                  <c:v>2455154.5218799999</c:v>
                </c:pt>
                <c:pt idx="516">
                  <c:v>2455172.2820700002</c:v>
                </c:pt>
                <c:pt idx="517">
                  <c:v>2455186.7632499998</c:v>
                </c:pt>
                <c:pt idx="518">
                  <c:v>2455204.8280500001</c:v>
                </c:pt>
                <c:pt idx="519">
                  <c:v>2455218.6133599998</c:v>
                </c:pt>
                <c:pt idx="520">
                  <c:v>2455234.9670299999</c:v>
                </c:pt>
                <c:pt idx="521">
                  <c:v>2455251.4442199999</c:v>
                </c:pt>
                <c:pt idx="522">
                  <c:v>2455264.7041699998</c:v>
                </c:pt>
                <c:pt idx="523">
                  <c:v>2455284.2818399998</c:v>
                </c:pt>
                <c:pt idx="524">
                  <c:v>2455298.6203700001</c:v>
                </c:pt>
                <c:pt idx="525">
                  <c:v>2455311.7293500002</c:v>
                </c:pt>
                <c:pt idx="526">
                  <c:v>2455325.9330500001</c:v>
                </c:pt>
                <c:pt idx="527">
                  <c:v>2455341.2999999998</c:v>
                </c:pt>
                <c:pt idx="528">
                  <c:v>2455414.5652999999</c:v>
                </c:pt>
                <c:pt idx="529">
                  <c:v>2455448.73318</c:v>
                </c:pt>
                <c:pt idx="530">
                  <c:v>2455466.1132</c:v>
                </c:pt>
                <c:pt idx="531">
                  <c:v>2455479.1542600002</c:v>
                </c:pt>
                <c:pt idx="532">
                  <c:v>2455494.3101900001</c:v>
                </c:pt>
                <c:pt idx="533">
                  <c:v>2455511.02819</c:v>
                </c:pt>
                <c:pt idx="534">
                  <c:v>2455529.8838</c:v>
                </c:pt>
                <c:pt idx="535">
                  <c:v>2455541.0633100001</c:v>
                </c:pt>
                <c:pt idx="536">
                  <c:v>2455565.9139399999</c:v>
                </c:pt>
                <c:pt idx="537">
                  <c:v>2455578.4430499999</c:v>
                </c:pt>
                <c:pt idx="538">
                  <c:v>2455594.5496200002</c:v>
                </c:pt>
                <c:pt idx="539">
                  <c:v>2455609.74339</c:v>
                </c:pt>
                <c:pt idx="540">
                  <c:v>2455624.6648300001</c:v>
                </c:pt>
                <c:pt idx="541">
                  <c:v>2455642.0413600001</c:v>
                </c:pt>
                <c:pt idx="542">
                  <c:v>2455654.47664</c:v>
                </c:pt>
                <c:pt idx="543">
                  <c:v>2455670.0623699999</c:v>
                </c:pt>
                <c:pt idx="544">
                  <c:v>2455684.43927</c:v>
                </c:pt>
                <c:pt idx="545">
                  <c:v>2455776.6</c:v>
                </c:pt>
                <c:pt idx="546">
                  <c:v>2455803.76199</c:v>
                </c:pt>
                <c:pt idx="547">
                  <c:v>2455816.3044599998</c:v>
                </c:pt>
                <c:pt idx="548">
                  <c:v>2455833.51376</c:v>
                </c:pt>
                <c:pt idx="549">
                  <c:v>2455852.8007</c:v>
                </c:pt>
                <c:pt idx="550">
                  <c:v>2455870.2794499998</c:v>
                </c:pt>
                <c:pt idx="551">
                  <c:v>2455888.0104800002</c:v>
                </c:pt>
                <c:pt idx="552">
                  <c:v>2455903.1662900001</c:v>
                </c:pt>
                <c:pt idx="553">
                  <c:v>2455918.6068799999</c:v>
                </c:pt>
                <c:pt idx="554">
                  <c:v>2455935.8702699998</c:v>
                </c:pt>
                <c:pt idx="555">
                  <c:v>2455952.89169</c:v>
                </c:pt>
                <c:pt idx="556">
                  <c:v>2455968.7958200001</c:v>
                </c:pt>
                <c:pt idx="557">
                  <c:v>2455980.77147</c:v>
                </c:pt>
                <c:pt idx="558">
                  <c:v>2455997.4686699999</c:v>
                </c:pt>
                <c:pt idx="559">
                  <c:v>2456012.0178700001</c:v>
                </c:pt>
                <c:pt idx="560">
                  <c:v>2456026.57913</c:v>
                </c:pt>
                <c:pt idx="561">
                  <c:v>2456042.6189999999</c:v>
                </c:pt>
                <c:pt idx="562">
                  <c:v>2456057.8698</c:v>
                </c:pt>
                <c:pt idx="563">
                  <c:v>2456131.5882000001</c:v>
                </c:pt>
                <c:pt idx="564">
                  <c:v>2456164.92821</c:v>
                </c:pt>
                <c:pt idx="565">
                  <c:v>2456185.5481699998</c:v>
                </c:pt>
                <c:pt idx="566">
                  <c:v>2456203.2591599999</c:v>
                </c:pt>
                <c:pt idx="567">
                  <c:v>2456219.8132699998</c:v>
                </c:pt>
                <c:pt idx="568">
                  <c:v>2456240.8591999998</c:v>
                </c:pt>
                <c:pt idx="569">
                  <c:v>2456259.95059</c:v>
                </c:pt>
                <c:pt idx="570">
                  <c:v>2456275.1027000002</c:v>
                </c:pt>
                <c:pt idx="571">
                  <c:v>2456299.2394400002</c:v>
                </c:pt>
                <c:pt idx="572">
                  <c:v>2456310.9257499999</c:v>
                </c:pt>
                <c:pt idx="573">
                  <c:v>2456329.6107899998</c:v>
                </c:pt>
                <c:pt idx="574">
                  <c:v>2456345.01357</c:v>
                </c:pt>
                <c:pt idx="575">
                  <c:v>2456361.1165900002</c:v>
                </c:pt>
                <c:pt idx="576">
                  <c:v>2456376.3556599999</c:v>
                </c:pt>
                <c:pt idx="577">
                  <c:v>2456390.5026699998</c:v>
                </c:pt>
                <c:pt idx="578">
                  <c:v>2456408.5908900001</c:v>
                </c:pt>
                <c:pt idx="579">
                  <c:v>2456419.10513</c:v>
                </c:pt>
                <c:pt idx="580">
                  <c:v>2456493.5970000001</c:v>
                </c:pt>
                <c:pt idx="581">
                  <c:v>2456517.5630000001</c:v>
                </c:pt>
                <c:pt idx="582">
                  <c:v>2456545.28883</c:v>
                </c:pt>
                <c:pt idx="583">
                  <c:v>2456566.1554700001</c:v>
                </c:pt>
                <c:pt idx="584">
                  <c:v>2456578.4642500002</c:v>
                </c:pt>
                <c:pt idx="585">
                  <c:v>2456597.12115</c:v>
                </c:pt>
                <c:pt idx="586">
                  <c:v>2456610.5151800001</c:v>
                </c:pt>
                <c:pt idx="587">
                  <c:v>2456630.77813</c:v>
                </c:pt>
                <c:pt idx="588">
                  <c:v>2456647.5054600001</c:v>
                </c:pt>
                <c:pt idx="589">
                  <c:v>2456659.4975299998</c:v>
                </c:pt>
                <c:pt idx="590">
                  <c:v>2456676.6119900001</c:v>
                </c:pt>
                <c:pt idx="591">
                  <c:v>2456689.1715500001</c:v>
                </c:pt>
                <c:pt idx="592">
                  <c:v>2456709.1491999999</c:v>
                </c:pt>
                <c:pt idx="593">
                  <c:v>2456722.5979200001</c:v>
                </c:pt>
                <c:pt idx="594">
                  <c:v>2456739.4601500002</c:v>
                </c:pt>
                <c:pt idx="595">
                  <c:v>2456753.8745200001</c:v>
                </c:pt>
                <c:pt idx="596">
                  <c:v>2456769.5791099998</c:v>
                </c:pt>
                <c:pt idx="597">
                  <c:v>2456781.6068500001</c:v>
                </c:pt>
                <c:pt idx="598">
                  <c:v>2456867.08</c:v>
                </c:pt>
                <c:pt idx="599">
                  <c:v>2456889.8204299998</c:v>
                </c:pt>
                <c:pt idx="600">
                  <c:v>2456905.5883999998</c:v>
                </c:pt>
                <c:pt idx="601">
                  <c:v>2456923.9848699998</c:v>
                </c:pt>
                <c:pt idx="602">
                  <c:v>2456934.4274200001</c:v>
                </c:pt>
                <c:pt idx="603">
                  <c:v>2456955.4654600001</c:v>
                </c:pt>
                <c:pt idx="604">
                  <c:v>2456971.6367899999</c:v>
                </c:pt>
                <c:pt idx="605">
                  <c:v>2456987.40123</c:v>
                </c:pt>
                <c:pt idx="606">
                  <c:v>2457001.5581299998</c:v>
                </c:pt>
                <c:pt idx="607">
                  <c:v>2457015.8113600002</c:v>
                </c:pt>
                <c:pt idx="608">
                  <c:v>2457036.9898299999</c:v>
                </c:pt>
                <c:pt idx="609">
                  <c:v>2457051.4933000002</c:v>
                </c:pt>
                <c:pt idx="610">
                  <c:v>2457067.7166200001</c:v>
                </c:pt>
                <c:pt idx="611">
                  <c:v>2457083.3108399999</c:v>
                </c:pt>
                <c:pt idx="612">
                  <c:v>2457098.8210999998</c:v>
                </c:pt>
                <c:pt idx="613">
                  <c:v>2457114.2788399998</c:v>
                </c:pt>
                <c:pt idx="614">
                  <c:v>2457129.0850499999</c:v>
                </c:pt>
                <c:pt idx="615">
                  <c:v>2457145.5917099998</c:v>
                </c:pt>
                <c:pt idx="616">
                  <c:v>2457257.0392499999</c:v>
                </c:pt>
                <c:pt idx="617">
                  <c:v>2457275.2472999999</c:v>
                </c:pt>
                <c:pt idx="618">
                  <c:v>2457291.3447599998</c:v>
                </c:pt>
                <c:pt idx="619">
                  <c:v>2457311.3346899999</c:v>
                </c:pt>
                <c:pt idx="620">
                  <c:v>2457330.5700599998</c:v>
                </c:pt>
                <c:pt idx="621">
                  <c:v>2457345.20915</c:v>
                </c:pt>
                <c:pt idx="622">
                  <c:v>2457362.61472</c:v>
                </c:pt>
                <c:pt idx="623">
                  <c:v>2457377.5100699998</c:v>
                </c:pt>
                <c:pt idx="624">
                  <c:v>2457392.2312599998</c:v>
                </c:pt>
                <c:pt idx="625">
                  <c:v>2457406.4698700001</c:v>
                </c:pt>
                <c:pt idx="626">
                  <c:v>2457425.8265999998</c:v>
                </c:pt>
                <c:pt idx="627">
                  <c:v>2457439.8399700001</c:v>
                </c:pt>
                <c:pt idx="628">
                  <c:v>2457453.4487200002</c:v>
                </c:pt>
                <c:pt idx="629">
                  <c:v>2457468.8093500002</c:v>
                </c:pt>
                <c:pt idx="630">
                  <c:v>2457485.35971</c:v>
                </c:pt>
                <c:pt idx="631">
                  <c:v>2457501.5178999999</c:v>
                </c:pt>
                <c:pt idx="632">
                  <c:v>2457513.7264100001</c:v>
                </c:pt>
                <c:pt idx="633">
                  <c:v>2457606.33458</c:v>
                </c:pt>
                <c:pt idx="634">
                  <c:v>2457623.35934</c:v>
                </c:pt>
                <c:pt idx="635">
                  <c:v>2457640.1727700001</c:v>
                </c:pt>
                <c:pt idx="636">
                  <c:v>2457655.9305199999</c:v>
                </c:pt>
                <c:pt idx="637">
                  <c:v>2457667.1615200001</c:v>
                </c:pt>
                <c:pt idx="638">
                  <c:v>2457690.3993500001</c:v>
                </c:pt>
                <c:pt idx="639">
                  <c:v>2457708.68677</c:v>
                </c:pt>
                <c:pt idx="640">
                  <c:v>2457725.1745600002</c:v>
                </c:pt>
                <c:pt idx="641">
                  <c:v>2457741.8766700001</c:v>
                </c:pt>
                <c:pt idx="642">
                  <c:v>2457752.43071</c:v>
                </c:pt>
                <c:pt idx="643">
                  <c:v>2457762.37237</c:v>
                </c:pt>
                <c:pt idx="644">
                  <c:v>2457774.9954200001</c:v>
                </c:pt>
                <c:pt idx="645">
                  <c:v>2457783.5024799998</c:v>
                </c:pt>
                <c:pt idx="646">
                  <c:v>2457798.8605800001</c:v>
                </c:pt>
                <c:pt idx="647">
                  <c:v>2457806.4194499999</c:v>
                </c:pt>
                <c:pt idx="648">
                  <c:v>2457820.8765699998</c:v>
                </c:pt>
                <c:pt idx="649">
                  <c:v>2457830.6899100002</c:v>
                </c:pt>
                <c:pt idx="650">
                  <c:v>2457840.7507600002</c:v>
                </c:pt>
                <c:pt idx="651">
                  <c:v>2457852.13564</c:v>
                </c:pt>
                <c:pt idx="652">
                  <c:v>2457864.2798899999</c:v>
                </c:pt>
                <c:pt idx="653">
                  <c:v>2457873.6101600002</c:v>
                </c:pt>
                <c:pt idx="654">
                  <c:v>2457966.5819999999</c:v>
                </c:pt>
                <c:pt idx="655">
                  <c:v>2457981.7644400001</c:v>
                </c:pt>
                <c:pt idx="656">
                  <c:v>2457992.9218100002</c:v>
                </c:pt>
                <c:pt idx="657">
                  <c:v>2458002.0595200001</c:v>
                </c:pt>
                <c:pt idx="658">
                  <c:v>2458013.06195</c:v>
                </c:pt>
                <c:pt idx="659">
                  <c:v>2458024.5296200002</c:v>
                </c:pt>
                <c:pt idx="660">
                  <c:v>2458031.4256000002</c:v>
                </c:pt>
                <c:pt idx="661">
                  <c:v>2458045.8079300001</c:v>
                </c:pt>
                <c:pt idx="662">
                  <c:v>2458350</c:v>
                </c:pt>
                <c:pt idx="663">
                  <c:v>2458370</c:v>
                </c:pt>
                <c:pt idx="664">
                  <c:v>2458380</c:v>
                </c:pt>
                <c:pt idx="665">
                  <c:v>2458390</c:v>
                </c:pt>
                <c:pt idx="666">
                  <c:v>2458400</c:v>
                </c:pt>
                <c:pt idx="667">
                  <c:v>2458410</c:v>
                </c:pt>
                <c:pt idx="668">
                  <c:v>2458420</c:v>
                </c:pt>
                <c:pt idx="669">
                  <c:v>2458430</c:v>
                </c:pt>
                <c:pt idx="670">
                  <c:v>2458440</c:v>
                </c:pt>
                <c:pt idx="671">
                  <c:v>2458450</c:v>
                </c:pt>
                <c:pt idx="672">
                  <c:v>2458460</c:v>
                </c:pt>
                <c:pt idx="673">
                  <c:v>2458470</c:v>
                </c:pt>
                <c:pt idx="674">
                  <c:v>2458480</c:v>
                </c:pt>
                <c:pt idx="675">
                  <c:v>2458490</c:v>
                </c:pt>
                <c:pt idx="676">
                  <c:v>2458500</c:v>
                </c:pt>
                <c:pt idx="677">
                  <c:v>2458510</c:v>
                </c:pt>
                <c:pt idx="678">
                  <c:v>2458520</c:v>
                </c:pt>
                <c:pt idx="679">
                  <c:v>2458530</c:v>
                </c:pt>
                <c:pt idx="680">
                  <c:v>2458540</c:v>
                </c:pt>
                <c:pt idx="681">
                  <c:v>2458550</c:v>
                </c:pt>
                <c:pt idx="682">
                  <c:v>2458560</c:v>
                </c:pt>
                <c:pt idx="683">
                  <c:v>2458570</c:v>
                </c:pt>
                <c:pt idx="684">
                  <c:v>2458580</c:v>
                </c:pt>
                <c:pt idx="685">
                  <c:v>2458590</c:v>
                </c:pt>
                <c:pt idx="686">
                  <c:v>2458600</c:v>
                </c:pt>
                <c:pt idx="687">
                  <c:v>2458700</c:v>
                </c:pt>
                <c:pt idx="688">
                  <c:v>2458710</c:v>
                </c:pt>
                <c:pt idx="689">
                  <c:v>2458720</c:v>
                </c:pt>
                <c:pt idx="690">
                  <c:v>2458730</c:v>
                </c:pt>
                <c:pt idx="691">
                  <c:v>2458740</c:v>
                </c:pt>
                <c:pt idx="692">
                  <c:v>2458750</c:v>
                </c:pt>
                <c:pt idx="693">
                  <c:v>2458760</c:v>
                </c:pt>
                <c:pt idx="694">
                  <c:v>2458770</c:v>
                </c:pt>
                <c:pt idx="695">
                  <c:v>2458780</c:v>
                </c:pt>
                <c:pt idx="696">
                  <c:v>2458790</c:v>
                </c:pt>
                <c:pt idx="697">
                  <c:v>2458800</c:v>
                </c:pt>
                <c:pt idx="698">
                  <c:v>2458810</c:v>
                </c:pt>
                <c:pt idx="699">
                  <c:v>2458820</c:v>
                </c:pt>
                <c:pt idx="700">
                  <c:v>2458830</c:v>
                </c:pt>
                <c:pt idx="701">
                  <c:v>2458840</c:v>
                </c:pt>
                <c:pt idx="702">
                  <c:v>2458850</c:v>
                </c:pt>
                <c:pt idx="703">
                  <c:v>2458860</c:v>
                </c:pt>
                <c:pt idx="704">
                  <c:v>2458870</c:v>
                </c:pt>
                <c:pt idx="705">
                  <c:v>2458880</c:v>
                </c:pt>
                <c:pt idx="706">
                  <c:v>2458890</c:v>
                </c:pt>
                <c:pt idx="707">
                  <c:v>2458900</c:v>
                </c:pt>
                <c:pt idx="708">
                  <c:v>2458910</c:v>
                </c:pt>
                <c:pt idx="709">
                  <c:v>2458920</c:v>
                </c:pt>
                <c:pt idx="710">
                  <c:v>2458930</c:v>
                </c:pt>
                <c:pt idx="711">
                  <c:v>2458940</c:v>
                </c:pt>
                <c:pt idx="712">
                  <c:v>2458950</c:v>
                </c:pt>
                <c:pt idx="713">
                  <c:v>2458960</c:v>
                </c:pt>
                <c:pt idx="714">
                  <c:v>2458970</c:v>
                </c:pt>
                <c:pt idx="715">
                  <c:v>2459060</c:v>
                </c:pt>
                <c:pt idx="716">
                  <c:v>2459070</c:v>
                </c:pt>
                <c:pt idx="717">
                  <c:v>2459080</c:v>
                </c:pt>
                <c:pt idx="718">
                  <c:v>2459090</c:v>
                </c:pt>
                <c:pt idx="719">
                  <c:v>2459100</c:v>
                </c:pt>
                <c:pt idx="720">
                  <c:v>2459110</c:v>
                </c:pt>
                <c:pt idx="721">
                  <c:v>2459120</c:v>
                </c:pt>
                <c:pt idx="722">
                  <c:v>2459130</c:v>
                </c:pt>
                <c:pt idx="723">
                  <c:v>2459140</c:v>
                </c:pt>
                <c:pt idx="724">
                  <c:v>2459150</c:v>
                </c:pt>
                <c:pt idx="725">
                  <c:v>2459160</c:v>
                </c:pt>
                <c:pt idx="726">
                  <c:v>2459170</c:v>
                </c:pt>
                <c:pt idx="727">
                  <c:v>2459180</c:v>
                </c:pt>
                <c:pt idx="728">
                  <c:v>2459190</c:v>
                </c:pt>
                <c:pt idx="729">
                  <c:v>2459200</c:v>
                </c:pt>
                <c:pt idx="730">
                  <c:v>2459210</c:v>
                </c:pt>
                <c:pt idx="731">
                  <c:v>2459220</c:v>
                </c:pt>
                <c:pt idx="732">
                  <c:v>2459230</c:v>
                </c:pt>
                <c:pt idx="733">
                  <c:v>2459240</c:v>
                </c:pt>
                <c:pt idx="734">
                  <c:v>2459250</c:v>
                </c:pt>
                <c:pt idx="735">
                  <c:v>2459260</c:v>
                </c:pt>
                <c:pt idx="736">
                  <c:v>2459270</c:v>
                </c:pt>
                <c:pt idx="737">
                  <c:v>2459280</c:v>
                </c:pt>
                <c:pt idx="738">
                  <c:v>2459290</c:v>
                </c:pt>
                <c:pt idx="739">
                  <c:v>2459300</c:v>
                </c:pt>
                <c:pt idx="740">
                  <c:v>2459310</c:v>
                </c:pt>
                <c:pt idx="741">
                  <c:v>2459320</c:v>
                </c:pt>
                <c:pt idx="742">
                  <c:v>2459330</c:v>
                </c:pt>
              </c:numCache>
            </c:numRef>
          </c:xVal>
          <c:yVal>
            <c:numRef>
              <c:f>Vis!$C$1:$C$1155</c:f>
              <c:numCache>
                <c:formatCode>General</c:formatCode>
                <c:ptCount val="1155"/>
                <c:pt idx="0">
                  <c:v>8.9</c:v>
                </c:pt>
                <c:pt idx="1">
                  <c:v>10</c:v>
                </c:pt>
                <c:pt idx="2">
                  <c:v>10.1</c:v>
                </c:pt>
                <c:pt idx="3">
                  <c:v>9.8000000000000007</c:v>
                </c:pt>
                <c:pt idx="4">
                  <c:v>9.5</c:v>
                </c:pt>
                <c:pt idx="5">
                  <c:v>9.0500000000000007</c:v>
                </c:pt>
                <c:pt idx="6">
                  <c:v>8.7249999999999996</c:v>
                </c:pt>
                <c:pt idx="7">
                  <c:v>8.35</c:v>
                </c:pt>
                <c:pt idx="8">
                  <c:v>8.7750000000000004</c:v>
                </c:pt>
                <c:pt idx="9">
                  <c:v>8.6999999999999993</c:v>
                </c:pt>
                <c:pt idx="10">
                  <c:v>8.9</c:v>
                </c:pt>
                <c:pt idx="11">
                  <c:v>10.1</c:v>
                </c:pt>
                <c:pt idx="12">
                  <c:v>10.199999999999999</c:v>
                </c:pt>
                <c:pt idx="13">
                  <c:v>9.5</c:v>
                </c:pt>
                <c:pt idx="14">
                  <c:v>9.233333</c:v>
                </c:pt>
                <c:pt idx="15">
                  <c:v>9.9</c:v>
                </c:pt>
                <c:pt idx="16">
                  <c:v>9.3000000000000007</c:v>
                </c:pt>
                <c:pt idx="17">
                  <c:v>8.8000000000000007</c:v>
                </c:pt>
                <c:pt idx="18">
                  <c:v>8.5</c:v>
                </c:pt>
                <c:pt idx="19">
                  <c:v>8.5500000000000007</c:v>
                </c:pt>
                <c:pt idx="20">
                  <c:v>9.9</c:v>
                </c:pt>
                <c:pt idx="21">
                  <c:v>9.75</c:v>
                </c:pt>
                <c:pt idx="22">
                  <c:v>9.4</c:v>
                </c:pt>
                <c:pt idx="23">
                  <c:v>8.75</c:v>
                </c:pt>
                <c:pt idx="24">
                  <c:v>8.5</c:v>
                </c:pt>
                <c:pt idx="25">
                  <c:v>10</c:v>
                </c:pt>
                <c:pt idx="26">
                  <c:v>8.8000000000000007</c:v>
                </c:pt>
                <c:pt idx="27">
                  <c:v>9.4</c:v>
                </c:pt>
                <c:pt idx="28">
                  <c:v>8.75</c:v>
                </c:pt>
                <c:pt idx="29">
                  <c:v>8.5</c:v>
                </c:pt>
                <c:pt idx="30">
                  <c:v>8.9</c:v>
                </c:pt>
                <c:pt idx="31">
                  <c:v>9.3000000000000007</c:v>
                </c:pt>
                <c:pt idx="32">
                  <c:v>11</c:v>
                </c:pt>
                <c:pt idx="33">
                  <c:v>10.25</c:v>
                </c:pt>
                <c:pt idx="34">
                  <c:v>9.3000000000000007</c:v>
                </c:pt>
                <c:pt idx="35">
                  <c:v>7.9</c:v>
                </c:pt>
                <c:pt idx="36">
                  <c:v>8.4</c:v>
                </c:pt>
                <c:pt idx="37">
                  <c:v>8.9</c:v>
                </c:pt>
                <c:pt idx="38">
                  <c:v>10.3</c:v>
                </c:pt>
                <c:pt idx="39">
                  <c:v>10.5</c:v>
                </c:pt>
                <c:pt idx="40">
                  <c:v>10.7</c:v>
                </c:pt>
                <c:pt idx="41">
                  <c:v>9.1999999999999993</c:v>
                </c:pt>
                <c:pt idx="42">
                  <c:v>8.9</c:v>
                </c:pt>
                <c:pt idx="43">
                  <c:v>8.9499999999999993</c:v>
                </c:pt>
                <c:pt idx="44">
                  <c:v>8.6999999999999993</c:v>
                </c:pt>
                <c:pt idx="45">
                  <c:v>9.1999999999999993</c:v>
                </c:pt>
                <c:pt idx="46">
                  <c:v>9.8000000000000007</c:v>
                </c:pt>
                <c:pt idx="47">
                  <c:v>11.25</c:v>
                </c:pt>
                <c:pt idx="48">
                  <c:v>10</c:v>
                </c:pt>
                <c:pt idx="49">
                  <c:v>8.9</c:v>
                </c:pt>
                <c:pt idx="50">
                  <c:v>8.6999999999999993</c:v>
                </c:pt>
                <c:pt idx="51">
                  <c:v>10.3</c:v>
                </c:pt>
                <c:pt idx="52">
                  <c:v>9.5</c:v>
                </c:pt>
                <c:pt idx="53">
                  <c:v>10</c:v>
                </c:pt>
                <c:pt idx="54">
                  <c:v>7.5</c:v>
                </c:pt>
                <c:pt idx="55">
                  <c:v>8</c:v>
                </c:pt>
                <c:pt idx="56">
                  <c:v>10.5</c:v>
                </c:pt>
                <c:pt idx="57">
                  <c:v>9.5</c:v>
                </c:pt>
                <c:pt idx="58">
                  <c:v>10</c:v>
                </c:pt>
                <c:pt idx="59">
                  <c:v>10.5</c:v>
                </c:pt>
                <c:pt idx="60">
                  <c:v>10</c:v>
                </c:pt>
                <c:pt idx="61">
                  <c:v>8.1999999999999993</c:v>
                </c:pt>
                <c:pt idx="62">
                  <c:v>10.4</c:v>
                </c:pt>
                <c:pt idx="63">
                  <c:v>10.133333</c:v>
                </c:pt>
                <c:pt idx="64">
                  <c:v>8.2249999999999996</c:v>
                </c:pt>
                <c:pt idx="65">
                  <c:v>8.6999999999999993</c:v>
                </c:pt>
                <c:pt idx="66">
                  <c:v>8.6333330000000004</c:v>
                </c:pt>
                <c:pt idx="67">
                  <c:v>8.8000000000000007</c:v>
                </c:pt>
                <c:pt idx="68">
                  <c:v>8.9333329999999993</c:v>
                </c:pt>
                <c:pt idx="69">
                  <c:v>9.3249999999999993</c:v>
                </c:pt>
                <c:pt idx="70">
                  <c:v>9.4499999999999993</c:v>
                </c:pt>
                <c:pt idx="71">
                  <c:v>9.375</c:v>
                </c:pt>
                <c:pt idx="72">
                  <c:v>9.5</c:v>
                </c:pt>
                <c:pt idx="73">
                  <c:v>9.25</c:v>
                </c:pt>
                <c:pt idx="74">
                  <c:v>9.5</c:v>
                </c:pt>
                <c:pt idx="75">
                  <c:v>8.75</c:v>
                </c:pt>
                <c:pt idx="76">
                  <c:v>8.5333330000000007</c:v>
                </c:pt>
                <c:pt idx="77">
                  <c:v>8.483333</c:v>
                </c:pt>
                <c:pt idx="78">
                  <c:v>8.5857139999999994</c:v>
                </c:pt>
                <c:pt idx="79">
                  <c:v>8.4285709999999998</c:v>
                </c:pt>
                <c:pt idx="80">
                  <c:v>8.4538460000000004</c:v>
                </c:pt>
                <c:pt idx="81">
                  <c:v>8.56</c:v>
                </c:pt>
                <c:pt idx="82">
                  <c:v>9</c:v>
                </c:pt>
                <c:pt idx="83">
                  <c:v>8.9</c:v>
                </c:pt>
                <c:pt idx="84">
                  <c:v>9.4</c:v>
                </c:pt>
                <c:pt idx="85">
                  <c:v>9.48</c:v>
                </c:pt>
                <c:pt idx="86">
                  <c:v>8.9499999999999993</c:v>
                </c:pt>
                <c:pt idx="87">
                  <c:v>8.9</c:v>
                </c:pt>
                <c:pt idx="88">
                  <c:v>8.7249999999999996</c:v>
                </c:pt>
                <c:pt idx="89">
                  <c:v>8.1</c:v>
                </c:pt>
                <c:pt idx="90">
                  <c:v>8.3000000000000007</c:v>
                </c:pt>
                <c:pt idx="91">
                  <c:v>8.4333329999999993</c:v>
                </c:pt>
                <c:pt idx="92">
                  <c:v>8.4533330000000007</c:v>
                </c:pt>
                <c:pt idx="93">
                  <c:v>8.5285709999999995</c:v>
                </c:pt>
                <c:pt idx="94">
                  <c:v>8.9333329999999993</c:v>
                </c:pt>
                <c:pt idx="95">
                  <c:v>8.85</c:v>
                </c:pt>
                <c:pt idx="96">
                  <c:v>9</c:v>
                </c:pt>
                <c:pt idx="97">
                  <c:v>9.15</c:v>
                </c:pt>
                <c:pt idx="98">
                  <c:v>9.0666670000000007</c:v>
                </c:pt>
                <c:pt idx="99">
                  <c:v>8.6199999999999992</c:v>
                </c:pt>
                <c:pt idx="100">
                  <c:v>8.1999999999999993</c:v>
                </c:pt>
                <c:pt idx="101">
                  <c:v>8.0222219999999993</c:v>
                </c:pt>
                <c:pt idx="102">
                  <c:v>8.0714290000000002</c:v>
                </c:pt>
                <c:pt idx="103">
                  <c:v>8.1624999999999996</c:v>
                </c:pt>
                <c:pt idx="104">
                  <c:v>8.4</c:v>
                </c:pt>
                <c:pt idx="105">
                  <c:v>8.4666669999999993</c:v>
                </c:pt>
                <c:pt idx="106">
                  <c:v>8.6333330000000004</c:v>
                </c:pt>
                <c:pt idx="107">
                  <c:v>9.6999999999999993</c:v>
                </c:pt>
                <c:pt idx="108">
                  <c:v>9.1666670000000003</c:v>
                </c:pt>
                <c:pt idx="109">
                  <c:v>9.1</c:v>
                </c:pt>
                <c:pt idx="110">
                  <c:v>8.1999999999999993</c:v>
                </c:pt>
                <c:pt idx="111">
                  <c:v>7.9166670000000003</c:v>
                </c:pt>
                <c:pt idx="112">
                  <c:v>7.9888890000000004</c:v>
                </c:pt>
                <c:pt idx="113">
                  <c:v>8.1583330000000007</c:v>
                </c:pt>
                <c:pt idx="114">
                  <c:v>8.1</c:v>
                </c:pt>
                <c:pt idx="115">
                  <c:v>8.0666670000000007</c:v>
                </c:pt>
                <c:pt idx="116">
                  <c:v>9.3000000000000007</c:v>
                </c:pt>
                <c:pt idx="117">
                  <c:v>10.7</c:v>
                </c:pt>
                <c:pt idx="118">
                  <c:v>10</c:v>
                </c:pt>
                <c:pt idx="119">
                  <c:v>9.375</c:v>
                </c:pt>
                <c:pt idx="120">
                  <c:v>9.08</c:v>
                </c:pt>
                <c:pt idx="121">
                  <c:v>8.64</c:v>
                </c:pt>
                <c:pt idx="122">
                  <c:v>8.2799999999999994</c:v>
                </c:pt>
                <c:pt idx="123">
                  <c:v>7.9454549999999999</c:v>
                </c:pt>
                <c:pt idx="124">
                  <c:v>7.8833330000000004</c:v>
                </c:pt>
                <c:pt idx="125">
                  <c:v>8.0444440000000004</c:v>
                </c:pt>
                <c:pt idx="126">
                  <c:v>9.4</c:v>
                </c:pt>
                <c:pt idx="127">
                  <c:v>9.5</c:v>
                </c:pt>
                <c:pt idx="128">
                  <c:v>9.9</c:v>
                </c:pt>
                <c:pt idx="129">
                  <c:v>10.1</c:v>
                </c:pt>
                <c:pt idx="130">
                  <c:v>9.3000000000000007</c:v>
                </c:pt>
                <c:pt idx="131">
                  <c:v>9.1333330000000004</c:v>
                </c:pt>
                <c:pt idx="132">
                  <c:v>9.1333330000000004</c:v>
                </c:pt>
                <c:pt idx="133">
                  <c:v>9.0399999999999991</c:v>
                </c:pt>
                <c:pt idx="134">
                  <c:v>8.56</c:v>
                </c:pt>
                <c:pt idx="135">
                  <c:v>8.2777779999999996</c:v>
                </c:pt>
                <c:pt idx="136">
                  <c:v>8.0500000000000007</c:v>
                </c:pt>
                <c:pt idx="137">
                  <c:v>8.9</c:v>
                </c:pt>
                <c:pt idx="138">
                  <c:v>9.3333329999999997</c:v>
                </c:pt>
                <c:pt idx="139">
                  <c:v>9.4</c:v>
                </c:pt>
                <c:pt idx="140">
                  <c:v>10.050000000000001</c:v>
                </c:pt>
                <c:pt idx="141">
                  <c:v>10.3</c:v>
                </c:pt>
                <c:pt idx="142">
                  <c:v>10.6</c:v>
                </c:pt>
                <c:pt idx="143">
                  <c:v>9.8000000000000007</c:v>
                </c:pt>
                <c:pt idx="144">
                  <c:v>9.4499999999999993</c:v>
                </c:pt>
                <c:pt idx="145">
                  <c:v>9.3000000000000007</c:v>
                </c:pt>
                <c:pt idx="146">
                  <c:v>8.9499999999999993</c:v>
                </c:pt>
                <c:pt idx="147">
                  <c:v>9.0500000000000007</c:v>
                </c:pt>
                <c:pt idx="148">
                  <c:v>8.8000000000000007</c:v>
                </c:pt>
                <c:pt idx="149">
                  <c:v>8.5500000000000007</c:v>
                </c:pt>
                <c:pt idx="150">
                  <c:v>8.8000000000000007</c:v>
                </c:pt>
                <c:pt idx="151">
                  <c:v>9.0333330000000007</c:v>
                </c:pt>
                <c:pt idx="152">
                  <c:v>9</c:v>
                </c:pt>
                <c:pt idx="153">
                  <c:v>10.199999999999999</c:v>
                </c:pt>
                <c:pt idx="154">
                  <c:v>10.15</c:v>
                </c:pt>
                <c:pt idx="155">
                  <c:v>9.6999999999999993</c:v>
                </c:pt>
                <c:pt idx="156">
                  <c:v>10.199999999999999</c:v>
                </c:pt>
                <c:pt idx="157">
                  <c:v>10.4</c:v>
                </c:pt>
                <c:pt idx="158">
                  <c:v>9.8000000000000007</c:v>
                </c:pt>
                <c:pt idx="159">
                  <c:v>9.8249999999999993</c:v>
                </c:pt>
                <c:pt idx="160">
                  <c:v>9.2200000000000006</c:v>
                </c:pt>
                <c:pt idx="161">
                  <c:v>9.2375000000000007</c:v>
                </c:pt>
                <c:pt idx="162">
                  <c:v>8.4</c:v>
                </c:pt>
                <c:pt idx="163">
                  <c:v>8.4</c:v>
                </c:pt>
                <c:pt idx="164">
                  <c:v>8.5571429999999999</c:v>
                </c:pt>
                <c:pt idx="165">
                  <c:v>8.766667</c:v>
                </c:pt>
                <c:pt idx="166">
                  <c:v>9.3000000000000007</c:v>
                </c:pt>
                <c:pt idx="167">
                  <c:v>9.1199999999999992</c:v>
                </c:pt>
                <c:pt idx="168">
                  <c:v>8.9499999999999993</c:v>
                </c:pt>
                <c:pt idx="169">
                  <c:v>9.5500000000000007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10.1</c:v>
                </c:pt>
                <c:pt idx="173">
                  <c:v>10.085713999999999</c:v>
                </c:pt>
                <c:pt idx="174">
                  <c:v>10</c:v>
                </c:pt>
                <c:pt idx="175">
                  <c:v>9.6384620000000005</c:v>
                </c:pt>
                <c:pt idx="176">
                  <c:v>9.5</c:v>
                </c:pt>
                <c:pt idx="177">
                  <c:v>8.3000000000000007</c:v>
                </c:pt>
                <c:pt idx="178">
                  <c:v>8.6999999999999993</c:v>
                </c:pt>
                <c:pt idx="179">
                  <c:v>8.75</c:v>
                </c:pt>
                <c:pt idx="180">
                  <c:v>9.1166669999999996</c:v>
                </c:pt>
                <c:pt idx="181">
                  <c:v>9.0875000000000004</c:v>
                </c:pt>
                <c:pt idx="182">
                  <c:v>9.2200000000000006</c:v>
                </c:pt>
                <c:pt idx="183">
                  <c:v>9.6666670000000003</c:v>
                </c:pt>
                <c:pt idx="184">
                  <c:v>10.1</c:v>
                </c:pt>
                <c:pt idx="185">
                  <c:v>10.1</c:v>
                </c:pt>
                <c:pt idx="186">
                  <c:v>9.9499999999999993</c:v>
                </c:pt>
                <c:pt idx="187">
                  <c:v>10.014286</c:v>
                </c:pt>
                <c:pt idx="188">
                  <c:v>10.199999999999999</c:v>
                </c:pt>
                <c:pt idx="189">
                  <c:v>10.26</c:v>
                </c:pt>
                <c:pt idx="190">
                  <c:v>10.033333000000001</c:v>
                </c:pt>
                <c:pt idx="191">
                  <c:v>8.6</c:v>
                </c:pt>
                <c:pt idx="192">
                  <c:v>8.5250000000000004</c:v>
                </c:pt>
                <c:pt idx="193">
                  <c:v>8.5500000000000007</c:v>
                </c:pt>
                <c:pt idx="194">
                  <c:v>8.9</c:v>
                </c:pt>
                <c:pt idx="195">
                  <c:v>9.0857139999999994</c:v>
                </c:pt>
                <c:pt idx="196">
                  <c:v>9.15</c:v>
                </c:pt>
                <c:pt idx="197">
                  <c:v>9.32</c:v>
                </c:pt>
                <c:pt idx="198">
                  <c:v>9.3000000000000007</c:v>
                </c:pt>
                <c:pt idx="199">
                  <c:v>9.5374999999999996</c:v>
                </c:pt>
                <c:pt idx="200">
                  <c:v>10.574999999999999</c:v>
                </c:pt>
                <c:pt idx="201">
                  <c:v>10.475</c:v>
                </c:pt>
                <c:pt idx="202">
                  <c:v>9.8249999999999993</c:v>
                </c:pt>
                <c:pt idx="203">
                  <c:v>9.5</c:v>
                </c:pt>
                <c:pt idx="204">
                  <c:v>9.3000000000000007</c:v>
                </c:pt>
                <c:pt idx="205">
                  <c:v>8.9339999999999993</c:v>
                </c:pt>
                <c:pt idx="206">
                  <c:v>8.8071429999999999</c:v>
                </c:pt>
                <c:pt idx="207">
                  <c:v>8.8238099999999999</c:v>
                </c:pt>
                <c:pt idx="208">
                  <c:v>9.016667</c:v>
                </c:pt>
                <c:pt idx="209">
                  <c:v>9.1560000000000006</c:v>
                </c:pt>
                <c:pt idx="210">
                  <c:v>9.5366669999999996</c:v>
                </c:pt>
                <c:pt idx="211">
                  <c:v>9.8800000000000008</c:v>
                </c:pt>
                <c:pt idx="212">
                  <c:v>10.262499999999999</c:v>
                </c:pt>
                <c:pt idx="213">
                  <c:v>10.2125</c:v>
                </c:pt>
                <c:pt idx="214">
                  <c:v>10.262499999999999</c:v>
                </c:pt>
                <c:pt idx="215">
                  <c:v>10.628571000000001</c:v>
                </c:pt>
                <c:pt idx="216">
                  <c:v>10.56</c:v>
                </c:pt>
                <c:pt idx="217">
                  <c:v>10.233333</c:v>
                </c:pt>
                <c:pt idx="218">
                  <c:v>9.9285709999999998</c:v>
                </c:pt>
                <c:pt idx="219">
                  <c:v>10.5</c:v>
                </c:pt>
                <c:pt idx="220">
                  <c:v>9.9</c:v>
                </c:pt>
                <c:pt idx="221">
                  <c:v>9.65</c:v>
                </c:pt>
                <c:pt idx="222">
                  <c:v>9.9499999999999993</c:v>
                </c:pt>
                <c:pt idx="223">
                  <c:v>9.8000000000000007</c:v>
                </c:pt>
                <c:pt idx="224">
                  <c:v>10</c:v>
                </c:pt>
                <c:pt idx="225">
                  <c:v>9.6875</c:v>
                </c:pt>
                <c:pt idx="226">
                  <c:v>10.022</c:v>
                </c:pt>
                <c:pt idx="227">
                  <c:v>9.8428570000000004</c:v>
                </c:pt>
                <c:pt idx="228">
                  <c:v>10.142856999999999</c:v>
                </c:pt>
                <c:pt idx="229">
                  <c:v>10.412105</c:v>
                </c:pt>
                <c:pt idx="230">
                  <c:v>10.380833000000001</c:v>
                </c:pt>
                <c:pt idx="231">
                  <c:v>10.305999999999999</c:v>
                </c:pt>
                <c:pt idx="232">
                  <c:v>10.7</c:v>
                </c:pt>
                <c:pt idx="233">
                  <c:v>10.675000000000001</c:v>
                </c:pt>
                <c:pt idx="234">
                  <c:v>10.6</c:v>
                </c:pt>
                <c:pt idx="235">
                  <c:v>10.0625</c:v>
                </c:pt>
                <c:pt idx="236">
                  <c:v>9.76</c:v>
                </c:pt>
                <c:pt idx="237">
                  <c:v>9.5529410000000006</c:v>
                </c:pt>
                <c:pt idx="238">
                  <c:v>9.2166669999999993</c:v>
                </c:pt>
                <c:pt idx="239">
                  <c:v>9.2026920000000008</c:v>
                </c:pt>
                <c:pt idx="240">
                  <c:v>8.9721050000000009</c:v>
                </c:pt>
                <c:pt idx="241">
                  <c:v>8.9364290000000004</c:v>
                </c:pt>
                <c:pt idx="242">
                  <c:v>8.9945000000000004</c:v>
                </c:pt>
                <c:pt idx="243">
                  <c:v>9.0869999999999997</c:v>
                </c:pt>
                <c:pt idx="244">
                  <c:v>9.1090909999999994</c:v>
                </c:pt>
                <c:pt idx="245">
                  <c:v>9.3360000000000003</c:v>
                </c:pt>
                <c:pt idx="246">
                  <c:v>9.5043749999999996</c:v>
                </c:pt>
                <c:pt idx="247">
                  <c:v>9.8275000000000006</c:v>
                </c:pt>
                <c:pt idx="248">
                  <c:v>9.9939999999999998</c:v>
                </c:pt>
                <c:pt idx="249">
                  <c:v>10.5</c:v>
                </c:pt>
                <c:pt idx="250">
                  <c:v>9.98</c:v>
                </c:pt>
                <c:pt idx="251">
                  <c:v>10.138571000000001</c:v>
                </c:pt>
                <c:pt idx="252">
                  <c:v>9.8249999999999993</c:v>
                </c:pt>
                <c:pt idx="253">
                  <c:v>9.7323079999999997</c:v>
                </c:pt>
                <c:pt idx="254">
                  <c:v>9.4845450000000007</c:v>
                </c:pt>
                <c:pt idx="255">
                  <c:v>9.4253850000000003</c:v>
                </c:pt>
                <c:pt idx="256">
                  <c:v>9.2663639999999994</c:v>
                </c:pt>
                <c:pt idx="257">
                  <c:v>9.2082610000000003</c:v>
                </c:pt>
                <c:pt idx="258">
                  <c:v>9.2579999999999991</c:v>
                </c:pt>
                <c:pt idx="259">
                  <c:v>9.224615</c:v>
                </c:pt>
                <c:pt idx="260">
                  <c:v>9.2428000000000008</c:v>
                </c:pt>
                <c:pt idx="261">
                  <c:v>9.2200000000000006</c:v>
                </c:pt>
                <c:pt idx="262">
                  <c:v>9.2486359999999994</c:v>
                </c:pt>
                <c:pt idx="263">
                  <c:v>9.3030430000000006</c:v>
                </c:pt>
                <c:pt idx="264">
                  <c:v>9.6</c:v>
                </c:pt>
                <c:pt idx="265">
                  <c:v>9.98</c:v>
                </c:pt>
                <c:pt idx="266">
                  <c:v>10.085713999999999</c:v>
                </c:pt>
                <c:pt idx="267">
                  <c:v>10.118570999999999</c:v>
                </c:pt>
                <c:pt idx="268">
                  <c:v>10.4125</c:v>
                </c:pt>
                <c:pt idx="269">
                  <c:v>9.85</c:v>
                </c:pt>
                <c:pt idx="270">
                  <c:v>9.8620000000000001</c:v>
                </c:pt>
                <c:pt idx="271">
                  <c:v>9.762143</c:v>
                </c:pt>
                <c:pt idx="272">
                  <c:v>9.4789999999999992</c:v>
                </c:pt>
                <c:pt idx="273">
                  <c:v>9.4035709999999995</c:v>
                </c:pt>
                <c:pt idx="274">
                  <c:v>8.8722220000000007</c:v>
                </c:pt>
                <c:pt idx="275">
                  <c:v>8.8142859999999992</c:v>
                </c:pt>
                <c:pt idx="276">
                  <c:v>8.6188889999999994</c:v>
                </c:pt>
                <c:pt idx="277">
                  <c:v>8.6346150000000002</c:v>
                </c:pt>
                <c:pt idx="278">
                  <c:v>8.6769230000000004</c:v>
                </c:pt>
                <c:pt idx="279">
                  <c:v>8.7584619999999997</c:v>
                </c:pt>
                <c:pt idx="280">
                  <c:v>9.0549999999999997</c:v>
                </c:pt>
                <c:pt idx="281">
                  <c:v>9.1412499999999994</c:v>
                </c:pt>
                <c:pt idx="282">
                  <c:v>9.15</c:v>
                </c:pt>
                <c:pt idx="283">
                  <c:v>10.8</c:v>
                </c:pt>
                <c:pt idx="284">
                  <c:v>10.3</c:v>
                </c:pt>
                <c:pt idx="285">
                  <c:v>10.1</c:v>
                </c:pt>
                <c:pt idx="286">
                  <c:v>10.057499999999999</c:v>
                </c:pt>
                <c:pt idx="287">
                  <c:v>10.085000000000001</c:v>
                </c:pt>
                <c:pt idx="288">
                  <c:v>10.17</c:v>
                </c:pt>
                <c:pt idx="289">
                  <c:v>9.6954550000000008</c:v>
                </c:pt>
                <c:pt idx="290">
                  <c:v>9.5374999999999996</c:v>
                </c:pt>
                <c:pt idx="291">
                  <c:v>9.3214290000000002</c:v>
                </c:pt>
                <c:pt idx="292">
                  <c:v>9.3000000000000007</c:v>
                </c:pt>
                <c:pt idx="293">
                  <c:v>8.8961109999999994</c:v>
                </c:pt>
                <c:pt idx="294">
                  <c:v>8.6014999999999997</c:v>
                </c:pt>
                <c:pt idx="295">
                  <c:v>8.3857140000000001</c:v>
                </c:pt>
                <c:pt idx="296">
                  <c:v>8.3856249999999992</c:v>
                </c:pt>
                <c:pt idx="297">
                  <c:v>8.3143750000000001</c:v>
                </c:pt>
                <c:pt idx="298">
                  <c:v>8.5020000000000007</c:v>
                </c:pt>
                <c:pt idx="299">
                  <c:v>8.8000000000000007</c:v>
                </c:pt>
                <c:pt idx="300">
                  <c:v>9.1</c:v>
                </c:pt>
                <c:pt idx="301">
                  <c:v>8.9666669999999993</c:v>
                </c:pt>
                <c:pt idx="302">
                  <c:v>9.9</c:v>
                </c:pt>
                <c:pt idx="303">
                  <c:v>9.766667</c:v>
                </c:pt>
                <c:pt idx="304">
                  <c:v>9.9499999999999993</c:v>
                </c:pt>
                <c:pt idx="305">
                  <c:v>10.074999999999999</c:v>
                </c:pt>
                <c:pt idx="306">
                  <c:v>10.050000000000001</c:v>
                </c:pt>
                <c:pt idx="307">
                  <c:v>9.8166670000000007</c:v>
                </c:pt>
                <c:pt idx="308">
                  <c:v>9.7208330000000007</c:v>
                </c:pt>
                <c:pt idx="309">
                  <c:v>9.6281250000000007</c:v>
                </c:pt>
                <c:pt idx="310">
                  <c:v>9.4295650000000002</c:v>
                </c:pt>
                <c:pt idx="311">
                  <c:v>9.1686669999999992</c:v>
                </c:pt>
                <c:pt idx="312">
                  <c:v>8.8723080000000003</c:v>
                </c:pt>
                <c:pt idx="313">
                  <c:v>8.5441179999999992</c:v>
                </c:pt>
                <c:pt idx="314">
                  <c:v>8.5954549999999994</c:v>
                </c:pt>
                <c:pt idx="315">
                  <c:v>8.61</c:v>
                </c:pt>
                <c:pt idx="316">
                  <c:v>8.65</c:v>
                </c:pt>
                <c:pt idx="317">
                  <c:v>9.3000000000000007</c:v>
                </c:pt>
                <c:pt idx="318">
                  <c:v>9.6333330000000004</c:v>
                </c:pt>
                <c:pt idx="319">
                  <c:v>10.36</c:v>
                </c:pt>
                <c:pt idx="320">
                  <c:v>9.9</c:v>
                </c:pt>
                <c:pt idx="321">
                  <c:v>10.4</c:v>
                </c:pt>
                <c:pt idx="322">
                  <c:v>10.525</c:v>
                </c:pt>
                <c:pt idx="323">
                  <c:v>10.606249999999999</c:v>
                </c:pt>
                <c:pt idx="324">
                  <c:v>10.536842</c:v>
                </c:pt>
                <c:pt idx="325">
                  <c:v>9.9528569999999998</c:v>
                </c:pt>
                <c:pt idx="326">
                  <c:v>9.9361540000000002</c:v>
                </c:pt>
                <c:pt idx="327">
                  <c:v>9.7542860000000005</c:v>
                </c:pt>
                <c:pt idx="328">
                  <c:v>9.6111109999999993</c:v>
                </c:pt>
                <c:pt idx="329">
                  <c:v>9.4492309999999993</c:v>
                </c:pt>
                <c:pt idx="330">
                  <c:v>9.2816670000000006</c:v>
                </c:pt>
                <c:pt idx="331">
                  <c:v>9.1564289999999993</c:v>
                </c:pt>
                <c:pt idx="332">
                  <c:v>8.8618179999999995</c:v>
                </c:pt>
                <c:pt idx="333">
                  <c:v>8.8458330000000007</c:v>
                </c:pt>
                <c:pt idx="334">
                  <c:v>8.7357139999999998</c:v>
                </c:pt>
                <c:pt idx="335">
                  <c:v>9.1999999999999993</c:v>
                </c:pt>
                <c:pt idx="336">
                  <c:v>9.4</c:v>
                </c:pt>
                <c:pt idx="337">
                  <c:v>9.766667</c:v>
                </c:pt>
                <c:pt idx="338">
                  <c:v>10.1</c:v>
                </c:pt>
                <c:pt idx="339">
                  <c:v>9.9957139999999995</c:v>
                </c:pt>
                <c:pt idx="340">
                  <c:v>10.175000000000001</c:v>
                </c:pt>
                <c:pt idx="341">
                  <c:v>9.9499999999999993</c:v>
                </c:pt>
                <c:pt idx="342">
                  <c:v>10.108333</c:v>
                </c:pt>
                <c:pt idx="343">
                  <c:v>10.057143</c:v>
                </c:pt>
                <c:pt idx="344">
                  <c:v>9.7857140000000005</c:v>
                </c:pt>
                <c:pt idx="345">
                  <c:v>9.7799999999999994</c:v>
                </c:pt>
                <c:pt idx="346">
                  <c:v>9.983333</c:v>
                </c:pt>
                <c:pt idx="347">
                  <c:v>9.5500000000000007</c:v>
                </c:pt>
                <c:pt idx="348">
                  <c:v>9.3318180000000002</c:v>
                </c:pt>
                <c:pt idx="349">
                  <c:v>9.0421049999999994</c:v>
                </c:pt>
                <c:pt idx="350">
                  <c:v>8.7823530000000005</c:v>
                </c:pt>
                <c:pt idx="351">
                  <c:v>8.3363639999999997</c:v>
                </c:pt>
                <c:pt idx="352">
                  <c:v>8.1999999999999993</c:v>
                </c:pt>
                <c:pt idx="353">
                  <c:v>8.4666669999999993</c:v>
                </c:pt>
                <c:pt idx="354">
                  <c:v>9.0333330000000007</c:v>
                </c:pt>
                <c:pt idx="355">
                  <c:v>9.1</c:v>
                </c:pt>
                <c:pt idx="356">
                  <c:v>9.3777779999999993</c:v>
                </c:pt>
                <c:pt idx="357">
                  <c:v>9.6666670000000003</c:v>
                </c:pt>
                <c:pt idx="358">
                  <c:v>9.9</c:v>
                </c:pt>
                <c:pt idx="359">
                  <c:v>10.095833000000001</c:v>
                </c:pt>
                <c:pt idx="360">
                  <c:v>10.4</c:v>
                </c:pt>
                <c:pt idx="361">
                  <c:v>10.231</c:v>
                </c:pt>
                <c:pt idx="362">
                  <c:v>10.328571</c:v>
                </c:pt>
                <c:pt idx="363">
                  <c:v>10.246667</c:v>
                </c:pt>
                <c:pt idx="364">
                  <c:v>10.206250000000001</c:v>
                </c:pt>
                <c:pt idx="365">
                  <c:v>10.091666999999999</c:v>
                </c:pt>
                <c:pt idx="366">
                  <c:v>10.006667</c:v>
                </c:pt>
                <c:pt idx="367">
                  <c:v>9.7692309999999996</c:v>
                </c:pt>
                <c:pt idx="368">
                  <c:v>9.6428569999999993</c:v>
                </c:pt>
                <c:pt idx="369">
                  <c:v>9.5428569999999997</c:v>
                </c:pt>
                <c:pt idx="370">
                  <c:v>9.2799999999999994</c:v>
                </c:pt>
                <c:pt idx="371">
                  <c:v>8.6999999999999993</c:v>
                </c:pt>
                <c:pt idx="372">
                  <c:v>9.0222219999999993</c:v>
                </c:pt>
                <c:pt idx="373">
                  <c:v>9.5333330000000007</c:v>
                </c:pt>
                <c:pt idx="374">
                  <c:v>9.2142859999999995</c:v>
                </c:pt>
                <c:pt idx="375">
                  <c:v>9.588889</c:v>
                </c:pt>
                <c:pt idx="376">
                  <c:v>9.7200000000000006</c:v>
                </c:pt>
                <c:pt idx="377">
                  <c:v>9.8666669999999996</c:v>
                </c:pt>
                <c:pt idx="378">
                  <c:v>9.8800000000000008</c:v>
                </c:pt>
                <c:pt idx="379">
                  <c:v>10.035294</c:v>
                </c:pt>
                <c:pt idx="380">
                  <c:v>10.205556</c:v>
                </c:pt>
                <c:pt idx="381">
                  <c:v>10.172222</c:v>
                </c:pt>
                <c:pt idx="382">
                  <c:v>10.223528999999999</c:v>
                </c:pt>
                <c:pt idx="383">
                  <c:v>10.017647</c:v>
                </c:pt>
                <c:pt idx="384">
                  <c:v>10.009524000000001</c:v>
                </c:pt>
                <c:pt idx="385">
                  <c:v>9.8375000000000004</c:v>
                </c:pt>
                <c:pt idx="386">
                  <c:v>9.8000000000000007</c:v>
                </c:pt>
                <c:pt idx="387">
                  <c:v>9.588889</c:v>
                </c:pt>
                <c:pt idx="388">
                  <c:v>8.8000000000000007</c:v>
                </c:pt>
                <c:pt idx="389">
                  <c:v>8.9333329999999993</c:v>
                </c:pt>
                <c:pt idx="390">
                  <c:v>8.5428569999999997</c:v>
                </c:pt>
                <c:pt idx="391">
                  <c:v>8.7153849999999995</c:v>
                </c:pt>
                <c:pt idx="392">
                  <c:v>9.0555559999999993</c:v>
                </c:pt>
                <c:pt idx="393">
                  <c:v>8.9499999999999993</c:v>
                </c:pt>
                <c:pt idx="394">
                  <c:v>9.3882349999999999</c:v>
                </c:pt>
                <c:pt idx="395">
                  <c:v>9.5428569999999997</c:v>
                </c:pt>
                <c:pt idx="396">
                  <c:v>9.7476190000000003</c:v>
                </c:pt>
                <c:pt idx="397">
                  <c:v>9.7272730000000003</c:v>
                </c:pt>
                <c:pt idx="398">
                  <c:v>9.7761899999999997</c:v>
                </c:pt>
                <c:pt idx="399">
                  <c:v>10.007692</c:v>
                </c:pt>
                <c:pt idx="400">
                  <c:v>10.164286000000001</c:v>
                </c:pt>
                <c:pt idx="401">
                  <c:v>10.208</c:v>
                </c:pt>
                <c:pt idx="402">
                  <c:v>10.137499999999999</c:v>
                </c:pt>
                <c:pt idx="403">
                  <c:v>9.9379310000000007</c:v>
                </c:pt>
                <c:pt idx="404">
                  <c:v>9.9681820000000005</c:v>
                </c:pt>
                <c:pt idx="405">
                  <c:v>9.6999999999999993</c:v>
                </c:pt>
                <c:pt idx="406">
                  <c:v>9.2750000000000004</c:v>
                </c:pt>
                <c:pt idx="407">
                  <c:v>8.42</c:v>
                </c:pt>
                <c:pt idx="408">
                  <c:v>8.5818180000000002</c:v>
                </c:pt>
                <c:pt idx="409">
                  <c:v>8.7200000000000006</c:v>
                </c:pt>
                <c:pt idx="410">
                  <c:v>8.85</c:v>
                </c:pt>
                <c:pt idx="411">
                  <c:v>8.9877780000000005</c:v>
                </c:pt>
                <c:pt idx="412">
                  <c:v>9.2066669999999995</c:v>
                </c:pt>
                <c:pt idx="413">
                  <c:v>9.2588240000000006</c:v>
                </c:pt>
                <c:pt idx="414">
                  <c:v>9.5</c:v>
                </c:pt>
                <c:pt idx="415">
                  <c:v>9.6333330000000004</c:v>
                </c:pt>
                <c:pt idx="416">
                  <c:v>9.4749999999999996</c:v>
                </c:pt>
                <c:pt idx="417">
                  <c:v>9.9250000000000007</c:v>
                </c:pt>
                <c:pt idx="418">
                  <c:v>9.855556</c:v>
                </c:pt>
                <c:pt idx="419">
                  <c:v>10.125833</c:v>
                </c:pt>
                <c:pt idx="420">
                  <c:v>10.157692000000001</c:v>
                </c:pt>
                <c:pt idx="421">
                  <c:v>10.235455</c:v>
                </c:pt>
                <c:pt idx="422">
                  <c:v>10.154999999999999</c:v>
                </c:pt>
                <c:pt idx="423">
                  <c:v>10.215</c:v>
                </c:pt>
                <c:pt idx="424">
                  <c:v>8.8409089999999999</c:v>
                </c:pt>
                <c:pt idx="425">
                  <c:v>8.76</c:v>
                </c:pt>
                <c:pt idx="426">
                  <c:v>8.6088240000000003</c:v>
                </c:pt>
                <c:pt idx="427">
                  <c:v>8.4600000000000009</c:v>
                </c:pt>
                <c:pt idx="428">
                  <c:v>8.6608330000000002</c:v>
                </c:pt>
                <c:pt idx="429">
                  <c:v>8.7356250000000006</c:v>
                </c:pt>
                <c:pt idx="430">
                  <c:v>8.8585709999999995</c:v>
                </c:pt>
                <c:pt idx="431">
                  <c:v>8.9857139999999998</c:v>
                </c:pt>
                <c:pt idx="432">
                  <c:v>9.11</c:v>
                </c:pt>
                <c:pt idx="433">
                  <c:v>9.2933330000000005</c:v>
                </c:pt>
                <c:pt idx="434">
                  <c:v>9.52</c:v>
                </c:pt>
                <c:pt idx="435">
                  <c:v>9.7357139999999998</c:v>
                </c:pt>
                <c:pt idx="436">
                  <c:v>9.6875</c:v>
                </c:pt>
                <c:pt idx="437">
                  <c:v>9.8928569999999993</c:v>
                </c:pt>
                <c:pt idx="438">
                  <c:v>10.00625</c:v>
                </c:pt>
                <c:pt idx="439">
                  <c:v>10.1</c:v>
                </c:pt>
                <c:pt idx="440">
                  <c:v>9</c:v>
                </c:pt>
                <c:pt idx="441">
                  <c:v>8.7799999999999994</c:v>
                </c:pt>
                <c:pt idx="442">
                  <c:v>8.5250000000000004</c:v>
                </c:pt>
                <c:pt idx="443">
                  <c:v>8.0500000000000007</c:v>
                </c:pt>
                <c:pt idx="444">
                  <c:v>7.9421049999999997</c:v>
                </c:pt>
                <c:pt idx="445">
                  <c:v>8.0055560000000003</c:v>
                </c:pt>
                <c:pt idx="446">
                  <c:v>8.2437500000000004</c:v>
                </c:pt>
                <c:pt idx="447">
                  <c:v>8.536842</c:v>
                </c:pt>
                <c:pt idx="448">
                  <c:v>8.8117649999999994</c:v>
                </c:pt>
                <c:pt idx="449">
                  <c:v>9.0250000000000004</c:v>
                </c:pt>
                <c:pt idx="450">
                  <c:v>9.0588239999999995</c:v>
                </c:pt>
                <c:pt idx="451">
                  <c:v>9.2739130000000003</c:v>
                </c:pt>
                <c:pt idx="452">
                  <c:v>9.5500000000000007</c:v>
                </c:pt>
                <c:pt idx="453">
                  <c:v>9.6769230000000004</c:v>
                </c:pt>
                <c:pt idx="454">
                  <c:v>10.007142999999999</c:v>
                </c:pt>
                <c:pt idx="455">
                  <c:v>9.8187499999999996</c:v>
                </c:pt>
                <c:pt idx="456">
                  <c:v>10.181818</c:v>
                </c:pt>
                <c:pt idx="457">
                  <c:v>9.3000000000000007</c:v>
                </c:pt>
                <c:pt idx="458">
                  <c:v>9.411111</c:v>
                </c:pt>
                <c:pt idx="459">
                  <c:v>9.516667</c:v>
                </c:pt>
                <c:pt idx="460">
                  <c:v>9.3090910000000004</c:v>
                </c:pt>
                <c:pt idx="461">
                  <c:v>8.6875</c:v>
                </c:pt>
                <c:pt idx="462">
                  <c:v>8.7176469999999995</c:v>
                </c:pt>
                <c:pt idx="463">
                  <c:v>8.6285710000000009</c:v>
                </c:pt>
                <c:pt idx="464">
                  <c:v>8.7576920000000005</c:v>
                </c:pt>
                <c:pt idx="465">
                  <c:v>8.7117649999999998</c:v>
                </c:pt>
                <c:pt idx="466">
                  <c:v>8.8857140000000001</c:v>
                </c:pt>
                <c:pt idx="467">
                  <c:v>9.1047619999999991</c:v>
                </c:pt>
                <c:pt idx="468">
                  <c:v>9.1571429999999996</c:v>
                </c:pt>
                <c:pt idx="469">
                  <c:v>9.1959999999999997</c:v>
                </c:pt>
                <c:pt idx="470">
                  <c:v>9.3347829999999998</c:v>
                </c:pt>
                <c:pt idx="471">
                  <c:v>9.4821430000000007</c:v>
                </c:pt>
                <c:pt idx="472">
                  <c:v>9.6156249999999996</c:v>
                </c:pt>
                <c:pt idx="473">
                  <c:v>9.7133330000000004</c:v>
                </c:pt>
                <c:pt idx="474">
                  <c:v>9.8000000000000007</c:v>
                </c:pt>
                <c:pt idx="475">
                  <c:v>9.3000000000000007</c:v>
                </c:pt>
                <c:pt idx="476">
                  <c:v>9.3153849999999991</c:v>
                </c:pt>
                <c:pt idx="477">
                  <c:v>8.76</c:v>
                </c:pt>
                <c:pt idx="478">
                  <c:v>8.4499999999999993</c:v>
                </c:pt>
                <c:pt idx="479">
                  <c:v>7.9857139999999998</c:v>
                </c:pt>
                <c:pt idx="480">
                  <c:v>8.0095240000000008</c:v>
                </c:pt>
                <c:pt idx="481">
                  <c:v>8.0117650000000005</c:v>
                </c:pt>
                <c:pt idx="482">
                  <c:v>8.09</c:v>
                </c:pt>
                <c:pt idx="483">
                  <c:v>8.2722219999999993</c:v>
                </c:pt>
                <c:pt idx="484">
                  <c:v>8.6</c:v>
                </c:pt>
                <c:pt idx="485">
                  <c:v>8.7166669999999993</c:v>
                </c:pt>
                <c:pt idx="486">
                  <c:v>8.9269230000000004</c:v>
                </c:pt>
                <c:pt idx="487">
                  <c:v>9.0299999999999994</c:v>
                </c:pt>
                <c:pt idx="488">
                  <c:v>9.1933330000000009</c:v>
                </c:pt>
                <c:pt idx="489">
                  <c:v>9.3272729999999999</c:v>
                </c:pt>
                <c:pt idx="490">
                  <c:v>9.6999999999999993</c:v>
                </c:pt>
                <c:pt idx="491">
                  <c:v>9.5</c:v>
                </c:pt>
                <c:pt idx="492">
                  <c:v>10</c:v>
                </c:pt>
                <c:pt idx="493">
                  <c:v>9.2857140000000005</c:v>
                </c:pt>
                <c:pt idx="494">
                  <c:v>9.1833329999999993</c:v>
                </c:pt>
                <c:pt idx="495">
                  <c:v>9.1999999999999993</c:v>
                </c:pt>
                <c:pt idx="496">
                  <c:v>9.0625</c:v>
                </c:pt>
                <c:pt idx="497">
                  <c:v>8.7777779999999996</c:v>
                </c:pt>
                <c:pt idx="498">
                  <c:v>8.40625</c:v>
                </c:pt>
                <c:pt idx="499">
                  <c:v>8.2624999999999993</c:v>
                </c:pt>
                <c:pt idx="500">
                  <c:v>8.0809519999999999</c:v>
                </c:pt>
                <c:pt idx="501">
                  <c:v>8.32</c:v>
                </c:pt>
                <c:pt idx="502">
                  <c:v>8.3210529999999991</c:v>
                </c:pt>
                <c:pt idx="503">
                  <c:v>8.4142860000000006</c:v>
                </c:pt>
                <c:pt idx="504">
                  <c:v>8.5500000000000007</c:v>
                </c:pt>
                <c:pt idx="505">
                  <c:v>8.6999999999999993</c:v>
                </c:pt>
                <c:pt idx="506">
                  <c:v>8.875</c:v>
                </c:pt>
                <c:pt idx="507">
                  <c:v>9.1230770000000003</c:v>
                </c:pt>
                <c:pt idx="508">
                  <c:v>8.9600000000000009</c:v>
                </c:pt>
                <c:pt idx="509">
                  <c:v>9.4666669999999993</c:v>
                </c:pt>
                <c:pt idx="510">
                  <c:v>9.66</c:v>
                </c:pt>
                <c:pt idx="511">
                  <c:v>9.6666670000000003</c:v>
                </c:pt>
                <c:pt idx="512">
                  <c:v>9.5333330000000007</c:v>
                </c:pt>
                <c:pt idx="513">
                  <c:v>9.5111109999999996</c:v>
                </c:pt>
                <c:pt idx="514">
                  <c:v>9.1666670000000003</c:v>
                </c:pt>
                <c:pt idx="515">
                  <c:v>9.1615380000000002</c:v>
                </c:pt>
                <c:pt idx="516">
                  <c:v>8.82</c:v>
                </c:pt>
                <c:pt idx="517">
                  <c:v>8.3249999999999993</c:v>
                </c:pt>
                <c:pt idx="518">
                  <c:v>8.0399999999999991</c:v>
                </c:pt>
                <c:pt idx="519">
                  <c:v>7.9</c:v>
                </c:pt>
                <c:pt idx="520">
                  <c:v>7.89</c:v>
                </c:pt>
                <c:pt idx="521">
                  <c:v>7.9636360000000002</c:v>
                </c:pt>
                <c:pt idx="522">
                  <c:v>8.2652169999999998</c:v>
                </c:pt>
                <c:pt idx="523">
                  <c:v>8.7357139999999998</c:v>
                </c:pt>
                <c:pt idx="524">
                  <c:v>8.9312500000000004</c:v>
                </c:pt>
                <c:pt idx="525">
                  <c:v>9.0374999999999996</c:v>
                </c:pt>
                <c:pt idx="526">
                  <c:v>9.0500000000000007</c:v>
                </c:pt>
                <c:pt idx="527">
                  <c:v>9.4</c:v>
                </c:pt>
                <c:pt idx="528">
                  <c:v>9.6999999999999993</c:v>
                </c:pt>
                <c:pt idx="529">
                  <c:v>9.8800000000000008</c:v>
                </c:pt>
                <c:pt idx="530">
                  <c:v>9.9749999999999996</c:v>
                </c:pt>
                <c:pt idx="531">
                  <c:v>10.137499999999999</c:v>
                </c:pt>
                <c:pt idx="532">
                  <c:v>10.14</c:v>
                </c:pt>
                <c:pt idx="533">
                  <c:v>9.99</c:v>
                </c:pt>
                <c:pt idx="534">
                  <c:v>9.766667</c:v>
                </c:pt>
                <c:pt idx="535">
                  <c:v>9.6999999999999993</c:v>
                </c:pt>
                <c:pt idx="536">
                  <c:v>9.1272730000000006</c:v>
                </c:pt>
                <c:pt idx="537">
                  <c:v>8.89</c:v>
                </c:pt>
                <c:pt idx="538">
                  <c:v>8.7111110000000007</c:v>
                </c:pt>
                <c:pt idx="539">
                  <c:v>8.5133329999999994</c:v>
                </c:pt>
                <c:pt idx="540">
                  <c:v>8.5250000000000004</c:v>
                </c:pt>
                <c:pt idx="541">
                  <c:v>8.5038459999999993</c:v>
                </c:pt>
                <c:pt idx="542">
                  <c:v>8.6384620000000005</c:v>
                </c:pt>
                <c:pt idx="543">
                  <c:v>8.86</c:v>
                </c:pt>
                <c:pt idx="544">
                  <c:v>8.8769229999999997</c:v>
                </c:pt>
                <c:pt idx="545">
                  <c:v>9.4</c:v>
                </c:pt>
                <c:pt idx="546">
                  <c:v>9.82</c:v>
                </c:pt>
                <c:pt idx="547">
                  <c:v>9.75</c:v>
                </c:pt>
                <c:pt idx="548">
                  <c:v>9.9</c:v>
                </c:pt>
                <c:pt idx="549">
                  <c:v>10.1</c:v>
                </c:pt>
                <c:pt idx="550">
                  <c:v>10.199999999999999</c:v>
                </c:pt>
                <c:pt idx="551">
                  <c:v>9.9857139999999998</c:v>
                </c:pt>
                <c:pt idx="552">
                  <c:v>9.7375000000000007</c:v>
                </c:pt>
                <c:pt idx="553">
                  <c:v>9.8538460000000008</c:v>
                </c:pt>
                <c:pt idx="554">
                  <c:v>9.5500000000000007</c:v>
                </c:pt>
                <c:pt idx="555">
                  <c:v>9.3083329999999993</c:v>
                </c:pt>
                <c:pt idx="556">
                  <c:v>9.0250000000000004</c:v>
                </c:pt>
                <c:pt idx="557">
                  <c:v>8.6846150000000009</c:v>
                </c:pt>
                <c:pt idx="558">
                  <c:v>8.2142859999999995</c:v>
                </c:pt>
                <c:pt idx="559">
                  <c:v>7.8323530000000003</c:v>
                </c:pt>
                <c:pt idx="560">
                  <c:v>7.822222</c:v>
                </c:pt>
                <c:pt idx="561">
                  <c:v>7.9714289999999997</c:v>
                </c:pt>
                <c:pt idx="562">
                  <c:v>7.9</c:v>
                </c:pt>
                <c:pt idx="563">
                  <c:v>9.4</c:v>
                </c:pt>
                <c:pt idx="564">
                  <c:v>9.4666669999999993</c:v>
                </c:pt>
                <c:pt idx="565">
                  <c:v>9.6888889999999996</c:v>
                </c:pt>
                <c:pt idx="566">
                  <c:v>10.08</c:v>
                </c:pt>
                <c:pt idx="567">
                  <c:v>10.11</c:v>
                </c:pt>
                <c:pt idx="568">
                  <c:v>9.9636359999999993</c:v>
                </c:pt>
                <c:pt idx="569">
                  <c:v>10.242857000000001</c:v>
                </c:pt>
                <c:pt idx="570">
                  <c:v>10.125</c:v>
                </c:pt>
                <c:pt idx="571">
                  <c:v>9.891667</c:v>
                </c:pt>
                <c:pt idx="572">
                  <c:v>9.9555559999999996</c:v>
                </c:pt>
                <c:pt idx="573">
                  <c:v>9.5615380000000005</c:v>
                </c:pt>
                <c:pt idx="574">
                  <c:v>9.4285709999999998</c:v>
                </c:pt>
                <c:pt idx="575">
                  <c:v>9.0760000000000005</c:v>
                </c:pt>
                <c:pt idx="576">
                  <c:v>8.7454549999999998</c:v>
                </c:pt>
                <c:pt idx="577">
                  <c:v>8.3695649999999997</c:v>
                </c:pt>
                <c:pt idx="578">
                  <c:v>7.9769230000000002</c:v>
                </c:pt>
                <c:pt idx="579">
                  <c:v>7.9</c:v>
                </c:pt>
                <c:pt idx="580">
                  <c:v>9.1999999999999993</c:v>
                </c:pt>
                <c:pt idx="581">
                  <c:v>9.6</c:v>
                </c:pt>
                <c:pt idx="582">
                  <c:v>9.8142859999999992</c:v>
                </c:pt>
                <c:pt idx="583">
                  <c:v>9.8142859999999992</c:v>
                </c:pt>
                <c:pt idx="584">
                  <c:v>9.9499999999999993</c:v>
                </c:pt>
                <c:pt idx="585">
                  <c:v>10.28</c:v>
                </c:pt>
                <c:pt idx="586">
                  <c:v>10.362500000000001</c:v>
                </c:pt>
                <c:pt idx="587">
                  <c:v>10.446154</c:v>
                </c:pt>
                <c:pt idx="588">
                  <c:v>10.388889000000001</c:v>
                </c:pt>
                <c:pt idx="589">
                  <c:v>10.414286000000001</c:v>
                </c:pt>
                <c:pt idx="590">
                  <c:v>10.425000000000001</c:v>
                </c:pt>
                <c:pt idx="591">
                  <c:v>10.262499999999999</c:v>
                </c:pt>
                <c:pt idx="592">
                  <c:v>10.328571</c:v>
                </c:pt>
                <c:pt idx="593">
                  <c:v>9.9727270000000008</c:v>
                </c:pt>
                <c:pt idx="594">
                  <c:v>9.8227270000000004</c:v>
                </c:pt>
                <c:pt idx="595">
                  <c:v>9.7181820000000005</c:v>
                </c:pt>
                <c:pt idx="596">
                  <c:v>9.5952380000000002</c:v>
                </c:pt>
                <c:pt idx="597">
                  <c:v>9.4250000000000007</c:v>
                </c:pt>
                <c:pt idx="598">
                  <c:v>8.5</c:v>
                </c:pt>
                <c:pt idx="599">
                  <c:v>9.1999999999999993</c:v>
                </c:pt>
                <c:pt idx="600">
                  <c:v>9.1</c:v>
                </c:pt>
                <c:pt idx="601">
                  <c:v>9.5111109999999996</c:v>
                </c:pt>
                <c:pt idx="602">
                  <c:v>9.5333330000000007</c:v>
                </c:pt>
                <c:pt idx="603">
                  <c:v>9.8000000000000007</c:v>
                </c:pt>
                <c:pt idx="604">
                  <c:v>10.077778</c:v>
                </c:pt>
                <c:pt idx="605">
                  <c:v>10.009091</c:v>
                </c:pt>
                <c:pt idx="606">
                  <c:v>10.145455</c:v>
                </c:pt>
                <c:pt idx="607">
                  <c:v>10.331579</c:v>
                </c:pt>
                <c:pt idx="608">
                  <c:v>10.361110999999999</c:v>
                </c:pt>
                <c:pt idx="609">
                  <c:v>10.37</c:v>
                </c:pt>
                <c:pt idx="610">
                  <c:v>10.442308000000001</c:v>
                </c:pt>
                <c:pt idx="611">
                  <c:v>10.456250000000001</c:v>
                </c:pt>
                <c:pt idx="612">
                  <c:v>10.343182000000001</c:v>
                </c:pt>
                <c:pt idx="613">
                  <c:v>10.128571000000001</c:v>
                </c:pt>
                <c:pt idx="614">
                  <c:v>9.9076920000000008</c:v>
                </c:pt>
                <c:pt idx="615">
                  <c:v>9.75</c:v>
                </c:pt>
                <c:pt idx="616">
                  <c:v>8.5250000000000004</c:v>
                </c:pt>
                <c:pt idx="617">
                  <c:v>8.7285710000000005</c:v>
                </c:pt>
                <c:pt idx="618">
                  <c:v>9.108333</c:v>
                </c:pt>
                <c:pt idx="619">
                  <c:v>9.3699999999999992</c:v>
                </c:pt>
                <c:pt idx="620">
                  <c:v>9.35</c:v>
                </c:pt>
                <c:pt idx="621">
                  <c:v>9.3545449999999999</c:v>
                </c:pt>
                <c:pt idx="622">
                  <c:v>9.7952379999999994</c:v>
                </c:pt>
                <c:pt idx="623">
                  <c:v>9.9785710000000005</c:v>
                </c:pt>
                <c:pt idx="624">
                  <c:v>10.088234999999999</c:v>
                </c:pt>
                <c:pt idx="625">
                  <c:v>10.172727</c:v>
                </c:pt>
                <c:pt idx="626">
                  <c:v>10.247826</c:v>
                </c:pt>
                <c:pt idx="627">
                  <c:v>10.193333000000001</c:v>
                </c:pt>
                <c:pt idx="628">
                  <c:v>10.288966</c:v>
                </c:pt>
                <c:pt idx="629">
                  <c:v>10.346667</c:v>
                </c:pt>
                <c:pt idx="630">
                  <c:v>10.15</c:v>
                </c:pt>
                <c:pt idx="631">
                  <c:v>9.9</c:v>
                </c:pt>
                <c:pt idx="632">
                  <c:v>9.9166670000000003</c:v>
                </c:pt>
                <c:pt idx="633">
                  <c:v>7.9</c:v>
                </c:pt>
                <c:pt idx="634">
                  <c:v>8.0333330000000007</c:v>
                </c:pt>
                <c:pt idx="635">
                  <c:v>7.9076919999999999</c:v>
                </c:pt>
                <c:pt idx="636">
                  <c:v>8.16</c:v>
                </c:pt>
                <c:pt idx="637">
                  <c:v>8.24</c:v>
                </c:pt>
                <c:pt idx="638">
                  <c:v>8.9769229999999993</c:v>
                </c:pt>
                <c:pt idx="639">
                  <c:v>9.1916670000000007</c:v>
                </c:pt>
                <c:pt idx="640">
                  <c:v>9.4722220000000004</c:v>
                </c:pt>
                <c:pt idx="641">
                  <c:v>9.86</c:v>
                </c:pt>
                <c:pt idx="642">
                  <c:v>10.058332999999999</c:v>
                </c:pt>
                <c:pt idx="643">
                  <c:v>10.1</c:v>
                </c:pt>
                <c:pt idx="644">
                  <c:v>10.050000000000001</c:v>
                </c:pt>
                <c:pt idx="645">
                  <c:v>10.133333</c:v>
                </c:pt>
                <c:pt idx="646">
                  <c:v>10.166667</c:v>
                </c:pt>
                <c:pt idx="647">
                  <c:v>10.192308000000001</c:v>
                </c:pt>
                <c:pt idx="648">
                  <c:v>10.262499999999999</c:v>
                </c:pt>
                <c:pt idx="649">
                  <c:v>10.444444000000001</c:v>
                </c:pt>
                <c:pt idx="650">
                  <c:v>10.404999999999999</c:v>
                </c:pt>
                <c:pt idx="651">
                  <c:v>10.3</c:v>
                </c:pt>
                <c:pt idx="652">
                  <c:v>10.383333</c:v>
                </c:pt>
                <c:pt idx="653">
                  <c:v>10.133333</c:v>
                </c:pt>
                <c:pt idx="654">
                  <c:v>9</c:v>
                </c:pt>
                <c:pt idx="655">
                  <c:v>8.0399999999999991</c:v>
                </c:pt>
                <c:pt idx="656">
                  <c:v>8.088889</c:v>
                </c:pt>
                <c:pt idx="657">
                  <c:v>8</c:v>
                </c:pt>
                <c:pt idx="658">
                  <c:v>8.375</c:v>
                </c:pt>
                <c:pt idx="659">
                  <c:v>8.4333329999999993</c:v>
                </c:pt>
                <c:pt idx="660">
                  <c:v>8.4666669999999993</c:v>
                </c:pt>
                <c:pt idx="661">
                  <c:v>8.6555560000000007</c:v>
                </c:pt>
                <c:pt idx="662">
                  <c:v>8.5</c:v>
                </c:pt>
                <c:pt idx="663">
                  <c:v>8.2999999999999989</c:v>
                </c:pt>
                <c:pt idx="664">
                  <c:v>7.9666666666666659</c:v>
                </c:pt>
                <c:pt idx="665">
                  <c:v>7.7666666666666684</c:v>
                </c:pt>
                <c:pt idx="666">
                  <c:v>7.8538461538461553</c:v>
                </c:pt>
                <c:pt idx="667">
                  <c:v>8.0599999999999987</c:v>
                </c:pt>
                <c:pt idx="668">
                  <c:v>8.1909090909090914</c:v>
                </c:pt>
                <c:pt idx="669">
                  <c:v>8.2333333333333343</c:v>
                </c:pt>
                <c:pt idx="670">
                  <c:v>8.4</c:v>
                </c:pt>
                <c:pt idx="671">
                  <c:v>8.5222222222222221</c:v>
                </c:pt>
                <c:pt idx="672">
                  <c:v>8.66</c:v>
                </c:pt>
                <c:pt idx="673">
                  <c:v>8.7777777777777786</c:v>
                </c:pt>
                <c:pt idx="674">
                  <c:v>9.1125000000000007</c:v>
                </c:pt>
                <c:pt idx="675">
                  <c:v>9.1214285714285701</c:v>
                </c:pt>
                <c:pt idx="676">
                  <c:v>9.3399999999999981</c:v>
                </c:pt>
                <c:pt idx="677">
                  <c:v>9.4500000000000011</c:v>
                </c:pt>
                <c:pt idx="678">
                  <c:v>9.6857142857142868</c:v>
                </c:pt>
                <c:pt idx="679">
                  <c:v>9.6937500000000014</c:v>
                </c:pt>
                <c:pt idx="680">
                  <c:v>9.878947368421052</c:v>
                </c:pt>
                <c:pt idx="681">
                  <c:v>9.9083333333333332</c:v>
                </c:pt>
                <c:pt idx="682">
                  <c:v>9.9857142857142858</c:v>
                </c:pt>
                <c:pt idx="683">
                  <c:v>10.123529411764707</c:v>
                </c:pt>
                <c:pt idx="684">
                  <c:v>10.146153846153847</c:v>
                </c:pt>
                <c:pt idx="685">
                  <c:v>10.074999999999999</c:v>
                </c:pt>
                <c:pt idx="686">
                  <c:v>10.25</c:v>
                </c:pt>
                <c:pt idx="687">
                  <c:v>9.5666666666666647</c:v>
                </c:pt>
                <c:pt idx="688">
                  <c:v>9.875</c:v>
                </c:pt>
                <c:pt idx="689">
                  <c:v>9.8600000000000012</c:v>
                </c:pt>
                <c:pt idx="690">
                  <c:v>9.1727272727272737</c:v>
                </c:pt>
                <c:pt idx="691">
                  <c:v>8.84</c:v>
                </c:pt>
                <c:pt idx="692">
                  <c:v>8.4</c:v>
                </c:pt>
                <c:pt idx="693">
                  <c:v>8.14</c:v>
                </c:pt>
                <c:pt idx="694">
                  <c:v>7.7833333333333341</c:v>
                </c:pt>
                <c:pt idx="695">
                  <c:v>7.9666666666666677</c:v>
                </c:pt>
                <c:pt idx="696">
                  <c:v>7.757142857142858</c:v>
                </c:pt>
                <c:pt idx="697">
                  <c:v>7.9599999999999991</c:v>
                </c:pt>
                <c:pt idx="698">
                  <c:v>8.0545454545454547</c:v>
                </c:pt>
                <c:pt idx="699">
                  <c:v>8.2142857142857153</c:v>
                </c:pt>
                <c:pt idx="700">
                  <c:v>8.3909090909090907</c:v>
                </c:pt>
                <c:pt idx="701">
                  <c:v>8.5499999999999989</c:v>
                </c:pt>
                <c:pt idx="702">
                  <c:v>8.5900000000000016</c:v>
                </c:pt>
                <c:pt idx="703">
                  <c:v>8.5153846153846171</c:v>
                </c:pt>
                <c:pt idx="704">
                  <c:v>8.6499999999999986</c:v>
                </c:pt>
                <c:pt idx="705">
                  <c:v>8.8099999999999987</c:v>
                </c:pt>
                <c:pt idx="706">
                  <c:v>9.1142857142857139</c:v>
                </c:pt>
                <c:pt idx="707">
                  <c:v>9.0428571428571427</c:v>
                </c:pt>
                <c:pt idx="708">
                  <c:v>8.9833333333333325</c:v>
                </c:pt>
                <c:pt idx="709">
                  <c:v>9.6666666666666661</c:v>
                </c:pt>
                <c:pt idx="710">
                  <c:v>9.7388888888888889</c:v>
                </c:pt>
                <c:pt idx="711">
                  <c:v>9.9600000000000009</c:v>
                </c:pt>
                <c:pt idx="712">
                  <c:v>10.083333333333334</c:v>
                </c:pt>
                <c:pt idx="713">
                  <c:v>10.018750000000001</c:v>
                </c:pt>
                <c:pt idx="714">
                  <c:v>10.4</c:v>
                </c:pt>
                <c:pt idx="715">
                  <c:v>10.4</c:v>
                </c:pt>
                <c:pt idx="716">
                  <c:v>9.6999999999999993</c:v>
                </c:pt>
                <c:pt idx="717">
                  <c:v>10.199999999999999</c:v>
                </c:pt>
                <c:pt idx="718">
                  <c:v>10.199999999999999</c:v>
                </c:pt>
                <c:pt idx="719">
                  <c:v>9.9</c:v>
                </c:pt>
                <c:pt idx="720">
                  <c:v>9.8714285714285719</c:v>
                </c:pt>
                <c:pt idx="721">
                  <c:v>9.7333333333333325</c:v>
                </c:pt>
                <c:pt idx="722">
                  <c:v>9.8333333333333339</c:v>
                </c:pt>
                <c:pt idx="723">
                  <c:v>9.3000000000000007</c:v>
                </c:pt>
                <c:pt idx="724">
                  <c:v>9.0333333333333332</c:v>
                </c:pt>
                <c:pt idx="725">
                  <c:v>8.4</c:v>
                </c:pt>
                <c:pt idx="726">
                  <c:v>8.2083333333333339</c:v>
                </c:pt>
                <c:pt idx="727">
                  <c:v>7.9666666666666659</c:v>
                </c:pt>
                <c:pt idx="728">
                  <c:v>7.8666666666666663</c:v>
                </c:pt>
                <c:pt idx="729">
                  <c:v>8.09</c:v>
                </c:pt>
                <c:pt idx="730">
                  <c:v>7.9</c:v>
                </c:pt>
                <c:pt idx="731">
                  <c:v>8.0500000000000007</c:v>
                </c:pt>
                <c:pt idx="732">
                  <c:v>7.8125</c:v>
                </c:pt>
                <c:pt idx="733">
                  <c:v>8</c:v>
                </c:pt>
                <c:pt idx="734">
                  <c:v>8.2666666666666675</c:v>
                </c:pt>
                <c:pt idx="735">
                  <c:v>8.3428571428571434</c:v>
                </c:pt>
                <c:pt idx="736">
                  <c:v>8.5428571428571427</c:v>
                </c:pt>
                <c:pt idx="737">
                  <c:v>8.7428571428571438</c:v>
                </c:pt>
                <c:pt idx="738">
                  <c:v>8.9499999999999993</c:v>
                </c:pt>
                <c:pt idx="739">
                  <c:v>9.3374999999999986</c:v>
                </c:pt>
                <c:pt idx="740">
                  <c:v>9.6142857142857139</c:v>
                </c:pt>
                <c:pt idx="741">
                  <c:v>9.4666666666666668</c:v>
                </c:pt>
                <c:pt idx="742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A-4918-8E2B-D118B9479F8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Index!$M$24:$M$81</c:f>
              <c:numCache>
                <c:formatCode>General</c:formatCode>
                <c:ptCount val="58"/>
              </c:numCache>
            </c:numRef>
          </c:xVal>
          <c:yVal>
            <c:numRef>
              <c:f>Index!$N$24:$N$81</c:f>
              <c:numCache>
                <c:formatCode>General</c:formatCode>
                <c:ptCount val="5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9A-4918-8E2B-D118B947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in val="24558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365"/>
      </c:valAx>
      <c:valAx>
        <c:axId val="480140568"/>
        <c:scaling>
          <c:orientation val="maxMin"/>
          <c:max val="11"/>
          <c:min val="7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</xdr:row>
      <xdr:rowOff>9525</xdr:rowOff>
    </xdr:from>
    <xdr:to>
      <xdr:col>11</xdr:col>
      <xdr:colOff>733423</xdr:colOff>
      <xdr:row>10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10</xdr:row>
      <xdr:rowOff>57150</xdr:rowOff>
    </xdr:from>
    <xdr:to>
      <xdr:col>11</xdr:col>
      <xdr:colOff>714373</xdr:colOff>
      <xdr:row>19</xdr:row>
      <xdr:rowOff>85725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79E100-2041-48AF-B324-AEBA35056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333375</xdr:colOff>
      <xdr:row>10</xdr:row>
      <xdr:rowOff>85725</xdr:rowOff>
    </xdr:from>
    <xdr:to>
      <xdr:col>6</xdr:col>
      <xdr:colOff>752473</xdr:colOff>
      <xdr:row>19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E12AB2AD-6346-4C23-A8BB-1A31A5A02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\AppData\Roaming\Microsoft\AddIns\Fonctions_X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Feuil3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  <sheetName val="Export"/>
      <sheetName val="Call"/>
      <sheetName val="f1"/>
      <sheetName val="MAJ"/>
      <sheetName val="Alias"/>
      <sheetName val="Sites"/>
      <sheetName val="AliasInstrum"/>
      <sheetName val="SuspectedLo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C13">
            <v>40820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13">
          <cell r="C13">
            <v>40502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>
        <row r="51">
          <cell r="B51">
            <v>39</v>
          </cell>
          <cell r="C51">
            <v>42676</v>
          </cell>
          <cell r="D51">
            <v>0.94498842592592591</v>
          </cell>
          <cell r="F51" t="str">
            <v>JMO</v>
          </cell>
          <cell r="G51" t="str">
            <v>CAL-FR</v>
          </cell>
          <cell r="H51" t="str">
            <v>Alpy600+Atik460EX</v>
          </cell>
          <cell r="I51">
            <v>647</v>
          </cell>
          <cell r="J51"/>
          <cell r="K51"/>
        </row>
        <row r="52">
          <cell r="B52">
            <v>40</v>
          </cell>
          <cell r="C52">
            <v>42695</v>
          </cell>
          <cell r="D52">
            <v>0.90371527777777771</v>
          </cell>
          <cell r="E52">
            <v>2457714.4207000001</v>
          </cell>
          <cell r="F52" t="str">
            <v>BER</v>
          </cell>
          <cell r="G52" t="str">
            <v>BVO-IT</v>
          </cell>
          <cell r="H52" t="str">
            <v>Lhires31200C9SXV</v>
          </cell>
          <cell r="I52">
            <v>5766</v>
          </cell>
          <cell r="J52"/>
          <cell r="K52"/>
        </row>
        <row r="53">
          <cell r="B53">
            <v>41</v>
          </cell>
          <cell r="C53">
            <v>42718</v>
          </cell>
          <cell r="D53">
            <v>0.90523148148148147</v>
          </cell>
          <cell r="E53">
            <v>2457737.4070000001</v>
          </cell>
          <cell r="F53" t="str">
            <v>FBO</v>
          </cell>
          <cell r="G53" t="str">
            <v>SJI-FR</v>
          </cell>
          <cell r="H53" t="str">
            <v>SC8+Lisa+ATIK314L+</v>
          </cell>
          <cell r="I53">
            <v>2200</v>
          </cell>
          <cell r="J53"/>
          <cell r="K53"/>
        </row>
        <row r="54">
          <cell r="B54">
            <v>42</v>
          </cell>
          <cell r="C54">
            <v>42722</v>
          </cell>
          <cell r="D54">
            <v>0.89083333333333325</v>
          </cell>
          <cell r="E54">
            <v>2457741.4117000001</v>
          </cell>
          <cell r="F54" t="str">
            <v>JGF</v>
          </cell>
          <cell r="G54" t="str">
            <v>SMM-SP</v>
          </cell>
          <cell r="H54" t="str">
            <v>16REMOTATIK460EX</v>
          </cell>
          <cell r="I54">
            <v>995</v>
          </cell>
          <cell r="J54"/>
          <cell r="K54"/>
        </row>
        <row r="55">
          <cell r="B55">
            <v>43</v>
          </cell>
          <cell r="C55">
            <v>42725</v>
          </cell>
          <cell r="D55">
            <v>0.91414351851851849</v>
          </cell>
          <cell r="E55">
            <v>2457744.4559999998</v>
          </cell>
          <cell r="F55" t="str">
            <v>JGF</v>
          </cell>
          <cell r="G55" t="str">
            <v>PIE-SP</v>
          </cell>
          <cell r="H55" t="str">
            <v>MUSSOL</v>
          </cell>
          <cell r="I55">
            <v>11000</v>
          </cell>
          <cell r="J55"/>
          <cell r="K55"/>
        </row>
        <row r="56">
          <cell r="B56">
            <v>44</v>
          </cell>
          <cell r="C56">
            <v>42725</v>
          </cell>
          <cell r="D56">
            <v>0.9250694444444445</v>
          </cell>
          <cell r="E56">
            <v>2457744.4599000001</v>
          </cell>
          <cell r="F56" t="str">
            <v>JGF</v>
          </cell>
          <cell r="G56" t="str">
            <v>SMM-SP</v>
          </cell>
          <cell r="H56" t="str">
            <v>16REMOTATIK460EX</v>
          </cell>
          <cell r="I56">
            <v>726</v>
          </cell>
          <cell r="J56"/>
          <cell r="K56"/>
        </row>
        <row r="57">
          <cell r="B57">
            <v>45</v>
          </cell>
          <cell r="C57">
            <v>42747</v>
          </cell>
          <cell r="D57">
            <v>0.9429050925925927</v>
          </cell>
          <cell r="E57">
            <v>2457766.4604000002</v>
          </cell>
          <cell r="F57" t="str">
            <v>JGF</v>
          </cell>
          <cell r="G57" t="str">
            <v>SMM-SP</v>
          </cell>
          <cell r="H57" t="str">
            <v>16REMOTATIK460EX</v>
          </cell>
          <cell r="I57">
            <v>1090</v>
          </cell>
          <cell r="J57"/>
          <cell r="K57"/>
        </row>
        <row r="58">
          <cell r="B58">
            <v>46</v>
          </cell>
          <cell r="C58">
            <v>42748</v>
          </cell>
          <cell r="D58">
            <v>0.91520833333333329</v>
          </cell>
          <cell r="E58">
            <v>2457767.4418000001</v>
          </cell>
          <cell r="F58" t="str">
            <v>DBO</v>
          </cell>
          <cell r="G58" t="str">
            <v>WCO-UK</v>
          </cell>
          <cell r="H58" t="str">
            <v>C11+Lisa+SXVR-H</v>
          </cell>
          <cell r="I58">
            <v>740</v>
          </cell>
          <cell r="J58"/>
          <cell r="K58"/>
        </row>
        <row r="59">
          <cell r="B59">
            <v>47</v>
          </cell>
          <cell r="C59">
            <v>42763</v>
          </cell>
          <cell r="D59">
            <v>0.89516203703703701</v>
          </cell>
          <cell r="E59">
            <v>2457782.4164</v>
          </cell>
          <cell r="F59" t="str">
            <v>JGF</v>
          </cell>
          <cell r="G59" t="str">
            <v>SMM-SP</v>
          </cell>
          <cell r="H59" t="str">
            <v>16REMOTATIK460EX</v>
          </cell>
          <cell r="I59">
            <v>903</v>
          </cell>
          <cell r="J59"/>
          <cell r="K59"/>
        </row>
        <row r="60">
          <cell r="B60">
            <v>48</v>
          </cell>
          <cell r="C60">
            <v>42775</v>
          </cell>
          <cell r="D60">
            <v>0.84865740740740747</v>
          </cell>
          <cell r="E60">
            <v>2457794.3719000001</v>
          </cell>
          <cell r="F60" t="str">
            <v>JGF</v>
          </cell>
          <cell r="G60" t="str">
            <v>SMM-SP</v>
          </cell>
          <cell r="H60" t="str">
            <v>16REMOTATIK460EX</v>
          </cell>
          <cell r="I60">
            <v>1087</v>
          </cell>
          <cell r="J60"/>
          <cell r="K60"/>
        </row>
        <row r="61">
          <cell r="B61">
            <v>49</v>
          </cell>
          <cell r="C61">
            <v>42778</v>
          </cell>
          <cell r="D61">
            <v>0.82748842592592586</v>
          </cell>
          <cell r="E61">
            <v>2457797.3344999999</v>
          </cell>
          <cell r="F61" t="str">
            <v>SOL</v>
          </cell>
          <cell r="G61" t="str">
            <v>AQL-IT</v>
          </cell>
          <cell r="H61" t="str">
            <v>30cmf4Alpy600Atik41</v>
          </cell>
          <cell r="I61">
            <v>505</v>
          </cell>
          <cell r="J61"/>
          <cell r="K61"/>
        </row>
        <row r="62">
          <cell r="B62">
            <v>50</v>
          </cell>
          <cell r="C62">
            <v>42780</v>
          </cell>
          <cell r="D62">
            <v>0.85013888888888889</v>
          </cell>
          <cell r="E62">
            <v>2457799.3676</v>
          </cell>
          <cell r="F62" t="str">
            <v>JGF</v>
          </cell>
          <cell r="G62" t="str">
            <v>SMM-SP</v>
          </cell>
          <cell r="H62" t="str">
            <v>16REMOTATIK460EX</v>
          </cell>
          <cell r="I62">
            <v>990</v>
          </cell>
          <cell r="J62"/>
          <cell r="K62"/>
        </row>
        <row r="63">
          <cell r="B63">
            <v>51</v>
          </cell>
          <cell r="C63">
            <v>42782</v>
          </cell>
          <cell r="D63">
            <v>0.8149074074074073</v>
          </cell>
          <cell r="E63">
            <v>2457801.3253000001</v>
          </cell>
          <cell r="F63" t="str">
            <v>FRA</v>
          </cell>
          <cell r="G63" t="str">
            <v>BAL-IT</v>
          </cell>
          <cell r="H63" t="str">
            <v>SC8+Alpy600</v>
          </cell>
          <cell r="I63">
            <v>543</v>
          </cell>
          <cell r="J63"/>
          <cell r="K63"/>
        </row>
        <row r="64">
          <cell r="B64">
            <v>52</v>
          </cell>
          <cell r="C64">
            <v>42785</v>
          </cell>
          <cell r="D64">
            <v>7.0625000000000007E-2</v>
          </cell>
          <cell r="E64">
            <v>2457803.5950000002</v>
          </cell>
          <cell r="F64" t="str">
            <v>GKA</v>
          </cell>
          <cell r="G64" t="str">
            <v>MAN-US</v>
          </cell>
          <cell r="H64" t="str">
            <v>SC10+Alpy600</v>
          </cell>
          <cell r="I64">
            <v>600</v>
          </cell>
          <cell r="J64"/>
          <cell r="K64"/>
        </row>
        <row r="65">
          <cell r="B65">
            <v>53</v>
          </cell>
          <cell r="C65">
            <v>42818</v>
          </cell>
          <cell r="D65">
            <v>0.86681712962962953</v>
          </cell>
          <cell r="E65">
            <v>2457837.3898999998</v>
          </cell>
          <cell r="F65" t="str">
            <v>DBO</v>
          </cell>
          <cell r="G65" t="str">
            <v>WCO-UK</v>
          </cell>
          <cell r="H65" t="str">
            <v>C11+Lisa+SXVR-H</v>
          </cell>
          <cell r="I65">
            <v>745</v>
          </cell>
          <cell r="J65"/>
          <cell r="K65"/>
        </row>
        <row r="66">
          <cell r="B66">
            <v>54</v>
          </cell>
          <cell r="C66">
            <v>42843</v>
          </cell>
          <cell r="D66">
            <v>0.84599537037037031</v>
          </cell>
          <cell r="E66">
            <v>2457862.3530999999</v>
          </cell>
          <cell r="F66" t="str">
            <v>JMO</v>
          </cell>
          <cell r="G66" t="str">
            <v>CALC</v>
          </cell>
          <cell r="H66" t="str">
            <v>Alpy600+Atik460EX</v>
          </cell>
          <cell r="I66">
            <v>658</v>
          </cell>
          <cell r="J66"/>
          <cell r="K66"/>
        </row>
        <row r="67">
          <cell r="B67">
            <v>55</v>
          </cell>
          <cell r="C67">
            <v>43044</v>
          </cell>
          <cell r="D67">
            <v>0.87011574074074083</v>
          </cell>
          <cell r="E67">
            <v>2458063.3912</v>
          </cell>
          <cell r="F67" t="str">
            <v>DBO</v>
          </cell>
          <cell r="G67" t="str">
            <v>WCO-UK</v>
          </cell>
          <cell r="H67" t="str">
            <v>C11+Lisa+SXVR-H</v>
          </cell>
          <cell r="I67">
            <v>1075</v>
          </cell>
          <cell r="J67"/>
          <cell r="K67"/>
        </row>
        <row r="68">
          <cell r="B68">
            <v>56</v>
          </cell>
          <cell r="C68">
            <v>43055</v>
          </cell>
          <cell r="D68">
            <v>0.88084490740740751</v>
          </cell>
          <cell r="E68">
            <v>2458074.3917999999</v>
          </cell>
          <cell r="F68" t="str">
            <v>TRO</v>
          </cell>
          <cell r="G68" t="str">
            <v>PON_UK</v>
          </cell>
          <cell r="H68" t="str">
            <v>C925+Alpy600+ATIK46</v>
          </cell>
          <cell r="I68">
            <v>607</v>
          </cell>
          <cell r="J68"/>
          <cell r="K68"/>
        </row>
        <row r="69">
          <cell r="B69">
            <v>57</v>
          </cell>
          <cell r="C69">
            <v>43057</v>
          </cell>
          <cell r="D69">
            <v>0.85218749999999999</v>
          </cell>
          <cell r="E69">
            <v>2458076.3596000001</v>
          </cell>
          <cell r="F69" t="str">
            <v>TRO</v>
          </cell>
          <cell r="G69" t="str">
            <v>PON_UK</v>
          </cell>
          <cell r="H69" t="str">
            <v>C925+Alpy600+ATIK46</v>
          </cell>
          <cell r="I69">
            <v>602</v>
          </cell>
          <cell r="J69"/>
          <cell r="K69"/>
        </row>
        <row r="70">
          <cell r="B70">
            <v>58</v>
          </cell>
          <cell r="C70">
            <v>43058</v>
          </cell>
          <cell r="D70">
            <v>0.27484953703703702</v>
          </cell>
          <cell r="E70">
            <v>2458076.7832999998</v>
          </cell>
          <cell r="F70" t="str">
            <v>FAS</v>
          </cell>
          <cell r="G70" t="str">
            <v>DCO-US</v>
          </cell>
          <cell r="H70" t="str">
            <v>DK14+Lisa+Atik414ex</v>
          </cell>
          <cell r="I70">
            <v>1057</v>
          </cell>
          <cell r="J70"/>
          <cell r="K70"/>
        </row>
        <row r="71">
          <cell r="B71">
            <v>59</v>
          </cell>
          <cell r="C71">
            <v>43059</v>
          </cell>
          <cell r="D71">
            <v>0.23750000000000002</v>
          </cell>
          <cell r="E71">
            <v>2458077.7502000001</v>
          </cell>
          <cell r="F71" t="str">
            <v>FAS</v>
          </cell>
          <cell r="G71" t="str">
            <v>DCO-US</v>
          </cell>
          <cell r="H71" t="str">
            <v>DK14+Lisa+Atik414ex</v>
          </cell>
          <cell r="I71">
            <v>1045</v>
          </cell>
          <cell r="J71"/>
          <cell r="K71"/>
        </row>
        <row r="72">
          <cell r="B72">
            <v>60</v>
          </cell>
          <cell r="C72">
            <v>43064</v>
          </cell>
          <cell r="D72">
            <v>0.28437499999999999</v>
          </cell>
          <cell r="E72">
            <v>2458082.7984000002</v>
          </cell>
          <cell r="F72" t="str">
            <v>FAS</v>
          </cell>
          <cell r="G72" t="str">
            <v>DCO-US</v>
          </cell>
          <cell r="H72" t="str">
            <v>DK14+Lisa+Atik414ex</v>
          </cell>
          <cell r="I72">
            <v>1036</v>
          </cell>
          <cell r="J72"/>
          <cell r="K72"/>
        </row>
        <row r="73">
          <cell r="B73">
            <v>61</v>
          </cell>
          <cell r="C73">
            <v>43088</v>
          </cell>
          <cell r="D73">
            <v>0.15434027777777778</v>
          </cell>
          <cell r="E73">
            <v>2458106.6655000001</v>
          </cell>
          <cell r="F73" t="str">
            <v>FAS</v>
          </cell>
          <cell r="G73" t="str">
            <v>DCO-US</v>
          </cell>
          <cell r="H73" t="str">
            <v>DK14+Lisa+Atik414ex</v>
          </cell>
          <cell r="I73">
            <v>1013</v>
          </cell>
          <cell r="J73"/>
          <cell r="K73"/>
        </row>
        <row r="74">
          <cell r="B74">
            <v>62</v>
          </cell>
          <cell r="C74">
            <v>43092</v>
          </cell>
          <cell r="D74">
            <v>0.91002314814814811</v>
          </cell>
          <cell r="E74">
            <v>2458111.4325999999</v>
          </cell>
          <cell r="F74" t="str">
            <v>SOL</v>
          </cell>
          <cell r="G74" t="str">
            <v>AQL-IT</v>
          </cell>
          <cell r="H74" t="str">
            <v>SC9+Spectro_JGF1+SbigST-8300</v>
          </cell>
          <cell r="I74">
            <v>2780</v>
          </cell>
          <cell r="J74"/>
          <cell r="K74"/>
        </row>
        <row r="75">
          <cell r="B75">
            <v>63</v>
          </cell>
          <cell r="C75">
            <v>43099</v>
          </cell>
          <cell r="D75">
            <v>0.23157407407407407</v>
          </cell>
          <cell r="E75">
            <v>2458117.7456</v>
          </cell>
          <cell r="F75" t="str">
            <v>FAS</v>
          </cell>
          <cell r="G75" t="str">
            <v>DCO-US</v>
          </cell>
          <cell r="H75" t="str">
            <v>DK14+Lisa+Atik414ex</v>
          </cell>
          <cell r="I75">
            <v>1024</v>
          </cell>
          <cell r="J75"/>
          <cell r="K75"/>
        </row>
        <row r="76">
          <cell r="B76">
            <v>64</v>
          </cell>
          <cell r="C76">
            <v>43105</v>
          </cell>
          <cell r="D76">
            <v>0.16109953703703703</v>
          </cell>
          <cell r="E76">
            <v>2458123.6723000002</v>
          </cell>
          <cell r="F76" t="str">
            <v>FAS</v>
          </cell>
          <cell r="G76" t="str">
            <v>DCO-US</v>
          </cell>
          <cell r="H76" t="str">
            <v>DK14+Lisa+Atik414ex</v>
          </cell>
          <cell r="I76">
            <v>955</v>
          </cell>
          <cell r="J76"/>
          <cell r="K76"/>
        </row>
        <row r="77">
          <cell r="B77">
            <v>65</v>
          </cell>
          <cell r="C77">
            <v>43106</v>
          </cell>
          <cell r="D77">
            <v>0.92538194444444455</v>
          </cell>
          <cell r="E77">
            <v>2458125.4467000002</v>
          </cell>
          <cell r="F77" t="str">
            <v>DBO</v>
          </cell>
          <cell r="G77" t="str">
            <v>WCO-UK</v>
          </cell>
          <cell r="H77" t="str">
            <v>C11+Lisa+SXVR-H</v>
          </cell>
          <cell r="I77">
            <v>1075</v>
          </cell>
          <cell r="J77"/>
          <cell r="K77"/>
        </row>
        <row r="78">
          <cell r="B78">
            <v>66</v>
          </cell>
          <cell r="C78">
            <v>43112</v>
          </cell>
          <cell r="D78">
            <v>0.92083333333333339</v>
          </cell>
          <cell r="E78">
            <v>2458131.4558000001</v>
          </cell>
          <cell r="F78" t="str">
            <v>JGF</v>
          </cell>
          <cell r="G78" t="str">
            <v>PIE-SP</v>
          </cell>
          <cell r="H78" t="str">
            <v>MUSSOL</v>
          </cell>
          <cell r="I78">
            <v>9000</v>
          </cell>
          <cell r="J78"/>
          <cell r="K78"/>
        </row>
        <row r="79">
          <cell r="B79">
            <v>67</v>
          </cell>
          <cell r="C79">
            <v>43142</v>
          </cell>
          <cell r="D79">
            <v>0.85040509259259256</v>
          </cell>
          <cell r="E79">
            <v>2458161.3700999999</v>
          </cell>
          <cell r="F79" t="str">
            <v>DBO</v>
          </cell>
          <cell r="G79" t="str">
            <v>WCO-UK</v>
          </cell>
          <cell r="H79" t="str">
            <v>C11+Lisa+SXVR-H</v>
          </cell>
          <cell r="I79">
            <v>1070</v>
          </cell>
          <cell r="J79"/>
          <cell r="K79"/>
        </row>
        <row r="80">
          <cell r="B80">
            <v>68</v>
          </cell>
          <cell r="C80">
            <v>43166</v>
          </cell>
          <cell r="D80">
            <v>0.80517361111111108</v>
          </cell>
          <cell r="E80">
            <v>2458185.3330000001</v>
          </cell>
          <cell r="F80" t="str">
            <v>JGF</v>
          </cell>
          <cell r="G80" t="str">
            <v>PIE-SP</v>
          </cell>
          <cell r="H80" t="str">
            <v>MUSSOL</v>
          </cell>
          <cell r="I80">
            <v>9000</v>
          </cell>
          <cell r="J80"/>
          <cell r="K80"/>
        </row>
        <row r="81">
          <cell r="B81">
            <v>69</v>
          </cell>
          <cell r="C81">
            <v>43179</v>
          </cell>
          <cell r="D81">
            <v>0.79973379629629626</v>
          </cell>
          <cell r="E81">
            <v>2458198.3624</v>
          </cell>
          <cell r="F81" t="str">
            <v>JGF</v>
          </cell>
          <cell r="G81" t="str">
            <v>PIE-SP</v>
          </cell>
          <cell r="H81" t="str">
            <v>MUSSOL</v>
          </cell>
          <cell r="I81">
            <v>9000</v>
          </cell>
          <cell r="J81"/>
          <cell r="K81"/>
        </row>
        <row r="82">
          <cell r="B82">
            <v>70</v>
          </cell>
          <cell r="C82">
            <v>43180</v>
          </cell>
          <cell r="D82">
            <v>0.94836805555555559</v>
          </cell>
          <cell r="E82">
            <v>2458199.4608</v>
          </cell>
          <cell r="F82" t="str">
            <v>VMA</v>
          </cell>
          <cell r="G82" t="str">
            <v>TRS-FR</v>
          </cell>
          <cell r="H82" t="str">
            <v>Alpy600</v>
          </cell>
          <cell r="I82">
            <v>631</v>
          </cell>
          <cell r="J82"/>
          <cell r="K82"/>
        </row>
        <row r="83">
          <cell r="B83">
            <v>71</v>
          </cell>
          <cell r="C83">
            <v>43421</v>
          </cell>
          <cell r="D83">
            <v>0.92643518518518519</v>
          </cell>
          <cell r="E83">
            <v>2458440.4476999999</v>
          </cell>
          <cell r="F83" t="str">
            <v>DBO</v>
          </cell>
          <cell r="G83" t="str">
            <v>WCO-UK</v>
          </cell>
          <cell r="H83" t="str">
            <v>C11+Lisa+SXVR-H694</v>
          </cell>
          <cell r="I83">
            <v>1117</v>
          </cell>
          <cell r="J83"/>
          <cell r="K83"/>
        </row>
        <row r="84">
          <cell r="B84">
            <v>72</v>
          </cell>
          <cell r="C84">
            <v>43438</v>
          </cell>
          <cell r="D84">
            <v>0.16623842592592594</v>
          </cell>
          <cell r="E84">
            <v>2458456.6801999998</v>
          </cell>
          <cell r="F84" t="str">
            <v>FAS</v>
          </cell>
          <cell r="G84" t="str">
            <v>DCO-US</v>
          </cell>
          <cell r="H84" t="str">
            <v>CDK14LisaAtik414ex</v>
          </cell>
          <cell r="I84">
            <v>980</v>
          </cell>
          <cell r="J84"/>
          <cell r="K84"/>
        </row>
        <row r="85">
          <cell r="B85">
            <v>73</v>
          </cell>
          <cell r="C85">
            <v>43458</v>
          </cell>
          <cell r="D85">
            <v>0.83181712962962961</v>
          </cell>
          <cell r="E85">
            <v>2458477.3513000002</v>
          </cell>
          <cell r="F85" t="str">
            <v>DBO</v>
          </cell>
          <cell r="G85" t="str">
            <v>WCO-UK</v>
          </cell>
          <cell r="H85" t="str">
            <v>C11+LISA+SXVR-H694</v>
          </cell>
          <cell r="I85">
            <v>1090</v>
          </cell>
          <cell r="J85"/>
          <cell r="K85"/>
        </row>
        <row r="86">
          <cell r="B86">
            <v>74</v>
          </cell>
          <cell r="C86">
            <v>43480</v>
          </cell>
          <cell r="D86">
            <v>0.87834490740740734</v>
          </cell>
          <cell r="E86">
            <v>2458499.4271</v>
          </cell>
          <cell r="F86" t="str">
            <v>JGF</v>
          </cell>
          <cell r="G86" t="str">
            <v>SMM-SP</v>
          </cell>
          <cell r="H86" t="str">
            <v>16REMOTLINX460EX</v>
          </cell>
          <cell r="I86">
            <v>9000</v>
          </cell>
          <cell r="J86"/>
          <cell r="K86"/>
        </row>
        <row r="87">
          <cell r="B87">
            <v>75</v>
          </cell>
          <cell r="C87">
            <v>43488</v>
          </cell>
          <cell r="D87">
            <v>0.19141203703703705</v>
          </cell>
          <cell r="E87">
            <v>2458506.7072000001</v>
          </cell>
          <cell r="F87" t="str">
            <v>FAS</v>
          </cell>
          <cell r="G87" t="str">
            <v>DCO-US</v>
          </cell>
          <cell r="H87" t="str">
            <v>CDK14LISAAtik414ex</v>
          </cell>
          <cell r="I87">
            <v>932</v>
          </cell>
          <cell r="J87"/>
          <cell r="K87"/>
        </row>
        <row r="88">
          <cell r="B88">
            <v>76</v>
          </cell>
          <cell r="C88">
            <v>43495</v>
          </cell>
          <cell r="D88">
            <v>0.94858796296296299</v>
          </cell>
          <cell r="E88">
            <v>2458514.4698000001</v>
          </cell>
          <cell r="F88" t="str">
            <v>DBO</v>
          </cell>
          <cell r="G88" t="str">
            <v>WCO-UK</v>
          </cell>
          <cell r="H88" t="str">
            <v>C11+LISA+SXVR-H694</v>
          </cell>
          <cell r="I88">
            <v>1042</v>
          </cell>
          <cell r="J88"/>
          <cell r="K88"/>
        </row>
        <row r="89">
          <cell r="B89">
            <v>77</v>
          </cell>
          <cell r="C89">
            <v>43508</v>
          </cell>
          <cell r="D89">
            <v>0.91799768518518521</v>
          </cell>
          <cell r="E89">
            <v>2458527.4238</v>
          </cell>
          <cell r="F89" t="str">
            <v>VMA</v>
          </cell>
          <cell r="G89" t="str">
            <v>TRS-FR</v>
          </cell>
          <cell r="H89" t="str">
            <v>Alpy600</v>
          </cell>
          <cell r="I89">
            <v>605</v>
          </cell>
        </row>
        <row r="90">
          <cell r="B90">
            <v>78</v>
          </cell>
          <cell r="C90">
            <v>43508</v>
          </cell>
          <cell r="D90">
            <v>0.91799768518518521</v>
          </cell>
          <cell r="E90">
            <v>2458527.4238</v>
          </cell>
          <cell r="F90" t="str">
            <v>VMA</v>
          </cell>
          <cell r="G90" t="str">
            <v>TRS-FR</v>
          </cell>
          <cell r="H90" t="str">
            <v>Alpy600</v>
          </cell>
          <cell r="I90">
            <v>605</v>
          </cell>
        </row>
        <row r="91">
          <cell r="B91">
            <v>79</v>
          </cell>
          <cell r="C91">
            <v>43521</v>
          </cell>
          <cell r="D91">
            <v>0.96186342592592589</v>
          </cell>
          <cell r="E91">
            <v>2458540.4868000001</v>
          </cell>
          <cell r="F91" t="str">
            <v>JCO</v>
          </cell>
          <cell r="G91" t="str">
            <v>STO-UK</v>
          </cell>
          <cell r="H91" t="str">
            <v>C80.7xFR+ALPY600+Atik460EX</v>
          </cell>
          <cell r="I91">
            <v>567</v>
          </cell>
        </row>
        <row r="92">
          <cell r="B92">
            <v>80</v>
          </cell>
          <cell r="C92">
            <v>43522</v>
          </cell>
          <cell r="D92">
            <v>0.83468749999999992</v>
          </cell>
          <cell r="E92">
            <v>2458541.3558999998</v>
          </cell>
          <cell r="F92" t="str">
            <v>DBO</v>
          </cell>
          <cell r="G92" t="str">
            <v>WCO-UK</v>
          </cell>
          <cell r="H92" t="str">
            <v>C11+LISA+SXVR-H694</v>
          </cell>
          <cell r="I92">
            <v>1119</v>
          </cell>
        </row>
        <row r="93">
          <cell r="B93">
            <v>81</v>
          </cell>
          <cell r="C93">
            <v>43552</v>
          </cell>
          <cell r="D93">
            <v>0.85739583333333336</v>
          </cell>
          <cell r="E93">
            <v>2458571.3786999998</v>
          </cell>
          <cell r="F93" t="str">
            <v>DBO</v>
          </cell>
          <cell r="G93" t="str">
            <v>WCO-UK</v>
          </cell>
          <cell r="H93" t="str">
            <v>C11+LISA+SXVR-H694</v>
          </cell>
          <cell r="I93">
            <v>1116</v>
          </cell>
        </row>
        <row r="94">
          <cell r="B94">
            <v>82</v>
          </cell>
          <cell r="C94">
            <v>43829</v>
          </cell>
          <cell r="D94">
            <v>4.1087962962962958E-2</v>
          </cell>
          <cell r="E94">
            <v>2458847.5551</v>
          </cell>
          <cell r="F94" t="str">
            <v>CBO</v>
          </cell>
          <cell r="G94" t="str">
            <v>OCT-FR</v>
          </cell>
          <cell r="H94" t="str">
            <v>N200mmF</v>
          </cell>
          <cell r="I94">
            <v>508</v>
          </cell>
        </row>
        <row r="95">
          <cell r="B95">
            <v>83</v>
          </cell>
          <cell r="C95">
            <v>43831</v>
          </cell>
          <cell r="D95">
            <v>0.96622685185185186</v>
          </cell>
          <cell r="E95">
            <v>2458850.4805000001</v>
          </cell>
          <cell r="F95" t="str">
            <v>PAD</v>
          </cell>
          <cell r="G95" t="str">
            <v>KOL-SK</v>
          </cell>
          <cell r="H95" t="str">
            <v>C11+LISA+Atik460EX</v>
          </cell>
          <cell r="I95">
            <v>810</v>
          </cell>
        </row>
        <row r="96">
          <cell r="B96">
            <v>84</v>
          </cell>
          <cell r="C96">
            <v>43873</v>
          </cell>
          <cell r="D96">
            <v>2.3958333333333331E-2</v>
          </cell>
          <cell r="E96">
            <v>2458891.5343999998</v>
          </cell>
          <cell r="F96" t="str">
            <v>CBO</v>
          </cell>
          <cell r="G96" t="str">
            <v>OCT-FR</v>
          </cell>
          <cell r="H96" t="str">
            <v>N200mmF5_Alpy600</v>
          </cell>
          <cell r="I96">
            <v>502</v>
          </cell>
        </row>
        <row r="97">
          <cell r="B97">
            <v>85</v>
          </cell>
          <cell r="C97">
            <v>43874</v>
          </cell>
          <cell r="D97">
            <v>0.84979166666666661</v>
          </cell>
          <cell r="E97">
            <v>2458893.3905000002</v>
          </cell>
          <cell r="F97" t="str">
            <v>JGF</v>
          </cell>
          <cell r="G97" t="str">
            <v>SMM-SP</v>
          </cell>
          <cell r="H97" t="str">
            <v>16REMOTLINX460EX</v>
          </cell>
          <cell r="I97">
            <v>9000</v>
          </cell>
        </row>
        <row r="98">
          <cell r="B98">
            <v>86</v>
          </cell>
          <cell r="C98">
            <v>43874</v>
          </cell>
          <cell r="D98">
            <v>0.84979166666666661</v>
          </cell>
          <cell r="E98">
            <v>2458893.3905000002</v>
          </cell>
          <cell r="F98" t="str">
            <v>JGF</v>
          </cell>
          <cell r="G98" t="str">
            <v>SMM-SP</v>
          </cell>
          <cell r="H98" t="str">
            <v>16REMOTLINX460EX</v>
          </cell>
          <cell r="I98">
            <v>9000</v>
          </cell>
        </row>
        <row r="99">
          <cell r="B99">
            <v>87</v>
          </cell>
          <cell r="C99">
            <v>43884</v>
          </cell>
          <cell r="D99">
            <v>0.79826388888888899</v>
          </cell>
          <cell r="E99">
            <v>2458903.3448000001</v>
          </cell>
          <cell r="F99" t="str">
            <v>JGF</v>
          </cell>
          <cell r="G99" t="str">
            <v>SMM-SP</v>
          </cell>
          <cell r="H99" t="str">
            <v>16REMOTLINX460EX</v>
          </cell>
          <cell r="I99">
            <v>9000</v>
          </cell>
        </row>
        <row r="100">
          <cell r="B100">
            <v>88</v>
          </cell>
          <cell r="C100">
            <v>43920</v>
          </cell>
          <cell r="D100">
            <v>0.89225694444444448</v>
          </cell>
          <cell r="E100">
            <v>2458939.4062000001</v>
          </cell>
          <cell r="F100" t="str">
            <v>CBO</v>
          </cell>
          <cell r="G100" t="str">
            <v>OCT-FR</v>
          </cell>
          <cell r="H100" t="str">
            <v>N200mmF5_Alpy600</v>
          </cell>
          <cell r="I100">
            <v>501</v>
          </cell>
        </row>
        <row r="101">
          <cell r="B101">
            <v>89</v>
          </cell>
          <cell r="C101">
            <v>44174</v>
          </cell>
          <cell r="D101">
            <v>0.92708333333333337</v>
          </cell>
          <cell r="E101">
            <v>2459193.4369000001</v>
          </cell>
          <cell r="F101" t="str">
            <v>PAD</v>
          </cell>
          <cell r="G101" t="str">
            <v>KOL-SK</v>
          </cell>
          <cell r="H101" t="str">
            <v>C11+LISA+Atik 460EX</v>
          </cell>
          <cell r="I101">
            <v>878</v>
          </cell>
        </row>
        <row r="102">
          <cell r="B102">
            <v>90</v>
          </cell>
          <cell r="C102">
            <v>44183</v>
          </cell>
          <cell r="D102">
            <v>0.15208333333333332</v>
          </cell>
          <cell r="E102">
            <v>2459201.6554</v>
          </cell>
          <cell r="F102" t="str">
            <v>KSH</v>
          </cell>
          <cell r="G102" t="str">
            <v>CAR-US</v>
          </cell>
          <cell r="H102" t="str">
            <v>C14E@F7+LISA+ATIK414EX</v>
          </cell>
          <cell r="I102">
            <v>1000</v>
          </cell>
        </row>
      </sheetData>
      <sheetData sheetId="68"/>
      <sheetData sheetId="69"/>
      <sheetData sheetId="70"/>
      <sheetData sheetId="71"/>
      <sheetData sheetId="72"/>
      <sheetData sheetId="73"/>
      <sheetData sheetId="74"/>
      <sheetData sheetId="75">
        <row r="13">
          <cell r="B13">
            <v>1</v>
          </cell>
        </row>
      </sheetData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>
        <row r="13">
          <cell r="B13">
            <v>1</v>
          </cell>
        </row>
      </sheetData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DateToJ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3:P113"/>
  <sheetViews>
    <sheetView showGridLines="0" tabSelected="1" topLeftCell="A127" workbookViewId="0">
      <selection activeCell="L118" sqref="L118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13" spans="15:16" x14ac:dyDescent="0.25">
      <c r="O13">
        <v>7257</v>
      </c>
      <c r="P13">
        <f>+O13-N13</f>
        <v>7257</v>
      </c>
    </row>
    <row r="14" spans="15:16" x14ac:dyDescent="0.25">
      <c r="O14">
        <v>7623</v>
      </c>
      <c r="P14">
        <f>+O14-N14</f>
        <v>7623</v>
      </c>
    </row>
    <row r="15" spans="15:16" x14ac:dyDescent="0.25">
      <c r="O15">
        <f>+N15+165</f>
        <v>165</v>
      </c>
    </row>
    <row r="17" spans="2:16" x14ac:dyDescent="0.25">
      <c r="O17" t="s">
        <v>913</v>
      </c>
      <c r="P17">
        <v>2441062</v>
      </c>
    </row>
    <row r="18" spans="2:16" x14ac:dyDescent="0.25">
      <c r="O18" t="s">
        <v>914</v>
      </c>
      <c r="P18">
        <v>394.42</v>
      </c>
    </row>
    <row r="22" spans="2:16" x14ac:dyDescent="0.25">
      <c r="L22" t="s">
        <v>912</v>
      </c>
    </row>
    <row r="24" spans="2:16" ht="15.75" x14ac:dyDescent="0.25">
      <c r="B24" s="17">
        <v>1</v>
      </c>
      <c r="C24" s="18">
        <v>40598</v>
      </c>
      <c r="D24" s="19">
        <v>0.87638888888888899</v>
      </c>
      <c r="E24" s="20"/>
      <c r="F24" s="21" t="s">
        <v>115</v>
      </c>
      <c r="G24" s="21" t="s">
        <v>108</v>
      </c>
      <c r="H24" s="21" t="s">
        <v>123</v>
      </c>
      <c r="I24" s="22"/>
      <c r="J24" s="21">
        <v>4511</v>
      </c>
      <c r="K24" s="21">
        <v>7419</v>
      </c>
      <c r="L24" s="30"/>
      <c r="M24" s="27"/>
      <c r="N24" s="29"/>
    </row>
    <row r="25" spans="2:16" ht="15.75" x14ac:dyDescent="0.25">
      <c r="B25" s="14">
        <v>2</v>
      </c>
      <c r="C25" s="10">
        <v>40629</v>
      </c>
      <c r="D25" s="11">
        <v>0.88402777777777775</v>
      </c>
      <c r="E25" s="20"/>
      <c r="F25" s="13" t="s">
        <v>124</v>
      </c>
      <c r="G25" s="13" t="s">
        <v>125</v>
      </c>
      <c r="H25" s="13" t="s">
        <v>126</v>
      </c>
      <c r="I25" s="23"/>
      <c r="J25" s="21">
        <v>4496</v>
      </c>
      <c r="K25" s="21">
        <v>7204</v>
      </c>
      <c r="L25" s="30"/>
      <c r="M25" s="27"/>
      <c r="N25" s="29"/>
    </row>
    <row r="26" spans="2:16" ht="15.75" x14ac:dyDescent="0.25">
      <c r="B26" s="14">
        <v>3</v>
      </c>
      <c r="C26" s="10">
        <v>40630</v>
      </c>
      <c r="D26" s="11">
        <v>0.87083333333333324</v>
      </c>
      <c r="E26" s="20"/>
      <c r="F26" s="13" t="s">
        <v>124</v>
      </c>
      <c r="G26" s="13" t="s">
        <v>125</v>
      </c>
      <c r="H26" s="13" t="s">
        <v>126</v>
      </c>
      <c r="I26" s="23"/>
      <c r="J26" s="21">
        <v>3775</v>
      </c>
      <c r="K26" s="21">
        <v>7253</v>
      </c>
      <c r="L26" s="30"/>
      <c r="M26" s="27"/>
      <c r="N26" s="29"/>
    </row>
    <row r="27" spans="2:16" ht="15.75" x14ac:dyDescent="0.25">
      <c r="B27" s="14">
        <v>4</v>
      </c>
      <c r="C27" s="10">
        <v>40834</v>
      </c>
      <c r="D27" s="11">
        <v>3.4722222222222224E-2</v>
      </c>
      <c r="E27" s="20"/>
      <c r="F27" s="13" t="s">
        <v>127</v>
      </c>
      <c r="G27" s="13" t="s">
        <v>128</v>
      </c>
      <c r="H27" s="13" t="s">
        <v>129</v>
      </c>
      <c r="I27" s="23"/>
      <c r="J27" s="21">
        <v>4425</v>
      </c>
      <c r="K27" s="21">
        <v>7309</v>
      </c>
      <c r="L27" s="30"/>
      <c r="M27" s="27"/>
      <c r="N27" s="29"/>
    </row>
    <row r="28" spans="2:16" ht="15.75" x14ac:dyDescent="0.25">
      <c r="B28" s="14">
        <v>5</v>
      </c>
      <c r="C28" s="10">
        <v>40838</v>
      </c>
      <c r="D28" s="11">
        <v>0.96875</v>
      </c>
      <c r="E28" s="20"/>
      <c r="F28" s="13" t="s">
        <v>115</v>
      </c>
      <c r="G28" s="13" t="s">
        <v>108</v>
      </c>
      <c r="H28" s="13" t="s">
        <v>130</v>
      </c>
      <c r="I28" s="23"/>
      <c r="J28" s="21">
        <v>3929</v>
      </c>
      <c r="K28" s="21">
        <v>7500</v>
      </c>
      <c r="L28" s="30"/>
      <c r="M28" s="27"/>
      <c r="N28" s="29"/>
    </row>
    <row r="29" spans="2:16" ht="15.75" x14ac:dyDescent="0.25">
      <c r="B29" s="14">
        <v>6</v>
      </c>
      <c r="C29" s="10">
        <v>40861</v>
      </c>
      <c r="D29" s="11">
        <v>0.94166666666666676</v>
      </c>
      <c r="E29" s="20"/>
      <c r="F29" s="13" t="s">
        <v>115</v>
      </c>
      <c r="G29" s="13" t="s">
        <v>108</v>
      </c>
      <c r="H29" s="13" t="s">
        <v>130</v>
      </c>
      <c r="I29" s="23">
        <v>800</v>
      </c>
      <c r="J29" s="21">
        <v>3893</v>
      </c>
      <c r="K29" s="21">
        <v>7462</v>
      </c>
      <c r="L29" s="30"/>
      <c r="M29" s="27"/>
      <c r="N29" s="29"/>
    </row>
    <row r="30" spans="2:16" ht="15.75" x14ac:dyDescent="0.25">
      <c r="B30" s="14">
        <v>7</v>
      </c>
      <c r="C30" s="10">
        <v>40922</v>
      </c>
      <c r="D30" s="11">
        <v>0.79513888888888884</v>
      </c>
      <c r="E30" s="20"/>
      <c r="F30" s="13" t="s">
        <v>115</v>
      </c>
      <c r="G30" s="13" t="s">
        <v>108</v>
      </c>
      <c r="H30" s="13" t="s">
        <v>130</v>
      </c>
      <c r="I30" s="23">
        <v>1000</v>
      </c>
      <c r="J30" s="21">
        <v>4001</v>
      </c>
      <c r="K30" s="21">
        <v>7401</v>
      </c>
      <c r="L30" s="30"/>
      <c r="M30" s="27"/>
      <c r="N30" s="29"/>
    </row>
    <row r="31" spans="2:16" ht="15.75" x14ac:dyDescent="0.25">
      <c r="B31" s="14">
        <v>8</v>
      </c>
      <c r="C31" s="10">
        <v>40924</v>
      </c>
      <c r="D31" s="11">
        <v>0.80208333333333337</v>
      </c>
      <c r="E31" s="20"/>
      <c r="F31" s="13" t="s">
        <v>115</v>
      </c>
      <c r="G31" s="13" t="s">
        <v>108</v>
      </c>
      <c r="H31" s="13" t="s">
        <v>130</v>
      </c>
      <c r="I31" s="23">
        <v>1000</v>
      </c>
      <c r="J31" s="21">
        <v>4005</v>
      </c>
      <c r="K31" s="21">
        <v>7589</v>
      </c>
      <c r="L31" s="30"/>
      <c r="M31" s="27"/>
      <c r="N31" s="29"/>
    </row>
    <row r="32" spans="2:16" ht="15.75" x14ac:dyDescent="0.25">
      <c r="B32" s="14">
        <v>9</v>
      </c>
      <c r="C32" s="10">
        <v>41658</v>
      </c>
      <c r="D32" s="11">
        <v>0.94236111111111109</v>
      </c>
      <c r="E32" s="12">
        <v>2456677.469</v>
      </c>
      <c r="F32" s="13" t="s">
        <v>113</v>
      </c>
      <c r="G32" s="13" t="s">
        <v>121</v>
      </c>
      <c r="H32" s="13" t="s">
        <v>131</v>
      </c>
      <c r="I32" s="23">
        <v>1004</v>
      </c>
      <c r="J32" s="21">
        <v>4000</v>
      </c>
      <c r="K32" s="21">
        <v>7350</v>
      </c>
      <c r="L32" s="30"/>
      <c r="M32" s="27"/>
      <c r="N32" s="29"/>
    </row>
    <row r="33" spans="2:14" ht="15.75" x14ac:dyDescent="0.25">
      <c r="B33" s="14">
        <v>10</v>
      </c>
      <c r="C33" s="10">
        <v>41709</v>
      </c>
      <c r="D33" s="11">
        <v>3.0555555555555555E-2</v>
      </c>
      <c r="E33" s="12">
        <v>2456727.548</v>
      </c>
      <c r="F33" s="13" t="s">
        <v>112</v>
      </c>
      <c r="G33" s="13" t="s">
        <v>132</v>
      </c>
      <c r="H33" s="13" t="s">
        <v>133</v>
      </c>
      <c r="I33" s="23">
        <v>600</v>
      </c>
      <c r="J33" s="21">
        <v>4566</v>
      </c>
      <c r="K33" s="21">
        <v>7369</v>
      </c>
      <c r="L33" s="30"/>
      <c r="M33" s="27"/>
      <c r="N33" s="29"/>
    </row>
    <row r="34" spans="2:14" ht="15.75" x14ac:dyDescent="0.25">
      <c r="B34" s="14">
        <v>11</v>
      </c>
      <c r="C34" s="10">
        <v>41711</v>
      </c>
      <c r="D34" s="11">
        <v>0.81736111111111109</v>
      </c>
      <c r="E34" s="12">
        <v>2456730.318</v>
      </c>
      <c r="F34" s="13" t="s">
        <v>115</v>
      </c>
      <c r="G34" s="13" t="s">
        <v>108</v>
      </c>
      <c r="H34" s="13" t="s">
        <v>134</v>
      </c>
      <c r="I34" s="23">
        <v>1024</v>
      </c>
      <c r="J34" s="21">
        <v>4000</v>
      </c>
      <c r="K34" s="21">
        <v>7500</v>
      </c>
      <c r="L34" s="30"/>
      <c r="M34" s="27"/>
      <c r="N34" s="29"/>
    </row>
    <row r="35" spans="2:14" ht="15.75" x14ac:dyDescent="0.25">
      <c r="B35" s="36">
        <v>12</v>
      </c>
      <c r="C35" s="37">
        <v>41900</v>
      </c>
      <c r="D35" s="38">
        <v>0.26458333333333334</v>
      </c>
      <c r="E35" s="39">
        <v>2456918.7790000001</v>
      </c>
      <c r="F35" s="40" t="s">
        <v>111</v>
      </c>
      <c r="G35" s="40" t="s">
        <v>116</v>
      </c>
      <c r="H35" s="40" t="s">
        <v>135</v>
      </c>
      <c r="I35" s="41">
        <v>515</v>
      </c>
      <c r="J35" s="21">
        <v>3736</v>
      </c>
      <c r="K35" s="21">
        <v>7233</v>
      </c>
      <c r="L35" s="30"/>
      <c r="M35" s="27"/>
      <c r="N35" s="29"/>
    </row>
    <row r="36" spans="2:14" ht="15.75" x14ac:dyDescent="0.25">
      <c r="B36" s="14">
        <v>13</v>
      </c>
      <c r="C36" s="10">
        <v>41923</v>
      </c>
      <c r="D36" s="11">
        <v>0.18055555555555555</v>
      </c>
      <c r="E36" s="12">
        <v>2456941.702</v>
      </c>
      <c r="F36" s="13" t="s">
        <v>111</v>
      </c>
      <c r="G36" s="13" t="s">
        <v>116</v>
      </c>
      <c r="H36" s="13" t="s">
        <v>135</v>
      </c>
      <c r="I36" s="23">
        <v>495</v>
      </c>
      <c r="J36" s="21">
        <v>3742</v>
      </c>
      <c r="K36" s="21">
        <v>7234</v>
      </c>
      <c r="L36" s="30"/>
      <c r="M36" s="27"/>
      <c r="N36" s="29"/>
    </row>
    <row r="37" spans="2:14" ht="15.75" x14ac:dyDescent="0.25">
      <c r="B37" s="14">
        <v>14</v>
      </c>
      <c r="C37" s="10">
        <v>41923</v>
      </c>
      <c r="D37" s="11">
        <v>0.18055555555555555</v>
      </c>
      <c r="E37" s="12">
        <v>2456941.702</v>
      </c>
      <c r="F37" s="13" t="s">
        <v>111</v>
      </c>
      <c r="G37" s="13" t="s">
        <v>116</v>
      </c>
      <c r="H37" s="13" t="s">
        <v>135</v>
      </c>
      <c r="I37" s="23">
        <v>495</v>
      </c>
      <c r="J37" s="21">
        <v>3742</v>
      </c>
      <c r="K37" s="21">
        <v>7234</v>
      </c>
      <c r="L37" s="30"/>
      <c r="M37" s="27"/>
      <c r="N37" s="29"/>
    </row>
    <row r="38" spans="2:14" ht="15.75" x14ac:dyDescent="0.25">
      <c r="B38" s="14">
        <v>15</v>
      </c>
      <c r="C38" s="10">
        <v>41939</v>
      </c>
      <c r="D38" s="11">
        <v>0.98333333333333339</v>
      </c>
      <c r="E38" s="12">
        <v>2456958.5010000002</v>
      </c>
      <c r="F38" s="13" t="s">
        <v>113</v>
      </c>
      <c r="G38" s="13" t="s">
        <v>121</v>
      </c>
      <c r="H38" s="13" t="s">
        <v>107</v>
      </c>
      <c r="I38" s="23"/>
      <c r="J38" s="21">
        <v>3900</v>
      </c>
      <c r="K38" s="21">
        <v>7591</v>
      </c>
      <c r="L38" s="30"/>
      <c r="M38" s="27"/>
      <c r="N38" s="29"/>
    </row>
    <row r="39" spans="2:14" ht="15.75" x14ac:dyDescent="0.25">
      <c r="B39" s="14">
        <v>16</v>
      </c>
      <c r="C39" s="10">
        <v>41957</v>
      </c>
      <c r="D39" s="11">
        <v>0.21041666666666667</v>
      </c>
      <c r="E39" s="12">
        <v>2456975.7400000002</v>
      </c>
      <c r="F39" s="13" t="s">
        <v>109</v>
      </c>
      <c r="G39" s="13" t="s">
        <v>110</v>
      </c>
      <c r="H39" s="13" t="s">
        <v>136</v>
      </c>
      <c r="I39" s="23">
        <v>4509</v>
      </c>
      <c r="J39" s="21">
        <v>5643</v>
      </c>
      <c r="K39" s="21">
        <v>7391</v>
      </c>
      <c r="L39" s="30"/>
      <c r="M39" s="27"/>
      <c r="N39" s="29"/>
    </row>
    <row r="40" spans="2:14" ht="15.75" x14ac:dyDescent="0.25">
      <c r="B40" s="14">
        <v>17</v>
      </c>
      <c r="C40" s="10">
        <v>41957</v>
      </c>
      <c r="D40" s="11">
        <v>0.2902777777777778</v>
      </c>
      <c r="E40" s="12">
        <v>2456975.827</v>
      </c>
      <c r="F40" s="13" t="s">
        <v>109</v>
      </c>
      <c r="G40" s="13" t="s">
        <v>110</v>
      </c>
      <c r="H40" s="13" t="s">
        <v>136</v>
      </c>
      <c r="I40" s="23">
        <v>3667</v>
      </c>
      <c r="J40" s="21">
        <v>4100</v>
      </c>
      <c r="K40" s="21">
        <v>5850</v>
      </c>
      <c r="L40" s="30"/>
      <c r="M40" s="27"/>
      <c r="N40" s="29"/>
    </row>
    <row r="41" spans="2:14" ht="15.75" x14ac:dyDescent="0.25">
      <c r="B41" s="14">
        <v>18</v>
      </c>
      <c r="C41" s="10">
        <v>41987</v>
      </c>
      <c r="D41" s="11">
        <v>1.3888888888888888E-2</v>
      </c>
      <c r="E41" s="12">
        <v>2457005.5249999999</v>
      </c>
      <c r="F41" s="13" t="s">
        <v>111</v>
      </c>
      <c r="G41" s="13" t="s">
        <v>116</v>
      </c>
      <c r="H41" s="13" t="s">
        <v>135</v>
      </c>
      <c r="I41" s="23"/>
      <c r="J41" s="21">
        <v>3740</v>
      </c>
      <c r="K41" s="21">
        <v>7239</v>
      </c>
      <c r="L41" s="30"/>
      <c r="M41" s="27"/>
      <c r="N41" s="29"/>
    </row>
    <row r="42" spans="2:14" ht="15.75" x14ac:dyDescent="0.25">
      <c r="B42" s="14">
        <v>19</v>
      </c>
      <c r="C42" s="10">
        <v>42000</v>
      </c>
      <c r="D42" s="11">
        <v>0.90416666666666667</v>
      </c>
      <c r="E42" s="12">
        <v>2457019.4440000001</v>
      </c>
      <c r="F42" s="13" t="s">
        <v>114</v>
      </c>
      <c r="G42" s="13" t="s">
        <v>119</v>
      </c>
      <c r="H42" s="13" t="s">
        <v>120</v>
      </c>
      <c r="I42" s="23"/>
      <c r="J42" s="21">
        <v>3767</v>
      </c>
      <c r="K42" s="21">
        <v>7566</v>
      </c>
      <c r="L42" s="30"/>
      <c r="M42" s="27"/>
      <c r="N42" s="29"/>
    </row>
    <row r="43" spans="2:14" ht="15.75" x14ac:dyDescent="0.25">
      <c r="B43" s="14">
        <v>20</v>
      </c>
      <c r="C43" s="10">
        <v>42020</v>
      </c>
      <c r="D43" s="11">
        <v>0.82777777777777783</v>
      </c>
      <c r="E43" s="12">
        <v>2457039.3629999999</v>
      </c>
      <c r="F43" s="13" t="s">
        <v>114</v>
      </c>
      <c r="G43" s="13" t="s">
        <v>119</v>
      </c>
      <c r="H43" s="13" t="s">
        <v>120</v>
      </c>
      <c r="I43" s="23"/>
      <c r="J43" s="21">
        <v>3754</v>
      </c>
      <c r="K43" s="21">
        <v>7576</v>
      </c>
      <c r="L43" s="30"/>
      <c r="M43" s="27"/>
      <c r="N43" s="29"/>
    </row>
    <row r="44" spans="2:14" ht="15.75" x14ac:dyDescent="0.25">
      <c r="B44" s="14">
        <v>21</v>
      </c>
      <c r="C44" s="10">
        <v>42020</v>
      </c>
      <c r="D44" s="11">
        <v>0.82777777777777783</v>
      </c>
      <c r="E44" s="12">
        <v>2457039.3629999999</v>
      </c>
      <c r="F44" s="13" t="s">
        <v>114</v>
      </c>
      <c r="G44" s="13" t="s">
        <v>119</v>
      </c>
      <c r="H44" s="13" t="s">
        <v>120</v>
      </c>
      <c r="I44" s="23"/>
      <c r="J44" s="21">
        <v>3754</v>
      </c>
      <c r="K44" s="21">
        <v>7576</v>
      </c>
      <c r="L44" s="30"/>
      <c r="M44" s="27"/>
      <c r="N44" s="29"/>
    </row>
    <row r="45" spans="2:14" ht="15.75" x14ac:dyDescent="0.25">
      <c r="B45" s="14">
        <v>22</v>
      </c>
      <c r="C45" s="10">
        <v>42043</v>
      </c>
      <c r="D45" s="11">
        <v>0.76527777777777783</v>
      </c>
      <c r="E45" s="12">
        <v>2457062.2760000001</v>
      </c>
      <c r="F45" s="13" t="s">
        <v>115</v>
      </c>
      <c r="G45" s="13" t="s">
        <v>108</v>
      </c>
      <c r="H45" s="13" t="s">
        <v>137</v>
      </c>
      <c r="I45" s="23">
        <v>1037</v>
      </c>
      <c r="J45" s="21">
        <v>4000</v>
      </c>
      <c r="K45" s="21">
        <v>7501</v>
      </c>
      <c r="L45" s="30"/>
      <c r="M45" s="27"/>
      <c r="N45" s="29"/>
    </row>
    <row r="46" spans="2:14" ht="15.75" x14ac:dyDescent="0.25">
      <c r="B46" s="14">
        <v>23</v>
      </c>
      <c r="C46" s="10">
        <v>42044</v>
      </c>
      <c r="D46" s="11">
        <v>0.79791666666666661</v>
      </c>
      <c r="E46" s="12">
        <v>2457063.3289999999</v>
      </c>
      <c r="F46" s="13" t="s">
        <v>113</v>
      </c>
      <c r="G46" s="13" t="s">
        <v>121</v>
      </c>
      <c r="H46" s="13" t="s">
        <v>107</v>
      </c>
      <c r="I46" s="23">
        <v>1021</v>
      </c>
      <c r="J46" s="21">
        <v>3900</v>
      </c>
      <c r="K46" s="21">
        <v>7590</v>
      </c>
      <c r="L46" s="30"/>
      <c r="M46" s="27"/>
      <c r="N46" s="29"/>
    </row>
    <row r="47" spans="2:14" ht="15.75" x14ac:dyDescent="0.25">
      <c r="B47" s="14">
        <v>24</v>
      </c>
      <c r="C47" s="10">
        <v>42045</v>
      </c>
      <c r="D47" s="11">
        <v>0.81874999999999998</v>
      </c>
      <c r="E47" s="12">
        <v>2457064.3480000002</v>
      </c>
      <c r="F47" s="13" t="s">
        <v>114</v>
      </c>
      <c r="G47" s="13" t="s">
        <v>119</v>
      </c>
      <c r="H47" s="13" t="s">
        <v>120</v>
      </c>
      <c r="I47" s="23">
        <v>929</v>
      </c>
      <c r="J47" s="21">
        <v>3754</v>
      </c>
      <c r="K47" s="21">
        <v>7489</v>
      </c>
      <c r="L47" s="30"/>
      <c r="M47" s="27"/>
      <c r="N47" s="29"/>
    </row>
    <row r="48" spans="2:14" ht="15.75" x14ac:dyDescent="0.25">
      <c r="B48" s="2">
        <v>25</v>
      </c>
      <c r="C48" s="24">
        <v>42102</v>
      </c>
      <c r="D48" s="25">
        <v>0.90090277777777772</v>
      </c>
      <c r="E48" s="2">
        <v>2457121.4183</v>
      </c>
      <c r="F48" s="2" t="s">
        <v>138</v>
      </c>
      <c r="G48" s="2" t="s">
        <v>139</v>
      </c>
      <c r="H48" s="2" t="s">
        <v>140</v>
      </c>
      <c r="I48" s="2">
        <v>1000</v>
      </c>
      <c r="J48" s="21">
        <v>4001</v>
      </c>
      <c r="K48" s="21">
        <v>7402</v>
      </c>
      <c r="L48" s="30"/>
      <c r="M48" s="27"/>
      <c r="N48" s="29"/>
    </row>
    <row r="49" spans="2:14" ht="15.75" x14ac:dyDescent="0.25">
      <c r="B49" s="2">
        <v>26</v>
      </c>
      <c r="C49" s="24">
        <v>42106</v>
      </c>
      <c r="D49" s="25">
        <v>0.88833333333333331</v>
      </c>
      <c r="E49" s="2">
        <v>2457125.4060999998</v>
      </c>
      <c r="F49" s="2" t="s">
        <v>138</v>
      </c>
      <c r="G49" s="2" t="s">
        <v>139</v>
      </c>
      <c r="H49" s="2" t="s">
        <v>140</v>
      </c>
      <c r="I49" s="2">
        <v>1000</v>
      </c>
      <c r="J49" s="21">
        <v>4002</v>
      </c>
      <c r="K49" s="21">
        <v>7402</v>
      </c>
      <c r="L49" s="30"/>
      <c r="M49" s="27"/>
      <c r="N49" s="29"/>
    </row>
    <row r="50" spans="2:14" ht="15.75" x14ac:dyDescent="0.25">
      <c r="B50" s="6">
        <v>27</v>
      </c>
      <c r="C50" s="15">
        <v>42107</v>
      </c>
      <c r="D50" s="16">
        <v>0.89799768518518519</v>
      </c>
      <c r="E50" s="6">
        <v>2457126.4035</v>
      </c>
      <c r="F50" s="6" t="s">
        <v>112</v>
      </c>
      <c r="G50" s="6" t="s">
        <v>132</v>
      </c>
      <c r="H50" s="6" t="s">
        <v>133</v>
      </c>
      <c r="I50" s="6"/>
      <c r="J50" s="26">
        <v>3840</v>
      </c>
      <c r="K50" s="26">
        <v>7392</v>
      </c>
      <c r="L50" s="30"/>
      <c r="M50" s="27"/>
      <c r="N50" s="29"/>
    </row>
    <row r="51" spans="2:14" x14ac:dyDescent="0.25">
      <c r="B51" s="31">
        <v>28</v>
      </c>
      <c r="C51" s="32">
        <v>42276</v>
      </c>
      <c r="D51" s="33">
        <v>0.15748842592592593</v>
      </c>
      <c r="E51" s="31">
        <v>2457294.6680000001</v>
      </c>
      <c r="F51" s="31" t="s">
        <v>115</v>
      </c>
      <c r="G51" s="31" t="s">
        <v>108</v>
      </c>
      <c r="H51" s="31" t="s">
        <v>118</v>
      </c>
      <c r="I51" s="31">
        <v>11000</v>
      </c>
      <c r="J51" s="31">
        <v>4287</v>
      </c>
      <c r="K51" s="31">
        <v>7157</v>
      </c>
      <c r="L51" s="30"/>
      <c r="M51" s="27"/>
      <c r="N51" s="29"/>
    </row>
    <row r="52" spans="2:14" x14ac:dyDescent="0.25">
      <c r="B52" s="31">
        <v>29</v>
      </c>
      <c r="C52" s="32">
        <v>42278</v>
      </c>
      <c r="D52" s="33">
        <v>0.99185185185185187</v>
      </c>
      <c r="E52" s="31">
        <v>2457297.5093</v>
      </c>
      <c r="F52" s="31" t="s">
        <v>111</v>
      </c>
      <c r="G52" s="31" t="s">
        <v>116</v>
      </c>
      <c r="H52" s="31" t="s">
        <v>141</v>
      </c>
      <c r="I52" s="31">
        <v>495</v>
      </c>
      <c r="J52" s="31">
        <v>4305</v>
      </c>
      <c r="K52" s="31">
        <v>7226</v>
      </c>
      <c r="L52" s="30"/>
      <c r="M52" s="27"/>
      <c r="N52" s="29"/>
    </row>
    <row r="53" spans="2:14" x14ac:dyDescent="0.25">
      <c r="B53" s="7">
        <v>30</v>
      </c>
      <c r="C53" s="8">
        <v>42279</v>
      </c>
      <c r="D53" s="9">
        <v>9.2997685185185183E-2</v>
      </c>
      <c r="E53" s="7">
        <v>2457297.5987999998</v>
      </c>
      <c r="F53" s="7" t="s">
        <v>112</v>
      </c>
      <c r="G53" s="7" t="s">
        <v>142</v>
      </c>
      <c r="H53" s="7" t="s">
        <v>143</v>
      </c>
      <c r="I53" s="7">
        <v>617</v>
      </c>
      <c r="J53" s="7">
        <v>3770</v>
      </c>
      <c r="K53" s="7">
        <v>7398</v>
      </c>
      <c r="L53" s="30"/>
      <c r="M53" s="27"/>
      <c r="N53" s="29"/>
    </row>
    <row r="54" spans="2:14" x14ac:dyDescent="0.25">
      <c r="B54" s="7">
        <v>31</v>
      </c>
      <c r="C54" s="8">
        <v>42301</v>
      </c>
      <c r="D54" s="9">
        <v>5.3182870370370366E-2</v>
      </c>
      <c r="E54" s="7">
        <v>2457319.5636</v>
      </c>
      <c r="F54" s="7" t="s">
        <v>111</v>
      </c>
      <c r="G54" s="7" t="s">
        <v>116</v>
      </c>
      <c r="H54" s="7" t="s">
        <v>117</v>
      </c>
      <c r="I54" s="7">
        <v>522</v>
      </c>
      <c r="J54" s="7">
        <v>4270</v>
      </c>
      <c r="K54" s="7">
        <v>7188</v>
      </c>
      <c r="L54" s="30"/>
      <c r="M54" s="27"/>
      <c r="N54" s="29"/>
    </row>
    <row r="55" spans="2:14" x14ac:dyDescent="0.25">
      <c r="B55" s="7">
        <v>32</v>
      </c>
      <c r="C55" s="8">
        <v>42301</v>
      </c>
      <c r="D55" s="9">
        <v>0.95958333333333334</v>
      </c>
      <c r="E55" s="7">
        <v>2457320.4874</v>
      </c>
      <c r="F55" s="7" t="s">
        <v>111</v>
      </c>
      <c r="G55" s="7" t="s">
        <v>116</v>
      </c>
      <c r="H55" s="7" t="s">
        <v>144</v>
      </c>
      <c r="I55" s="7">
        <v>19120</v>
      </c>
      <c r="J55" s="7">
        <v>6497</v>
      </c>
      <c r="K55" s="7">
        <v>6608</v>
      </c>
      <c r="L55" s="30"/>
      <c r="M55" s="27"/>
      <c r="N55" s="29"/>
    </row>
    <row r="56" spans="2:14" x14ac:dyDescent="0.25">
      <c r="B56" s="7">
        <v>33</v>
      </c>
      <c r="C56" s="8">
        <v>42337</v>
      </c>
      <c r="D56" s="9">
        <v>1.1921296296296296E-3</v>
      </c>
      <c r="E56" s="7">
        <v>2457355.5186999999</v>
      </c>
      <c r="F56" s="7" t="s">
        <v>114</v>
      </c>
      <c r="G56" s="7" t="s">
        <v>119</v>
      </c>
      <c r="H56" s="7" t="s">
        <v>120</v>
      </c>
      <c r="I56" s="7">
        <v>996</v>
      </c>
      <c r="J56" s="7">
        <v>3778</v>
      </c>
      <c r="K56" s="7">
        <v>7589</v>
      </c>
      <c r="L56" s="30"/>
      <c r="M56" s="27"/>
      <c r="N56" s="29"/>
    </row>
    <row r="57" spans="2:14" x14ac:dyDescent="0.25">
      <c r="B57" s="7">
        <v>34</v>
      </c>
      <c r="C57" s="8">
        <v>42371</v>
      </c>
      <c r="D57" s="9">
        <v>0.90050925925925929</v>
      </c>
      <c r="E57" s="7">
        <v>2457390.4238</v>
      </c>
      <c r="F57" s="7" t="s">
        <v>114</v>
      </c>
      <c r="G57" s="7" t="s">
        <v>119</v>
      </c>
      <c r="H57" s="7" t="s">
        <v>120</v>
      </c>
      <c r="I57" s="7">
        <v>1021</v>
      </c>
      <c r="J57" s="7">
        <v>3809</v>
      </c>
      <c r="K57" s="7">
        <v>7578</v>
      </c>
      <c r="L57" s="30"/>
      <c r="M57" s="27"/>
      <c r="N57" s="29"/>
    </row>
    <row r="58" spans="2:14" x14ac:dyDescent="0.25">
      <c r="B58" s="7">
        <v>35</v>
      </c>
      <c r="C58" s="8">
        <v>42392</v>
      </c>
      <c r="D58" s="9">
        <v>0.82403935185185195</v>
      </c>
      <c r="E58" s="7">
        <v>2457411.3569999998</v>
      </c>
      <c r="F58" s="7" t="s">
        <v>114</v>
      </c>
      <c r="G58" s="7" t="s">
        <v>119</v>
      </c>
      <c r="H58" s="7" t="s">
        <v>120</v>
      </c>
      <c r="I58" s="7">
        <v>1026</v>
      </c>
      <c r="J58" s="7">
        <v>3782</v>
      </c>
      <c r="K58" s="7">
        <v>7546</v>
      </c>
      <c r="L58" s="30"/>
      <c r="M58" s="27"/>
      <c r="N58" s="29"/>
    </row>
    <row r="59" spans="2:14" x14ac:dyDescent="0.25">
      <c r="B59" s="7">
        <v>36</v>
      </c>
      <c r="C59" s="8">
        <v>42399</v>
      </c>
      <c r="D59" s="9">
        <v>0.90040509259259249</v>
      </c>
      <c r="E59" s="7">
        <v>2457418.4237000002</v>
      </c>
      <c r="F59" s="7" t="s">
        <v>114</v>
      </c>
      <c r="G59" s="7" t="s">
        <v>119</v>
      </c>
      <c r="H59" s="7" t="s">
        <v>120</v>
      </c>
      <c r="I59" s="7">
        <v>909</v>
      </c>
      <c r="J59" s="7">
        <v>3850</v>
      </c>
      <c r="K59" s="7">
        <v>7560</v>
      </c>
      <c r="L59" s="30"/>
      <c r="M59" s="27"/>
      <c r="N59" s="29"/>
    </row>
    <row r="60" spans="2:14" x14ac:dyDescent="0.25">
      <c r="B60" s="5">
        <v>37</v>
      </c>
      <c r="C60" s="3">
        <v>42419</v>
      </c>
      <c r="D60" s="4">
        <v>0.85576388888888888</v>
      </c>
      <c r="E60" s="5">
        <v>2457438.3790000002</v>
      </c>
      <c r="F60" s="5" t="s">
        <v>114</v>
      </c>
      <c r="G60" s="5" t="s">
        <v>119</v>
      </c>
      <c r="H60" s="5" t="s">
        <v>120</v>
      </c>
      <c r="I60" s="5">
        <v>775</v>
      </c>
      <c r="J60" s="5">
        <v>3722</v>
      </c>
      <c r="K60" s="5">
        <v>7556</v>
      </c>
      <c r="L60" s="30"/>
      <c r="M60" s="27"/>
      <c r="N60" s="29"/>
    </row>
    <row r="61" spans="2:14" x14ac:dyDescent="0.25">
      <c r="B61" s="5">
        <v>38</v>
      </c>
      <c r="C61" s="3">
        <v>42436</v>
      </c>
      <c r="D61" s="4">
        <v>0.80836805555555558</v>
      </c>
      <c r="E61" s="5">
        <v>2457455.3446</v>
      </c>
      <c r="F61" s="5" t="s">
        <v>114</v>
      </c>
      <c r="G61" s="5" t="s">
        <v>119</v>
      </c>
      <c r="H61" s="5" t="s">
        <v>120</v>
      </c>
      <c r="I61" s="5">
        <v>836</v>
      </c>
      <c r="J61" s="5">
        <v>3761</v>
      </c>
      <c r="K61" s="5">
        <v>7538</v>
      </c>
      <c r="L61" s="30"/>
      <c r="M61" s="27"/>
      <c r="N61" s="29"/>
    </row>
    <row r="62" spans="2:14" ht="15.75" x14ac:dyDescent="0.25">
      <c r="B62" s="5">
        <f>+IF([1]UVAur!B51&lt;&gt;"",[1]UVAur!B51,"")</f>
        <v>39</v>
      </c>
      <c r="C62" s="3">
        <f>+IF([1]UVAur!C51&lt;&gt;"",[1]UVAur!C51,"")</f>
        <v>42676</v>
      </c>
      <c r="D62" s="5">
        <f>+IF([1]UVAur!D51&lt;&gt;"",[1]UVAur!D51,"")</f>
        <v>0.94498842592592591</v>
      </c>
      <c r="E62" s="20" t="e">
        <f t="shared" ref="E62" ca="1" si="0">+[2]!DateToJD(C62)</f>
        <v>#NAME?</v>
      </c>
      <c r="F62" s="5" t="str">
        <f>+IF([1]UVAur!F51&lt;&gt;"",[1]UVAur!F51,"")</f>
        <v>JMO</v>
      </c>
      <c r="G62" s="5" t="str">
        <f>+IF([1]UVAur!G51&lt;&gt;"",[1]UVAur!G51,"")</f>
        <v>CAL-FR</v>
      </c>
      <c r="H62" s="5" t="str">
        <f>+IF([1]UVAur!H51&lt;&gt;"",[1]UVAur!H51,"")</f>
        <v>Alpy600+Atik460EX</v>
      </c>
      <c r="I62" s="5">
        <f>+IF([1]UVAur!I51&lt;&gt;"",[1]UVAur!I51,"")</f>
        <v>647</v>
      </c>
      <c r="J62" s="5" t="str">
        <f>+IF([1]UVAur!J51&lt;&gt;"",[1]UVAur!J51,"")</f>
        <v/>
      </c>
      <c r="K62" s="5" t="str">
        <f>+IF([1]UVAur!K51&lt;&gt;"",[1]UVAur!K51,"")</f>
        <v/>
      </c>
      <c r="L62" s="30"/>
      <c r="M62" s="27"/>
      <c r="N62" s="29"/>
    </row>
    <row r="63" spans="2:14" x14ac:dyDescent="0.25">
      <c r="B63" s="5">
        <f>+IF([1]UVAur!B52&lt;&gt;"",[1]UVAur!B52,"")</f>
        <v>40</v>
      </c>
      <c r="C63" s="3">
        <f>+IF([1]UVAur!C52&lt;&gt;"",[1]UVAur!C52,"")</f>
        <v>42695</v>
      </c>
      <c r="D63" s="5">
        <f>+IF([1]UVAur!D52&lt;&gt;"",[1]UVAur!D52,"")</f>
        <v>0.90371527777777771</v>
      </c>
      <c r="E63" s="5">
        <f>+IF([1]UVAur!E52&lt;&gt;"",[1]UVAur!E52,"")</f>
        <v>2457714.4207000001</v>
      </c>
      <c r="F63" s="5" t="str">
        <f>+IF([1]UVAur!F52&lt;&gt;"",[1]UVAur!F52,"")</f>
        <v>BER</v>
      </c>
      <c r="G63" s="5" t="str">
        <f>+IF([1]UVAur!G52&lt;&gt;"",[1]UVAur!G52,"")</f>
        <v>BVO-IT</v>
      </c>
      <c r="H63" s="5" t="str">
        <f>+IF([1]UVAur!H52&lt;&gt;"",[1]UVAur!H52,"")</f>
        <v>Lhires31200C9SXV</v>
      </c>
      <c r="I63" s="5">
        <f>+IF([1]UVAur!I52&lt;&gt;"",[1]UVAur!I52,"")</f>
        <v>5766</v>
      </c>
      <c r="J63" s="5" t="str">
        <f>+IF([1]UVAur!J52&lt;&gt;"",[1]UVAur!J52,"")</f>
        <v/>
      </c>
      <c r="K63" s="5" t="str">
        <f>+IF([1]UVAur!K52&lt;&gt;"",[1]UVAur!K52,"")</f>
        <v/>
      </c>
      <c r="L63" s="30"/>
      <c r="M63" s="27"/>
      <c r="N63" s="29"/>
    </row>
    <row r="64" spans="2:14" x14ac:dyDescent="0.25">
      <c r="B64" s="34">
        <f>+IF([1]UVAur!B53&lt;&gt;"",[1]UVAur!B53,"")</f>
        <v>41</v>
      </c>
      <c r="C64" s="35">
        <f>+IF([1]UVAur!C53&lt;&gt;"",[1]UVAur!C53,"")</f>
        <v>42718</v>
      </c>
      <c r="D64" s="34">
        <f>+IF([1]UVAur!D53&lt;&gt;"",[1]UVAur!D53,"")</f>
        <v>0.90523148148148147</v>
      </c>
      <c r="E64" s="34">
        <f>+IF([1]UVAur!E53&lt;&gt;"",[1]UVAur!E53,"")</f>
        <v>2457737.4070000001</v>
      </c>
      <c r="F64" s="34" t="str">
        <f>+IF([1]UVAur!F53&lt;&gt;"",[1]UVAur!F53,"")</f>
        <v>FBO</v>
      </c>
      <c r="G64" s="34" t="str">
        <f>+IF([1]UVAur!G53&lt;&gt;"",[1]UVAur!G53,"")</f>
        <v>SJI-FR</v>
      </c>
      <c r="H64" s="34" t="str">
        <f>+IF([1]UVAur!H53&lt;&gt;"",[1]UVAur!H53,"")</f>
        <v>SC8+Lisa+ATIK314L+</v>
      </c>
      <c r="I64" s="34">
        <f>+IF([1]UVAur!I53&lt;&gt;"",[1]UVAur!I53,"")</f>
        <v>2200</v>
      </c>
      <c r="J64" s="34" t="str">
        <f>+IF([1]UVAur!J53&lt;&gt;"",[1]UVAur!J53,"")</f>
        <v/>
      </c>
      <c r="K64" s="34" t="str">
        <f>+IF([1]UVAur!K53&lt;&gt;"",[1]UVAur!K53,"")</f>
        <v/>
      </c>
      <c r="L64" s="30"/>
      <c r="M64" s="27"/>
      <c r="N64" s="29"/>
    </row>
    <row r="65" spans="2:14" x14ac:dyDescent="0.25">
      <c r="B65" s="5">
        <f>+IF([1]UVAur!B54&lt;&gt;"",[1]UVAur!B54,"")</f>
        <v>42</v>
      </c>
      <c r="C65" s="3">
        <f>+IF([1]UVAur!C54&lt;&gt;"",[1]UVAur!C54,"")</f>
        <v>42722</v>
      </c>
      <c r="D65" s="5">
        <f>+IF([1]UVAur!D54&lt;&gt;"",[1]UVAur!D54,"")</f>
        <v>0.89083333333333325</v>
      </c>
      <c r="E65" s="5">
        <f>+IF([1]UVAur!E54&lt;&gt;"",[1]UVAur!E54,"")</f>
        <v>2457741.4117000001</v>
      </c>
      <c r="F65" s="5" t="str">
        <f>+IF([1]UVAur!F54&lt;&gt;"",[1]UVAur!F54,"")</f>
        <v>JGF</v>
      </c>
      <c r="G65" s="5" t="str">
        <f>+IF([1]UVAur!G54&lt;&gt;"",[1]UVAur!G54,"")</f>
        <v>SMM-SP</v>
      </c>
      <c r="H65" s="5" t="str">
        <f>+IF([1]UVAur!H54&lt;&gt;"",[1]UVAur!H54,"")</f>
        <v>16REMOTATIK460EX</v>
      </c>
      <c r="I65" s="5">
        <f>+IF([1]UVAur!I54&lt;&gt;"",[1]UVAur!I54,"")</f>
        <v>995</v>
      </c>
      <c r="J65" s="5" t="str">
        <f>+IF([1]UVAur!J54&lt;&gt;"",[1]UVAur!J54,"")</f>
        <v/>
      </c>
      <c r="K65" s="5" t="str">
        <f>+IF([1]UVAur!K54&lt;&gt;"",[1]UVAur!K54,"")</f>
        <v/>
      </c>
      <c r="L65" s="30"/>
      <c r="M65" s="27"/>
      <c r="N65" s="29"/>
    </row>
    <row r="66" spans="2:14" x14ac:dyDescent="0.25">
      <c r="B66" s="5">
        <f>+IF([1]UVAur!B55&lt;&gt;"",[1]UVAur!B55,"")</f>
        <v>43</v>
      </c>
      <c r="C66" s="3">
        <f>+IF([1]UVAur!C55&lt;&gt;"",[1]UVAur!C55,"")</f>
        <v>42725</v>
      </c>
      <c r="D66" s="5">
        <f>+IF([1]UVAur!D55&lt;&gt;"",[1]UVAur!D55,"")</f>
        <v>0.91414351851851849</v>
      </c>
      <c r="E66" s="5">
        <f>+IF([1]UVAur!E55&lt;&gt;"",[1]UVAur!E55,"")</f>
        <v>2457744.4559999998</v>
      </c>
      <c r="F66" s="5" t="str">
        <f>+IF([1]UVAur!F55&lt;&gt;"",[1]UVAur!F55,"")</f>
        <v>JGF</v>
      </c>
      <c r="G66" s="5" t="str">
        <f>+IF([1]UVAur!G55&lt;&gt;"",[1]UVAur!G55,"")</f>
        <v>PIE-SP</v>
      </c>
      <c r="H66" s="5" t="str">
        <f>+IF([1]UVAur!H55&lt;&gt;"",[1]UVAur!H55,"")</f>
        <v>MUSSOL</v>
      </c>
      <c r="I66" s="5">
        <f>+IF([1]UVAur!I55&lt;&gt;"",[1]UVAur!I55,"")</f>
        <v>11000</v>
      </c>
      <c r="J66" s="5" t="str">
        <f>+IF([1]UVAur!J55&lt;&gt;"",[1]UVAur!J55,"")</f>
        <v/>
      </c>
      <c r="K66" s="5" t="str">
        <f>+IF([1]UVAur!K55&lt;&gt;"",[1]UVAur!K55,"")</f>
        <v/>
      </c>
      <c r="L66" s="30"/>
      <c r="M66" s="27"/>
      <c r="N66" s="29"/>
    </row>
    <row r="67" spans="2:14" x14ac:dyDescent="0.25">
      <c r="B67" s="5">
        <f>+IF([1]UVAur!B56&lt;&gt;"",[1]UVAur!B56,"")</f>
        <v>44</v>
      </c>
      <c r="C67" s="3">
        <f>+IF([1]UVAur!C56&lt;&gt;"",[1]UVAur!C56,"")</f>
        <v>42725</v>
      </c>
      <c r="D67" s="5">
        <f>+IF([1]UVAur!D56&lt;&gt;"",[1]UVAur!D56,"")</f>
        <v>0.9250694444444445</v>
      </c>
      <c r="E67" s="5">
        <f>+IF([1]UVAur!E56&lt;&gt;"",[1]UVAur!E56,"")</f>
        <v>2457744.4599000001</v>
      </c>
      <c r="F67" s="5" t="str">
        <f>+IF([1]UVAur!F56&lt;&gt;"",[1]UVAur!F56,"")</f>
        <v>JGF</v>
      </c>
      <c r="G67" s="5" t="str">
        <f>+IF([1]UVAur!G56&lt;&gt;"",[1]UVAur!G56,"")</f>
        <v>SMM-SP</v>
      </c>
      <c r="H67" s="5" t="str">
        <f>+IF([1]UVAur!H56&lt;&gt;"",[1]UVAur!H56,"")</f>
        <v>16REMOTATIK460EX</v>
      </c>
      <c r="I67" s="5">
        <f>+IF([1]UVAur!I56&lt;&gt;"",[1]UVAur!I56,"")</f>
        <v>726</v>
      </c>
      <c r="J67" s="5" t="str">
        <f>+IF([1]UVAur!J56&lt;&gt;"",[1]UVAur!J56,"")</f>
        <v/>
      </c>
      <c r="K67" s="5" t="str">
        <f>+IF([1]UVAur!K56&lt;&gt;"",[1]UVAur!K56,"")</f>
        <v/>
      </c>
      <c r="L67" s="30"/>
      <c r="M67" s="27"/>
      <c r="N67" s="29"/>
    </row>
    <row r="68" spans="2:14" x14ac:dyDescent="0.25">
      <c r="B68" s="5">
        <f>+IF([1]UVAur!B57&lt;&gt;"",[1]UVAur!B57,"")</f>
        <v>45</v>
      </c>
      <c r="C68" s="3">
        <f>+IF([1]UVAur!C57&lt;&gt;"",[1]UVAur!C57,"")</f>
        <v>42747</v>
      </c>
      <c r="D68" s="5">
        <f>+IF([1]UVAur!D57&lt;&gt;"",[1]UVAur!D57,"")</f>
        <v>0.9429050925925927</v>
      </c>
      <c r="E68" s="5">
        <f>+IF([1]UVAur!E57&lt;&gt;"",[1]UVAur!E57,"")</f>
        <v>2457766.4604000002</v>
      </c>
      <c r="F68" s="5" t="str">
        <f>+IF([1]UVAur!F57&lt;&gt;"",[1]UVAur!F57,"")</f>
        <v>JGF</v>
      </c>
      <c r="G68" s="5" t="str">
        <f>+IF([1]UVAur!G57&lt;&gt;"",[1]UVAur!G57,"")</f>
        <v>SMM-SP</v>
      </c>
      <c r="H68" s="5" t="str">
        <f>+IF([1]UVAur!H57&lt;&gt;"",[1]UVAur!H57,"")</f>
        <v>16REMOTATIK460EX</v>
      </c>
      <c r="I68" s="5">
        <f>+IF([1]UVAur!I57&lt;&gt;"",[1]UVAur!I57,"")</f>
        <v>1090</v>
      </c>
      <c r="J68" s="5" t="str">
        <f>+IF([1]UVAur!J57&lt;&gt;"",[1]UVAur!J57,"")</f>
        <v/>
      </c>
      <c r="K68" s="5" t="str">
        <f>+IF([1]UVAur!K57&lt;&gt;"",[1]UVAur!K57,"")</f>
        <v/>
      </c>
      <c r="L68" s="30"/>
      <c r="M68" s="27"/>
      <c r="N68" s="29"/>
    </row>
    <row r="69" spans="2:14" x14ac:dyDescent="0.25">
      <c r="B69" s="5">
        <f>+IF([1]UVAur!B58&lt;&gt;"",[1]UVAur!B58,"")</f>
        <v>46</v>
      </c>
      <c r="C69" s="3">
        <f>+IF([1]UVAur!C58&lt;&gt;"",[1]UVAur!C58,"")</f>
        <v>42748</v>
      </c>
      <c r="D69" s="5">
        <f>+IF([1]UVAur!D58&lt;&gt;"",[1]UVAur!D58,"")</f>
        <v>0.91520833333333329</v>
      </c>
      <c r="E69" s="5">
        <f>+IF([1]UVAur!E58&lt;&gt;"",[1]UVAur!E58,"")</f>
        <v>2457767.4418000001</v>
      </c>
      <c r="F69" s="5" t="str">
        <f>+IF([1]UVAur!F58&lt;&gt;"",[1]UVAur!F58,"")</f>
        <v>DBO</v>
      </c>
      <c r="G69" s="5" t="str">
        <f>+IF([1]UVAur!G58&lt;&gt;"",[1]UVAur!G58,"")</f>
        <v>WCO-UK</v>
      </c>
      <c r="H69" s="5" t="str">
        <f>+IF([1]UVAur!H58&lt;&gt;"",[1]UVAur!H58,"")</f>
        <v>C11+Lisa+SXVR-H</v>
      </c>
      <c r="I69" s="5">
        <f>+IF([1]UVAur!I58&lt;&gt;"",[1]UVAur!I58,"")</f>
        <v>740</v>
      </c>
      <c r="J69" s="5" t="str">
        <f>+IF([1]UVAur!J58&lt;&gt;"",[1]UVAur!J58,"")</f>
        <v/>
      </c>
      <c r="K69" s="5" t="str">
        <f>+IF([1]UVAur!K58&lt;&gt;"",[1]UVAur!K58,"")</f>
        <v/>
      </c>
      <c r="L69" s="30"/>
      <c r="M69" s="27"/>
      <c r="N69" s="29"/>
    </row>
    <row r="70" spans="2:14" x14ac:dyDescent="0.25">
      <c r="B70" s="27">
        <f>+IF([1]UVAur!B59&lt;&gt;"",[1]UVAur!B59,"")</f>
        <v>47</v>
      </c>
      <c r="C70" s="28">
        <f>+IF([1]UVAur!C59&lt;&gt;"",[1]UVAur!C59,"")</f>
        <v>42763</v>
      </c>
      <c r="D70" s="27">
        <f>+IF([1]UVAur!D59&lt;&gt;"",[1]UVAur!D59,"")</f>
        <v>0.89516203703703701</v>
      </c>
      <c r="E70" s="27">
        <f>+IF([1]UVAur!E59&lt;&gt;"",[1]UVAur!E59,"")</f>
        <v>2457782.4164</v>
      </c>
      <c r="F70" s="27" t="str">
        <f>+IF([1]UVAur!F59&lt;&gt;"",[1]UVAur!F59,"")</f>
        <v>JGF</v>
      </c>
      <c r="G70" s="27" t="str">
        <f>+IF([1]UVAur!G59&lt;&gt;"",[1]UVAur!G59,"")</f>
        <v>SMM-SP</v>
      </c>
      <c r="H70" s="27" t="str">
        <f>+IF([1]UVAur!H59&lt;&gt;"",[1]UVAur!H59,"")</f>
        <v>16REMOTATIK460EX</v>
      </c>
      <c r="I70" s="27">
        <f>+IF([1]UVAur!I59&lt;&gt;"",[1]UVAur!I59,"")</f>
        <v>903</v>
      </c>
      <c r="J70" s="27" t="str">
        <f>+IF([1]UVAur!J59&lt;&gt;"",[1]UVAur!J59,"")</f>
        <v/>
      </c>
      <c r="K70" s="27" t="str">
        <f>+IF([1]UVAur!K59&lt;&gt;"",[1]UVAur!K59,"")</f>
        <v/>
      </c>
      <c r="L70" s="30"/>
      <c r="M70" s="27"/>
      <c r="N70" s="29"/>
    </row>
    <row r="71" spans="2:14" x14ac:dyDescent="0.25">
      <c r="B71" s="27">
        <f>+IF([1]UVAur!B60&lt;&gt;"",[1]UVAur!B60,"")</f>
        <v>48</v>
      </c>
      <c r="C71" s="28">
        <f>+IF([1]UVAur!C60&lt;&gt;"",[1]UVAur!C60,"")</f>
        <v>42775</v>
      </c>
      <c r="D71" s="27">
        <f>+IF([1]UVAur!D60&lt;&gt;"",[1]UVAur!D60,"")</f>
        <v>0.84865740740740747</v>
      </c>
      <c r="E71" s="27">
        <f>+IF([1]UVAur!E60&lt;&gt;"",[1]UVAur!E60,"")</f>
        <v>2457794.3719000001</v>
      </c>
      <c r="F71" s="27" t="str">
        <f>+IF([1]UVAur!F60&lt;&gt;"",[1]UVAur!F60,"")</f>
        <v>JGF</v>
      </c>
      <c r="G71" s="27" t="str">
        <f>+IF([1]UVAur!G60&lt;&gt;"",[1]UVAur!G60,"")</f>
        <v>SMM-SP</v>
      </c>
      <c r="H71" s="27" t="str">
        <f>+IF([1]UVAur!H60&lt;&gt;"",[1]UVAur!H60,"")</f>
        <v>16REMOTATIK460EX</v>
      </c>
      <c r="I71" s="27">
        <f>+IF([1]UVAur!I60&lt;&gt;"",[1]UVAur!I60,"")</f>
        <v>1087</v>
      </c>
      <c r="J71" s="27" t="str">
        <f>+IF([1]UVAur!J60&lt;&gt;"",[1]UVAur!J60,"")</f>
        <v/>
      </c>
      <c r="K71" s="27" t="str">
        <f>+IF([1]UVAur!K60&lt;&gt;"",[1]UVAur!K60,"")</f>
        <v/>
      </c>
      <c r="L71" s="30"/>
      <c r="M71" s="27"/>
      <c r="N71" s="29"/>
    </row>
    <row r="72" spans="2:14" x14ac:dyDescent="0.25">
      <c r="B72" s="5">
        <f>+IF([1]UVAur!B61&lt;&gt;"",[1]UVAur!B61,"")</f>
        <v>49</v>
      </c>
      <c r="C72" s="3">
        <f>+IF([1]UVAur!C61&lt;&gt;"",[1]UVAur!C61,"")</f>
        <v>42778</v>
      </c>
      <c r="D72" s="5">
        <f>+IF([1]UVAur!D61&lt;&gt;"",[1]UVAur!D61,"")</f>
        <v>0.82748842592592586</v>
      </c>
      <c r="E72" s="5">
        <f>+IF([1]UVAur!E61&lt;&gt;"",[1]UVAur!E61,"")</f>
        <v>2457797.3344999999</v>
      </c>
      <c r="F72" s="5" t="str">
        <f>+IF([1]UVAur!F61&lt;&gt;"",[1]UVAur!F61,"")</f>
        <v>SOL</v>
      </c>
      <c r="G72" s="5" t="str">
        <f>+IF([1]UVAur!G61&lt;&gt;"",[1]UVAur!G61,"")</f>
        <v>AQL-IT</v>
      </c>
      <c r="H72" s="5" t="str">
        <f>+IF([1]UVAur!H61&lt;&gt;"",[1]UVAur!H61,"")</f>
        <v>30cmf4Alpy600Atik41</v>
      </c>
      <c r="I72" s="5">
        <f>+IF([1]UVAur!I61&lt;&gt;"",[1]UVAur!I61,"")</f>
        <v>505</v>
      </c>
      <c r="J72" s="5" t="str">
        <f>+IF([1]UVAur!J61&lt;&gt;"",[1]UVAur!J61,"")</f>
        <v/>
      </c>
      <c r="K72" s="5" t="str">
        <f>+IF([1]UVAur!K61&lt;&gt;"",[1]UVAur!K61,"")</f>
        <v/>
      </c>
      <c r="L72" s="30"/>
      <c r="M72" s="27"/>
      <c r="N72" s="29"/>
    </row>
    <row r="73" spans="2:14" x14ac:dyDescent="0.25">
      <c r="B73" s="5">
        <f>+IF([1]UVAur!B62&lt;&gt;"",[1]UVAur!B62,"")</f>
        <v>50</v>
      </c>
      <c r="C73" s="3">
        <f>+IF([1]UVAur!C62&lt;&gt;"",[1]UVAur!C62,"")</f>
        <v>42780</v>
      </c>
      <c r="D73" s="5">
        <f>+IF([1]UVAur!D62&lt;&gt;"",[1]UVAur!D62,"")</f>
        <v>0.85013888888888889</v>
      </c>
      <c r="E73" s="5">
        <f>+IF([1]UVAur!E62&lt;&gt;"",[1]UVAur!E62,"")</f>
        <v>2457799.3676</v>
      </c>
      <c r="F73" s="5" t="str">
        <f>+IF([1]UVAur!F62&lt;&gt;"",[1]UVAur!F62,"")</f>
        <v>JGF</v>
      </c>
      <c r="G73" s="5" t="str">
        <f>+IF([1]UVAur!G62&lt;&gt;"",[1]UVAur!G62,"")</f>
        <v>SMM-SP</v>
      </c>
      <c r="H73" s="5" t="str">
        <f>+IF([1]UVAur!H62&lt;&gt;"",[1]UVAur!H62,"")</f>
        <v>16REMOTATIK460EX</v>
      </c>
      <c r="I73" s="5">
        <f>+IF([1]UVAur!I62&lt;&gt;"",[1]UVAur!I62,"")</f>
        <v>990</v>
      </c>
      <c r="J73" s="5" t="str">
        <f>+IF([1]UVAur!J62&lt;&gt;"",[1]UVAur!J62,"")</f>
        <v/>
      </c>
      <c r="K73" s="5" t="str">
        <f>+IF([1]UVAur!K62&lt;&gt;"",[1]UVAur!K62,"")</f>
        <v/>
      </c>
      <c r="L73" s="30"/>
      <c r="M73" s="27"/>
      <c r="N73" s="29"/>
    </row>
    <row r="74" spans="2:14" x14ac:dyDescent="0.25">
      <c r="B74" s="5">
        <f>+IF([1]UVAur!B63&lt;&gt;"",[1]UVAur!B63,"")</f>
        <v>51</v>
      </c>
      <c r="C74" s="3">
        <f>+IF([1]UVAur!C63&lt;&gt;"",[1]UVAur!C63,"")</f>
        <v>42782</v>
      </c>
      <c r="D74" s="5">
        <f>+IF([1]UVAur!D63&lt;&gt;"",[1]UVAur!D63,"")</f>
        <v>0.8149074074074073</v>
      </c>
      <c r="E74" s="5">
        <f>+IF([1]UVAur!E63&lt;&gt;"",[1]UVAur!E63,"")</f>
        <v>2457801.3253000001</v>
      </c>
      <c r="F74" s="5" t="str">
        <f>+IF([1]UVAur!F63&lt;&gt;"",[1]UVAur!F63,"")</f>
        <v>FRA</v>
      </c>
      <c r="G74" s="5" t="str">
        <f>+IF([1]UVAur!G63&lt;&gt;"",[1]UVAur!G63,"")</f>
        <v>BAL-IT</v>
      </c>
      <c r="H74" s="5" t="str">
        <f>+IF([1]UVAur!H63&lt;&gt;"",[1]UVAur!H63,"")</f>
        <v>SC8+Alpy600</v>
      </c>
      <c r="I74" s="5">
        <f>+IF([1]UVAur!I63&lt;&gt;"",[1]UVAur!I63,"")</f>
        <v>543</v>
      </c>
      <c r="J74" s="5" t="str">
        <f>+IF([1]UVAur!J63&lt;&gt;"",[1]UVAur!J63,"")</f>
        <v/>
      </c>
      <c r="K74" s="5" t="str">
        <f>+IF([1]UVAur!K63&lt;&gt;"",[1]UVAur!K63,"")</f>
        <v/>
      </c>
      <c r="L74" s="30"/>
      <c r="M74" s="27"/>
      <c r="N74" s="29"/>
    </row>
    <row r="75" spans="2:14" x14ac:dyDescent="0.25">
      <c r="B75" s="5">
        <f>+IF([1]UVAur!B64&lt;&gt;"",[1]UVAur!B64,"")</f>
        <v>52</v>
      </c>
      <c r="C75" s="3">
        <f>+IF([1]UVAur!C64&lt;&gt;"",[1]UVAur!C64,"")</f>
        <v>42785</v>
      </c>
      <c r="D75" s="5">
        <f>+IF([1]UVAur!D64&lt;&gt;"",[1]UVAur!D64,"")</f>
        <v>7.0625000000000007E-2</v>
      </c>
      <c r="E75" s="5">
        <f>+IF([1]UVAur!E64&lt;&gt;"",[1]UVAur!E64,"")</f>
        <v>2457803.5950000002</v>
      </c>
      <c r="F75" s="5" t="str">
        <f>+IF([1]UVAur!F64&lt;&gt;"",[1]UVAur!F64,"")</f>
        <v>GKA</v>
      </c>
      <c r="G75" s="5" t="str">
        <f>+IF([1]UVAur!G64&lt;&gt;"",[1]UVAur!G64,"")</f>
        <v>MAN-US</v>
      </c>
      <c r="H75" s="5" t="str">
        <f>+IF([1]UVAur!H64&lt;&gt;"",[1]UVAur!H64,"")</f>
        <v>SC10+Alpy600</v>
      </c>
      <c r="I75" s="5">
        <f>+IF([1]UVAur!I64&lt;&gt;"",[1]UVAur!I64,"")</f>
        <v>600</v>
      </c>
      <c r="J75" s="5" t="str">
        <f>+IF([1]UVAur!J64&lt;&gt;"",[1]UVAur!J64,"")</f>
        <v/>
      </c>
      <c r="K75" s="5" t="str">
        <f>+IF([1]UVAur!K64&lt;&gt;"",[1]UVAur!K64,"")</f>
        <v/>
      </c>
      <c r="L75" s="30"/>
      <c r="M75" s="27"/>
      <c r="N75" s="29"/>
    </row>
    <row r="76" spans="2:14" x14ac:dyDescent="0.25">
      <c r="B76" s="5">
        <f>+IF([1]UVAur!B65&lt;&gt;"",[1]UVAur!B65,"")</f>
        <v>53</v>
      </c>
      <c r="C76" s="3">
        <f>+IF([1]UVAur!C65&lt;&gt;"",[1]UVAur!C65,"")</f>
        <v>42818</v>
      </c>
      <c r="D76" s="5">
        <f>+IF([1]UVAur!D65&lt;&gt;"",[1]UVAur!D65,"")</f>
        <v>0.86681712962962953</v>
      </c>
      <c r="E76" s="5">
        <f>+IF([1]UVAur!E65&lt;&gt;"",[1]UVAur!E65,"")</f>
        <v>2457837.3898999998</v>
      </c>
      <c r="F76" s="5" t="str">
        <f>+IF([1]UVAur!F65&lt;&gt;"",[1]UVAur!F65,"")</f>
        <v>DBO</v>
      </c>
      <c r="G76" s="5" t="str">
        <f>+IF([1]UVAur!G65&lt;&gt;"",[1]UVAur!G65,"")</f>
        <v>WCO-UK</v>
      </c>
      <c r="H76" s="5" t="str">
        <f>+IF([1]UVAur!H65&lt;&gt;"",[1]UVAur!H65,"")</f>
        <v>C11+Lisa+SXVR-H</v>
      </c>
      <c r="I76" s="5">
        <f>+IF([1]UVAur!I65&lt;&gt;"",[1]UVAur!I65,"")</f>
        <v>745</v>
      </c>
      <c r="J76" s="5" t="str">
        <f>+IF([1]UVAur!J65&lt;&gt;"",[1]UVAur!J65,"")</f>
        <v/>
      </c>
      <c r="K76" s="5" t="str">
        <f>+IF([1]UVAur!K65&lt;&gt;"",[1]UVAur!K65,"")</f>
        <v/>
      </c>
      <c r="L76" s="30"/>
      <c r="M76" s="27"/>
      <c r="N76" s="29"/>
    </row>
    <row r="77" spans="2:14" x14ac:dyDescent="0.25">
      <c r="B77" s="5">
        <f>+IF([1]UVAur!B66&lt;&gt;"",[1]UVAur!B66,"")</f>
        <v>54</v>
      </c>
      <c r="C77" s="3">
        <f>+IF([1]UVAur!C66&lt;&gt;"",[1]UVAur!C66,"")</f>
        <v>42843</v>
      </c>
      <c r="D77" s="5">
        <f>+IF([1]UVAur!D66&lt;&gt;"",[1]UVAur!D66,"")</f>
        <v>0.84599537037037031</v>
      </c>
      <c r="E77" s="5">
        <f>+IF([1]UVAur!E66&lt;&gt;"",[1]UVAur!E66,"")</f>
        <v>2457862.3530999999</v>
      </c>
      <c r="F77" s="5" t="str">
        <f>+IF([1]UVAur!F66&lt;&gt;"",[1]UVAur!F66,"")</f>
        <v>JMO</v>
      </c>
      <c r="G77" s="5" t="str">
        <f>+IF([1]UVAur!G66&lt;&gt;"",[1]UVAur!G66,"")</f>
        <v>CALC</v>
      </c>
      <c r="H77" s="5" t="str">
        <f>+IF([1]UVAur!H66&lt;&gt;"",[1]UVAur!H66,"")</f>
        <v>Alpy600+Atik460EX</v>
      </c>
      <c r="I77" s="5">
        <f>+IF([1]UVAur!I66&lt;&gt;"",[1]UVAur!I66,"")</f>
        <v>658</v>
      </c>
      <c r="J77" s="5" t="str">
        <f>+IF([1]UVAur!J66&lt;&gt;"",[1]UVAur!J66,"")</f>
        <v/>
      </c>
      <c r="K77" s="5" t="str">
        <f>+IF([1]UVAur!K66&lt;&gt;"",[1]UVAur!K66,"")</f>
        <v/>
      </c>
      <c r="L77" s="30"/>
      <c r="M77" s="27"/>
      <c r="N77" s="29"/>
    </row>
    <row r="78" spans="2:14" x14ac:dyDescent="0.25">
      <c r="B78" s="5">
        <f>+IF([1]UVAur!B67&lt;&gt;"",[1]UVAur!B67,"")</f>
        <v>55</v>
      </c>
      <c r="C78" s="3">
        <f>+IF([1]UVAur!C67&lt;&gt;"",[1]UVAur!C67,"")</f>
        <v>43044</v>
      </c>
      <c r="D78" s="5">
        <f>+IF([1]UVAur!D67&lt;&gt;"",[1]UVAur!D67,"")</f>
        <v>0.87011574074074083</v>
      </c>
      <c r="E78" s="5">
        <f>+IF([1]UVAur!E67&lt;&gt;"",[1]UVAur!E67,"")</f>
        <v>2458063.3912</v>
      </c>
      <c r="F78" s="5" t="str">
        <f>+IF([1]UVAur!F67&lt;&gt;"",[1]UVAur!F67,"")</f>
        <v>DBO</v>
      </c>
      <c r="G78" s="5" t="str">
        <f>+IF([1]UVAur!G67&lt;&gt;"",[1]UVAur!G67,"")</f>
        <v>WCO-UK</v>
      </c>
      <c r="H78" s="5" t="str">
        <f>+IF([1]UVAur!H67&lt;&gt;"",[1]UVAur!H67,"")</f>
        <v>C11+Lisa+SXVR-H</v>
      </c>
      <c r="I78" s="5">
        <f>+IF([1]UVAur!I67&lt;&gt;"",[1]UVAur!I67,"")</f>
        <v>1075</v>
      </c>
      <c r="J78" s="5" t="str">
        <f>+IF([1]UVAur!J67&lt;&gt;"",[1]UVAur!J67,"")</f>
        <v/>
      </c>
      <c r="K78" s="5" t="str">
        <f>+IF([1]UVAur!K67&lt;&gt;"",[1]UVAur!K67,"")</f>
        <v/>
      </c>
      <c r="L78" s="30"/>
      <c r="M78" s="27"/>
      <c r="N78" s="29"/>
    </row>
    <row r="79" spans="2:14" x14ac:dyDescent="0.25">
      <c r="B79" s="5">
        <f>+IF([1]UVAur!B68&lt;&gt;"",[1]UVAur!B68,"")</f>
        <v>56</v>
      </c>
      <c r="C79" s="3">
        <f>+IF([1]UVAur!C68&lt;&gt;"",[1]UVAur!C68,"")</f>
        <v>43055</v>
      </c>
      <c r="D79" s="5">
        <f>+IF([1]UVAur!D68&lt;&gt;"",[1]UVAur!D68,"")</f>
        <v>0.88084490740740751</v>
      </c>
      <c r="E79" s="5">
        <f>+IF([1]UVAur!E68&lt;&gt;"",[1]UVAur!E68,"")</f>
        <v>2458074.3917999999</v>
      </c>
      <c r="F79" s="5" t="str">
        <f>+IF([1]UVAur!F68&lt;&gt;"",[1]UVAur!F68,"")</f>
        <v>TRO</v>
      </c>
      <c r="G79" s="5" t="str">
        <f>+IF([1]UVAur!G68&lt;&gt;"",[1]UVAur!G68,"")</f>
        <v>PON_UK</v>
      </c>
      <c r="H79" s="5" t="str">
        <f>+IF([1]UVAur!H68&lt;&gt;"",[1]UVAur!H68,"")</f>
        <v>C925+Alpy600+ATIK46</v>
      </c>
      <c r="I79" s="5">
        <f>+IF([1]UVAur!I68&lt;&gt;"",[1]UVAur!I68,"")</f>
        <v>607</v>
      </c>
      <c r="J79" s="5" t="str">
        <f>+IF([1]UVAur!J68&lt;&gt;"",[1]UVAur!J68,"")</f>
        <v/>
      </c>
      <c r="K79" s="5" t="str">
        <f>+IF([1]UVAur!K68&lt;&gt;"",[1]UVAur!K68,"")</f>
        <v/>
      </c>
      <c r="L79" s="30"/>
      <c r="M79" s="27"/>
      <c r="N79" s="29"/>
    </row>
    <row r="80" spans="2:14" x14ac:dyDescent="0.25">
      <c r="B80" s="5">
        <f>+IF([1]UVAur!B69&lt;&gt;"",[1]UVAur!B69,"")</f>
        <v>57</v>
      </c>
      <c r="C80" s="3">
        <f>+IF([1]UVAur!C69&lt;&gt;"",[1]UVAur!C69,"")</f>
        <v>43057</v>
      </c>
      <c r="D80" s="5">
        <f>+IF([1]UVAur!D69&lt;&gt;"",[1]UVAur!D69,"")</f>
        <v>0.85218749999999999</v>
      </c>
      <c r="E80" s="5">
        <f>+IF([1]UVAur!E69&lt;&gt;"",[1]UVAur!E69,"")</f>
        <v>2458076.3596000001</v>
      </c>
      <c r="F80" s="5" t="str">
        <f>+IF([1]UVAur!F69&lt;&gt;"",[1]UVAur!F69,"")</f>
        <v>TRO</v>
      </c>
      <c r="G80" s="5" t="str">
        <f>+IF([1]UVAur!G69&lt;&gt;"",[1]UVAur!G69,"")</f>
        <v>PON_UK</v>
      </c>
      <c r="H80" s="5" t="str">
        <f>+IF([1]UVAur!H69&lt;&gt;"",[1]UVAur!H69,"")</f>
        <v>C925+Alpy600+ATIK46</v>
      </c>
      <c r="I80" s="5">
        <f>+IF([1]UVAur!I69&lt;&gt;"",[1]UVAur!I69,"")</f>
        <v>602</v>
      </c>
      <c r="J80" s="5" t="str">
        <f>+IF([1]UVAur!J69&lt;&gt;"",[1]UVAur!J69,"")</f>
        <v/>
      </c>
      <c r="K80" s="5" t="str">
        <f>+IF([1]UVAur!K69&lt;&gt;"",[1]UVAur!K69,"")</f>
        <v/>
      </c>
      <c r="L80" s="30"/>
      <c r="M80" s="27"/>
      <c r="N80" s="29"/>
    </row>
    <row r="81" spans="2:14" x14ac:dyDescent="0.25">
      <c r="B81" s="5">
        <f>+IF([1]UVAur!B70&lt;&gt;"",[1]UVAur!B70,"")</f>
        <v>58</v>
      </c>
      <c r="C81" s="3">
        <f>+IF([1]UVAur!C70&lt;&gt;"",[1]UVAur!C70,"")</f>
        <v>43058</v>
      </c>
      <c r="D81" s="5">
        <f>+IF([1]UVAur!D70&lt;&gt;"",[1]UVAur!D70,"")</f>
        <v>0.27484953703703702</v>
      </c>
      <c r="E81" s="5">
        <f>+IF([1]UVAur!E70&lt;&gt;"",[1]UVAur!E70,"")</f>
        <v>2458076.7832999998</v>
      </c>
      <c r="F81" s="5" t="str">
        <f>+IF([1]UVAur!F70&lt;&gt;"",[1]UVAur!F70,"")</f>
        <v>FAS</v>
      </c>
      <c r="G81" s="5" t="str">
        <f>+IF([1]UVAur!G70&lt;&gt;"",[1]UVAur!G70,"")</f>
        <v>DCO-US</v>
      </c>
      <c r="H81" s="5" t="str">
        <f>+IF([1]UVAur!H70&lt;&gt;"",[1]UVAur!H70,"")</f>
        <v>DK14+Lisa+Atik414ex</v>
      </c>
      <c r="I81" s="5">
        <f>+IF([1]UVAur!I70&lt;&gt;"",[1]UVAur!I70,"")</f>
        <v>1057</v>
      </c>
      <c r="J81" s="5" t="str">
        <f>+IF([1]UVAur!J70&lt;&gt;"",[1]UVAur!J70,"")</f>
        <v/>
      </c>
      <c r="K81" s="5" t="str">
        <f>+IF([1]UVAur!K70&lt;&gt;"",[1]UVAur!K70,"")</f>
        <v/>
      </c>
      <c r="L81" s="30">
        <f t="shared" ref="L81" si="1">+(E81-P$17)/P$18-INT((E81-P$17)/P$18)</f>
        <v>0.13874372496267284</v>
      </c>
      <c r="M81" s="27"/>
      <c r="N81" s="29"/>
    </row>
    <row r="82" spans="2:14" x14ac:dyDescent="0.25">
      <c r="B82" s="5">
        <f>+IF([1]UVAur!B71&lt;&gt;"",[1]UVAur!B71,"")</f>
        <v>59</v>
      </c>
      <c r="C82" s="3">
        <f>+IF([1]UVAur!C71&lt;&gt;"",[1]UVAur!C71,"")</f>
        <v>43059</v>
      </c>
      <c r="D82" s="5">
        <f>+IF([1]UVAur!D71&lt;&gt;"",[1]UVAur!D71,"")</f>
        <v>0.23750000000000002</v>
      </c>
      <c r="E82" s="5">
        <f>+IF([1]UVAur!E71&lt;&gt;"",[1]UVAur!E71,"")</f>
        <v>2458077.7502000001</v>
      </c>
      <c r="F82" s="5" t="str">
        <f>+IF([1]UVAur!F71&lt;&gt;"",[1]UVAur!F71,"")</f>
        <v>FAS</v>
      </c>
      <c r="G82" s="5" t="str">
        <f>+IF([1]UVAur!G71&lt;&gt;"",[1]UVAur!G71,"")</f>
        <v>DCO-US</v>
      </c>
      <c r="H82" s="5" t="str">
        <f>+IF([1]UVAur!H71&lt;&gt;"",[1]UVAur!H71,"")</f>
        <v>DK14+Lisa+Atik414ex</v>
      </c>
      <c r="I82" s="5">
        <f>+IF([1]UVAur!I71&lt;&gt;"",[1]UVAur!I71,"")</f>
        <v>1045</v>
      </c>
      <c r="J82" s="5" t="str">
        <f>+IF([1]UVAur!J71&lt;&gt;"",[1]UVAur!J71,"")</f>
        <v/>
      </c>
      <c r="K82" s="5" t="str">
        <f>+IF([1]UVAur!K71&lt;&gt;"",[1]UVAur!K71,"")</f>
        <v/>
      </c>
      <c r="L82" s="30">
        <f t="shared" ref="L82:L111" si="2">+(E82-P$17)/P$18-INT((E82-P$17)/P$18)</f>
        <v>0.1411951726589038</v>
      </c>
      <c r="M82" s="27"/>
      <c r="N82" s="29"/>
    </row>
    <row r="83" spans="2:14" x14ac:dyDescent="0.25">
      <c r="B83" s="5">
        <f>+IF([1]UVAur!B72&lt;&gt;"",[1]UVAur!B72,"")</f>
        <v>60</v>
      </c>
      <c r="C83" s="3">
        <f>+IF([1]UVAur!C72&lt;&gt;"",[1]UVAur!C72,"")</f>
        <v>43064</v>
      </c>
      <c r="D83" s="5">
        <f>+IF([1]UVAur!D72&lt;&gt;"",[1]UVAur!D72,"")</f>
        <v>0.28437499999999999</v>
      </c>
      <c r="E83" s="5">
        <f>+IF([1]UVAur!E72&lt;&gt;"",[1]UVAur!E72,"")</f>
        <v>2458082.7984000002</v>
      </c>
      <c r="F83" s="5" t="str">
        <f>+IF([1]UVAur!F72&lt;&gt;"",[1]UVAur!F72,"")</f>
        <v>FAS</v>
      </c>
      <c r="G83" s="5" t="str">
        <f>+IF([1]UVAur!G72&lt;&gt;"",[1]UVAur!G72,"")</f>
        <v>DCO-US</v>
      </c>
      <c r="H83" s="5" t="str">
        <f>+IF([1]UVAur!H72&lt;&gt;"",[1]UVAur!H72,"")</f>
        <v>DK14+Lisa+Atik414ex</v>
      </c>
      <c r="I83" s="5">
        <f>+IF([1]UVAur!I72&lt;&gt;"",[1]UVAur!I72,"")</f>
        <v>1036</v>
      </c>
      <c r="J83" s="5" t="str">
        <f>+IF([1]UVAur!J72&lt;&gt;"",[1]UVAur!J72,"")</f>
        <v/>
      </c>
      <c r="K83" s="5" t="str">
        <f>+IF([1]UVAur!K72&lt;&gt;"",[1]UVAur!K72,"")</f>
        <v/>
      </c>
      <c r="L83" s="30">
        <f t="shared" si="2"/>
        <v>0.15399421936058388</v>
      </c>
      <c r="M83" s="27"/>
      <c r="N83" s="29"/>
    </row>
    <row r="84" spans="2:14" x14ac:dyDescent="0.25">
      <c r="B84" s="5">
        <f>+IF([1]UVAur!B73&lt;&gt;"",[1]UVAur!B73,"")</f>
        <v>61</v>
      </c>
      <c r="C84" s="3">
        <f>+IF([1]UVAur!C73&lt;&gt;"",[1]UVAur!C73,"")</f>
        <v>43088</v>
      </c>
      <c r="D84" s="5">
        <f>+IF([1]UVAur!D73&lt;&gt;"",[1]UVAur!D73,"")</f>
        <v>0.15434027777777778</v>
      </c>
      <c r="E84" s="5">
        <f>+IF([1]UVAur!E73&lt;&gt;"",[1]UVAur!E73,"")</f>
        <v>2458106.6655000001</v>
      </c>
      <c r="F84" s="5" t="str">
        <f>+IF([1]UVAur!F73&lt;&gt;"",[1]UVAur!F73,"")</f>
        <v>FAS</v>
      </c>
      <c r="G84" s="5" t="str">
        <f>+IF([1]UVAur!G73&lt;&gt;"",[1]UVAur!G73,"")</f>
        <v>DCO-US</v>
      </c>
      <c r="H84" s="5" t="str">
        <f>+IF([1]UVAur!H73&lt;&gt;"",[1]UVAur!H73,"")</f>
        <v>DK14+Lisa+Atik414ex</v>
      </c>
      <c r="I84" s="5">
        <f>+IF([1]UVAur!I73&lt;&gt;"",[1]UVAur!I73,"")</f>
        <v>1013</v>
      </c>
      <c r="J84" s="5" t="str">
        <f>+IF([1]UVAur!J73&lt;&gt;"",[1]UVAur!J73,"")</f>
        <v/>
      </c>
      <c r="K84" s="5" t="str">
        <f>+IF([1]UVAur!K73&lt;&gt;"",[1]UVAur!K73,"")</f>
        <v/>
      </c>
      <c r="L84" s="30">
        <f t="shared" si="2"/>
        <v>0.21450611023811916</v>
      </c>
      <c r="M84" s="27"/>
      <c r="N84" s="29"/>
    </row>
    <row r="85" spans="2:14" x14ac:dyDescent="0.25">
      <c r="B85" s="5">
        <f>+IF([1]UVAur!B74&lt;&gt;"",[1]UVAur!B74,"")</f>
        <v>62</v>
      </c>
      <c r="C85" s="3">
        <f>+IF([1]UVAur!C74&lt;&gt;"",[1]UVAur!C74,"")</f>
        <v>43092</v>
      </c>
      <c r="D85" s="5">
        <f>+IF([1]UVAur!D74&lt;&gt;"",[1]UVAur!D74,"")</f>
        <v>0.91002314814814811</v>
      </c>
      <c r="E85" s="5">
        <f>+IF([1]UVAur!E74&lt;&gt;"",[1]UVAur!E74,"")</f>
        <v>2458111.4325999999</v>
      </c>
      <c r="F85" s="5" t="str">
        <f>+IF([1]UVAur!F74&lt;&gt;"",[1]UVAur!F74,"")</f>
        <v>SOL</v>
      </c>
      <c r="G85" s="5" t="str">
        <f>+IF([1]UVAur!G74&lt;&gt;"",[1]UVAur!G74,"")</f>
        <v>AQL-IT</v>
      </c>
      <c r="H85" s="5" t="str">
        <f>+IF([1]UVAur!H74&lt;&gt;"",[1]UVAur!H74,"")</f>
        <v>SC9+Spectro_JGF1+SbigST-8300</v>
      </c>
      <c r="I85" s="5">
        <f>+IF([1]UVAur!I74&lt;&gt;"",[1]UVAur!I74,"")</f>
        <v>2780</v>
      </c>
      <c r="J85" s="5" t="str">
        <f>+IF([1]UVAur!J74&lt;&gt;"",[1]UVAur!J74,"")</f>
        <v/>
      </c>
      <c r="K85" s="5" t="str">
        <f>+IF([1]UVAur!K74&lt;&gt;"",[1]UVAur!K74,"")</f>
        <v/>
      </c>
      <c r="L85" s="30">
        <f t="shared" si="2"/>
        <v>0.22659246488500173</v>
      </c>
      <c r="M85" s="27"/>
      <c r="N85" s="29"/>
    </row>
    <row r="86" spans="2:14" x14ac:dyDescent="0.25">
      <c r="B86" s="5">
        <f>+IF([1]UVAur!B75&lt;&gt;"",[1]UVAur!B75,"")</f>
        <v>63</v>
      </c>
      <c r="C86" s="3">
        <f>+IF([1]UVAur!C75&lt;&gt;"",[1]UVAur!C75,"")</f>
        <v>43099</v>
      </c>
      <c r="D86" s="5">
        <f>+IF([1]UVAur!D75&lt;&gt;"",[1]UVAur!D75,"")</f>
        <v>0.23157407407407407</v>
      </c>
      <c r="E86" s="5">
        <f>+IF([1]UVAur!E75&lt;&gt;"",[1]UVAur!E75,"")</f>
        <v>2458117.7456</v>
      </c>
      <c r="F86" s="5" t="str">
        <f>+IF([1]UVAur!F75&lt;&gt;"",[1]UVAur!F75,"")</f>
        <v>FAS</v>
      </c>
      <c r="G86" s="5" t="str">
        <f>+IF([1]UVAur!G75&lt;&gt;"",[1]UVAur!G75,"")</f>
        <v>DCO-US</v>
      </c>
      <c r="H86" s="5" t="str">
        <f>+IF([1]UVAur!H75&lt;&gt;"",[1]UVAur!H75,"")</f>
        <v>DK14+Lisa+Atik414ex</v>
      </c>
      <c r="I86" s="5">
        <f>+IF([1]UVAur!I75&lt;&gt;"",[1]UVAur!I75,"")</f>
        <v>1024</v>
      </c>
      <c r="J86" s="5" t="str">
        <f>+IF([1]UVAur!J75&lt;&gt;"",[1]UVAur!J75,"")</f>
        <v/>
      </c>
      <c r="K86" s="5" t="str">
        <f>+IF([1]UVAur!K75&lt;&gt;"",[1]UVAur!K75,"")</f>
        <v/>
      </c>
      <c r="L86" s="30">
        <f t="shared" si="2"/>
        <v>0.2425982455251301</v>
      </c>
      <c r="M86" s="27"/>
      <c r="N86" s="29"/>
    </row>
    <row r="87" spans="2:14" x14ac:dyDescent="0.25">
      <c r="B87" s="5">
        <f>+IF([1]UVAur!B76&lt;&gt;"",[1]UVAur!B76,"")</f>
        <v>64</v>
      </c>
      <c r="C87" s="3">
        <f>+IF([1]UVAur!C76&lt;&gt;"",[1]UVAur!C76,"")</f>
        <v>43105</v>
      </c>
      <c r="D87" s="5">
        <f>+IF([1]UVAur!D76&lt;&gt;"",[1]UVAur!D76,"")</f>
        <v>0.16109953703703703</v>
      </c>
      <c r="E87" s="5">
        <f>+IF([1]UVAur!E76&lt;&gt;"",[1]UVAur!E76,"")</f>
        <v>2458123.6723000002</v>
      </c>
      <c r="F87" s="5" t="str">
        <f>+IF([1]UVAur!F76&lt;&gt;"",[1]UVAur!F76,"")</f>
        <v>FAS</v>
      </c>
      <c r="G87" s="5" t="str">
        <f>+IF([1]UVAur!G76&lt;&gt;"",[1]UVAur!G76,"")</f>
        <v>DCO-US</v>
      </c>
      <c r="H87" s="5" t="str">
        <f>+IF([1]UVAur!H76&lt;&gt;"",[1]UVAur!H76,"")</f>
        <v>DK14+Lisa+Atik414ex</v>
      </c>
      <c r="I87" s="5">
        <f>+IF([1]UVAur!I76&lt;&gt;"",[1]UVAur!I76,"")</f>
        <v>955</v>
      </c>
      <c r="J87" s="5" t="str">
        <f>+IF([1]UVAur!J76&lt;&gt;"",[1]UVAur!J76,"")</f>
        <v/>
      </c>
      <c r="K87" s="5" t="str">
        <f>+IF([1]UVAur!K76&lt;&gt;"",[1]UVAur!K76,"")</f>
        <v/>
      </c>
      <c r="L87" s="30">
        <f t="shared" si="2"/>
        <v>0.25762461335685316</v>
      </c>
      <c r="M87" s="27"/>
      <c r="N87" s="29"/>
    </row>
    <row r="88" spans="2:14" x14ac:dyDescent="0.25">
      <c r="B88" s="5">
        <f>+IF([1]UVAur!B77&lt;&gt;"",[1]UVAur!B77,"")</f>
        <v>65</v>
      </c>
      <c r="C88" s="3">
        <f>+IF([1]UVAur!C77&lt;&gt;"",[1]UVAur!C77,"")</f>
        <v>43106</v>
      </c>
      <c r="D88" s="5">
        <f>+IF([1]UVAur!D77&lt;&gt;"",[1]UVAur!D77,"")</f>
        <v>0.92538194444444455</v>
      </c>
      <c r="E88" s="5">
        <f>+IF([1]UVAur!E77&lt;&gt;"",[1]UVAur!E77,"")</f>
        <v>2458125.4467000002</v>
      </c>
      <c r="F88" s="5" t="str">
        <f>+IF([1]UVAur!F77&lt;&gt;"",[1]UVAur!F77,"")</f>
        <v>DBO</v>
      </c>
      <c r="G88" s="5" t="str">
        <f>+IF([1]UVAur!G77&lt;&gt;"",[1]UVAur!G77,"")</f>
        <v>WCO-UK</v>
      </c>
      <c r="H88" s="5" t="str">
        <f>+IF([1]UVAur!H77&lt;&gt;"",[1]UVAur!H77,"")</f>
        <v>C11+Lisa+SXVR-H</v>
      </c>
      <c r="I88" s="5">
        <f>+IF([1]UVAur!I77&lt;&gt;"",[1]UVAur!I77,"")</f>
        <v>1075</v>
      </c>
      <c r="J88" s="5" t="str">
        <f>+IF([1]UVAur!J77&lt;&gt;"",[1]UVAur!J77,"")</f>
        <v/>
      </c>
      <c r="K88" s="5" t="str">
        <f>+IF([1]UVAur!K77&lt;&gt;"",[1]UVAur!K77,"")</f>
        <v/>
      </c>
      <c r="L88" s="30">
        <f t="shared" si="2"/>
        <v>0.26212337102632688</v>
      </c>
      <c r="M88" s="27"/>
      <c r="N88" s="29"/>
    </row>
    <row r="89" spans="2:14" x14ac:dyDescent="0.25">
      <c r="B89" s="5">
        <f>+IF([1]UVAur!B78&lt;&gt;"",[1]UVAur!B78,"")</f>
        <v>66</v>
      </c>
      <c r="C89" s="3">
        <f>+IF([1]UVAur!C78&lt;&gt;"",[1]UVAur!C78,"")</f>
        <v>43112</v>
      </c>
      <c r="D89" s="5">
        <f>+IF([1]UVAur!D78&lt;&gt;"",[1]UVAur!D78,"")</f>
        <v>0.92083333333333339</v>
      </c>
      <c r="E89" s="5">
        <f>+IF([1]UVAur!E78&lt;&gt;"",[1]UVAur!E78,"")</f>
        <v>2458131.4558000001</v>
      </c>
      <c r="F89" s="5" t="str">
        <f>+IF([1]UVAur!F78&lt;&gt;"",[1]UVAur!F78,"")</f>
        <v>JGF</v>
      </c>
      <c r="G89" s="5" t="str">
        <f>+IF([1]UVAur!G78&lt;&gt;"",[1]UVAur!G78,"")</f>
        <v>PIE-SP</v>
      </c>
      <c r="H89" s="5" t="str">
        <f>+IF([1]UVAur!H78&lt;&gt;"",[1]UVAur!H78,"")</f>
        <v>MUSSOL</v>
      </c>
      <c r="I89" s="5">
        <f>+IF([1]UVAur!I78&lt;&gt;"",[1]UVAur!I78,"")</f>
        <v>9000</v>
      </c>
      <c r="J89" s="5" t="str">
        <f>+IF([1]UVAur!J78&lt;&gt;"",[1]UVAur!J78,"")</f>
        <v/>
      </c>
      <c r="K89" s="5" t="str">
        <f>+IF([1]UVAur!K78&lt;&gt;"",[1]UVAur!K78,"")</f>
        <v/>
      </c>
      <c r="L89" s="30">
        <f t="shared" si="2"/>
        <v>0.27735865321259467</v>
      </c>
      <c r="M89" s="27"/>
      <c r="N89" s="29"/>
    </row>
    <row r="90" spans="2:14" x14ac:dyDescent="0.25">
      <c r="B90" s="5">
        <f>+IF([1]UVAur!B79&lt;&gt;"",[1]UVAur!B79,"")</f>
        <v>67</v>
      </c>
      <c r="C90" s="3">
        <f>+IF([1]UVAur!C79&lt;&gt;"",[1]UVAur!C79,"")</f>
        <v>43142</v>
      </c>
      <c r="D90" s="5">
        <f>+IF([1]UVAur!D79&lt;&gt;"",[1]UVAur!D79,"")</f>
        <v>0.85040509259259256</v>
      </c>
      <c r="E90" s="5">
        <f>+IF([1]UVAur!E79&lt;&gt;"",[1]UVAur!E79,"")</f>
        <v>2458161.3700999999</v>
      </c>
      <c r="F90" s="5" t="str">
        <f>+IF([1]UVAur!F79&lt;&gt;"",[1]UVAur!F79,"")</f>
        <v>DBO</v>
      </c>
      <c r="G90" s="5" t="str">
        <f>+IF([1]UVAur!G79&lt;&gt;"",[1]UVAur!G79,"")</f>
        <v>WCO-UK</v>
      </c>
      <c r="H90" s="5" t="str">
        <f>+IF([1]UVAur!H79&lt;&gt;"",[1]UVAur!H79,"")</f>
        <v>C11+Lisa+SXVR-H</v>
      </c>
      <c r="I90" s="5">
        <f>+IF([1]UVAur!I79&lt;&gt;"",[1]UVAur!I79,"")</f>
        <v>1070</v>
      </c>
      <c r="J90" s="5" t="str">
        <f>+IF([1]UVAur!J79&lt;&gt;"",[1]UVAur!J79,"")</f>
        <v/>
      </c>
      <c r="K90" s="5" t="str">
        <f>+IF([1]UVAur!K79&lt;&gt;"",[1]UVAur!K79,"")</f>
        <v/>
      </c>
      <c r="L90" s="30">
        <f t="shared" si="2"/>
        <v>0.3532024238120286</v>
      </c>
      <c r="M90" s="27"/>
      <c r="N90" s="29"/>
    </row>
    <row r="91" spans="2:14" x14ac:dyDescent="0.25">
      <c r="B91" s="5">
        <f>+IF([1]UVAur!B80&lt;&gt;"",[1]UVAur!B80,"")</f>
        <v>68</v>
      </c>
      <c r="C91" s="3">
        <f>+IF([1]UVAur!C80&lt;&gt;"",[1]UVAur!C80,"")</f>
        <v>43166</v>
      </c>
      <c r="D91" s="5">
        <f>+IF([1]UVAur!D80&lt;&gt;"",[1]UVAur!D80,"")</f>
        <v>0.80517361111111108</v>
      </c>
      <c r="E91" s="5">
        <f>+IF([1]UVAur!E80&lt;&gt;"",[1]UVAur!E80,"")</f>
        <v>2458185.3330000001</v>
      </c>
      <c r="F91" s="5" t="str">
        <f>+IF([1]UVAur!F80&lt;&gt;"",[1]UVAur!F80,"")</f>
        <v>JGF</v>
      </c>
      <c r="G91" s="5" t="str">
        <f>+IF([1]UVAur!G80&lt;&gt;"",[1]UVAur!G80,"")</f>
        <v>PIE-SP</v>
      </c>
      <c r="H91" s="5" t="str">
        <f>+IF([1]UVAur!H80&lt;&gt;"",[1]UVAur!H80,"")</f>
        <v>MUSSOL</v>
      </c>
      <c r="I91" s="5">
        <f>+IF([1]UVAur!I80&lt;&gt;"",[1]UVAur!I80,"")</f>
        <v>9000</v>
      </c>
      <c r="J91" s="5" t="str">
        <f>+IF([1]UVAur!J80&lt;&gt;"",[1]UVAur!J80,"")</f>
        <v/>
      </c>
      <c r="K91" s="5" t="str">
        <f>+IF([1]UVAur!K80&lt;&gt;"",[1]UVAur!K80,"")</f>
        <v/>
      </c>
      <c r="L91" s="30">
        <f t="shared" si="2"/>
        <v>0.41395720298184813</v>
      </c>
      <c r="M91" s="27"/>
      <c r="N91" s="29"/>
    </row>
    <row r="92" spans="2:14" x14ac:dyDescent="0.25">
      <c r="B92" s="5">
        <f>+IF([1]UVAur!B81&lt;&gt;"",[1]UVAur!B81,"")</f>
        <v>69</v>
      </c>
      <c r="C92" s="3">
        <f>+IF([1]UVAur!C81&lt;&gt;"",[1]UVAur!C81,"")</f>
        <v>43179</v>
      </c>
      <c r="D92" s="5">
        <f>+IF([1]UVAur!D81&lt;&gt;"",[1]UVAur!D81,"")</f>
        <v>0.79973379629629626</v>
      </c>
      <c r="E92" s="5">
        <f>+IF([1]UVAur!E81&lt;&gt;"",[1]UVAur!E81,"")</f>
        <v>2458198.3624</v>
      </c>
      <c r="F92" s="5" t="str">
        <f>+IF([1]UVAur!F81&lt;&gt;"",[1]UVAur!F81,"")</f>
        <v>JGF</v>
      </c>
      <c r="G92" s="5" t="str">
        <f>+IF([1]UVAur!G81&lt;&gt;"",[1]UVAur!G81,"")</f>
        <v>PIE-SP</v>
      </c>
      <c r="H92" s="5" t="str">
        <f>+IF([1]UVAur!H81&lt;&gt;"",[1]UVAur!H81,"")</f>
        <v>MUSSOL</v>
      </c>
      <c r="I92" s="5">
        <f>+IF([1]UVAur!I81&lt;&gt;"",[1]UVAur!I81,"")</f>
        <v>9000</v>
      </c>
      <c r="J92" s="5" t="str">
        <f>+IF([1]UVAur!J81&lt;&gt;"",[1]UVAur!J81,"")</f>
        <v/>
      </c>
      <c r="K92" s="5" t="str">
        <f>+IF([1]UVAur!K81&lt;&gt;"",[1]UVAur!K81,"")</f>
        <v/>
      </c>
      <c r="L92" s="30">
        <f t="shared" si="2"/>
        <v>0.44699153186953566</v>
      </c>
      <c r="M92" s="27"/>
      <c r="N92" s="29"/>
    </row>
    <row r="93" spans="2:14" x14ac:dyDescent="0.25">
      <c r="B93" s="5">
        <f>+IF([1]UVAur!B82&lt;&gt;"",[1]UVAur!B82,"")</f>
        <v>70</v>
      </c>
      <c r="C93" s="3">
        <f>+IF([1]UVAur!C82&lt;&gt;"",[1]UVAur!C82,"")</f>
        <v>43180</v>
      </c>
      <c r="D93" s="5">
        <f>+IF([1]UVAur!D82&lt;&gt;"",[1]UVAur!D82,"")</f>
        <v>0.94836805555555559</v>
      </c>
      <c r="E93" s="5">
        <f>+IF([1]UVAur!E82&lt;&gt;"",[1]UVAur!E82,"")</f>
        <v>2458199.4608</v>
      </c>
      <c r="F93" s="5" t="str">
        <f>+IF([1]UVAur!F82&lt;&gt;"",[1]UVAur!F82,"")</f>
        <v>VMA</v>
      </c>
      <c r="G93" s="5" t="str">
        <f>+IF([1]UVAur!G82&lt;&gt;"",[1]UVAur!G82,"")</f>
        <v>TRS-FR</v>
      </c>
      <c r="H93" s="5" t="str">
        <f>+IF([1]UVAur!H82&lt;&gt;"",[1]UVAur!H82,"")</f>
        <v>Alpy600</v>
      </c>
      <c r="I93" s="5">
        <f>+IF([1]UVAur!I82&lt;&gt;"",[1]UVAur!I82,"")</f>
        <v>631</v>
      </c>
      <c r="J93" s="5" t="str">
        <f>+IF([1]UVAur!J82&lt;&gt;"",[1]UVAur!J82,"")</f>
        <v/>
      </c>
      <c r="K93" s="5" t="str">
        <f>+IF([1]UVAur!K82&lt;&gt;"",[1]UVAur!K82,"")</f>
        <v/>
      </c>
      <c r="L93" s="30">
        <f t="shared" si="2"/>
        <v>0.44977638050809077</v>
      </c>
      <c r="M93" s="27"/>
      <c r="N93" s="29"/>
    </row>
    <row r="94" spans="2:14" x14ac:dyDescent="0.25">
      <c r="B94" s="5">
        <f>+IF([1]UVAur!B83&lt;&gt;"",[1]UVAur!B83,"")</f>
        <v>71</v>
      </c>
      <c r="C94" s="3">
        <f>+IF([1]UVAur!C83&lt;&gt;"",[1]UVAur!C83,"")</f>
        <v>43421</v>
      </c>
      <c r="D94" s="5">
        <f>+IF([1]UVAur!D83&lt;&gt;"",[1]UVAur!D83,"")</f>
        <v>0.92643518518518519</v>
      </c>
      <c r="E94" s="5">
        <f>+IF([1]UVAur!E83&lt;&gt;"",[1]UVAur!E83,"")</f>
        <v>2458440.4476999999</v>
      </c>
      <c r="F94" s="5" t="str">
        <f>+IF([1]UVAur!F83&lt;&gt;"",[1]UVAur!F83,"")</f>
        <v>DBO</v>
      </c>
      <c r="G94" s="5" t="str">
        <f>+IF([1]UVAur!G83&lt;&gt;"",[1]UVAur!G83,"")</f>
        <v>WCO-UK</v>
      </c>
      <c r="H94" s="5" t="str">
        <f>+IF([1]UVAur!H83&lt;&gt;"",[1]UVAur!H83,"")</f>
        <v>C11+Lisa+SXVR-H694</v>
      </c>
      <c r="I94" s="5">
        <f>+IF([1]UVAur!I83&lt;&gt;"",[1]UVAur!I83,"")</f>
        <v>1117</v>
      </c>
      <c r="J94" s="5" t="str">
        <f>+IF([1]UVAur!J83&lt;&gt;"",[1]UVAur!J83,"")</f>
        <v/>
      </c>
      <c r="K94" s="5" t="str">
        <f>+IF([1]UVAur!K83&lt;&gt;"",[1]UVAur!K83,"")</f>
        <v/>
      </c>
      <c r="L94" s="30">
        <f t="shared" si="2"/>
        <v>6.0766948937434506E-2</v>
      </c>
      <c r="M94" s="27"/>
      <c r="N94" s="29"/>
    </row>
    <row r="95" spans="2:14" x14ac:dyDescent="0.25">
      <c r="B95" s="5">
        <f>+IF([1]UVAur!B84&lt;&gt;"",[1]UVAur!B84,"")</f>
        <v>72</v>
      </c>
      <c r="C95" s="3">
        <f>+IF([1]UVAur!C84&lt;&gt;"",[1]UVAur!C84,"")</f>
        <v>43438</v>
      </c>
      <c r="D95" s="5">
        <f>+IF([1]UVAur!D84&lt;&gt;"",[1]UVAur!D84,"")</f>
        <v>0.16623842592592594</v>
      </c>
      <c r="E95" s="5">
        <f>+IF([1]UVAur!E84&lt;&gt;"",[1]UVAur!E84,"")</f>
        <v>2458456.6801999998</v>
      </c>
      <c r="F95" s="5" t="str">
        <f>+IF([1]UVAur!F84&lt;&gt;"",[1]UVAur!F84,"")</f>
        <v>FAS</v>
      </c>
      <c r="G95" s="5" t="str">
        <f>+IF([1]UVAur!G84&lt;&gt;"",[1]UVAur!G84,"")</f>
        <v>DCO-US</v>
      </c>
      <c r="H95" s="5" t="str">
        <f>+IF([1]UVAur!H84&lt;&gt;"",[1]UVAur!H84,"")</f>
        <v>CDK14LisaAtik414ex</v>
      </c>
      <c r="I95" s="5">
        <f>+IF([1]UVAur!I84&lt;&gt;"",[1]UVAur!I84,"")</f>
        <v>980</v>
      </c>
      <c r="J95" s="5" t="str">
        <f>+IF([1]UVAur!J84&lt;&gt;"",[1]UVAur!J84,"")</f>
        <v/>
      </c>
      <c r="K95" s="5" t="str">
        <f>+IF([1]UVAur!K84&lt;&gt;"",[1]UVAur!K84,"")</f>
        <v/>
      </c>
      <c r="L95" s="30">
        <f t="shared" si="2"/>
        <v>0.10192231631211968</v>
      </c>
      <c r="M95" s="27"/>
      <c r="N95" s="29"/>
    </row>
    <row r="96" spans="2:14" x14ac:dyDescent="0.25">
      <c r="B96" s="5">
        <f>+IF([1]UVAur!B85&lt;&gt;"",[1]UVAur!B85,"")</f>
        <v>73</v>
      </c>
      <c r="C96" s="3">
        <f>+IF([1]UVAur!C85&lt;&gt;"",[1]UVAur!C85,"")</f>
        <v>43458</v>
      </c>
      <c r="D96" s="5">
        <f>+IF([1]UVAur!D85&lt;&gt;"",[1]UVAur!D85,"")</f>
        <v>0.83181712962962961</v>
      </c>
      <c r="E96" s="5">
        <f>+IF([1]UVAur!E85&lt;&gt;"",[1]UVAur!E85,"")</f>
        <v>2458477.3513000002</v>
      </c>
      <c r="F96" s="5" t="str">
        <f>+IF([1]UVAur!F85&lt;&gt;"",[1]UVAur!F85,"")</f>
        <v>DBO</v>
      </c>
      <c r="G96" s="5" t="str">
        <f>+IF([1]UVAur!G85&lt;&gt;"",[1]UVAur!G85,"")</f>
        <v>WCO-UK</v>
      </c>
      <c r="H96" s="5" t="str">
        <f>+IF([1]UVAur!H85&lt;&gt;"",[1]UVAur!H85,"")</f>
        <v>C11+LISA+SXVR-H694</v>
      </c>
      <c r="I96" s="5">
        <f>+IF([1]UVAur!I85&lt;&gt;"",[1]UVAur!I85,"")</f>
        <v>1090</v>
      </c>
      <c r="J96" s="5" t="str">
        <f>+IF([1]UVAur!J85&lt;&gt;"",[1]UVAur!J85,"")</f>
        <v/>
      </c>
      <c r="K96" s="5" t="str">
        <f>+IF([1]UVAur!K85&lt;&gt;"",[1]UVAur!K85,"")</f>
        <v/>
      </c>
      <c r="L96" s="30">
        <f t="shared" si="2"/>
        <v>0.154331169819514</v>
      </c>
      <c r="M96" s="27"/>
      <c r="N96" s="29"/>
    </row>
    <row r="97" spans="2:14" x14ac:dyDescent="0.25">
      <c r="B97" s="5">
        <f>+IF([1]UVAur!B86&lt;&gt;"",[1]UVAur!B86,"")</f>
        <v>74</v>
      </c>
      <c r="C97" s="3">
        <f>+IF([1]UVAur!C86&lt;&gt;"",[1]UVAur!C86,"")</f>
        <v>43480</v>
      </c>
      <c r="D97" s="5">
        <f>+IF([1]UVAur!D86&lt;&gt;"",[1]UVAur!D86,"")</f>
        <v>0.87834490740740734</v>
      </c>
      <c r="E97" s="5">
        <f>+IF([1]UVAur!E86&lt;&gt;"",[1]UVAur!E86,"")</f>
        <v>2458499.4271</v>
      </c>
      <c r="F97" s="5" t="str">
        <f>+IF([1]UVAur!F86&lt;&gt;"",[1]UVAur!F86,"")</f>
        <v>JGF</v>
      </c>
      <c r="G97" s="5" t="str">
        <f>+IF([1]UVAur!G86&lt;&gt;"",[1]UVAur!G86,"")</f>
        <v>SMM-SP</v>
      </c>
      <c r="H97" s="5" t="str">
        <f>+IF([1]UVAur!H86&lt;&gt;"",[1]UVAur!H86,"")</f>
        <v>16REMOTLINX460EX</v>
      </c>
      <c r="I97" s="5">
        <f>+IF([1]UVAur!I86&lt;&gt;"",[1]UVAur!I86,"")</f>
        <v>9000</v>
      </c>
      <c r="J97" s="5" t="str">
        <f>+IF([1]UVAur!J86&lt;&gt;"",[1]UVAur!J86,"")</f>
        <v/>
      </c>
      <c r="K97" s="5" t="str">
        <f>+IF([1]UVAur!K86&lt;&gt;"",[1]UVAur!K86,"")</f>
        <v/>
      </c>
      <c r="L97" s="30">
        <f t="shared" si="2"/>
        <v>0.21030145530138356</v>
      </c>
      <c r="M97" s="27"/>
      <c r="N97" s="29"/>
    </row>
    <row r="98" spans="2:14" x14ac:dyDescent="0.25">
      <c r="B98" s="5">
        <f>+IF([1]UVAur!B87&lt;&gt;"",[1]UVAur!B87,"")</f>
        <v>75</v>
      </c>
      <c r="C98" s="3">
        <f>+IF([1]UVAur!C87&lt;&gt;"",[1]UVAur!C87,"")</f>
        <v>43488</v>
      </c>
      <c r="D98" s="5">
        <f>+IF([1]UVAur!D87&lt;&gt;"",[1]UVAur!D87,"")</f>
        <v>0.19141203703703705</v>
      </c>
      <c r="E98" s="5">
        <f>+IF([1]UVAur!E87&lt;&gt;"",[1]UVAur!E87,"")</f>
        <v>2458506.7072000001</v>
      </c>
      <c r="F98" s="5" t="str">
        <f>+IF([1]UVAur!F87&lt;&gt;"",[1]UVAur!F87,"")</f>
        <v>FAS</v>
      </c>
      <c r="G98" s="5" t="str">
        <f>+IF([1]UVAur!G87&lt;&gt;"",[1]UVAur!G87,"")</f>
        <v>DCO-US</v>
      </c>
      <c r="H98" s="5" t="str">
        <f>+IF([1]UVAur!H87&lt;&gt;"",[1]UVAur!H87,"")</f>
        <v>CDK14LISAAtik414ex</v>
      </c>
      <c r="I98" s="5">
        <f>+IF([1]UVAur!I87&lt;&gt;"",[1]UVAur!I87,"")</f>
        <v>932</v>
      </c>
      <c r="J98" s="5" t="str">
        <f>+IF([1]UVAur!J87&lt;&gt;"",[1]UVAur!J87,"")</f>
        <v/>
      </c>
      <c r="K98" s="5" t="str">
        <f>+IF([1]UVAur!K87&lt;&gt;"",[1]UVAur!K87,"")</f>
        <v/>
      </c>
      <c r="L98" s="30">
        <f t="shared" si="2"/>
        <v>0.22875919071056927</v>
      </c>
      <c r="M98" s="27"/>
      <c r="N98" s="29"/>
    </row>
    <row r="99" spans="2:14" x14ac:dyDescent="0.25">
      <c r="B99" s="5">
        <f>+IF([1]UVAur!B88&lt;&gt;"",[1]UVAur!B88,"")</f>
        <v>76</v>
      </c>
      <c r="C99" s="3">
        <f>+IF([1]UVAur!C88&lt;&gt;"",[1]UVAur!C88,"")</f>
        <v>43495</v>
      </c>
      <c r="D99" s="5">
        <f>+IF([1]UVAur!D88&lt;&gt;"",[1]UVAur!D88,"")</f>
        <v>0.94858796296296299</v>
      </c>
      <c r="E99" s="5">
        <f>+IF([1]UVAur!E88&lt;&gt;"",[1]UVAur!E88,"")</f>
        <v>2458514.4698000001</v>
      </c>
      <c r="F99" s="5" t="str">
        <f>+IF([1]UVAur!F88&lt;&gt;"",[1]UVAur!F88,"")</f>
        <v>DBO</v>
      </c>
      <c r="G99" s="5" t="str">
        <f>+IF([1]UVAur!G88&lt;&gt;"",[1]UVAur!G88,"")</f>
        <v>WCO-UK</v>
      </c>
      <c r="H99" s="5" t="str">
        <f>+IF([1]UVAur!H88&lt;&gt;"",[1]UVAur!H88,"")</f>
        <v>C11+LISA+SXVR-H694</v>
      </c>
      <c r="I99" s="5">
        <f>+IF([1]UVAur!I88&lt;&gt;"",[1]UVAur!I88,"")</f>
        <v>1042</v>
      </c>
      <c r="J99" s="5" t="str">
        <f>+IF([1]UVAur!J88&lt;&gt;"",[1]UVAur!J88,"")</f>
        <v/>
      </c>
      <c r="K99" s="5" t="str">
        <f>+IF([1]UVAur!K88&lt;&gt;"",[1]UVAur!K88,"")</f>
        <v/>
      </c>
      <c r="L99" s="30">
        <f t="shared" si="2"/>
        <v>0.24844024136726972</v>
      </c>
      <c r="M99" s="27"/>
      <c r="N99" s="29"/>
    </row>
    <row r="100" spans="2:14" x14ac:dyDescent="0.25">
      <c r="B100" s="5">
        <f>+IF([1]UVAur!B89&lt;&gt;"",[1]UVAur!B89,"")</f>
        <v>77</v>
      </c>
      <c r="C100" s="3">
        <f>+IF([1]UVAur!C89&lt;&gt;"",[1]UVAur!C89,"")</f>
        <v>43508</v>
      </c>
      <c r="D100" s="5">
        <f>+IF([1]UVAur!D89&lt;&gt;"",[1]UVAur!D89,"")</f>
        <v>0.91799768518518521</v>
      </c>
      <c r="E100" s="5">
        <f>+IF([1]UVAur!E89&lt;&gt;"",[1]UVAur!E89,"")</f>
        <v>2458527.4238</v>
      </c>
      <c r="F100" s="5" t="str">
        <f>+IF([1]UVAur!F89&lt;&gt;"",[1]UVAur!F89,"")</f>
        <v>VMA</v>
      </c>
      <c r="G100" s="5" t="str">
        <f>+IF([1]UVAur!G89&lt;&gt;"",[1]UVAur!G89,"")</f>
        <v>TRS-FR</v>
      </c>
      <c r="H100" s="5" t="str">
        <f>+IF([1]UVAur!H89&lt;&gt;"",[1]UVAur!H89,"")</f>
        <v>Alpy600</v>
      </c>
      <c r="I100" s="5">
        <f>+IF([1]UVAur!I89&lt;&gt;"",[1]UVAur!I89,"")</f>
        <v>605</v>
      </c>
      <c r="L100" s="30">
        <f t="shared" si="2"/>
        <v>0.28128340347849701</v>
      </c>
      <c r="M100" s="27"/>
      <c r="N100" s="29"/>
    </row>
    <row r="101" spans="2:14" x14ac:dyDescent="0.25">
      <c r="B101" s="5">
        <f>+IF([1]UVAur!B90&lt;&gt;"",[1]UVAur!B90,"")</f>
        <v>78</v>
      </c>
      <c r="C101" s="3">
        <f>+IF([1]UVAur!C90&lt;&gt;"",[1]UVAur!C90,"")</f>
        <v>43508</v>
      </c>
      <c r="D101" s="5">
        <f>+IF([1]UVAur!D90&lt;&gt;"",[1]UVAur!D90,"")</f>
        <v>0.91799768518518521</v>
      </c>
      <c r="E101" s="5">
        <f>+IF([1]UVAur!E90&lt;&gt;"",[1]UVAur!E90,"")</f>
        <v>2458527.4238</v>
      </c>
      <c r="F101" s="5" t="str">
        <f>+IF([1]UVAur!F90&lt;&gt;"",[1]UVAur!F90,"")</f>
        <v>VMA</v>
      </c>
      <c r="G101" s="5" t="str">
        <f>+IF([1]UVAur!G90&lt;&gt;"",[1]UVAur!G90,"")</f>
        <v>TRS-FR</v>
      </c>
      <c r="H101" s="5" t="str">
        <f>+IF([1]UVAur!H90&lt;&gt;"",[1]UVAur!H90,"")</f>
        <v>Alpy600</v>
      </c>
      <c r="I101" s="5">
        <f>+IF([1]UVAur!I90&lt;&gt;"",[1]UVAur!I90,"")</f>
        <v>605</v>
      </c>
      <c r="L101" s="30">
        <f t="shared" si="2"/>
        <v>0.28128340347849701</v>
      </c>
      <c r="M101" s="27"/>
      <c r="N101" s="29"/>
    </row>
    <row r="102" spans="2:14" x14ac:dyDescent="0.25">
      <c r="B102" s="5">
        <f>+IF([1]UVAur!B91&lt;&gt;"",[1]UVAur!B91,"")</f>
        <v>79</v>
      </c>
      <c r="C102" s="3">
        <f>+IF([1]UVAur!C91&lt;&gt;"",[1]UVAur!C91,"")</f>
        <v>43521</v>
      </c>
      <c r="D102" s="5">
        <f>+IF([1]UVAur!D91&lt;&gt;"",[1]UVAur!D91,"")</f>
        <v>0.96186342592592589</v>
      </c>
      <c r="E102" s="5">
        <f>+IF([1]UVAur!E91&lt;&gt;"",[1]UVAur!E91,"")</f>
        <v>2458540.4868000001</v>
      </c>
      <c r="F102" s="5" t="str">
        <f>+IF([1]UVAur!F91&lt;&gt;"",[1]UVAur!F91,"")</f>
        <v>JCO</v>
      </c>
      <c r="G102" s="5" t="str">
        <f>+IF([1]UVAur!G91&lt;&gt;"",[1]UVAur!G91,"")</f>
        <v>STO-UK</v>
      </c>
      <c r="H102" s="5" t="str">
        <f>+IF([1]UVAur!H91&lt;&gt;"",[1]UVAur!H91,"")</f>
        <v>C80.7xFR+ALPY600+Atik460EX</v>
      </c>
      <c r="I102" s="5">
        <f>+IF([1]UVAur!I91&lt;&gt;"",[1]UVAur!I91,"")</f>
        <v>567</v>
      </c>
      <c r="L102" s="30">
        <f t="shared" si="2"/>
        <v>0.31440292074456266</v>
      </c>
      <c r="M102" s="27"/>
      <c r="N102" s="29"/>
    </row>
    <row r="103" spans="2:14" x14ac:dyDescent="0.25">
      <c r="B103" s="5">
        <f>+IF([1]UVAur!B92&lt;&gt;"",[1]UVAur!B92,"")</f>
        <v>80</v>
      </c>
      <c r="C103" s="3">
        <f>+IF([1]UVAur!C92&lt;&gt;"",[1]UVAur!C92,"")</f>
        <v>43522</v>
      </c>
      <c r="D103" s="5">
        <f>+IF([1]UVAur!D92&lt;&gt;"",[1]UVAur!D92,"")</f>
        <v>0.83468749999999992</v>
      </c>
      <c r="E103" s="5">
        <f>+IF([1]UVAur!E92&lt;&gt;"",[1]UVAur!E92,"")</f>
        <v>2458541.3558999998</v>
      </c>
      <c r="F103" s="5" t="str">
        <f>+IF([1]UVAur!F92&lt;&gt;"",[1]UVAur!F92,"")</f>
        <v>DBO</v>
      </c>
      <c r="G103" s="5" t="str">
        <f>+IF([1]UVAur!G92&lt;&gt;"",[1]UVAur!G92,"")</f>
        <v>WCO-UK</v>
      </c>
      <c r="H103" s="5" t="str">
        <f>+IF([1]UVAur!H92&lt;&gt;"",[1]UVAur!H92,"")</f>
        <v>C11+LISA+SXVR-H694</v>
      </c>
      <c r="I103" s="5">
        <f>+IF([1]UVAur!I92&lt;&gt;"",[1]UVAur!I92,"")</f>
        <v>1119</v>
      </c>
      <c r="L103" s="30">
        <f t="shared" si="2"/>
        <v>0.31660640941090179</v>
      </c>
      <c r="M103" s="27"/>
      <c r="N103" s="29"/>
    </row>
    <row r="104" spans="2:14" x14ac:dyDescent="0.25">
      <c r="B104" s="5">
        <f>+IF([1]UVAur!B93&lt;&gt;"",[1]UVAur!B93,"")</f>
        <v>81</v>
      </c>
      <c r="C104" s="3">
        <f>+IF([1]UVAur!C93&lt;&gt;"",[1]UVAur!C93,"")</f>
        <v>43552</v>
      </c>
      <c r="D104" s="5">
        <f>+IF([1]UVAur!D93&lt;&gt;"",[1]UVAur!D93,"")</f>
        <v>0.85739583333333336</v>
      </c>
      <c r="E104" s="5">
        <f>+IF([1]UVAur!E93&lt;&gt;"",[1]UVAur!E93,"")</f>
        <v>2458571.3786999998</v>
      </c>
      <c r="F104" s="5" t="str">
        <f>+IF([1]UVAur!F93&lt;&gt;"",[1]UVAur!F93,"")</f>
        <v>DBO</v>
      </c>
      <c r="G104" s="5" t="str">
        <f>+IF([1]UVAur!G93&lt;&gt;"",[1]UVAur!G93,"")</f>
        <v>WCO-UK</v>
      </c>
      <c r="H104" s="5" t="str">
        <f>+IF([1]UVAur!H93&lt;&gt;"",[1]UVAur!H93,"")</f>
        <v>C11+LISA+SXVR-H694</v>
      </c>
      <c r="I104" s="5">
        <f>+IF([1]UVAur!I93&lt;&gt;"",[1]UVAur!I93,"")</f>
        <v>1116</v>
      </c>
      <c r="L104" s="30">
        <f t="shared" si="2"/>
        <v>0.39272526748077752</v>
      </c>
      <c r="M104" s="27"/>
      <c r="N104" s="29"/>
    </row>
    <row r="105" spans="2:14" x14ac:dyDescent="0.25">
      <c r="B105" s="5">
        <f>+IF([1]UVAur!B94&lt;&gt;"",[1]UVAur!B94,"")</f>
        <v>82</v>
      </c>
      <c r="C105" s="3">
        <f>+IF([1]UVAur!C94&lt;&gt;"",[1]UVAur!C94,"")</f>
        <v>43829</v>
      </c>
      <c r="D105" s="5">
        <f>+IF([1]UVAur!D94&lt;&gt;"",[1]UVAur!D94,"")</f>
        <v>4.1087962962962958E-2</v>
      </c>
      <c r="E105" s="5">
        <f>+IF([1]UVAur!E94&lt;&gt;"",[1]UVAur!E94,"")</f>
        <v>2458847.5551</v>
      </c>
      <c r="F105" s="5" t="str">
        <f>+IF([1]UVAur!F94&lt;&gt;"",[1]UVAur!F94,"")</f>
        <v>CBO</v>
      </c>
      <c r="G105" s="5" t="str">
        <f>+IF([1]UVAur!G94&lt;&gt;"",[1]UVAur!G94,"")</f>
        <v>OCT-FR</v>
      </c>
      <c r="H105" s="5" t="str">
        <f>+IF([1]UVAur!H94&lt;&gt;"",[1]UVAur!H94,"")</f>
        <v>N200mmF</v>
      </c>
      <c r="I105" s="5">
        <f>+IF([1]UVAur!I94&lt;&gt;"",[1]UVAur!I94,"")</f>
        <v>508</v>
      </c>
      <c r="L105" s="30">
        <f t="shared" si="2"/>
        <v>9.2934181836611174E-2</v>
      </c>
      <c r="M105" s="27"/>
      <c r="N105" s="29"/>
    </row>
    <row r="106" spans="2:14" x14ac:dyDescent="0.25">
      <c r="B106" s="5">
        <f>+IF([1]UVAur!B95&lt;&gt;"",[1]UVAur!B95,"")</f>
        <v>83</v>
      </c>
      <c r="C106" s="3">
        <f>+IF([1]UVAur!C95&lt;&gt;"",[1]UVAur!C95,"")</f>
        <v>43831</v>
      </c>
      <c r="D106" s="5">
        <f>+IF([1]UVAur!D95&lt;&gt;"",[1]UVAur!D95,"")</f>
        <v>0.96622685185185186</v>
      </c>
      <c r="E106" s="5">
        <f>+IF([1]UVAur!E95&lt;&gt;"",[1]UVAur!E95,"")</f>
        <v>2458850.4805000001</v>
      </c>
      <c r="F106" s="5" t="str">
        <f>+IF([1]UVAur!F95&lt;&gt;"",[1]UVAur!F95,"")</f>
        <v>PAD</v>
      </c>
      <c r="G106" s="5" t="str">
        <f>+IF([1]UVAur!G95&lt;&gt;"",[1]UVAur!G95,"")</f>
        <v>KOL-SK</v>
      </c>
      <c r="H106" s="5" t="str">
        <f>+IF([1]UVAur!H95&lt;&gt;"",[1]UVAur!H95,"")</f>
        <v>C11+LISA+Atik460EX</v>
      </c>
      <c r="I106" s="5">
        <f>+IF([1]UVAur!I95&lt;&gt;"",[1]UVAur!I95,"")</f>
        <v>810</v>
      </c>
      <c r="L106" s="30">
        <f t="shared" si="2"/>
        <v>0.10035114852203719</v>
      </c>
      <c r="M106" s="27">
        <f t="shared" ref="M106:M110" si="3">+E106-2450000</f>
        <v>8850.4805000000633</v>
      </c>
      <c r="N106" s="29">
        <v>7</v>
      </c>
    </row>
    <row r="107" spans="2:14" x14ac:dyDescent="0.25">
      <c r="B107" s="5">
        <f>+IF([1]UVAur!B96&lt;&gt;"",[1]UVAur!B96,"")</f>
        <v>84</v>
      </c>
      <c r="C107" s="3">
        <f>+IF([1]UVAur!C96&lt;&gt;"",[1]UVAur!C96,"")</f>
        <v>43873</v>
      </c>
      <c r="D107" s="5">
        <f>+IF([1]UVAur!D96&lt;&gt;"",[1]UVAur!D96,"")</f>
        <v>2.3958333333333331E-2</v>
      </c>
      <c r="E107" s="5">
        <f>+IF([1]UVAur!E96&lt;&gt;"",[1]UVAur!E96,"")</f>
        <v>2458891.5343999998</v>
      </c>
      <c r="F107" s="5" t="str">
        <f>+IF([1]UVAur!F96&lt;&gt;"",[1]UVAur!F96,"")</f>
        <v>CBO</v>
      </c>
      <c r="G107" s="5" t="str">
        <f>+IF([1]UVAur!G96&lt;&gt;"",[1]UVAur!G96,"")</f>
        <v>OCT-FR</v>
      </c>
      <c r="H107" s="5" t="str">
        <f>+IF([1]UVAur!H96&lt;&gt;"",[1]UVAur!H96,"")</f>
        <v>N200mmF5_Alpy600</v>
      </c>
      <c r="I107" s="5">
        <f>+IF([1]UVAur!I96&lt;&gt;"",[1]UVAur!I96,"")</f>
        <v>502</v>
      </c>
      <c r="L107" s="30">
        <f t="shared" si="2"/>
        <v>0.20443790882757185</v>
      </c>
      <c r="M107" s="27">
        <f t="shared" si="3"/>
        <v>8891.5343999997713</v>
      </c>
      <c r="N107" s="29">
        <f>+N106</f>
        <v>7</v>
      </c>
    </row>
    <row r="108" spans="2:14" x14ac:dyDescent="0.25">
      <c r="B108" s="5">
        <f>+IF([1]UVAur!B97&lt;&gt;"",[1]UVAur!B97,"")</f>
        <v>85</v>
      </c>
      <c r="C108" s="3">
        <f>+IF([1]UVAur!C97&lt;&gt;"",[1]UVAur!C97,"")</f>
        <v>43874</v>
      </c>
      <c r="D108" s="5">
        <f>+IF([1]UVAur!D97&lt;&gt;"",[1]UVAur!D97,"")</f>
        <v>0.84979166666666661</v>
      </c>
      <c r="E108" s="5">
        <f>+IF([1]UVAur!E97&lt;&gt;"",[1]UVAur!E97,"")</f>
        <v>2458893.3905000002</v>
      </c>
      <c r="F108" s="5" t="str">
        <f>+IF([1]UVAur!F97&lt;&gt;"",[1]UVAur!F97,"")</f>
        <v>JGF</v>
      </c>
      <c r="G108" s="5" t="str">
        <f>+IF([1]UVAur!G97&lt;&gt;"",[1]UVAur!G97,"")</f>
        <v>SMM-SP</v>
      </c>
      <c r="H108" s="5" t="str">
        <f>+IF([1]UVAur!H97&lt;&gt;"",[1]UVAur!H97,"")</f>
        <v>16REMOTLINX460EX</v>
      </c>
      <c r="I108" s="5">
        <f>+IF([1]UVAur!I97&lt;&gt;"",[1]UVAur!I97,"")</f>
        <v>9000</v>
      </c>
      <c r="L108" s="30">
        <f t="shared" si="2"/>
        <v>0.20914380609556105</v>
      </c>
      <c r="M108" s="27">
        <f t="shared" si="3"/>
        <v>8893.3905000002123</v>
      </c>
      <c r="N108" s="29">
        <f t="shared" ref="N108:N113" si="4">+N107</f>
        <v>7</v>
      </c>
    </row>
    <row r="109" spans="2:14" x14ac:dyDescent="0.25">
      <c r="B109" s="5">
        <f>+IF([1]UVAur!B98&lt;&gt;"",[1]UVAur!B98,"")</f>
        <v>86</v>
      </c>
      <c r="C109" s="3">
        <f>+IF([1]UVAur!C98&lt;&gt;"",[1]UVAur!C98,"")</f>
        <v>43874</v>
      </c>
      <c r="D109" s="5">
        <f>+IF([1]UVAur!D98&lt;&gt;"",[1]UVAur!D98,"")</f>
        <v>0.84979166666666661</v>
      </c>
      <c r="E109" s="5">
        <f>+IF([1]UVAur!E98&lt;&gt;"",[1]UVAur!E98,"")</f>
        <v>2458893.3905000002</v>
      </c>
      <c r="F109" s="5" t="str">
        <f>+IF([1]UVAur!F98&lt;&gt;"",[1]UVAur!F98,"")</f>
        <v>JGF</v>
      </c>
      <c r="G109" s="5" t="str">
        <f>+IF([1]UVAur!G98&lt;&gt;"",[1]UVAur!G98,"")</f>
        <v>SMM-SP</v>
      </c>
      <c r="H109" s="5" t="str">
        <f>+IF([1]UVAur!H98&lt;&gt;"",[1]UVAur!H98,"")</f>
        <v>16REMOTLINX460EX</v>
      </c>
      <c r="I109" s="5">
        <f>+IF([1]UVAur!I98&lt;&gt;"",[1]UVAur!I98,"")</f>
        <v>9000</v>
      </c>
      <c r="L109" s="30">
        <f t="shared" si="2"/>
        <v>0.20914380609556105</v>
      </c>
      <c r="M109" s="27">
        <f t="shared" si="3"/>
        <v>8893.3905000002123</v>
      </c>
      <c r="N109" s="29">
        <f t="shared" si="4"/>
        <v>7</v>
      </c>
    </row>
    <row r="110" spans="2:14" x14ac:dyDescent="0.25">
      <c r="B110" s="5">
        <f>+IF([1]UVAur!B99&lt;&gt;"",[1]UVAur!B99,"")</f>
        <v>87</v>
      </c>
      <c r="C110" s="3">
        <f>+IF([1]UVAur!C99&lt;&gt;"",[1]UVAur!C99,"")</f>
        <v>43884</v>
      </c>
      <c r="D110" s="5">
        <f>+IF([1]UVAur!D99&lt;&gt;"",[1]UVAur!D99,"")</f>
        <v>0.79826388888888899</v>
      </c>
      <c r="E110" s="5">
        <f>+IF([1]UVAur!E99&lt;&gt;"",[1]UVAur!E99,"")</f>
        <v>2458903.3448000001</v>
      </c>
      <c r="F110" s="5" t="str">
        <f>+IF([1]UVAur!F99&lt;&gt;"",[1]UVAur!F99,"")</f>
        <v>JGF</v>
      </c>
      <c r="G110" s="5" t="str">
        <f>+IF([1]UVAur!G99&lt;&gt;"",[1]UVAur!G99,"")</f>
        <v>SMM-SP</v>
      </c>
      <c r="H110" s="5" t="str">
        <f>+IF([1]UVAur!H99&lt;&gt;"",[1]UVAur!H99,"")</f>
        <v>16REMOTLINX460EX</v>
      </c>
      <c r="I110" s="5">
        <f>+IF([1]UVAur!I99&lt;&gt;"",[1]UVAur!I99,"")</f>
        <v>9000</v>
      </c>
      <c r="L110" s="30">
        <f t="shared" si="2"/>
        <v>0.2343816236501155</v>
      </c>
      <c r="M110" s="27">
        <f t="shared" si="3"/>
        <v>8903.344800000079</v>
      </c>
      <c r="N110" s="29">
        <f t="shared" si="4"/>
        <v>7</v>
      </c>
    </row>
    <row r="111" spans="2:14" x14ac:dyDescent="0.25">
      <c r="B111" s="5">
        <f>+IF([1]UVAur!B100&lt;&gt;"",[1]UVAur!B100,"")</f>
        <v>88</v>
      </c>
      <c r="C111" s="3">
        <f>+IF([1]UVAur!C100&lt;&gt;"",[1]UVAur!C100,"")</f>
        <v>43920</v>
      </c>
      <c r="D111" s="5">
        <f>+IF([1]UVAur!D100&lt;&gt;"",[1]UVAur!D100,"")</f>
        <v>0.89225694444444448</v>
      </c>
      <c r="E111" s="5">
        <f>+IF([1]UVAur!E100&lt;&gt;"",[1]UVAur!E100,"")</f>
        <v>2458939.4062000001</v>
      </c>
      <c r="F111" s="5" t="str">
        <f>+IF([1]UVAur!F100&lt;&gt;"",[1]UVAur!F100,"")</f>
        <v>CBO</v>
      </c>
      <c r="G111" s="5" t="str">
        <f>+IF([1]UVAur!G100&lt;&gt;"",[1]UVAur!G100,"")</f>
        <v>OCT-FR</v>
      </c>
      <c r="H111" s="5" t="str">
        <f>+IF([1]UVAur!H100&lt;&gt;"",[1]UVAur!H100,"")</f>
        <v>N200mmF5_Alpy600</v>
      </c>
      <c r="I111" s="5">
        <f>+IF([1]UVAur!I100&lt;&gt;"",[1]UVAur!I100,"")</f>
        <v>501</v>
      </c>
      <c r="L111" s="30">
        <f t="shared" si="2"/>
        <v>0.32581055727418828</v>
      </c>
      <c r="M111" s="27">
        <f>+E111-2450000</f>
        <v>8939.4062000000849</v>
      </c>
      <c r="N111" s="29">
        <f t="shared" si="4"/>
        <v>7</v>
      </c>
    </row>
    <row r="112" spans="2:14" x14ac:dyDescent="0.25">
      <c r="B112" s="5">
        <f>+IF([1]UVAur!B101&lt;&gt;"",[1]UVAur!B101,"")</f>
        <v>89</v>
      </c>
      <c r="C112" s="3">
        <f>+IF([1]UVAur!C101&lt;&gt;"",[1]UVAur!C101,"")</f>
        <v>44174</v>
      </c>
      <c r="D112" s="5">
        <f>+IF([1]UVAur!D101&lt;&gt;"",[1]UVAur!D101,"")</f>
        <v>0.92708333333333337</v>
      </c>
      <c r="E112" s="5">
        <f>+IF([1]UVAur!E101&lt;&gt;"",[1]UVAur!E101,"")</f>
        <v>2459193.4369000001</v>
      </c>
      <c r="F112" s="5" t="str">
        <f>+IF([1]UVAur!F101&lt;&gt;"",[1]UVAur!F101,"")</f>
        <v>PAD</v>
      </c>
      <c r="G112" s="5" t="str">
        <f>+IF([1]UVAur!G101&lt;&gt;"",[1]UVAur!G101,"")</f>
        <v>KOL-SK</v>
      </c>
      <c r="H112" s="5" t="str">
        <f>+IF([1]UVAur!H101&lt;&gt;"",[1]UVAur!H101,"")</f>
        <v>C11+LISA+Atik 460EX</v>
      </c>
      <c r="I112" s="5">
        <f>+IF([1]UVAur!I101&lt;&gt;"",[1]UVAur!I101,"")</f>
        <v>878</v>
      </c>
      <c r="L112" s="30">
        <f t="shared" ref="L112:L113" si="5">+(E112-P$17)/P$18-INT((E112-P$17)/P$18)</f>
        <v>0.96987196389657271</v>
      </c>
      <c r="M112" s="27">
        <f t="shared" ref="M112:M113" si="6">+E112-2450000</f>
        <v>9193.4369000000879</v>
      </c>
      <c r="N112" s="29">
        <f t="shared" si="4"/>
        <v>7</v>
      </c>
    </row>
    <row r="113" spans="2:14" x14ac:dyDescent="0.25">
      <c r="B113" s="5">
        <f>+IF([1]UVAur!B102&lt;&gt;"",[1]UVAur!B102,"")</f>
        <v>90</v>
      </c>
      <c r="C113" s="3">
        <f>+IF([1]UVAur!C102&lt;&gt;"",[1]UVAur!C102,"")</f>
        <v>44183</v>
      </c>
      <c r="D113" s="5">
        <f>+IF([1]UVAur!D102&lt;&gt;"",[1]UVAur!D102,"")</f>
        <v>0.15208333333333332</v>
      </c>
      <c r="E113" s="5">
        <f>+IF([1]UVAur!E102&lt;&gt;"",[1]UVAur!E102,"")</f>
        <v>2459201.6554</v>
      </c>
      <c r="F113" s="5" t="str">
        <f>+IF([1]UVAur!F102&lt;&gt;"",[1]UVAur!F102,"")</f>
        <v>KSH</v>
      </c>
      <c r="G113" s="5" t="str">
        <f>+IF([1]UVAur!G102&lt;&gt;"",[1]UVAur!G102,"")</f>
        <v>CAR-US</v>
      </c>
      <c r="H113" s="5" t="str">
        <f>+IF([1]UVAur!H102&lt;&gt;"",[1]UVAur!H102,"")</f>
        <v>C14E@F7+LISA+ATIK414EX</v>
      </c>
      <c r="I113" s="5">
        <f>+IF([1]UVAur!I102&lt;&gt;"",[1]UVAur!I102,"")</f>
        <v>1000</v>
      </c>
      <c r="L113" s="30">
        <f t="shared" si="5"/>
        <v>0.99070888900168796</v>
      </c>
      <c r="M113" s="27">
        <f t="shared" si="6"/>
        <v>9201.6554000000469</v>
      </c>
      <c r="N113" s="29">
        <f t="shared" si="4"/>
        <v>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1167"/>
  <sheetViews>
    <sheetView topLeftCell="A142" workbookViewId="0">
      <selection activeCell="H168" sqref="H168"/>
    </sheetView>
  </sheetViews>
  <sheetFormatPr baseColWidth="10" defaultRowHeight="15" x14ac:dyDescent="0.25"/>
  <cols>
    <col min="1" max="1" width="13.5703125" bestFit="1" customWidth="1"/>
    <col min="2" max="2" width="16.28515625" customWidth="1"/>
    <col min="3" max="3" width="22.28515625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2450726.7000000002</v>
      </c>
      <c r="B1" s="1" t="s">
        <v>148</v>
      </c>
      <c r="C1" s="1">
        <v>10.3</v>
      </c>
      <c r="D1" s="1"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 t="s">
        <v>42</v>
      </c>
      <c r="AA1" s="1" t="s">
        <v>122</v>
      </c>
    </row>
    <row r="2" spans="1:27" ht="18" customHeight="1" x14ac:dyDescent="0.25">
      <c r="A2" s="1">
        <v>2451185.4</v>
      </c>
      <c r="B2" s="1" t="s">
        <v>149</v>
      </c>
      <c r="C2" s="1">
        <v>9.8000000000000007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 t="s">
        <v>42</v>
      </c>
      <c r="AA2" s="1" t="s">
        <v>122</v>
      </c>
    </row>
    <row r="3" spans="1:27" ht="18" customHeight="1" x14ac:dyDescent="0.25">
      <c r="A3" s="1">
        <v>2451242.31</v>
      </c>
      <c r="B3" s="1" t="s">
        <v>150</v>
      </c>
      <c r="C3" s="1">
        <v>9.7200000000000006</v>
      </c>
      <c r="D3" s="1">
        <v>0.02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 t="s">
        <v>42</v>
      </c>
      <c r="AA3" s="1" t="s">
        <v>122</v>
      </c>
    </row>
    <row r="4" spans="1:27" ht="18" customHeight="1" x14ac:dyDescent="0.25">
      <c r="A4" s="1">
        <v>2451246.2769999998</v>
      </c>
      <c r="B4" s="1" t="s">
        <v>151</v>
      </c>
      <c r="C4" s="1">
        <v>9.67</v>
      </c>
      <c r="D4" s="1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">
        <v>42</v>
      </c>
      <c r="AA4" s="1" t="s">
        <v>122</v>
      </c>
    </row>
    <row r="5" spans="1:27" ht="18" customHeight="1" x14ac:dyDescent="0.25">
      <c r="A5" s="1">
        <v>2451250.8620000002</v>
      </c>
      <c r="B5" s="1" t="s">
        <v>152</v>
      </c>
      <c r="C5" s="1">
        <v>9.52</v>
      </c>
      <c r="D5" s="1">
        <v>8.1650000000000004E-3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 t="s">
        <v>42</v>
      </c>
      <c r="AA5" s="1" t="s">
        <v>122</v>
      </c>
    </row>
    <row r="6" spans="1:27" ht="18" customHeight="1" x14ac:dyDescent="0.25">
      <c r="A6" s="1">
        <v>2451256.3415000001</v>
      </c>
      <c r="B6" s="1" t="s">
        <v>153</v>
      </c>
      <c r="C6" s="1">
        <v>9.3550000000000004</v>
      </c>
      <c r="D6" s="1">
        <v>1.4999999999999999E-2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 t="s">
        <v>42</v>
      </c>
      <c r="AA6" s="1" t="s">
        <v>122</v>
      </c>
    </row>
    <row r="7" spans="1:27" ht="18" customHeight="1" x14ac:dyDescent="0.25">
      <c r="A7" s="1">
        <v>2451262.3190000001</v>
      </c>
      <c r="B7" s="1" t="s">
        <v>154</v>
      </c>
      <c r="C7" s="1">
        <v>9.2799999999999994</v>
      </c>
      <c r="D7" s="1">
        <v>0.01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 t="s">
        <v>42</v>
      </c>
      <c r="AA7" s="1" t="s">
        <v>122</v>
      </c>
    </row>
    <row r="8" spans="1:27" ht="18" customHeight="1" x14ac:dyDescent="0.25">
      <c r="A8" s="1">
        <v>2451263.3344999999</v>
      </c>
      <c r="B8" s="1" t="s">
        <v>155</v>
      </c>
      <c r="C8" s="1">
        <v>9.1750000000000007</v>
      </c>
      <c r="D8" s="1">
        <v>5.0000000000000001E-3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 t="s">
        <v>42</v>
      </c>
      <c r="AA8" s="1" t="s">
        <v>122</v>
      </c>
    </row>
    <row r="9" spans="1:27" ht="18" customHeight="1" x14ac:dyDescent="0.25">
      <c r="A9" s="1">
        <v>2451264.3344999999</v>
      </c>
      <c r="B9" s="1" t="s">
        <v>156</v>
      </c>
      <c r="C9" s="1">
        <v>9.14</v>
      </c>
      <c r="D9" s="1">
        <v>0.02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 t="s">
        <v>42</v>
      </c>
      <c r="AA9" s="1" t="s">
        <v>122</v>
      </c>
    </row>
    <row r="10" spans="1:27" ht="18" customHeight="1" x14ac:dyDescent="0.25">
      <c r="A10" s="1">
        <v>2451268.2925</v>
      </c>
      <c r="B10" s="1" t="s">
        <v>157</v>
      </c>
      <c r="C10" s="1">
        <v>9.1150000000000002</v>
      </c>
      <c r="D10" s="1">
        <v>4.4999999999999998E-2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 t="s">
        <v>42</v>
      </c>
      <c r="AA10" s="1" t="s">
        <v>122</v>
      </c>
    </row>
    <row r="11" spans="1:27" ht="18" customHeight="1" x14ac:dyDescent="0.25">
      <c r="A11" s="1">
        <v>2451270.3135000002</v>
      </c>
      <c r="B11" s="1" t="s">
        <v>158</v>
      </c>
      <c r="C11" s="1">
        <v>9.1750000000000007</v>
      </c>
      <c r="D11" s="1">
        <v>5.0000000000000001E-3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 t="s">
        <v>42</v>
      </c>
      <c r="AA11" s="1" t="s">
        <v>122</v>
      </c>
    </row>
    <row r="12" spans="1:27" ht="18" customHeight="1" x14ac:dyDescent="0.25">
      <c r="A12" s="1">
        <v>2451272.6669999999</v>
      </c>
      <c r="B12" s="1" t="s">
        <v>159</v>
      </c>
      <c r="C12" s="1">
        <v>9.23</v>
      </c>
      <c r="D12" s="1">
        <v>1.5275E-2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 t="s">
        <v>42</v>
      </c>
      <c r="AA12" s="1" t="s">
        <v>122</v>
      </c>
    </row>
    <row r="13" spans="1:27" ht="18" customHeight="1" x14ac:dyDescent="0.25">
      <c r="A13" s="1">
        <v>2451278.3415000001</v>
      </c>
      <c r="B13" s="1" t="s">
        <v>160</v>
      </c>
      <c r="C13" s="1">
        <v>8.9949999999999992</v>
      </c>
      <c r="D13" s="1">
        <v>5.0000000000000001E-3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 t="s">
        <v>42</v>
      </c>
      <c r="AA13" s="1" t="s">
        <v>122</v>
      </c>
    </row>
    <row r="14" spans="1:27" ht="18" customHeight="1" x14ac:dyDescent="0.25">
      <c r="A14" s="1">
        <v>2451288.3275000001</v>
      </c>
      <c r="B14" s="1" t="s">
        <v>161</v>
      </c>
      <c r="C14" s="1">
        <v>9.0350000000000001</v>
      </c>
      <c r="D14" s="1">
        <v>3.5000000000000003E-2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 t="s">
        <v>42</v>
      </c>
      <c r="AA14" s="1" t="s">
        <v>122</v>
      </c>
    </row>
    <row r="15" spans="1:27" ht="18" customHeight="1" x14ac:dyDescent="0.25">
      <c r="A15" s="1">
        <v>2451576.3689999999</v>
      </c>
      <c r="B15" s="1" t="s">
        <v>162</v>
      </c>
      <c r="C15" s="1">
        <v>10.365</v>
      </c>
      <c r="D15" s="1">
        <v>5.0000000000000001E-3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 t="s">
        <v>42</v>
      </c>
      <c r="AA15" s="1" t="s">
        <v>122</v>
      </c>
    </row>
    <row r="16" spans="1:27" ht="18" customHeight="1" x14ac:dyDescent="0.25">
      <c r="A16" s="1">
        <v>2451581.4284999999</v>
      </c>
      <c r="B16" s="1" t="s">
        <v>163</v>
      </c>
      <c r="C16" s="1">
        <v>10.324999999999999</v>
      </c>
      <c r="D16" s="1">
        <v>3.5000000000000003E-2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 t="s">
        <v>42</v>
      </c>
      <c r="AA16" s="1" t="s">
        <v>122</v>
      </c>
    </row>
    <row r="17" spans="1:27" ht="18" customHeight="1" x14ac:dyDescent="0.25">
      <c r="A17" s="1">
        <v>2451585.2714999998</v>
      </c>
      <c r="B17" s="1" t="s">
        <v>164</v>
      </c>
      <c r="C17" s="1">
        <v>10.29</v>
      </c>
      <c r="D17" s="1"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 t="s">
        <v>42</v>
      </c>
      <c r="AA17" s="1" t="s">
        <v>122</v>
      </c>
    </row>
    <row r="18" spans="1:27" ht="18" customHeight="1" x14ac:dyDescent="0.25">
      <c r="A18" s="1">
        <v>2451602.4550000001</v>
      </c>
      <c r="B18" s="1" t="s">
        <v>165</v>
      </c>
      <c r="C18" s="1">
        <v>10.105</v>
      </c>
      <c r="D18" s="1">
        <v>5.0000000000000001E-3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 t="s">
        <v>42</v>
      </c>
      <c r="AA18" s="1" t="s">
        <v>122</v>
      </c>
    </row>
    <row r="19" spans="1:27" ht="18" customHeight="1" x14ac:dyDescent="0.25">
      <c r="A19" s="1">
        <v>2451608.4109999998</v>
      </c>
      <c r="B19" s="1" t="s">
        <v>166</v>
      </c>
      <c r="C19" s="1">
        <v>10.045</v>
      </c>
      <c r="D19" s="1">
        <v>5.0000000000000001E-3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 t="s">
        <v>42</v>
      </c>
      <c r="AA19" s="1" t="s">
        <v>122</v>
      </c>
    </row>
    <row r="20" spans="1:27" ht="18" customHeight="1" x14ac:dyDescent="0.25">
      <c r="A20" s="1">
        <v>2451614.341</v>
      </c>
      <c r="B20" s="1" t="s">
        <v>167</v>
      </c>
      <c r="C20" s="1">
        <v>9.94</v>
      </c>
      <c r="D20" s="1">
        <v>0.01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 t="s">
        <v>42</v>
      </c>
      <c r="AA20" s="1" t="s">
        <v>122</v>
      </c>
    </row>
    <row r="21" spans="1:27" ht="18" customHeight="1" x14ac:dyDescent="0.25">
      <c r="A21" s="1">
        <v>2451616.36</v>
      </c>
      <c r="B21" s="1" t="s">
        <v>168</v>
      </c>
      <c r="C21" s="1">
        <v>9.9499999999999993</v>
      </c>
      <c r="D21" s="1"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 t="s">
        <v>42</v>
      </c>
      <c r="AA21" s="1" t="s">
        <v>122</v>
      </c>
    </row>
    <row r="22" spans="1:27" ht="18" customHeight="1" x14ac:dyDescent="0.25">
      <c r="A22" s="1">
        <v>2451626.8739999998</v>
      </c>
      <c r="B22" s="1" t="s">
        <v>169</v>
      </c>
      <c r="C22" s="1">
        <v>9.6675000000000004</v>
      </c>
      <c r="D22" s="1">
        <v>4.8196999999999997E-2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 t="s">
        <v>42</v>
      </c>
      <c r="AA22" s="1" t="s">
        <v>122</v>
      </c>
    </row>
    <row r="23" spans="1:27" ht="18" customHeight="1" x14ac:dyDescent="0.25">
      <c r="A23" s="1">
        <v>2451630.3689999999</v>
      </c>
      <c r="B23" s="1" t="s">
        <v>170</v>
      </c>
      <c r="C23" s="1">
        <v>9.5299999999999994</v>
      </c>
      <c r="D23" s="1">
        <v>0.02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 t="s">
        <v>42</v>
      </c>
      <c r="AA23" s="1" t="s">
        <v>122</v>
      </c>
    </row>
    <row r="24" spans="1:27" ht="18" customHeight="1" x14ac:dyDescent="0.25">
      <c r="A24" s="1">
        <v>2451637.3420000002</v>
      </c>
      <c r="B24" s="1" t="s">
        <v>171</v>
      </c>
      <c r="C24" s="1">
        <v>9.3699999999999992</v>
      </c>
      <c r="D24" s="1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 t="s">
        <v>42</v>
      </c>
      <c r="AA24" s="1" t="s">
        <v>122</v>
      </c>
    </row>
    <row r="25" spans="1:27" ht="18" customHeight="1" x14ac:dyDescent="0.25">
      <c r="A25" s="1">
        <v>2451643.3130000001</v>
      </c>
      <c r="B25" s="1" t="s">
        <v>172</v>
      </c>
      <c r="C25" s="1">
        <v>9.2550000000000008</v>
      </c>
      <c r="D25" s="1">
        <v>5.0000000000000001E-3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 t="s">
        <v>42</v>
      </c>
      <c r="AA25" s="1" t="s">
        <v>122</v>
      </c>
    </row>
    <row r="26" spans="1:27" ht="18" customHeight="1" x14ac:dyDescent="0.25">
      <c r="A26" s="1">
        <v>2451655.3059999999</v>
      </c>
      <c r="B26" s="1" t="s">
        <v>173</v>
      </c>
      <c r="C26" s="1">
        <v>8.7200000000000006</v>
      </c>
      <c r="D26" s="1">
        <v>0.01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 t="s">
        <v>42</v>
      </c>
      <c r="AA26" s="1" t="s">
        <v>122</v>
      </c>
    </row>
    <row r="27" spans="1:27" ht="18" customHeight="1" x14ac:dyDescent="0.25">
      <c r="A27" s="1">
        <v>2451656.3059999999</v>
      </c>
      <c r="B27" s="1" t="s">
        <v>174</v>
      </c>
      <c r="C27" s="1">
        <v>8.6050000000000004</v>
      </c>
      <c r="D27" s="1">
        <v>1.4999999999999999E-2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 t="s">
        <v>42</v>
      </c>
      <c r="AA27" s="1" t="s">
        <v>122</v>
      </c>
    </row>
    <row r="28" spans="1:27" ht="18" customHeight="1" x14ac:dyDescent="0.25">
      <c r="A28" s="1">
        <v>2451657.37</v>
      </c>
      <c r="B28" s="1" t="s">
        <v>175</v>
      </c>
      <c r="C28" s="1">
        <v>8.65</v>
      </c>
      <c r="D28" s="1"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2451667.3229999999</v>
      </c>
      <c r="B29" s="1" t="s">
        <v>176</v>
      </c>
      <c r="C29" s="1">
        <v>8.4550000000000001</v>
      </c>
      <c r="D29" s="1">
        <v>1.4999999999999999E-2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2451839.4759999998</v>
      </c>
      <c r="B30" s="1" t="s">
        <v>177</v>
      </c>
      <c r="C30" s="1">
        <v>10.445</v>
      </c>
      <c r="D30" s="1">
        <v>5.0000000000000001E-3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2451866.4530000002</v>
      </c>
      <c r="B31" s="1" t="s">
        <v>178</v>
      </c>
      <c r="C31" s="1">
        <v>10.58</v>
      </c>
      <c r="D31" s="1"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2451869.3879999998</v>
      </c>
      <c r="B32" s="1" t="s">
        <v>179</v>
      </c>
      <c r="C32" s="1">
        <v>10.54</v>
      </c>
      <c r="D32" s="1"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2451885.4029999999</v>
      </c>
      <c r="B33" s="1" t="s">
        <v>180</v>
      </c>
      <c r="C33" s="1">
        <v>10.695</v>
      </c>
      <c r="D33" s="1">
        <v>5.0000000000000001E-3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2451899.423</v>
      </c>
      <c r="B34" s="1" t="s">
        <v>181</v>
      </c>
      <c r="C34" s="1">
        <v>10.775</v>
      </c>
      <c r="D34" s="1">
        <v>5.0000000000000001E-3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2451938.3650000002</v>
      </c>
      <c r="B35" s="1" t="s">
        <v>182</v>
      </c>
      <c r="C35" s="1">
        <v>10.685</v>
      </c>
      <c r="D35" s="1">
        <v>5.0000000000000001E-3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2451955.3160000001</v>
      </c>
      <c r="B36" s="1" t="s">
        <v>183</v>
      </c>
      <c r="C36" s="1">
        <v>10.605</v>
      </c>
      <c r="D36" s="1">
        <v>5.0000000000000001E-3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2451956.8659999999</v>
      </c>
      <c r="B37" s="1" t="s">
        <v>184</v>
      </c>
      <c r="C37" s="1">
        <v>10.592499999999999</v>
      </c>
      <c r="D37" s="1">
        <v>1.0307999999999999E-2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2451965.3930000002</v>
      </c>
      <c r="B38" s="1" t="s">
        <v>185</v>
      </c>
      <c r="C38" s="1">
        <v>10.56</v>
      </c>
      <c r="D38" s="1">
        <v>0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2451968.3930000002</v>
      </c>
      <c r="B39" s="1" t="s">
        <v>186</v>
      </c>
      <c r="C39" s="1">
        <v>10.55</v>
      </c>
      <c r="D39" s="1">
        <v>0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2451971.2859999998</v>
      </c>
      <c r="B40" s="1" t="s">
        <v>187</v>
      </c>
      <c r="C40" s="1">
        <v>10.48</v>
      </c>
      <c r="D40" s="1">
        <v>0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2451976.2620000001</v>
      </c>
      <c r="B41" s="1" t="s">
        <v>188</v>
      </c>
      <c r="C41" s="1">
        <v>10.404999999999999</v>
      </c>
      <c r="D41" s="1">
        <v>5.0000000000000001E-3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2451987.3149999999</v>
      </c>
      <c r="B42" s="1" t="s">
        <v>189</v>
      </c>
      <c r="C42" s="1">
        <v>10.305</v>
      </c>
      <c r="D42" s="1">
        <v>5.0000000000000001E-3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2451997.2960000001</v>
      </c>
      <c r="B43" s="1" t="s">
        <v>190</v>
      </c>
      <c r="C43" s="1">
        <v>10.255000000000001</v>
      </c>
      <c r="D43" s="1">
        <v>5.0000000000000001E-3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2452002.3459999999</v>
      </c>
      <c r="B44" s="1" t="s">
        <v>191</v>
      </c>
      <c r="C44" s="1">
        <v>10.09</v>
      </c>
      <c r="D44" s="1">
        <v>0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2452004.298</v>
      </c>
      <c r="B45" s="1" t="s">
        <v>192</v>
      </c>
      <c r="C45" s="1">
        <v>10.045</v>
      </c>
      <c r="D45" s="1">
        <v>5.0000000000000001E-3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2452016.3190000001</v>
      </c>
      <c r="B46" s="1" t="s">
        <v>193</v>
      </c>
      <c r="C46" s="1">
        <v>9.98</v>
      </c>
      <c r="D46" s="1">
        <v>0.01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2452229.4761000001</v>
      </c>
      <c r="B47" s="1" t="s">
        <v>194</v>
      </c>
      <c r="C47" s="1">
        <v>9.93</v>
      </c>
      <c r="D47" s="1">
        <v>2.1080000000000001E-3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2452251.4652</v>
      </c>
      <c r="B48" s="1" t="s">
        <v>195</v>
      </c>
      <c r="C48" s="1">
        <v>10.145</v>
      </c>
      <c r="D48" s="1">
        <v>3.0730000000000002E-3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2452253.35133</v>
      </c>
      <c r="B49" s="1" t="s">
        <v>196</v>
      </c>
      <c r="C49" s="1">
        <v>10.148332999999999</v>
      </c>
      <c r="D49" s="1">
        <v>4.0140000000000002E-3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2452257.33079</v>
      </c>
      <c r="B50" s="1" t="s">
        <v>197</v>
      </c>
      <c r="C50" s="1">
        <v>10.192500000000001</v>
      </c>
      <c r="D50" s="1">
        <v>2.5000000000000001E-3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2452258.3823699998</v>
      </c>
      <c r="B51" s="1" t="s">
        <v>198</v>
      </c>
      <c r="C51" s="1">
        <v>10.179333</v>
      </c>
      <c r="D51" s="1">
        <v>3.4459999999999998E-3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2452259.3884999999</v>
      </c>
      <c r="B52" s="1" t="s">
        <v>199</v>
      </c>
      <c r="C52" s="1">
        <v>9.5500000000000007</v>
      </c>
      <c r="D52" s="1">
        <v>0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2452264.4668399999</v>
      </c>
      <c r="B53" s="1" t="s">
        <v>200</v>
      </c>
      <c r="C53" s="1">
        <v>10.239375000000001</v>
      </c>
      <c r="D53" s="1">
        <v>1.8719E-2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2452267.3717399999</v>
      </c>
      <c r="B54" s="1" t="s">
        <v>201</v>
      </c>
      <c r="C54" s="1">
        <v>10.278888999999999</v>
      </c>
      <c r="D54" s="1">
        <v>2.003E-3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2452267.3783800001</v>
      </c>
      <c r="B55" s="1" t="s">
        <v>201</v>
      </c>
      <c r="C55" s="1">
        <v>10.28</v>
      </c>
      <c r="D55" s="1">
        <v>2.5820000000000001E-3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2452278.46111</v>
      </c>
      <c r="B56" s="1" t="s">
        <v>202</v>
      </c>
      <c r="C56" s="1">
        <v>10.325333000000001</v>
      </c>
      <c r="D56" s="1">
        <v>1.333E-3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2452297.4000499998</v>
      </c>
      <c r="B57" s="1" t="s">
        <v>203</v>
      </c>
      <c r="C57" s="1">
        <v>10.378667</v>
      </c>
      <c r="D57" s="1">
        <v>1.652E-3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2452306.3508799998</v>
      </c>
      <c r="B58" s="1" t="s">
        <v>204</v>
      </c>
      <c r="C58" s="1">
        <v>10.404667</v>
      </c>
      <c r="D58" s="1">
        <v>1.652E-3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2452310.3733399999</v>
      </c>
      <c r="B59" s="1" t="s">
        <v>205</v>
      </c>
      <c r="C59" s="1">
        <v>10.386666999999999</v>
      </c>
      <c r="D59" s="1">
        <v>1.2600000000000001E-3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2452320.96679</v>
      </c>
      <c r="B60" s="1" t="s">
        <v>206</v>
      </c>
      <c r="C60" s="1">
        <v>10.360714</v>
      </c>
      <c r="D60" s="1">
        <v>1.8489999999999999E-3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2454008.7000000002</v>
      </c>
      <c r="B61" s="1" t="s">
        <v>207</v>
      </c>
      <c r="C61" s="1">
        <v>8.4</v>
      </c>
      <c r="D61" s="1">
        <v>0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2454389.5380000002</v>
      </c>
      <c r="B62" s="1" t="s">
        <v>208</v>
      </c>
      <c r="C62" s="1">
        <v>8.1349999999999998</v>
      </c>
      <c r="D62" s="1">
        <v>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2454408.0938499998</v>
      </c>
      <c r="B63" s="1" t="s">
        <v>209</v>
      </c>
      <c r="C63" s="1">
        <v>7.6760000000000002</v>
      </c>
      <c r="D63" s="1">
        <v>1.4999999999999999E-2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2454417.4720000001</v>
      </c>
      <c r="B64" s="1" t="s">
        <v>210</v>
      </c>
      <c r="C64" s="1">
        <v>7.5519999999999996</v>
      </c>
      <c r="D64" s="1">
        <v>0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2454837.4622399998</v>
      </c>
      <c r="B65" s="1" t="s">
        <v>211</v>
      </c>
      <c r="C65" s="1">
        <v>7.7380000000000004</v>
      </c>
      <c r="D65" s="1">
        <v>0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2454886.4753200002</v>
      </c>
      <c r="B66" s="1" t="s">
        <v>212</v>
      </c>
      <c r="C66" s="1">
        <v>7.952</v>
      </c>
      <c r="D66" s="1">
        <v>0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2454892.4846399999</v>
      </c>
      <c r="B67" s="1" t="s">
        <v>213</v>
      </c>
      <c r="C67" s="1">
        <v>7.9269999999999996</v>
      </c>
      <c r="D67" s="1">
        <v>0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2455178.9655200001</v>
      </c>
      <c r="B68" s="1" t="s">
        <v>214</v>
      </c>
      <c r="C68" s="1">
        <v>7.9269999999999996</v>
      </c>
      <c r="D68" s="1">
        <v>0.01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2455183.4478600002</v>
      </c>
      <c r="B69" s="1" t="s">
        <v>215</v>
      </c>
      <c r="C69" s="1">
        <v>7.7679999999999998</v>
      </c>
      <c r="D69" s="1">
        <v>0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2455184.44894</v>
      </c>
      <c r="B70" s="1" t="s">
        <v>216</v>
      </c>
      <c r="C70" s="1">
        <v>7.7069999999999999</v>
      </c>
      <c r="D70" s="1">
        <v>0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2455188.4539299998</v>
      </c>
      <c r="B71" s="1" t="s">
        <v>217</v>
      </c>
      <c r="C71" s="1">
        <v>7.6079999999999997</v>
      </c>
      <c r="D71" s="1">
        <v>0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2455199.91145</v>
      </c>
      <c r="B72" s="1" t="s">
        <v>218</v>
      </c>
      <c r="C72" s="1">
        <v>7.7619999999999996</v>
      </c>
      <c r="D72" s="1">
        <v>0.39800000000000002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2455417.6129999999</v>
      </c>
      <c r="B73" s="1" t="s">
        <v>219</v>
      </c>
      <c r="C73" s="1">
        <v>10</v>
      </c>
      <c r="D73" s="1">
        <v>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2455420.6039999998</v>
      </c>
      <c r="B74" s="1" t="s">
        <v>220</v>
      </c>
      <c r="C74" s="1">
        <v>10</v>
      </c>
      <c r="D74" s="1">
        <v>0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2455424.6009999998</v>
      </c>
      <c r="B75" s="1" t="s">
        <v>221</v>
      </c>
      <c r="C75" s="1">
        <v>10</v>
      </c>
      <c r="D75" s="1">
        <v>0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2455426.6170000001</v>
      </c>
      <c r="B76" s="1" t="s">
        <v>222</v>
      </c>
      <c r="C76" s="1">
        <v>10</v>
      </c>
      <c r="D76" s="1">
        <v>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2455429.6239999998</v>
      </c>
      <c r="B77" s="1" t="s">
        <v>223</v>
      </c>
      <c r="C77" s="1">
        <v>10</v>
      </c>
      <c r="D77" s="1">
        <v>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2455431.6269999999</v>
      </c>
      <c r="B78" s="1" t="s">
        <v>224</v>
      </c>
      <c r="C78" s="1">
        <v>10</v>
      </c>
      <c r="D78" s="1">
        <v>0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2455433.6460000002</v>
      </c>
      <c r="B79" s="1" t="s">
        <v>225</v>
      </c>
      <c r="C79" s="1">
        <v>10.1</v>
      </c>
      <c r="D79" s="1">
        <v>0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2455440.5780000002</v>
      </c>
      <c r="B80" s="1" t="s">
        <v>226</v>
      </c>
      <c r="C80" s="1">
        <v>10.1</v>
      </c>
      <c r="D80" s="1">
        <v>0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2455443.628</v>
      </c>
      <c r="B81" s="1" t="s">
        <v>227</v>
      </c>
      <c r="C81" s="1">
        <v>10.1</v>
      </c>
      <c r="D81" s="1">
        <v>0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2455451.5219999999</v>
      </c>
      <c r="B82" s="1" t="s">
        <v>228</v>
      </c>
      <c r="C82" s="1">
        <v>10.1</v>
      </c>
      <c r="D82" s="1">
        <v>0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2455453.5249999999</v>
      </c>
      <c r="B83" s="1" t="s">
        <v>229</v>
      </c>
      <c r="C83" s="1">
        <v>10.1</v>
      </c>
      <c r="D83" s="1">
        <v>0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2455455.5839999998</v>
      </c>
      <c r="B84" s="1" t="s">
        <v>230</v>
      </c>
      <c r="C84" s="1">
        <v>10.1</v>
      </c>
      <c r="D84" s="1">
        <v>0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2455459.5869999998</v>
      </c>
      <c r="B85" s="1" t="s">
        <v>231</v>
      </c>
      <c r="C85" s="1">
        <v>10.1</v>
      </c>
      <c r="D85" s="1">
        <v>0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2455875.95811</v>
      </c>
      <c r="B86" s="1" t="s">
        <v>232</v>
      </c>
      <c r="C86" s="1">
        <v>10.023999999999999</v>
      </c>
      <c r="D86" s="1">
        <v>0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2455893.3993500001</v>
      </c>
      <c r="B87" s="1" t="s">
        <v>233</v>
      </c>
      <c r="C87" s="1">
        <v>9.8025000000000002</v>
      </c>
      <c r="D87" s="1">
        <v>1.15E-2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2455985.6680000001</v>
      </c>
      <c r="B88" s="1" t="s">
        <v>234</v>
      </c>
      <c r="C88" s="1">
        <v>8.06</v>
      </c>
      <c r="D88" s="1">
        <v>0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2455989.7077500001</v>
      </c>
      <c r="B89" s="1" t="s">
        <v>235</v>
      </c>
      <c r="C89" s="1">
        <v>8.0649999999999995</v>
      </c>
      <c r="D89" s="1">
        <v>0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2456000.70829</v>
      </c>
      <c r="B90" s="1" t="s">
        <v>236</v>
      </c>
      <c r="C90" s="1">
        <v>7.7839999999999998</v>
      </c>
      <c r="D90" s="1">
        <v>0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2456008.7179899998</v>
      </c>
      <c r="B91" s="1" t="s">
        <v>237</v>
      </c>
      <c r="C91" s="1">
        <v>7.7619999999999996</v>
      </c>
      <c r="D91" s="1">
        <v>0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2456013.6632500002</v>
      </c>
      <c r="B92" s="1" t="s">
        <v>238</v>
      </c>
      <c r="C92" s="1">
        <v>7.6230000000000002</v>
      </c>
      <c r="D92" s="1">
        <v>0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2456019.6858899998</v>
      </c>
      <c r="B93" s="1" t="s">
        <v>239</v>
      </c>
      <c r="C93" s="1">
        <v>7.6959999999999997</v>
      </c>
      <c r="D93" s="1">
        <v>0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2456210.9949099999</v>
      </c>
      <c r="B94" s="1" t="s">
        <v>240</v>
      </c>
      <c r="C94" s="1">
        <v>9.7080000000000002</v>
      </c>
      <c r="D94" s="1">
        <v>0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2456219.9332300001</v>
      </c>
      <c r="B95" s="1" t="s">
        <v>241</v>
      </c>
      <c r="C95" s="1">
        <v>9.8970000000000002</v>
      </c>
      <c r="D95" s="1">
        <v>0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2456226.7571800002</v>
      </c>
      <c r="B96" s="1" t="s">
        <v>242</v>
      </c>
      <c r="C96" s="1">
        <v>9.827</v>
      </c>
      <c r="D96" s="1">
        <v>0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2456238.9056099998</v>
      </c>
      <c r="B97" s="1" t="s">
        <v>243</v>
      </c>
      <c r="C97" s="1">
        <v>9.8670000000000009</v>
      </c>
      <c r="D97" s="1">
        <v>0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2456250.7223399999</v>
      </c>
      <c r="B98" s="1" t="s">
        <v>244</v>
      </c>
      <c r="C98" s="1">
        <v>9.8290000000000006</v>
      </c>
      <c r="D98" s="1">
        <v>0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2456256.9292199998</v>
      </c>
      <c r="B99" s="1" t="s">
        <v>245</v>
      </c>
      <c r="C99" s="1">
        <v>9.8879999999999999</v>
      </c>
      <c r="D99" s="1">
        <v>0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2456274.41353</v>
      </c>
      <c r="B100" s="1" t="s">
        <v>246</v>
      </c>
      <c r="C100" s="1">
        <v>9.64</v>
      </c>
      <c r="D100" s="1">
        <v>0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2456278.7317499998</v>
      </c>
      <c r="B101" s="1" t="s">
        <v>247</v>
      </c>
      <c r="C101" s="1">
        <v>9.7850000000000001</v>
      </c>
      <c r="D101" s="1">
        <v>0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2456290.7103800001</v>
      </c>
      <c r="B102" s="1" t="s">
        <v>248</v>
      </c>
      <c r="C102" s="1">
        <v>9.6259999999999994</v>
      </c>
      <c r="D102" s="1">
        <v>0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2456297.69545</v>
      </c>
      <c r="B103" s="1" t="s">
        <v>249</v>
      </c>
      <c r="C103" s="1">
        <v>9.6144999999999996</v>
      </c>
      <c r="D103" s="1">
        <v>8.1500000000000003E-2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2456309.76058</v>
      </c>
      <c r="B104" s="1" t="s">
        <v>250</v>
      </c>
      <c r="C104" s="1">
        <v>9.4939999999999998</v>
      </c>
      <c r="D104" s="1">
        <v>0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2456314.56556</v>
      </c>
      <c r="B105" s="1" t="s">
        <v>251</v>
      </c>
      <c r="C105" s="1">
        <v>9.48</v>
      </c>
      <c r="D105" s="1">
        <v>0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2456320.5742600001</v>
      </c>
      <c r="B106" s="1" t="s">
        <v>252</v>
      </c>
      <c r="C106" s="1">
        <v>9.3049999999999997</v>
      </c>
      <c r="D106" s="1">
        <v>0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2456326.65069</v>
      </c>
      <c r="B107" s="1" t="s">
        <v>253</v>
      </c>
      <c r="C107" s="1">
        <v>9.3059999999999992</v>
      </c>
      <c r="D107" s="1">
        <v>0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2456339.6027000002</v>
      </c>
      <c r="B108" s="1" t="s">
        <v>254</v>
      </c>
      <c r="C108" s="1">
        <v>9.2119999999999997</v>
      </c>
      <c r="D108" s="1">
        <v>0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2456349.6134600001</v>
      </c>
      <c r="B109" s="1" t="s">
        <v>255</v>
      </c>
      <c r="C109" s="1">
        <v>8.8650000000000002</v>
      </c>
      <c r="D109" s="1">
        <v>0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2456354.6412499999</v>
      </c>
      <c r="B110" s="1" t="s">
        <v>256</v>
      </c>
      <c r="C110" s="1">
        <v>8.8960000000000008</v>
      </c>
      <c r="D110" s="1">
        <v>0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2456364.611</v>
      </c>
      <c r="B111" s="1" t="s">
        <v>257</v>
      </c>
      <c r="C111" s="1">
        <v>8.6039999999999992</v>
      </c>
      <c r="D111" s="1">
        <v>0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2456370.5921399998</v>
      </c>
      <c r="B112" s="1" t="s">
        <v>258</v>
      </c>
      <c r="C112" s="1">
        <v>8.4220000000000006</v>
      </c>
      <c r="D112" s="1">
        <v>0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2456377.5916200001</v>
      </c>
      <c r="B113" s="1" t="s">
        <v>259</v>
      </c>
      <c r="C113" s="1">
        <v>8.26</v>
      </c>
      <c r="D113" s="1">
        <v>0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2456383.5989600001</v>
      </c>
      <c r="B114" s="1" t="s">
        <v>260</v>
      </c>
      <c r="C114" s="1">
        <v>8.06</v>
      </c>
      <c r="D114" s="1">
        <v>0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2456387.5985599998</v>
      </c>
      <c r="B115" s="1" t="s">
        <v>261</v>
      </c>
      <c r="C115" s="1">
        <v>7.9720000000000004</v>
      </c>
      <c r="D115" s="1">
        <v>0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2456399.6089499998</v>
      </c>
      <c r="B116" s="1" t="s">
        <v>262</v>
      </c>
      <c r="C116" s="1">
        <v>7.7649999999999997</v>
      </c>
      <c r="D116" s="1">
        <v>0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2456413.6148700002</v>
      </c>
      <c r="B117" s="1" t="s">
        <v>263</v>
      </c>
      <c r="C117" s="1">
        <v>7.7469999999999999</v>
      </c>
      <c r="D117" s="1">
        <v>0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2456429.62127</v>
      </c>
      <c r="B118" s="1" t="s">
        <v>264</v>
      </c>
      <c r="C118" s="1">
        <v>7.875</v>
      </c>
      <c r="D118" s="1">
        <v>0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2456512.9756900002</v>
      </c>
      <c r="B119" s="1" t="s">
        <v>265</v>
      </c>
      <c r="C119" s="1">
        <v>8.7650000000000006</v>
      </c>
      <c r="D119" s="1">
        <v>0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2456536.9747600001</v>
      </c>
      <c r="B120" s="1" t="s">
        <v>266</v>
      </c>
      <c r="C120" s="1">
        <v>9.1150000000000002</v>
      </c>
      <c r="D120" s="1">
        <v>0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2456677.3973300001</v>
      </c>
      <c r="B121" s="1" t="s">
        <v>267</v>
      </c>
      <c r="C121" s="1">
        <v>10.164</v>
      </c>
      <c r="D121" s="1">
        <v>0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2457049.5513900002</v>
      </c>
      <c r="B122" s="1" t="s">
        <v>268</v>
      </c>
      <c r="C122" s="1">
        <v>10.292</v>
      </c>
      <c r="D122" s="1">
        <v>0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2457075.5451400001</v>
      </c>
      <c r="B123" s="1" t="s">
        <v>269</v>
      </c>
      <c r="C123" s="1">
        <v>10.143000000000001</v>
      </c>
      <c r="D123" s="1">
        <v>0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2457376.5137900002</v>
      </c>
      <c r="B124" s="1" t="s">
        <v>270</v>
      </c>
      <c r="C124" s="1">
        <v>9.7050000000000001</v>
      </c>
      <c r="D124" s="1">
        <v>0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2457395.5406499999</v>
      </c>
      <c r="B125" s="1" t="s">
        <v>271</v>
      </c>
      <c r="C125" s="1">
        <v>9.8960000000000008</v>
      </c>
      <c r="D125" s="1">
        <v>0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2457412.4947799998</v>
      </c>
      <c r="B126" s="1" t="s">
        <v>272</v>
      </c>
      <c r="C126" s="1">
        <v>9.9689999999999994</v>
      </c>
      <c r="D126" s="1">
        <v>0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2457436.5576200001</v>
      </c>
      <c r="B127" s="1" t="s">
        <v>273</v>
      </c>
      <c r="C127" s="1">
        <v>10.191000000000001</v>
      </c>
      <c r="D127" s="1">
        <v>0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2457464.5313300001</v>
      </c>
      <c r="B128" s="1" t="s">
        <v>274</v>
      </c>
      <c r="C128" s="1">
        <v>10.039</v>
      </c>
      <c r="D128" s="1">
        <v>0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2457477.53681</v>
      </c>
      <c r="B129" s="1" t="s">
        <v>275</v>
      </c>
      <c r="C129" s="1">
        <v>9.9019999999999992</v>
      </c>
      <c r="D129" s="1">
        <v>0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2457491.5514500001</v>
      </c>
      <c r="B130" s="1" t="s">
        <v>276</v>
      </c>
      <c r="C130" s="1">
        <v>9.6959999999999997</v>
      </c>
      <c r="D130" s="1">
        <v>0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2457755.5218199999</v>
      </c>
      <c r="B131" s="1" t="s">
        <v>277</v>
      </c>
      <c r="C131" s="1">
        <v>9.6690000000000005</v>
      </c>
      <c r="D131" s="1">
        <v>0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2457758.5937800002</v>
      </c>
      <c r="B132" s="1" t="s">
        <v>278</v>
      </c>
      <c r="C132" s="1">
        <v>9.8490000000000002</v>
      </c>
      <c r="D132" s="1">
        <v>0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2457767.4868999999</v>
      </c>
      <c r="B133" s="1" t="s">
        <v>279</v>
      </c>
      <c r="C133" s="1">
        <v>9.7739999999999991</v>
      </c>
      <c r="D133" s="1">
        <v>0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42">
        <v>2457778.2180400002</v>
      </c>
      <c r="B134" s="42" t="s">
        <v>934</v>
      </c>
      <c r="C134" s="42">
        <v>10.118181999999999</v>
      </c>
      <c r="D134" s="42">
        <v>6.2983999999999998E-2</v>
      </c>
      <c r="E134" s="1" t="s">
        <v>968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42">
        <v>2457796.5404699999</v>
      </c>
      <c r="B135" s="42" t="s">
        <v>935</v>
      </c>
      <c r="C135" s="42">
        <v>10.227273</v>
      </c>
      <c r="D135" s="42">
        <v>7.5186000000000003E-2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42">
        <v>2457807.0230800002</v>
      </c>
      <c r="B136" s="42" t="s">
        <v>936</v>
      </c>
      <c r="C136" s="42">
        <v>10.222222</v>
      </c>
      <c r="D136" s="42">
        <v>6.4956E-2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42">
        <v>2457825.19545</v>
      </c>
      <c r="B137" s="42" t="s">
        <v>937</v>
      </c>
      <c r="C137" s="42">
        <v>10.326667</v>
      </c>
      <c r="D137" s="42">
        <v>5.3865999999999997E-2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42">
        <v>2457839.8533700001</v>
      </c>
      <c r="B138" s="42" t="s">
        <v>938</v>
      </c>
      <c r="C138" s="42">
        <v>10.45</v>
      </c>
      <c r="D138" s="42">
        <v>3.7314E-2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42">
        <v>2457855.8616499999</v>
      </c>
      <c r="B139" s="42" t="s">
        <v>939</v>
      </c>
      <c r="C139" s="42">
        <v>10.363636</v>
      </c>
      <c r="D139" s="42">
        <v>5.9195999999999999E-2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42">
        <v>2457869.7954600002</v>
      </c>
      <c r="B140" s="42" t="s">
        <v>940</v>
      </c>
      <c r="C140" s="42">
        <v>10.265000000000001</v>
      </c>
      <c r="D140" s="42">
        <v>7.3009000000000004E-2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42">
        <v>2457966.5819999999</v>
      </c>
      <c r="B141" s="42" t="s">
        <v>925</v>
      </c>
      <c r="C141" s="42">
        <v>9</v>
      </c>
      <c r="D141" s="42">
        <v>0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42">
        <v>2457980.8150999998</v>
      </c>
      <c r="B142" s="42" t="s">
        <v>941</v>
      </c>
      <c r="C142" s="42">
        <v>8.0749999999999993</v>
      </c>
      <c r="D142" s="42">
        <v>8.5390999999999995E-2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42">
        <v>2457993.3465300002</v>
      </c>
      <c r="B143" s="42" t="s">
        <v>927</v>
      </c>
      <c r="C143" s="42">
        <v>8.0846149999999994</v>
      </c>
      <c r="D143" s="42">
        <v>6.6838999999999996E-2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42">
        <v>2458011.9270799998</v>
      </c>
      <c r="B144" s="42" t="s">
        <v>942</v>
      </c>
      <c r="C144" s="42">
        <v>8.263636</v>
      </c>
      <c r="D144" s="42">
        <v>7.2954000000000005E-2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42">
        <v>2458027.7802499998</v>
      </c>
      <c r="B145" s="42" t="s">
        <v>943</v>
      </c>
      <c r="C145" s="42">
        <v>8.4538460000000004</v>
      </c>
      <c r="D145" s="42">
        <v>5.6176999999999998E-2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42">
        <v>2458044.9466400002</v>
      </c>
      <c r="B146" s="42" t="s">
        <v>944</v>
      </c>
      <c r="C146" s="42">
        <v>8.66</v>
      </c>
      <c r="D146" s="42">
        <v>7.4832999999999997E-2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42">
        <v>2458058.8644900001</v>
      </c>
      <c r="B147" s="42" t="s">
        <v>945</v>
      </c>
      <c r="C147" s="42">
        <v>8.8272729999999999</v>
      </c>
      <c r="D147" s="42">
        <v>7.9876000000000003E-2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42">
        <v>2458075.2210900001</v>
      </c>
      <c r="B148" s="42" t="s">
        <v>946</v>
      </c>
      <c r="C148" s="42">
        <v>9.1750000000000007</v>
      </c>
      <c r="D148" s="42">
        <v>0.10020800000000001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42">
        <v>2458089.8583399998</v>
      </c>
      <c r="B149" s="42" t="s">
        <v>947</v>
      </c>
      <c r="C149" s="42">
        <v>9.5416670000000003</v>
      </c>
      <c r="D149" s="42">
        <v>0.108333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42">
        <v>2458106.7400099998</v>
      </c>
      <c r="B150" s="42" t="s">
        <v>933</v>
      </c>
      <c r="C150" s="42">
        <v>9.766667</v>
      </c>
      <c r="D150" s="42">
        <v>5.8171E-2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42">
        <v>2458121.9915800001</v>
      </c>
      <c r="B151" s="42" t="s">
        <v>948</v>
      </c>
      <c r="C151" s="42">
        <v>10</v>
      </c>
      <c r="D151" s="42">
        <v>7.0710999999999996E-2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42">
        <v>2458136.63821</v>
      </c>
      <c r="B152" s="42" t="s">
        <v>949</v>
      </c>
      <c r="C152" s="42">
        <v>10.2875</v>
      </c>
      <c r="D152" s="42">
        <v>0.10763300000000001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42">
        <v>2458156.0366500001</v>
      </c>
      <c r="B153" s="42" t="s">
        <v>950</v>
      </c>
      <c r="C153" s="42">
        <v>10.02</v>
      </c>
      <c r="D153" s="42">
        <v>0.08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42">
        <v>2458168.48331</v>
      </c>
      <c r="B154" s="42" t="s">
        <v>951</v>
      </c>
      <c r="C154" s="42">
        <v>10.092307999999999</v>
      </c>
      <c r="D154" s="42">
        <v>4.4521999999999999E-2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42">
        <v>2458186.2038400001</v>
      </c>
      <c r="B155" s="42" t="s">
        <v>952</v>
      </c>
      <c r="C155" s="42">
        <v>10.126666999999999</v>
      </c>
      <c r="D155" s="42">
        <v>8.1920999999999994E-2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42">
        <v>2458201.2270900002</v>
      </c>
      <c r="B156" s="42" t="s">
        <v>953</v>
      </c>
      <c r="C156" s="42">
        <v>10.199999999999999</v>
      </c>
      <c r="D156" s="42">
        <v>6.5133999999999997E-2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42">
        <v>2458217.9925299999</v>
      </c>
      <c r="B157" s="42" t="s">
        <v>954</v>
      </c>
      <c r="C157" s="42">
        <v>10.282353000000001</v>
      </c>
      <c r="D157" s="42">
        <v>4.9435E-2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42">
        <v>2458233.0726000001</v>
      </c>
      <c r="B158" s="42" t="s">
        <v>955</v>
      </c>
      <c r="C158" s="42">
        <v>10.1</v>
      </c>
      <c r="D158" s="42">
        <v>0.15608900000000001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42">
        <v>2458244.3829999999</v>
      </c>
      <c r="B159" s="42" t="s">
        <v>956</v>
      </c>
      <c r="C159" s="42">
        <v>10.3</v>
      </c>
      <c r="D159" s="42">
        <v>0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42">
        <v>2458333.3763799998</v>
      </c>
      <c r="B160" s="42" t="s">
        <v>957</v>
      </c>
      <c r="C160" s="42">
        <v>9</v>
      </c>
      <c r="D160" s="42">
        <v>0.244949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42">
        <v>2458348.9237600002</v>
      </c>
      <c r="B161" s="42" t="s">
        <v>958</v>
      </c>
      <c r="C161" s="42">
        <v>8.4555559999999996</v>
      </c>
      <c r="D161" s="42">
        <v>6.8943000000000004E-2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42">
        <v>2458375.63509</v>
      </c>
      <c r="B162" s="42" t="s">
        <v>959</v>
      </c>
      <c r="C162" s="42">
        <v>8.0625</v>
      </c>
      <c r="D162" s="42">
        <v>0.114856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42">
        <v>2458391.3945300002</v>
      </c>
      <c r="B163" s="42" t="s">
        <v>960</v>
      </c>
      <c r="C163" s="42">
        <v>7.7909090000000001</v>
      </c>
      <c r="D163" s="42">
        <v>7.9147999999999996E-2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42">
        <v>2458406.21655</v>
      </c>
      <c r="B164" s="42" t="s">
        <v>961</v>
      </c>
      <c r="C164" s="42">
        <v>7.9318179999999998</v>
      </c>
      <c r="D164" s="42">
        <v>6.2897999999999996E-2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42">
        <v>2458424.1455999999</v>
      </c>
      <c r="B165" s="42" t="s">
        <v>962</v>
      </c>
      <c r="C165" s="42">
        <v>8.16</v>
      </c>
      <c r="D165" s="42">
        <v>7.7337000000000003E-2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42">
        <v>2458435.7269799998</v>
      </c>
      <c r="B166" s="42" t="s">
        <v>963</v>
      </c>
      <c r="C166" s="42">
        <v>8.33</v>
      </c>
      <c r="D166" s="42">
        <v>7.6467999999999994E-2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42">
        <v>2458455.1803799998</v>
      </c>
      <c r="B167" s="42" t="s">
        <v>964</v>
      </c>
      <c r="C167" s="42">
        <v>8.5352940000000004</v>
      </c>
      <c r="D167" s="42">
        <v>5.9372000000000001E-2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42">
        <v>2458470.26137</v>
      </c>
      <c r="B168" s="42" t="s">
        <v>965</v>
      </c>
      <c r="C168" s="42">
        <v>8.8066669999999991</v>
      </c>
      <c r="D168" s="42">
        <v>9.5352000000000006E-2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42">
        <v>2458486.4725100002</v>
      </c>
      <c r="B169" s="42" t="s">
        <v>966</v>
      </c>
      <c r="C169" s="42">
        <v>8.891667</v>
      </c>
      <c r="D169" s="42">
        <v>5.1431999999999999E-2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42">
        <v>2458501.3277799999</v>
      </c>
      <c r="B170" s="42" t="s">
        <v>967</v>
      </c>
      <c r="C170" s="42">
        <v>9.1</v>
      </c>
      <c r="D170" s="42">
        <v>0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D743"/>
  <sheetViews>
    <sheetView topLeftCell="A643" workbookViewId="0">
      <selection activeCell="F671" sqref="F671"/>
    </sheetView>
  </sheetViews>
  <sheetFormatPr baseColWidth="10" defaultRowHeight="15" x14ac:dyDescent="0.25"/>
  <cols>
    <col min="1" max="1" width="22.28515625" customWidth="1"/>
    <col min="2" max="2" width="17.42578125" customWidth="1"/>
  </cols>
  <sheetData>
    <row r="1" spans="1:4" x14ac:dyDescent="0.25">
      <c r="A1" s="1">
        <v>2434013.7000000002</v>
      </c>
      <c r="B1" s="1" t="s">
        <v>280</v>
      </c>
      <c r="C1" s="1">
        <v>8.9</v>
      </c>
      <c r="D1" s="1">
        <v>0</v>
      </c>
    </row>
    <row r="2" spans="1:4" x14ac:dyDescent="0.25">
      <c r="A2" s="1">
        <v>2435012.2999999998</v>
      </c>
      <c r="B2" s="1" t="s">
        <v>281</v>
      </c>
      <c r="C2" s="1">
        <v>10</v>
      </c>
      <c r="D2" s="1">
        <v>0.1</v>
      </c>
    </row>
    <row r="3" spans="1:4" x14ac:dyDescent="0.25">
      <c r="A3" s="1">
        <v>2435032.9</v>
      </c>
      <c r="B3" s="1" t="s">
        <v>282</v>
      </c>
      <c r="C3" s="1">
        <v>10.1</v>
      </c>
      <c r="D3" s="1">
        <v>0</v>
      </c>
    </row>
    <row r="4" spans="1:4" ht="30" x14ac:dyDescent="0.25">
      <c r="A4" s="1">
        <v>2435073.6</v>
      </c>
      <c r="B4" s="1" t="s">
        <v>283</v>
      </c>
      <c r="C4" s="1">
        <v>9.8000000000000007</v>
      </c>
      <c r="D4" s="1">
        <v>0</v>
      </c>
    </row>
    <row r="5" spans="1:4" x14ac:dyDescent="0.25">
      <c r="A5" s="1">
        <v>2435092.7000000002</v>
      </c>
      <c r="B5" s="1" t="s">
        <v>284</v>
      </c>
      <c r="C5" s="1">
        <v>9.5</v>
      </c>
      <c r="D5" s="1">
        <v>0.3</v>
      </c>
    </row>
    <row r="6" spans="1:4" x14ac:dyDescent="0.25">
      <c r="A6" s="1">
        <v>2435133.0499999998</v>
      </c>
      <c r="B6" s="1" t="s">
        <v>285</v>
      </c>
      <c r="C6" s="1">
        <v>9.0500000000000007</v>
      </c>
      <c r="D6" s="1">
        <v>0.05</v>
      </c>
    </row>
    <row r="7" spans="1:4" ht="30" x14ac:dyDescent="0.25">
      <c r="A7" s="1">
        <v>2435156.125</v>
      </c>
      <c r="B7" s="1" t="s">
        <v>286</v>
      </c>
      <c r="C7" s="1">
        <v>8.7249999999999996</v>
      </c>
      <c r="D7" s="1">
        <v>6.2914999999999999E-2</v>
      </c>
    </row>
    <row r="8" spans="1:4" ht="30" x14ac:dyDescent="0.25">
      <c r="A8" s="1">
        <v>2435181.1</v>
      </c>
      <c r="B8" s="1" t="s">
        <v>287</v>
      </c>
      <c r="C8" s="1">
        <v>8.35</v>
      </c>
      <c r="D8" s="1">
        <v>0.35</v>
      </c>
    </row>
    <row r="9" spans="1:4" ht="30" x14ac:dyDescent="0.25">
      <c r="A9" s="1">
        <v>2435193.1</v>
      </c>
      <c r="B9" s="1" t="s">
        <v>288</v>
      </c>
      <c r="C9" s="1">
        <v>8.7750000000000004</v>
      </c>
      <c r="D9" s="1">
        <v>4.7870999999999997E-2</v>
      </c>
    </row>
    <row r="10" spans="1:4" x14ac:dyDescent="0.25">
      <c r="A10" s="1">
        <v>2435210.6</v>
      </c>
      <c r="B10" s="1" t="s">
        <v>289</v>
      </c>
      <c r="C10" s="1">
        <v>8.6999999999999993</v>
      </c>
      <c r="D10" s="1">
        <v>0.1</v>
      </c>
    </row>
    <row r="11" spans="1:4" x14ac:dyDescent="0.25">
      <c r="A11" s="1">
        <v>2435229.6</v>
      </c>
      <c r="B11" s="1" t="s">
        <v>290</v>
      </c>
      <c r="C11" s="1">
        <v>8.9</v>
      </c>
      <c r="D11" s="1">
        <v>0</v>
      </c>
    </row>
    <row r="12" spans="1:4" ht="30" x14ac:dyDescent="0.25">
      <c r="A12" s="1">
        <v>2435347.7999999998</v>
      </c>
      <c r="B12" s="1" t="s">
        <v>291</v>
      </c>
      <c r="C12" s="1">
        <v>10.1</v>
      </c>
      <c r="D12" s="1">
        <v>0</v>
      </c>
    </row>
    <row r="13" spans="1:4" x14ac:dyDescent="0.25">
      <c r="A13" s="1">
        <v>2435395.25</v>
      </c>
      <c r="B13" s="1" t="s">
        <v>292</v>
      </c>
      <c r="C13" s="1">
        <v>10.199999999999999</v>
      </c>
      <c r="D13" s="1">
        <v>0.1</v>
      </c>
    </row>
    <row r="14" spans="1:4" ht="30" x14ac:dyDescent="0.25">
      <c r="A14" s="1">
        <v>2435431.2000000002</v>
      </c>
      <c r="B14" s="1" t="s">
        <v>293</v>
      </c>
      <c r="C14" s="1">
        <v>9.5</v>
      </c>
      <c r="D14" s="1">
        <v>0</v>
      </c>
    </row>
    <row r="15" spans="1:4" ht="30" x14ac:dyDescent="0.25">
      <c r="A15" s="1">
        <v>2435454.9333299999</v>
      </c>
      <c r="B15" s="1" t="s">
        <v>294</v>
      </c>
      <c r="C15" s="1">
        <v>9.233333</v>
      </c>
      <c r="D15" s="1">
        <v>0.14529700000000001</v>
      </c>
    </row>
    <row r="16" spans="1:4" x14ac:dyDescent="0.25">
      <c r="A16" s="1">
        <v>2435478.6</v>
      </c>
      <c r="B16" s="1" t="s">
        <v>295</v>
      </c>
      <c r="C16" s="1">
        <v>9.9</v>
      </c>
      <c r="D16" s="1">
        <v>0</v>
      </c>
    </row>
    <row r="17" spans="1:4" x14ac:dyDescent="0.25">
      <c r="A17" s="1">
        <v>2435511.6</v>
      </c>
      <c r="B17" s="1" t="s">
        <v>296</v>
      </c>
      <c r="C17" s="1">
        <v>9.3000000000000007</v>
      </c>
      <c r="D17" s="1">
        <v>0</v>
      </c>
    </row>
    <row r="18" spans="1:4" x14ac:dyDescent="0.25">
      <c r="A18" s="1">
        <v>2435532.6</v>
      </c>
      <c r="B18" s="1" t="s">
        <v>297</v>
      </c>
      <c r="C18" s="1">
        <v>8.8000000000000007</v>
      </c>
      <c r="D18" s="1">
        <v>0</v>
      </c>
    </row>
    <row r="19" spans="1:4" ht="30" x14ac:dyDescent="0.25">
      <c r="A19" s="1">
        <v>2435553.6</v>
      </c>
      <c r="B19" s="1" t="s">
        <v>298</v>
      </c>
      <c r="C19" s="1">
        <v>8.5</v>
      </c>
      <c r="D19" s="1">
        <v>0</v>
      </c>
    </row>
    <row r="20" spans="1:4" x14ac:dyDescent="0.25">
      <c r="A20" s="1">
        <v>2435567.1</v>
      </c>
      <c r="B20" s="1" t="s">
        <v>299</v>
      </c>
      <c r="C20" s="1">
        <v>8.5500000000000007</v>
      </c>
      <c r="D20" s="1">
        <v>0.05</v>
      </c>
    </row>
    <row r="21" spans="1:4" x14ac:dyDescent="0.25">
      <c r="A21" s="1">
        <v>2435839.6</v>
      </c>
      <c r="B21" s="1" t="s">
        <v>300</v>
      </c>
      <c r="C21" s="1">
        <v>9.9</v>
      </c>
      <c r="D21" s="1">
        <v>0</v>
      </c>
    </row>
    <row r="22" spans="1:4" x14ac:dyDescent="0.25">
      <c r="A22" s="1">
        <v>2435896.1</v>
      </c>
      <c r="B22" s="1" t="s">
        <v>301</v>
      </c>
      <c r="C22" s="1">
        <v>9.75</v>
      </c>
      <c r="D22" s="1">
        <v>0.05</v>
      </c>
    </row>
    <row r="23" spans="1:4" ht="30" x14ac:dyDescent="0.25">
      <c r="A23" s="1">
        <v>2435919.6</v>
      </c>
      <c r="B23" s="1" t="s">
        <v>302</v>
      </c>
      <c r="C23" s="1">
        <v>9.4</v>
      </c>
      <c r="D23" s="1">
        <v>0</v>
      </c>
    </row>
    <row r="24" spans="1:4" x14ac:dyDescent="0.25">
      <c r="A24" s="1">
        <v>2435934.6</v>
      </c>
      <c r="B24" s="1" t="s">
        <v>303</v>
      </c>
      <c r="C24" s="1">
        <v>8.75</v>
      </c>
      <c r="D24" s="1">
        <v>0.15</v>
      </c>
    </row>
    <row r="25" spans="1:4" x14ac:dyDescent="0.25">
      <c r="A25" s="1">
        <v>2435958.6</v>
      </c>
      <c r="B25" s="1" t="s">
        <v>304</v>
      </c>
      <c r="C25" s="1">
        <v>8.5</v>
      </c>
      <c r="D25" s="1">
        <v>0</v>
      </c>
    </row>
    <row r="26" spans="1:4" x14ac:dyDescent="0.25">
      <c r="A26" s="1">
        <v>2436270.6</v>
      </c>
      <c r="B26" s="1" t="s">
        <v>305</v>
      </c>
      <c r="C26" s="1">
        <v>10</v>
      </c>
      <c r="D26" s="1">
        <v>0</v>
      </c>
    </row>
    <row r="27" spans="1:4" ht="30" x14ac:dyDescent="0.25">
      <c r="A27" s="1">
        <v>2438714.7000000002</v>
      </c>
      <c r="B27" s="1" t="s">
        <v>306</v>
      </c>
      <c r="C27" s="1">
        <v>8.8000000000000007</v>
      </c>
      <c r="D27" s="1">
        <v>0</v>
      </c>
    </row>
    <row r="28" spans="1:4" x14ac:dyDescent="0.25">
      <c r="A28" s="1">
        <v>2438750.6</v>
      </c>
      <c r="B28" s="1" t="s">
        <v>307</v>
      </c>
      <c r="C28" s="1">
        <v>9.4</v>
      </c>
      <c r="D28" s="1">
        <v>0</v>
      </c>
    </row>
    <row r="29" spans="1:4" x14ac:dyDescent="0.25">
      <c r="A29" s="1">
        <v>2438796.6</v>
      </c>
      <c r="B29" s="1" t="s">
        <v>308</v>
      </c>
      <c r="C29" s="1">
        <v>8.75</v>
      </c>
      <c r="D29" s="1">
        <v>0.15</v>
      </c>
    </row>
    <row r="30" spans="1:4" ht="30" x14ac:dyDescent="0.25">
      <c r="A30" s="1">
        <v>2438835.7000000002</v>
      </c>
      <c r="B30" s="1" t="s">
        <v>309</v>
      </c>
      <c r="C30" s="1">
        <v>8.5</v>
      </c>
      <c r="D30" s="1">
        <v>0</v>
      </c>
    </row>
    <row r="31" spans="1:4" x14ac:dyDescent="0.25">
      <c r="A31" s="1">
        <v>2438857.6</v>
      </c>
      <c r="B31" s="1" t="s">
        <v>310</v>
      </c>
      <c r="C31" s="1">
        <v>8.9</v>
      </c>
      <c r="D31" s="1">
        <v>0</v>
      </c>
    </row>
    <row r="32" spans="1:4" x14ac:dyDescent="0.25">
      <c r="A32" s="1">
        <v>2438961.9</v>
      </c>
      <c r="B32" s="1" t="s">
        <v>311</v>
      </c>
      <c r="C32" s="1">
        <v>9.3000000000000007</v>
      </c>
      <c r="D32" s="1">
        <v>0</v>
      </c>
    </row>
    <row r="33" spans="1:4" ht="30" x14ac:dyDescent="0.25">
      <c r="A33" s="1">
        <v>2438996.9</v>
      </c>
      <c r="B33" s="1" t="s">
        <v>312</v>
      </c>
      <c r="C33" s="1">
        <v>11</v>
      </c>
      <c r="D33" s="1">
        <v>0</v>
      </c>
    </row>
    <row r="34" spans="1:4" x14ac:dyDescent="0.25">
      <c r="A34" s="1">
        <v>2439030.9</v>
      </c>
      <c r="B34" s="1" t="s">
        <v>313</v>
      </c>
      <c r="C34" s="1">
        <v>10.25</v>
      </c>
      <c r="D34" s="1">
        <v>0.05</v>
      </c>
    </row>
    <row r="35" spans="1:4" x14ac:dyDescent="0.25">
      <c r="A35" s="1">
        <v>2439101.7000000002</v>
      </c>
      <c r="B35" s="1" t="s">
        <v>314</v>
      </c>
      <c r="C35" s="1">
        <v>9.3000000000000007</v>
      </c>
      <c r="D35" s="1">
        <v>0</v>
      </c>
    </row>
    <row r="36" spans="1:4" x14ac:dyDescent="0.25">
      <c r="A36" s="1">
        <v>2439129.2999999998</v>
      </c>
      <c r="B36" s="1" t="s">
        <v>315</v>
      </c>
      <c r="C36" s="1">
        <v>7.9</v>
      </c>
      <c r="D36" s="1">
        <v>0</v>
      </c>
    </row>
    <row r="37" spans="1:4" x14ac:dyDescent="0.25">
      <c r="A37" s="1">
        <v>2439172.6</v>
      </c>
      <c r="B37" s="1" t="s">
        <v>316</v>
      </c>
      <c r="C37" s="1">
        <v>8.4</v>
      </c>
      <c r="D37" s="1">
        <v>0</v>
      </c>
    </row>
    <row r="38" spans="1:4" ht="30" x14ac:dyDescent="0.25">
      <c r="A38" s="1">
        <v>2439203.6</v>
      </c>
      <c r="B38" s="1" t="s">
        <v>317</v>
      </c>
      <c r="C38" s="1">
        <v>8.9</v>
      </c>
      <c r="D38" s="1">
        <v>0</v>
      </c>
    </row>
    <row r="39" spans="1:4" ht="30" x14ac:dyDescent="0.25">
      <c r="A39" s="1">
        <v>2439363.9</v>
      </c>
      <c r="B39" s="1" t="s">
        <v>318</v>
      </c>
      <c r="C39" s="1">
        <v>10.3</v>
      </c>
      <c r="D39" s="1">
        <v>0</v>
      </c>
    </row>
    <row r="40" spans="1:4" x14ac:dyDescent="0.25">
      <c r="A40" s="1">
        <v>2439390.7999999998</v>
      </c>
      <c r="B40" s="1" t="s">
        <v>319</v>
      </c>
      <c r="C40" s="1">
        <v>10.5</v>
      </c>
      <c r="D40" s="1">
        <v>0</v>
      </c>
    </row>
    <row r="41" spans="1:4" x14ac:dyDescent="0.25">
      <c r="A41" s="1">
        <v>2439410.7999999998</v>
      </c>
      <c r="B41" s="1" t="s">
        <v>320</v>
      </c>
      <c r="C41" s="1">
        <v>10.7</v>
      </c>
      <c r="D41" s="1">
        <v>0</v>
      </c>
    </row>
    <row r="42" spans="1:4" x14ac:dyDescent="0.25">
      <c r="A42" s="1">
        <v>2439526.6</v>
      </c>
      <c r="B42" s="1" t="s">
        <v>321</v>
      </c>
      <c r="C42" s="1">
        <v>9.1999999999999993</v>
      </c>
      <c r="D42" s="1">
        <v>0</v>
      </c>
    </row>
    <row r="43" spans="1:4" x14ac:dyDescent="0.25">
      <c r="A43" s="1">
        <v>2439556.7000000002</v>
      </c>
      <c r="B43" s="1" t="s">
        <v>322</v>
      </c>
      <c r="C43" s="1">
        <v>8.9</v>
      </c>
      <c r="D43" s="1">
        <v>0</v>
      </c>
    </row>
    <row r="44" spans="1:4" x14ac:dyDescent="0.25">
      <c r="A44" s="1">
        <v>2439586.65</v>
      </c>
      <c r="B44" s="1" t="s">
        <v>323</v>
      </c>
      <c r="C44" s="1">
        <v>8.9499999999999993</v>
      </c>
      <c r="D44" s="1">
        <v>0.05</v>
      </c>
    </row>
    <row r="45" spans="1:4" x14ac:dyDescent="0.25">
      <c r="A45" s="1">
        <v>2439612.7000000002</v>
      </c>
      <c r="B45" s="1" t="s">
        <v>324</v>
      </c>
      <c r="C45" s="1">
        <v>8.6999999999999993</v>
      </c>
      <c r="D45" s="1">
        <v>0</v>
      </c>
    </row>
    <row r="46" spans="1:4" x14ac:dyDescent="0.25">
      <c r="A46" s="1">
        <v>2439696.9</v>
      </c>
      <c r="B46" s="1" t="s">
        <v>325</v>
      </c>
      <c r="C46" s="1">
        <v>9.1999999999999993</v>
      </c>
      <c r="D46" s="1">
        <v>0</v>
      </c>
    </row>
    <row r="47" spans="1:4" ht="30" x14ac:dyDescent="0.25">
      <c r="A47" s="1">
        <v>2439733.9</v>
      </c>
      <c r="B47" s="1" t="s">
        <v>326</v>
      </c>
      <c r="C47" s="1">
        <v>9.8000000000000007</v>
      </c>
      <c r="D47" s="1">
        <v>0</v>
      </c>
    </row>
    <row r="48" spans="1:4" x14ac:dyDescent="0.25">
      <c r="A48" s="1">
        <v>2439765.35</v>
      </c>
      <c r="B48" s="1" t="s">
        <v>327</v>
      </c>
      <c r="C48" s="1">
        <v>11.25</v>
      </c>
      <c r="D48" s="1">
        <v>0.25</v>
      </c>
    </row>
    <row r="49" spans="1:4" ht="30" x14ac:dyDescent="0.25">
      <c r="A49" s="1">
        <v>2439823</v>
      </c>
      <c r="B49" s="1" t="s">
        <v>328</v>
      </c>
      <c r="C49" s="1">
        <v>10</v>
      </c>
      <c r="D49" s="1">
        <v>0</v>
      </c>
    </row>
    <row r="50" spans="1:4" x14ac:dyDescent="0.25">
      <c r="A50" s="1">
        <v>2439897.6</v>
      </c>
      <c r="B50" s="1" t="s">
        <v>329</v>
      </c>
      <c r="C50" s="1">
        <v>8.9</v>
      </c>
      <c r="D50" s="1">
        <v>0</v>
      </c>
    </row>
    <row r="51" spans="1:4" x14ac:dyDescent="0.25">
      <c r="A51" s="1">
        <v>2439923.6</v>
      </c>
      <c r="B51" s="1" t="s">
        <v>330</v>
      </c>
      <c r="C51" s="1">
        <v>8.6999999999999993</v>
      </c>
      <c r="D51" s="1">
        <v>0</v>
      </c>
    </row>
    <row r="52" spans="1:4" ht="30" x14ac:dyDescent="0.25">
      <c r="A52" s="1">
        <v>2440079.7999999998</v>
      </c>
      <c r="B52" s="1" t="s">
        <v>331</v>
      </c>
      <c r="C52" s="1">
        <v>10.3</v>
      </c>
      <c r="D52" s="1">
        <v>0</v>
      </c>
    </row>
    <row r="53" spans="1:4" x14ac:dyDescent="0.25">
      <c r="A53" s="1">
        <v>2440101.9</v>
      </c>
      <c r="B53" s="1" t="s">
        <v>332</v>
      </c>
      <c r="C53" s="1">
        <v>9.5</v>
      </c>
      <c r="D53" s="1">
        <v>0</v>
      </c>
    </row>
    <row r="54" spans="1:4" x14ac:dyDescent="0.25">
      <c r="A54" s="1">
        <v>2440220.6</v>
      </c>
      <c r="B54" s="1" t="s">
        <v>333</v>
      </c>
      <c r="C54" s="1">
        <v>10</v>
      </c>
      <c r="D54" s="1">
        <v>0</v>
      </c>
    </row>
    <row r="55" spans="1:4" ht="30" x14ac:dyDescent="0.25">
      <c r="A55" s="1">
        <v>2440297.6</v>
      </c>
      <c r="B55" s="1" t="s">
        <v>334</v>
      </c>
      <c r="C55" s="1">
        <v>7.5</v>
      </c>
      <c r="D55" s="1">
        <v>0</v>
      </c>
    </row>
    <row r="56" spans="1:4" x14ac:dyDescent="0.25">
      <c r="A56" s="1">
        <v>2440330.7000000002</v>
      </c>
      <c r="B56" s="1" t="s">
        <v>335</v>
      </c>
      <c r="C56" s="1">
        <v>8</v>
      </c>
      <c r="D56" s="1">
        <v>0</v>
      </c>
    </row>
    <row r="57" spans="1:4" ht="30" x14ac:dyDescent="0.25">
      <c r="A57" s="1">
        <v>2440454.7999999998</v>
      </c>
      <c r="B57" s="1" t="s">
        <v>336</v>
      </c>
      <c r="C57" s="1">
        <v>10.5</v>
      </c>
      <c r="D57" s="1">
        <v>0</v>
      </c>
    </row>
    <row r="58" spans="1:4" x14ac:dyDescent="0.25">
      <c r="A58" s="1">
        <v>2440471.7999999998</v>
      </c>
      <c r="B58" s="1" t="s">
        <v>337</v>
      </c>
      <c r="C58" s="1">
        <v>9.5</v>
      </c>
      <c r="D58" s="1">
        <v>0</v>
      </c>
    </row>
    <row r="59" spans="1:4" x14ac:dyDescent="0.25">
      <c r="A59" s="1">
        <v>2440834.7999999998</v>
      </c>
      <c r="B59" s="1" t="s">
        <v>338</v>
      </c>
      <c r="C59" s="1">
        <v>10</v>
      </c>
      <c r="D59" s="1">
        <v>0.5</v>
      </c>
    </row>
    <row r="60" spans="1:4" x14ac:dyDescent="0.25">
      <c r="A60" s="1">
        <v>2442460.7000000002</v>
      </c>
      <c r="B60" s="1" t="s">
        <v>339</v>
      </c>
      <c r="C60" s="1">
        <v>10.5</v>
      </c>
      <c r="D60" s="1">
        <v>0</v>
      </c>
    </row>
    <row r="61" spans="1:4" ht="30" x14ac:dyDescent="0.25">
      <c r="A61" s="1">
        <v>2442499.6</v>
      </c>
      <c r="B61" s="1" t="s">
        <v>340</v>
      </c>
      <c r="C61" s="1">
        <v>10</v>
      </c>
      <c r="D61" s="1">
        <v>0</v>
      </c>
    </row>
    <row r="62" spans="1:4" x14ac:dyDescent="0.25">
      <c r="A62" s="1">
        <v>2442831.7000000002</v>
      </c>
      <c r="B62" s="1" t="s">
        <v>341</v>
      </c>
      <c r="C62" s="1">
        <v>8.1999999999999993</v>
      </c>
      <c r="D62" s="1">
        <v>0</v>
      </c>
    </row>
    <row r="63" spans="1:4" ht="30" x14ac:dyDescent="0.25">
      <c r="A63" s="1">
        <v>2443957.4</v>
      </c>
      <c r="B63" s="1" t="s">
        <v>342</v>
      </c>
      <c r="C63" s="1">
        <v>10.4</v>
      </c>
      <c r="D63" s="1">
        <v>0</v>
      </c>
    </row>
    <row r="64" spans="1:4" x14ac:dyDescent="0.25">
      <c r="A64" s="1">
        <v>2443983.6666700002</v>
      </c>
      <c r="B64" s="1" t="s">
        <v>343</v>
      </c>
      <c r="C64" s="1">
        <v>10.133333</v>
      </c>
      <c r="D64" s="1">
        <v>0.33829599999999999</v>
      </c>
    </row>
    <row r="65" spans="1:4" ht="30" x14ac:dyDescent="0.25">
      <c r="A65" s="1">
        <v>2444194.9750000001</v>
      </c>
      <c r="B65" s="1" t="s">
        <v>344</v>
      </c>
      <c r="C65" s="1">
        <v>8.2249999999999996</v>
      </c>
      <c r="D65" s="1">
        <v>0.15478500000000001</v>
      </c>
    </row>
    <row r="66" spans="1:4" x14ac:dyDescent="0.25">
      <c r="A66" s="1">
        <v>2444221.1549999998</v>
      </c>
      <c r="B66" s="1" t="s">
        <v>345</v>
      </c>
      <c r="C66" s="1">
        <v>8.6999999999999993</v>
      </c>
      <c r="D66" s="1">
        <v>0.122474</v>
      </c>
    </row>
    <row r="67" spans="1:4" x14ac:dyDescent="0.25">
      <c r="A67" s="1">
        <v>2444252.23</v>
      </c>
      <c r="B67" s="1" t="s">
        <v>346</v>
      </c>
      <c r="C67" s="1">
        <v>8.6333330000000004</v>
      </c>
      <c r="D67" s="1">
        <v>8.8192000000000006E-2</v>
      </c>
    </row>
    <row r="68" spans="1:4" x14ac:dyDescent="0.25">
      <c r="A68" s="1">
        <v>2444273.0566699998</v>
      </c>
      <c r="B68" s="1" t="s">
        <v>347</v>
      </c>
      <c r="C68" s="1">
        <v>8.8000000000000007</v>
      </c>
      <c r="D68" s="1">
        <v>0.1</v>
      </c>
    </row>
    <row r="69" spans="1:4" x14ac:dyDescent="0.25">
      <c r="A69" s="1">
        <v>2444287.91</v>
      </c>
      <c r="B69" s="1" t="s">
        <v>348</v>
      </c>
      <c r="C69" s="1">
        <v>8.9333329999999993</v>
      </c>
      <c r="D69" s="1">
        <v>0.12823599999999999</v>
      </c>
    </row>
    <row r="70" spans="1:4" x14ac:dyDescent="0.25">
      <c r="A70" s="1">
        <v>2444305.8424999998</v>
      </c>
      <c r="B70" s="1" t="s">
        <v>349</v>
      </c>
      <c r="C70" s="1">
        <v>9.3249999999999993</v>
      </c>
      <c r="D70" s="1">
        <v>2.5000000000000001E-2</v>
      </c>
    </row>
    <row r="71" spans="1:4" ht="30" x14ac:dyDescent="0.25">
      <c r="A71" s="1">
        <v>2444327.85</v>
      </c>
      <c r="B71" s="1" t="s">
        <v>350</v>
      </c>
      <c r="C71" s="1">
        <v>9.4499999999999993</v>
      </c>
      <c r="D71" s="1">
        <v>0.05</v>
      </c>
    </row>
    <row r="72" spans="1:4" x14ac:dyDescent="0.25">
      <c r="A72" s="1">
        <v>2444341.85</v>
      </c>
      <c r="B72" s="1" t="s">
        <v>351</v>
      </c>
      <c r="C72" s="1">
        <v>9.375</v>
      </c>
      <c r="D72" s="1">
        <v>9.4647999999999996E-2</v>
      </c>
    </row>
    <row r="73" spans="1:4" ht="30" x14ac:dyDescent="0.25">
      <c r="A73" s="1">
        <v>2444466.5</v>
      </c>
      <c r="B73" s="1" t="s">
        <v>352</v>
      </c>
      <c r="C73" s="1">
        <v>9.5</v>
      </c>
      <c r="D73" s="1">
        <v>0</v>
      </c>
    </row>
    <row r="74" spans="1:4" x14ac:dyDescent="0.25">
      <c r="A74" s="1">
        <v>2444494</v>
      </c>
      <c r="B74" s="1" t="s">
        <v>353</v>
      </c>
      <c r="C74" s="1">
        <v>9.25</v>
      </c>
      <c r="D74" s="1">
        <v>0.25</v>
      </c>
    </row>
    <row r="75" spans="1:4" x14ac:dyDescent="0.25">
      <c r="A75" s="1">
        <v>2444508.5</v>
      </c>
      <c r="B75" s="1" t="s">
        <v>354</v>
      </c>
      <c r="C75" s="1">
        <v>9.5</v>
      </c>
      <c r="D75" s="1">
        <v>0.3</v>
      </c>
    </row>
    <row r="76" spans="1:4" x14ac:dyDescent="0.25">
      <c r="A76" s="1">
        <v>2444537.42</v>
      </c>
      <c r="B76" s="1" t="s">
        <v>355</v>
      </c>
      <c r="C76" s="1">
        <v>8.75</v>
      </c>
      <c r="D76" s="1">
        <v>0.05</v>
      </c>
    </row>
    <row r="77" spans="1:4" x14ac:dyDescent="0.25">
      <c r="A77" s="1">
        <v>2444553.42667</v>
      </c>
      <c r="B77" s="1" t="s">
        <v>356</v>
      </c>
      <c r="C77" s="1">
        <v>8.5333330000000007</v>
      </c>
      <c r="D77" s="1">
        <v>0.16666700000000001</v>
      </c>
    </row>
    <row r="78" spans="1:4" x14ac:dyDescent="0.25">
      <c r="A78" s="1">
        <v>2444578.7349999999</v>
      </c>
      <c r="B78" s="1" t="s">
        <v>357</v>
      </c>
      <c r="C78" s="1">
        <v>8.483333</v>
      </c>
      <c r="D78" s="1">
        <v>7.4907000000000001E-2</v>
      </c>
    </row>
    <row r="79" spans="1:4" x14ac:dyDescent="0.25">
      <c r="A79" s="1">
        <v>2444606.8642899999</v>
      </c>
      <c r="B79" s="1" t="s">
        <v>358</v>
      </c>
      <c r="C79" s="1">
        <v>8.5857139999999994</v>
      </c>
      <c r="D79" s="1">
        <v>5.0842999999999999E-2</v>
      </c>
    </row>
    <row r="80" spans="1:4" x14ac:dyDescent="0.25">
      <c r="A80" s="1">
        <v>2444628.9271399998</v>
      </c>
      <c r="B80" s="1" t="s">
        <v>359</v>
      </c>
      <c r="C80" s="1">
        <v>8.4285709999999998</v>
      </c>
      <c r="D80" s="1">
        <v>6.4418000000000003E-2</v>
      </c>
    </row>
    <row r="81" spans="1:4" x14ac:dyDescent="0.25">
      <c r="A81" s="1">
        <v>2444640.82308</v>
      </c>
      <c r="B81" s="1" t="s">
        <v>360</v>
      </c>
      <c r="C81" s="1">
        <v>8.4538460000000004</v>
      </c>
      <c r="D81" s="1">
        <v>7.0361000000000007E-2</v>
      </c>
    </row>
    <row r="82" spans="1:4" x14ac:dyDescent="0.25">
      <c r="A82" s="1">
        <v>2444663.338</v>
      </c>
      <c r="B82" s="1" t="s">
        <v>361</v>
      </c>
      <c r="C82" s="1">
        <v>8.56</v>
      </c>
      <c r="D82" s="1">
        <v>0.15362300000000001</v>
      </c>
    </row>
    <row r="83" spans="1:4" ht="30" x14ac:dyDescent="0.25">
      <c r="A83" s="1">
        <v>2444685.3199999998</v>
      </c>
      <c r="B83" s="1" t="s">
        <v>362</v>
      </c>
      <c r="C83" s="1">
        <v>9</v>
      </c>
      <c r="D83" s="1">
        <v>0</v>
      </c>
    </row>
    <row r="84" spans="1:4" x14ac:dyDescent="0.25">
      <c r="A84" s="1">
        <v>2444696.35</v>
      </c>
      <c r="B84" s="1" t="s">
        <v>363</v>
      </c>
      <c r="C84" s="1">
        <v>8.9</v>
      </c>
      <c r="D84" s="1">
        <v>0</v>
      </c>
    </row>
    <row r="85" spans="1:4" x14ac:dyDescent="0.25">
      <c r="A85" s="1">
        <v>2444864.5</v>
      </c>
      <c r="B85" s="1" t="s">
        <v>364</v>
      </c>
      <c r="C85" s="1">
        <v>9.4</v>
      </c>
      <c r="D85" s="1">
        <v>0.1</v>
      </c>
    </row>
    <row r="86" spans="1:4" x14ac:dyDescent="0.25">
      <c r="A86" s="1">
        <v>2444882.6779999998</v>
      </c>
      <c r="B86" s="1" t="s">
        <v>365</v>
      </c>
      <c r="C86" s="1">
        <v>9.48</v>
      </c>
      <c r="D86" s="1">
        <v>0.115758</v>
      </c>
    </row>
    <row r="87" spans="1:4" x14ac:dyDescent="0.25">
      <c r="A87" s="1">
        <v>2444904.4849999999</v>
      </c>
      <c r="B87" s="1" t="s">
        <v>366</v>
      </c>
      <c r="C87" s="1">
        <v>8.9499999999999993</v>
      </c>
      <c r="D87" s="1">
        <v>0.15</v>
      </c>
    </row>
    <row r="88" spans="1:4" x14ac:dyDescent="0.25">
      <c r="A88" s="1">
        <v>2444918.375</v>
      </c>
      <c r="B88" s="1" t="s">
        <v>367</v>
      </c>
      <c r="C88" s="1">
        <v>8.9</v>
      </c>
      <c r="D88" s="1">
        <v>9.3094999999999997E-2</v>
      </c>
    </row>
    <row r="89" spans="1:4" ht="30" x14ac:dyDescent="0.25">
      <c r="A89" s="1">
        <v>2444933.7050000001</v>
      </c>
      <c r="B89" s="1" t="s">
        <v>368</v>
      </c>
      <c r="C89" s="1">
        <v>8.7249999999999996</v>
      </c>
      <c r="D89" s="1">
        <v>6.2914999999999999E-2</v>
      </c>
    </row>
    <row r="90" spans="1:4" x14ac:dyDescent="0.25">
      <c r="A90" s="1">
        <v>2444964.2233299999</v>
      </c>
      <c r="B90" s="1" t="s">
        <v>369</v>
      </c>
      <c r="C90" s="1">
        <v>8.1</v>
      </c>
      <c r="D90" s="1">
        <v>0.2</v>
      </c>
    </row>
    <row r="91" spans="1:4" x14ac:dyDescent="0.25">
      <c r="A91" s="1">
        <v>2444986.3149999999</v>
      </c>
      <c r="B91" s="1" t="s">
        <v>370</v>
      </c>
      <c r="C91" s="1">
        <v>8.3000000000000007</v>
      </c>
      <c r="D91" s="1">
        <v>0.2</v>
      </c>
    </row>
    <row r="92" spans="1:4" x14ac:dyDescent="0.25">
      <c r="A92" s="1">
        <v>2444998.1283300002</v>
      </c>
      <c r="B92" s="1" t="s">
        <v>371</v>
      </c>
      <c r="C92" s="1">
        <v>8.4333329999999993</v>
      </c>
      <c r="D92" s="1">
        <v>0.105409</v>
      </c>
    </row>
    <row r="93" spans="1:4" x14ac:dyDescent="0.25">
      <c r="A93" s="1">
        <v>2445018.57333</v>
      </c>
      <c r="B93" s="1" t="s">
        <v>372</v>
      </c>
      <c r="C93" s="1">
        <v>8.4533330000000007</v>
      </c>
      <c r="D93" s="1">
        <v>4.7676000000000003E-2</v>
      </c>
    </row>
    <row r="94" spans="1:4" x14ac:dyDescent="0.25">
      <c r="A94" s="1">
        <v>2445032.07143</v>
      </c>
      <c r="B94" s="1" t="s">
        <v>373</v>
      </c>
      <c r="C94" s="1">
        <v>8.5285709999999995</v>
      </c>
      <c r="D94" s="1">
        <v>9.1843999999999995E-2</v>
      </c>
    </row>
    <row r="95" spans="1:4" ht="30" x14ac:dyDescent="0.25">
      <c r="A95" s="1">
        <v>2445048.4333299999</v>
      </c>
      <c r="B95" s="1" t="s">
        <v>374</v>
      </c>
      <c r="C95" s="1">
        <v>8.9333329999999993</v>
      </c>
      <c r="D95" s="1">
        <v>7.3786000000000004E-2</v>
      </c>
    </row>
    <row r="96" spans="1:4" x14ac:dyDescent="0.25">
      <c r="A96" s="1">
        <v>2445073.7420000001</v>
      </c>
      <c r="B96" s="1" t="s">
        <v>375</v>
      </c>
      <c r="C96" s="1">
        <v>8.85</v>
      </c>
      <c r="D96" s="1">
        <v>8.8506000000000001E-2</v>
      </c>
    </row>
    <row r="97" spans="1:4" x14ac:dyDescent="0.25">
      <c r="A97" s="1">
        <v>2445083.2349999999</v>
      </c>
      <c r="B97" s="1" t="s">
        <v>376</v>
      </c>
      <c r="C97" s="1">
        <v>9</v>
      </c>
      <c r="D97" s="1">
        <v>0.05</v>
      </c>
    </row>
    <row r="98" spans="1:4" x14ac:dyDescent="0.25">
      <c r="A98" s="1">
        <v>2445238.0674999999</v>
      </c>
      <c r="B98" s="1" t="s">
        <v>377</v>
      </c>
      <c r="C98" s="1">
        <v>9.15</v>
      </c>
      <c r="D98" s="1">
        <v>0.15</v>
      </c>
    </row>
    <row r="99" spans="1:4" ht="30" x14ac:dyDescent="0.25">
      <c r="A99" s="1">
        <v>2445291.1333300001</v>
      </c>
      <c r="B99" s="1" t="s">
        <v>378</v>
      </c>
      <c r="C99" s="1">
        <v>9.0666670000000007</v>
      </c>
      <c r="D99" s="1">
        <v>3.3333000000000002E-2</v>
      </c>
    </row>
    <row r="100" spans="1:4" x14ac:dyDescent="0.25">
      <c r="A100" s="1">
        <v>2445316.1</v>
      </c>
      <c r="B100" s="1" t="s">
        <v>379</v>
      </c>
      <c r="C100" s="1">
        <v>8.6199999999999992</v>
      </c>
      <c r="D100" s="1">
        <v>0.124097</v>
      </c>
    </row>
    <row r="101" spans="1:4" x14ac:dyDescent="0.25">
      <c r="A101" s="1">
        <v>2445330.37</v>
      </c>
      <c r="B101" s="1" t="s">
        <v>380</v>
      </c>
      <c r="C101" s="1">
        <v>8.1999999999999993</v>
      </c>
      <c r="D101" s="1">
        <v>0.2</v>
      </c>
    </row>
    <row r="102" spans="1:4" x14ac:dyDescent="0.25">
      <c r="A102" s="1">
        <v>2445344.7866699998</v>
      </c>
      <c r="B102" s="1" t="s">
        <v>381</v>
      </c>
      <c r="C102" s="1">
        <v>8.0222219999999993</v>
      </c>
      <c r="D102" s="1">
        <v>7.7778E-2</v>
      </c>
    </row>
    <row r="103" spans="1:4" x14ac:dyDescent="0.25">
      <c r="A103" s="1">
        <v>2445361.33286</v>
      </c>
      <c r="B103" s="1" t="s">
        <v>382</v>
      </c>
      <c r="C103" s="1">
        <v>8.0714290000000002</v>
      </c>
      <c r="D103" s="1">
        <v>4.7379999999999999E-2</v>
      </c>
    </row>
    <row r="104" spans="1:4" x14ac:dyDescent="0.25">
      <c r="A104" s="1">
        <v>2445379.9175</v>
      </c>
      <c r="B104" s="1" t="s">
        <v>383</v>
      </c>
      <c r="C104" s="1">
        <v>8.1624999999999996</v>
      </c>
      <c r="D104" s="1">
        <v>0.111704</v>
      </c>
    </row>
    <row r="105" spans="1:4" x14ac:dyDescent="0.25">
      <c r="A105" s="1">
        <v>2445401.6329999999</v>
      </c>
      <c r="B105" s="1" t="s">
        <v>384</v>
      </c>
      <c r="C105" s="1">
        <v>8.4</v>
      </c>
      <c r="D105" s="1">
        <v>4.2164E-2</v>
      </c>
    </row>
    <row r="106" spans="1:4" ht="30" x14ac:dyDescent="0.25">
      <c r="A106" s="1">
        <v>2445417.6666700002</v>
      </c>
      <c r="B106" s="1" t="s">
        <v>385</v>
      </c>
      <c r="C106" s="1">
        <v>8.4666669999999993</v>
      </c>
      <c r="D106" s="1">
        <v>6.6667000000000004E-2</v>
      </c>
    </row>
    <row r="107" spans="1:4" x14ac:dyDescent="0.25">
      <c r="A107" s="1">
        <v>2445433.03333</v>
      </c>
      <c r="B107" s="1" t="s">
        <v>386</v>
      </c>
      <c r="C107" s="1">
        <v>8.6333330000000004</v>
      </c>
      <c r="D107" s="1">
        <v>0.18559200000000001</v>
      </c>
    </row>
    <row r="108" spans="1:4" ht="30" x14ac:dyDescent="0.25">
      <c r="A108" s="1">
        <v>2445649.0966699999</v>
      </c>
      <c r="B108" s="1" t="s">
        <v>387</v>
      </c>
      <c r="C108" s="1">
        <v>9.6999999999999993</v>
      </c>
      <c r="D108" s="1">
        <v>0.23094000000000001</v>
      </c>
    </row>
    <row r="109" spans="1:4" ht="30" x14ac:dyDescent="0.25">
      <c r="A109" s="1">
        <v>2445669.35</v>
      </c>
      <c r="B109" s="1" t="s">
        <v>388</v>
      </c>
      <c r="C109" s="1">
        <v>9.1666670000000003</v>
      </c>
      <c r="D109" s="1">
        <v>0.108525</v>
      </c>
    </row>
    <row r="110" spans="1:4" x14ac:dyDescent="0.25">
      <c r="A110" s="1">
        <v>2445704.4</v>
      </c>
      <c r="B110" s="1" t="s">
        <v>389</v>
      </c>
      <c r="C110" s="1">
        <v>9.1</v>
      </c>
      <c r="D110" s="1">
        <v>0.230217</v>
      </c>
    </row>
    <row r="111" spans="1:4" x14ac:dyDescent="0.25">
      <c r="A111" s="1">
        <v>2445728.5142899998</v>
      </c>
      <c r="B111" s="1" t="s">
        <v>390</v>
      </c>
      <c r="C111" s="1">
        <v>8.1999999999999993</v>
      </c>
      <c r="D111" s="1">
        <v>5.3452E-2</v>
      </c>
    </row>
    <row r="112" spans="1:4" x14ac:dyDescent="0.25">
      <c r="A112" s="1">
        <v>2445746.2000000002</v>
      </c>
      <c r="B112" s="1" t="s">
        <v>391</v>
      </c>
      <c r="C112" s="1">
        <v>7.9166670000000003</v>
      </c>
      <c r="D112" s="1">
        <v>4.7725999999999998E-2</v>
      </c>
    </row>
    <row r="113" spans="1:4" x14ac:dyDescent="0.25">
      <c r="A113" s="1">
        <v>2445766.82222</v>
      </c>
      <c r="B113" s="1" t="s">
        <v>392</v>
      </c>
      <c r="C113" s="1">
        <v>7.9888890000000004</v>
      </c>
      <c r="D113" s="1">
        <v>4.5474000000000001E-2</v>
      </c>
    </row>
    <row r="114" spans="1:4" ht="30" x14ac:dyDescent="0.25">
      <c r="A114" s="1">
        <v>2445785.8666699999</v>
      </c>
      <c r="B114" s="1" t="s">
        <v>393</v>
      </c>
      <c r="C114" s="1">
        <v>8.1583330000000007</v>
      </c>
      <c r="D114" s="1">
        <v>6.2107000000000002E-2</v>
      </c>
    </row>
    <row r="115" spans="1:4" x14ac:dyDescent="0.25">
      <c r="A115" s="1">
        <v>2445805.5</v>
      </c>
      <c r="B115" s="1" t="s">
        <v>394</v>
      </c>
      <c r="C115" s="1">
        <v>8.1</v>
      </c>
      <c r="D115" s="1">
        <v>3.1622999999999998E-2</v>
      </c>
    </row>
    <row r="116" spans="1:4" x14ac:dyDescent="0.25">
      <c r="A116" s="1">
        <v>2445822.6666700002</v>
      </c>
      <c r="B116" s="1" t="s">
        <v>395</v>
      </c>
      <c r="C116" s="1">
        <v>8.0666670000000007</v>
      </c>
      <c r="D116" s="1">
        <v>3.3333000000000002E-2</v>
      </c>
    </row>
    <row r="117" spans="1:4" x14ac:dyDescent="0.25">
      <c r="A117" s="1">
        <v>2445944.5</v>
      </c>
      <c r="B117" s="1" t="s">
        <v>396</v>
      </c>
      <c r="C117" s="1">
        <v>9.3000000000000007</v>
      </c>
      <c r="D117" s="1">
        <v>0</v>
      </c>
    </row>
    <row r="118" spans="1:4" x14ac:dyDescent="0.25">
      <c r="A118" s="1">
        <v>2446008.4</v>
      </c>
      <c r="B118" s="1" t="s">
        <v>397</v>
      </c>
      <c r="C118" s="1">
        <v>10.7</v>
      </c>
      <c r="D118" s="1">
        <v>0</v>
      </c>
    </row>
    <row r="119" spans="1:4" ht="30" x14ac:dyDescent="0.25">
      <c r="A119" s="1">
        <v>2446035.4500000002</v>
      </c>
      <c r="B119" s="1" t="s">
        <v>398</v>
      </c>
      <c r="C119" s="1">
        <v>10</v>
      </c>
      <c r="D119" s="1">
        <v>0.7</v>
      </c>
    </row>
    <row r="120" spans="1:4" x14ac:dyDescent="0.25">
      <c r="A120" s="1">
        <v>2446058.625</v>
      </c>
      <c r="B120" s="1" t="s">
        <v>399</v>
      </c>
      <c r="C120" s="1">
        <v>9.375</v>
      </c>
      <c r="D120" s="1">
        <v>0.381608</v>
      </c>
    </row>
    <row r="121" spans="1:4" x14ac:dyDescent="0.25">
      <c r="A121" s="1">
        <v>2446093.2799999998</v>
      </c>
      <c r="B121" s="1" t="s">
        <v>400</v>
      </c>
      <c r="C121" s="1">
        <v>9.08</v>
      </c>
      <c r="D121" s="1">
        <v>0.18814900000000001</v>
      </c>
    </row>
    <row r="122" spans="1:4" x14ac:dyDescent="0.25">
      <c r="A122" s="1">
        <v>2446114.98</v>
      </c>
      <c r="B122" s="1" t="s">
        <v>401</v>
      </c>
      <c r="C122" s="1">
        <v>8.64</v>
      </c>
      <c r="D122" s="1">
        <v>0.14352699999999999</v>
      </c>
    </row>
    <row r="123" spans="1:4" x14ac:dyDescent="0.25">
      <c r="A123" s="1">
        <v>2446126.64</v>
      </c>
      <c r="B123" s="1" t="s">
        <v>402</v>
      </c>
      <c r="C123" s="1">
        <v>8.2799999999999994</v>
      </c>
      <c r="D123" s="1">
        <v>6.6332000000000002E-2</v>
      </c>
    </row>
    <row r="124" spans="1:4" ht="30" x14ac:dyDescent="0.25">
      <c r="A124" s="1">
        <v>2446146.26364</v>
      </c>
      <c r="B124" s="1" t="s">
        <v>403</v>
      </c>
      <c r="C124" s="1">
        <v>7.9454549999999999</v>
      </c>
      <c r="D124" s="1">
        <v>5.7783000000000001E-2</v>
      </c>
    </row>
    <row r="125" spans="1:4" x14ac:dyDescent="0.25">
      <c r="A125" s="1">
        <v>2446160.78333</v>
      </c>
      <c r="B125" s="1" t="s">
        <v>404</v>
      </c>
      <c r="C125" s="1">
        <v>7.8833330000000004</v>
      </c>
      <c r="D125" s="1">
        <v>2.41E-2</v>
      </c>
    </row>
    <row r="126" spans="1:4" x14ac:dyDescent="0.25">
      <c r="A126" s="1">
        <v>2446176.6988900001</v>
      </c>
      <c r="B126" s="1" t="s">
        <v>405</v>
      </c>
      <c r="C126" s="1">
        <v>8.0444440000000004</v>
      </c>
      <c r="D126" s="1">
        <v>6.4787999999999998E-2</v>
      </c>
    </row>
    <row r="127" spans="1:4" ht="30" x14ac:dyDescent="0.25">
      <c r="A127" s="1">
        <v>2446291.5499999998</v>
      </c>
      <c r="B127" s="1" t="s">
        <v>406</v>
      </c>
      <c r="C127" s="1">
        <v>9.4</v>
      </c>
      <c r="D127" s="1">
        <v>0</v>
      </c>
    </row>
    <row r="128" spans="1:4" x14ac:dyDescent="0.25">
      <c r="A128" s="1">
        <v>2446325</v>
      </c>
      <c r="B128" s="1" t="s">
        <v>407</v>
      </c>
      <c r="C128" s="1">
        <v>9.5</v>
      </c>
      <c r="D128" s="1">
        <v>0.3</v>
      </c>
    </row>
    <row r="129" spans="1:4" x14ac:dyDescent="0.25">
      <c r="A129" s="1">
        <v>2446350.1</v>
      </c>
      <c r="B129" s="1" t="s">
        <v>408</v>
      </c>
      <c r="C129" s="1">
        <v>9.9</v>
      </c>
      <c r="D129" s="1">
        <v>0.36055500000000001</v>
      </c>
    </row>
    <row r="130" spans="1:4" x14ac:dyDescent="0.25">
      <c r="A130" s="1">
        <v>2446413.35</v>
      </c>
      <c r="B130" s="1" t="s">
        <v>409</v>
      </c>
      <c r="C130" s="1">
        <v>10.1</v>
      </c>
      <c r="D130" s="1">
        <v>0.7</v>
      </c>
    </row>
    <row r="131" spans="1:4" x14ac:dyDescent="0.25">
      <c r="A131" s="1">
        <v>2446435.1800000002</v>
      </c>
      <c r="B131" s="1" t="s">
        <v>410</v>
      </c>
      <c r="C131" s="1">
        <v>9.3000000000000007</v>
      </c>
      <c r="D131" s="1">
        <v>0.12649099999999999</v>
      </c>
    </row>
    <row r="132" spans="1:4" x14ac:dyDescent="0.25">
      <c r="A132" s="1">
        <v>2446454.0666700001</v>
      </c>
      <c r="B132" s="1" t="s">
        <v>411</v>
      </c>
      <c r="C132" s="1">
        <v>9.1333330000000004</v>
      </c>
      <c r="D132" s="1">
        <v>0.13333300000000001</v>
      </c>
    </row>
    <row r="133" spans="1:4" x14ac:dyDescent="0.25">
      <c r="A133" s="1">
        <v>2446469.6666700002</v>
      </c>
      <c r="B133" s="1" t="s">
        <v>412</v>
      </c>
      <c r="C133" s="1">
        <v>9.1333330000000004</v>
      </c>
      <c r="D133" s="1">
        <v>0.23333300000000001</v>
      </c>
    </row>
    <row r="134" spans="1:4" x14ac:dyDescent="0.25">
      <c r="A134" s="1">
        <v>2446491.6</v>
      </c>
      <c r="B134" s="1" t="s">
        <v>413</v>
      </c>
      <c r="C134" s="1">
        <v>9.0399999999999991</v>
      </c>
      <c r="D134" s="1">
        <v>0.16309499999999999</v>
      </c>
    </row>
    <row r="135" spans="1:4" ht="30" x14ac:dyDescent="0.25">
      <c r="A135" s="1">
        <v>2446508.8259999999</v>
      </c>
      <c r="B135" s="1" t="s">
        <v>414</v>
      </c>
      <c r="C135" s="1">
        <v>8.56</v>
      </c>
      <c r="D135" s="1">
        <v>0.12083000000000001</v>
      </c>
    </row>
    <row r="136" spans="1:4" x14ac:dyDescent="0.25">
      <c r="A136" s="1">
        <v>2446523.2777800001</v>
      </c>
      <c r="B136" s="1" t="s">
        <v>415</v>
      </c>
      <c r="C136" s="1">
        <v>8.2777779999999996</v>
      </c>
      <c r="D136" s="1">
        <v>8.4620000000000001E-2</v>
      </c>
    </row>
    <row r="137" spans="1:4" x14ac:dyDescent="0.25">
      <c r="A137" s="1">
        <v>2446543.5750000002</v>
      </c>
      <c r="B137" s="1" t="s">
        <v>416</v>
      </c>
      <c r="C137" s="1">
        <v>8.0500000000000007</v>
      </c>
      <c r="D137" s="1">
        <v>0.05</v>
      </c>
    </row>
    <row r="138" spans="1:4" x14ac:dyDescent="0.25">
      <c r="A138" s="1">
        <v>2446648.6</v>
      </c>
      <c r="B138" s="1" t="s">
        <v>417</v>
      </c>
      <c r="C138" s="1">
        <v>8.9</v>
      </c>
      <c r="D138" s="1">
        <v>0</v>
      </c>
    </row>
    <row r="139" spans="1:4" ht="30" x14ac:dyDescent="0.25">
      <c r="A139" s="1">
        <v>2446669.1733300001</v>
      </c>
      <c r="B139" s="1" t="s">
        <v>418</v>
      </c>
      <c r="C139" s="1">
        <v>9.3333329999999997</v>
      </c>
      <c r="D139" s="1">
        <v>0.29627300000000001</v>
      </c>
    </row>
    <row r="140" spans="1:4" x14ac:dyDescent="0.25">
      <c r="A140" s="1">
        <v>2446705.4500000002</v>
      </c>
      <c r="B140" s="1" t="s">
        <v>419</v>
      </c>
      <c r="C140" s="1">
        <v>9.4</v>
      </c>
      <c r="D140" s="1">
        <v>0</v>
      </c>
    </row>
    <row r="141" spans="1:4" x14ac:dyDescent="0.25">
      <c r="A141" s="1">
        <v>2446744.35</v>
      </c>
      <c r="B141" s="1" t="s">
        <v>420</v>
      </c>
      <c r="C141" s="1">
        <v>10.050000000000001</v>
      </c>
      <c r="D141" s="1">
        <v>0.15</v>
      </c>
    </row>
    <row r="142" spans="1:4" ht="30" x14ac:dyDescent="0.25">
      <c r="A142" s="1">
        <v>2446762.2999999998</v>
      </c>
      <c r="B142" s="1" t="s">
        <v>421</v>
      </c>
      <c r="C142" s="1">
        <v>10.3</v>
      </c>
      <c r="D142" s="1">
        <v>0.6</v>
      </c>
    </row>
    <row r="143" spans="1:4" x14ac:dyDescent="0.25">
      <c r="A143" s="1">
        <v>2446778.2999999998</v>
      </c>
      <c r="B143" s="1" t="s">
        <v>422</v>
      </c>
      <c r="C143" s="1">
        <v>10.6</v>
      </c>
      <c r="D143" s="1">
        <v>0</v>
      </c>
    </row>
    <row r="144" spans="1:4" x14ac:dyDescent="0.25">
      <c r="A144" s="1">
        <v>2446800.4</v>
      </c>
      <c r="B144" s="1" t="s">
        <v>423</v>
      </c>
      <c r="C144" s="1">
        <v>9.8000000000000007</v>
      </c>
      <c r="D144" s="1">
        <v>0</v>
      </c>
    </row>
    <row r="145" spans="1:4" x14ac:dyDescent="0.25">
      <c r="A145" s="1">
        <v>2446829.35</v>
      </c>
      <c r="B145" s="1" t="s">
        <v>424</v>
      </c>
      <c r="C145" s="1">
        <v>9.4499999999999993</v>
      </c>
      <c r="D145" s="1">
        <v>0.13228799999999999</v>
      </c>
    </row>
    <row r="146" spans="1:4" x14ac:dyDescent="0.25">
      <c r="A146" s="1">
        <v>2446851.7066700002</v>
      </c>
      <c r="B146" s="1" t="s">
        <v>425</v>
      </c>
      <c r="C146" s="1">
        <v>9.3000000000000007</v>
      </c>
      <c r="D146" s="1">
        <v>0.11547</v>
      </c>
    </row>
    <row r="147" spans="1:4" ht="30" x14ac:dyDescent="0.25">
      <c r="A147" s="1">
        <v>2446867.7999999998</v>
      </c>
      <c r="B147" s="1" t="s">
        <v>426</v>
      </c>
      <c r="C147" s="1">
        <v>8.9499999999999993</v>
      </c>
      <c r="D147" s="1">
        <v>0.05</v>
      </c>
    </row>
    <row r="148" spans="1:4" x14ac:dyDescent="0.25">
      <c r="A148" s="1">
        <v>2446887.35</v>
      </c>
      <c r="B148" s="1" t="s">
        <v>427</v>
      </c>
      <c r="C148" s="1">
        <v>9.0500000000000007</v>
      </c>
      <c r="D148" s="1">
        <v>6.4549999999999996E-2</v>
      </c>
    </row>
    <row r="149" spans="1:4" x14ac:dyDescent="0.25">
      <c r="A149" s="1">
        <v>2446909.1</v>
      </c>
      <c r="B149" s="1" t="s">
        <v>428</v>
      </c>
      <c r="C149" s="1">
        <v>8.8000000000000007</v>
      </c>
      <c r="D149" s="1">
        <v>4.0825E-2</v>
      </c>
    </row>
    <row r="150" spans="1:4" x14ac:dyDescent="0.25">
      <c r="A150" s="1">
        <v>2447001.0499999998</v>
      </c>
      <c r="B150" s="1" t="s">
        <v>429</v>
      </c>
      <c r="C150" s="1">
        <v>8.5500000000000007</v>
      </c>
      <c r="D150" s="1">
        <v>0.15</v>
      </c>
    </row>
    <row r="151" spans="1:4" x14ac:dyDescent="0.25">
      <c r="A151" s="1">
        <v>2447041.6</v>
      </c>
      <c r="B151" s="1" t="s">
        <v>430</v>
      </c>
      <c r="C151" s="1">
        <v>8.8000000000000007</v>
      </c>
      <c r="D151" s="1">
        <v>0</v>
      </c>
    </row>
    <row r="152" spans="1:4" x14ac:dyDescent="0.25">
      <c r="A152" s="1">
        <v>2447061.53333</v>
      </c>
      <c r="B152" s="1" t="s">
        <v>431</v>
      </c>
      <c r="C152" s="1">
        <v>9.0333330000000007</v>
      </c>
      <c r="D152" s="1">
        <v>3.3333000000000002E-2</v>
      </c>
    </row>
    <row r="153" spans="1:4" x14ac:dyDescent="0.25">
      <c r="A153" s="1">
        <v>2447085.4</v>
      </c>
      <c r="B153" s="1" t="s">
        <v>432</v>
      </c>
      <c r="C153" s="1">
        <v>9</v>
      </c>
      <c r="D153" s="1">
        <v>0</v>
      </c>
    </row>
    <row r="154" spans="1:4" ht="30" x14ac:dyDescent="0.25">
      <c r="A154" s="1">
        <v>2447121.4</v>
      </c>
      <c r="B154" s="1" t="s">
        <v>433</v>
      </c>
      <c r="C154" s="1">
        <v>10.199999999999999</v>
      </c>
      <c r="D154" s="1">
        <v>0</v>
      </c>
    </row>
    <row r="155" spans="1:4" x14ac:dyDescent="0.25">
      <c r="A155" s="1">
        <v>2447147.6749999998</v>
      </c>
      <c r="B155" s="1" t="s">
        <v>434</v>
      </c>
      <c r="C155" s="1">
        <v>10.15</v>
      </c>
      <c r="D155" s="1">
        <v>0.225462</v>
      </c>
    </row>
    <row r="156" spans="1:4" x14ac:dyDescent="0.25">
      <c r="A156" s="1">
        <v>2447161.46667</v>
      </c>
      <c r="B156" s="1" t="s">
        <v>435</v>
      </c>
      <c r="C156" s="1">
        <v>9.6999999999999993</v>
      </c>
      <c r="D156" s="1">
        <v>0.20816699999999999</v>
      </c>
    </row>
    <row r="157" spans="1:4" x14ac:dyDescent="0.25">
      <c r="A157" s="1">
        <v>2447183.4</v>
      </c>
      <c r="B157" s="1" t="s">
        <v>436</v>
      </c>
      <c r="C157" s="1">
        <v>10.199999999999999</v>
      </c>
      <c r="D157" s="1">
        <v>0</v>
      </c>
    </row>
    <row r="158" spans="1:4" x14ac:dyDescent="0.25">
      <c r="A158" s="1">
        <v>2447198.03333</v>
      </c>
      <c r="B158" s="1" t="s">
        <v>437</v>
      </c>
      <c r="C158" s="1">
        <v>10.4</v>
      </c>
      <c r="D158" s="1">
        <v>0.264575</v>
      </c>
    </row>
    <row r="159" spans="1:4" x14ac:dyDescent="0.25">
      <c r="A159" s="1">
        <v>2447210.8857100001</v>
      </c>
      <c r="B159" s="1" t="s">
        <v>438</v>
      </c>
      <c r="C159" s="1">
        <v>9.8000000000000007</v>
      </c>
      <c r="D159" s="1">
        <v>0.152753</v>
      </c>
    </row>
    <row r="160" spans="1:4" x14ac:dyDescent="0.25">
      <c r="A160" s="1">
        <v>2447229.125</v>
      </c>
      <c r="B160" s="1" t="s">
        <v>439</v>
      </c>
      <c r="C160" s="1">
        <v>9.8249999999999993</v>
      </c>
      <c r="D160" s="1">
        <v>0.27801399999999998</v>
      </c>
    </row>
    <row r="161" spans="1:4" ht="30" x14ac:dyDescent="0.25">
      <c r="A161" s="1">
        <v>2447248.56</v>
      </c>
      <c r="B161" s="1" t="s">
        <v>440</v>
      </c>
      <c r="C161" s="1">
        <v>9.2200000000000006</v>
      </c>
      <c r="D161" s="1">
        <v>5.8310000000000001E-2</v>
      </c>
    </row>
    <row r="162" spans="1:4" x14ac:dyDescent="0.25">
      <c r="A162" s="1">
        <v>2447266.5874999999</v>
      </c>
      <c r="B162" s="1" t="s">
        <v>441</v>
      </c>
      <c r="C162" s="1">
        <v>9.2375000000000007</v>
      </c>
      <c r="D162" s="1">
        <v>7.5444999999999998E-2</v>
      </c>
    </row>
    <row r="163" spans="1:4" x14ac:dyDescent="0.25">
      <c r="A163" s="1">
        <v>2447359.6</v>
      </c>
      <c r="B163" s="1" t="s">
        <v>442</v>
      </c>
      <c r="C163" s="1">
        <v>8.4</v>
      </c>
      <c r="D163" s="1">
        <v>0</v>
      </c>
    </row>
    <row r="164" spans="1:4" x14ac:dyDescent="0.25">
      <c r="A164" s="1">
        <v>2447372.2516000001</v>
      </c>
      <c r="B164" s="1" t="s">
        <v>443</v>
      </c>
      <c r="C164" s="1">
        <v>8.4</v>
      </c>
      <c r="D164" s="1">
        <v>5.7735000000000002E-2</v>
      </c>
    </row>
    <row r="165" spans="1:4" ht="30" x14ac:dyDescent="0.25">
      <c r="A165" s="1">
        <v>2447388.5782599999</v>
      </c>
      <c r="B165" s="1" t="s">
        <v>444</v>
      </c>
      <c r="C165" s="1">
        <v>8.5571429999999999</v>
      </c>
      <c r="D165" s="1">
        <v>5.2811999999999998E-2</v>
      </c>
    </row>
    <row r="166" spans="1:4" x14ac:dyDescent="0.25">
      <c r="A166" s="1">
        <v>2447420.8661699998</v>
      </c>
      <c r="B166" s="1" t="s">
        <v>445</v>
      </c>
      <c r="C166" s="1">
        <v>8.766667</v>
      </c>
      <c r="D166" s="1">
        <v>8.8192000000000006E-2</v>
      </c>
    </row>
    <row r="167" spans="1:4" x14ac:dyDescent="0.25">
      <c r="A167" s="1">
        <v>2447445.4626500001</v>
      </c>
      <c r="B167" s="1" t="s">
        <v>446</v>
      </c>
      <c r="C167" s="1">
        <v>9.3000000000000007</v>
      </c>
      <c r="D167" s="1">
        <v>0.204124</v>
      </c>
    </row>
    <row r="168" spans="1:4" x14ac:dyDescent="0.25">
      <c r="A168" s="1">
        <v>2447472.43444</v>
      </c>
      <c r="B168" s="1" t="s">
        <v>447</v>
      </c>
      <c r="C168" s="1">
        <v>9.1199999999999992</v>
      </c>
      <c r="D168" s="1">
        <v>8.2730999999999999E-2</v>
      </c>
    </row>
    <row r="169" spans="1:4" x14ac:dyDescent="0.25">
      <c r="A169" s="1">
        <v>2447497.85</v>
      </c>
      <c r="B169" s="1" t="s">
        <v>448</v>
      </c>
      <c r="C169" s="1">
        <v>8.9499999999999993</v>
      </c>
      <c r="D169" s="1">
        <v>0.15</v>
      </c>
    </row>
    <row r="170" spans="1:4" x14ac:dyDescent="0.25">
      <c r="A170" s="1">
        <v>2447523.375</v>
      </c>
      <c r="B170" s="1" t="s">
        <v>449</v>
      </c>
      <c r="C170" s="1">
        <v>9.5500000000000007</v>
      </c>
      <c r="D170" s="1">
        <v>0.19364899999999999</v>
      </c>
    </row>
    <row r="171" spans="1:4" x14ac:dyDescent="0.25">
      <c r="A171" s="1">
        <v>2447543.2999999998</v>
      </c>
      <c r="B171" s="1" t="s">
        <v>450</v>
      </c>
      <c r="C171" s="1">
        <v>9.8000000000000007</v>
      </c>
      <c r="D171" s="1">
        <v>0.2</v>
      </c>
    </row>
    <row r="172" spans="1:4" x14ac:dyDescent="0.25">
      <c r="A172" s="1">
        <v>2447560.92</v>
      </c>
      <c r="B172" s="1" t="s">
        <v>451</v>
      </c>
      <c r="C172" s="1">
        <v>9.8000000000000007</v>
      </c>
      <c r="D172" s="1">
        <v>0.170294</v>
      </c>
    </row>
    <row r="173" spans="1:4" x14ac:dyDescent="0.25">
      <c r="A173" s="1">
        <v>2447574.2999999998</v>
      </c>
      <c r="B173" s="1" t="s">
        <v>452</v>
      </c>
      <c r="C173" s="1">
        <v>10.1</v>
      </c>
      <c r="D173" s="1">
        <v>0.2</v>
      </c>
    </row>
    <row r="174" spans="1:4" x14ac:dyDescent="0.25">
      <c r="A174" s="1">
        <v>2447592.2285699998</v>
      </c>
      <c r="B174" s="1" t="s">
        <v>453</v>
      </c>
      <c r="C174" s="1">
        <v>10.085713999999999</v>
      </c>
      <c r="D174" s="1">
        <v>0.13170799999999999</v>
      </c>
    </row>
    <row r="175" spans="1:4" ht="30" x14ac:dyDescent="0.25">
      <c r="A175" s="1">
        <v>2447605</v>
      </c>
      <c r="B175" s="1" t="s">
        <v>454</v>
      </c>
      <c r="C175" s="1">
        <v>10</v>
      </c>
      <c r="D175" s="1">
        <v>5.7735000000000002E-2</v>
      </c>
    </row>
    <row r="176" spans="1:4" x14ac:dyDescent="0.25">
      <c r="A176" s="1">
        <v>2447620.5076899999</v>
      </c>
      <c r="B176" s="1" t="s">
        <v>455</v>
      </c>
      <c r="C176" s="1">
        <v>9.6384620000000005</v>
      </c>
      <c r="D176" s="1">
        <v>7.4712000000000001E-2</v>
      </c>
    </row>
    <row r="177" spans="1:4" x14ac:dyDescent="0.25">
      <c r="A177" s="1">
        <v>2447643.4</v>
      </c>
      <c r="B177" s="1" t="s">
        <v>456</v>
      </c>
      <c r="C177" s="1">
        <v>9.5</v>
      </c>
      <c r="D177" s="1">
        <v>0</v>
      </c>
    </row>
    <row r="178" spans="1:4" ht="30" x14ac:dyDescent="0.25">
      <c r="A178" s="1">
        <v>2447767.6</v>
      </c>
      <c r="B178" s="1" t="s">
        <v>457</v>
      </c>
      <c r="C178" s="1">
        <v>8.3000000000000007</v>
      </c>
      <c r="D178" s="1">
        <v>0</v>
      </c>
    </row>
    <row r="179" spans="1:4" x14ac:dyDescent="0.25">
      <c r="A179" s="1">
        <v>2447781.6</v>
      </c>
      <c r="B179" s="1" t="s">
        <v>458</v>
      </c>
      <c r="C179" s="1">
        <v>8.6999999999999993</v>
      </c>
      <c r="D179" s="1">
        <v>0.11547</v>
      </c>
    </row>
    <row r="180" spans="1:4" x14ac:dyDescent="0.25">
      <c r="A180" s="1">
        <v>2447800.4333299999</v>
      </c>
      <c r="B180" s="1" t="s">
        <v>459</v>
      </c>
      <c r="C180" s="1">
        <v>8.75</v>
      </c>
      <c r="D180" s="1">
        <v>0.22766900000000001</v>
      </c>
    </row>
    <row r="181" spans="1:4" x14ac:dyDescent="0.25">
      <c r="A181" s="1">
        <v>2447823.3833300001</v>
      </c>
      <c r="B181" s="1" t="s">
        <v>460</v>
      </c>
      <c r="C181" s="1">
        <v>9.1166669999999996</v>
      </c>
      <c r="D181" s="1">
        <v>0.127584</v>
      </c>
    </row>
    <row r="182" spans="1:4" x14ac:dyDescent="0.25">
      <c r="A182" s="1">
        <v>2447835.1897300002</v>
      </c>
      <c r="B182" s="1" t="s">
        <v>461</v>
      </c>
      <c r="C182" s="1">
        <v>9.0875000000000004</v>
      </c>
      <c r="D182" s="1">
        <v>7.6619000000000007E-2</v>
      </c>
    </row>
    <row r="183" spans="1:4" ht="30" x14ac:dyDescent="0.25">
      <c r="A183" s="1">
        <v>2447856.5685800002</v>
      </c>
      <c r="B183" s="1" t="s">
        <v>462</v>
      </c>
      <c r="C183" s="1">
        <v>9.2200000000000006</v>
      </c>
      <c r="D183" s="1">
        <v>0.14966599999999999</v>
      </c>
    </row>
    <row r="184" spans="1:4" x14ac:dyDescent="0.25">
      <c r="A184" s="1">
        <v>2447872.67667</v>
      </c>
      <c r="B184" s="1" t="s">
        <v>463</v>
      </c>
      <c r="C184" s="1">
        <v>9.6666670000000003</v>
      </c>
      <c r="D184" s="1">
        <v>0.17638300000000001</v>
      </c>
    </row>
    <row r="185" spans="1:4" x14ac:dyDescent="0.25">
      <c r="A185" s="1">
        <v>2447892.36</v>
      </c>
      <c r="B185" s="1" t="s">
        <v>464</v>
      </c>
      <c r="C185" s="1">
        <v>10.1</v>
      </c>
      <c r="D185" s="1">
        <v>0.1</v>
      </c>
    </row>
    <row r="186" spans="1:4" x14ac:dyDescent="0.25">
      <c r="A186" s="1">
        <v>2447910.6533300001</v>
      </c>
      <c r="B186" s="1" t="s">
        <v>465</v>
      </c>
      <c r="C186" s="1">
        <v>10.1</v>
      </c>
      <c r="D186" s="1">
        <v>0.36055500000000001</v>
      </c>
    </row>
    <row r="187" spans="1:4" x14ac:dyDescent="0.25">
      <c r="A187" s="1">
        <v>2447924.2999999998</v>
      </c>
      <c r="B187" s="1" t="s">
        <v>466</v>
      </c>
      <c r="C187" s="1">
        <v>9.9499999999999993</v>
      </c>
      <c r="D187" s="1">
        <v>0.05</v>
      </c>
    </row>
    <row r="188" spans="1:4" x14ac:dyDescent="0.25">
      <c r="A188" s="1">
        <v>2447944.11</v>
      </c>
      <c r="B188" s="1" t="s">
        <v>467</v>
      </c>
      <c r="C188" s="1">
        <v>10.014286</v>
      </c>
      <c r="D188" s="1">
        <v>0.16680300000000001</v>
      </c>
    </row>
    <row r="189" spans="1:4" ht="30" x14ac:dyDescent="0.25">
      <c r="A189" s="1">
        <v>2447962.2333300002</v>
      </c>
      <c r="B189" s="1" t="s">
        <v>468</v>
      </c>
      <c r="C189" s="1">
        <v>10.199999999999999</v>
      </c>
      <c r="D189" s="1">
        <v>0.161245</v>
      </c>
    </row>
    <row r="190" spans="1:4" ht="30" x14ac:dyDescent="0.25">
      <c r="A190" s="1">
        <v>2447977.3840000001</v>
      </c>
      <c r="B190" s="1" t="s">
        <v>469</v>
      </c>
      <c r="C190" s="1">
        <v>10.26</v>
      </c>
      <c r="D190" s="1">
        <v>0.25219000000000003</v>
      </c>
    </row>
    <row r="191" spans="1:4" x14ac:dyDescent="0.25">
      <c r="A191" s="1">
        <v>2447996.9733299999</v>
      </c>
      <c r="B191" s="1" t="s">
        <v>470</v>
      </c>
      <c r="C191" s="1">
        <v>10.033333000000001</v>
      </c>
      <c r="D191" s="1">
        <v>0.16666700000000001</v>
      </c>
    </row>
    <row r="192" spans="1:4" x14ac:dyDescent="0.25">
      <c r="A192" s="1">
        <v>2448102.6</v>
      </c>
      <c r="B192" s="1" t="s">
        <v>471</v>
      </c>
      <c r="C192" s="1">
        <v>8.6</v>
      </c>
      <c r="D192" s="1">
        <v>0</v>
      </c>
    </row>
    <row r="193" spans="1:4" ht="30" x14ac:dyDescent="0.25">
      <c r="A193" s="1">
        <v>2448124.0499999998</v>
      </c>
      <c r="B193" s="1" t="s">
        <v>472</v>
      </c>
      <c r="C193" s="1">
        <v>8.5250000000000004</v>
      </c>
      <c r="D193" s="1">
        <v>2.5000000000000001E-2</v>
      </c>
    </row>
    <row r="194" spans="1:4" x14ac:dyDescent="0.25">
      <c r="A194" s="1">
        <v>2448141.6</v>
      </c>
      <c r="B194" s="1" t="s">
        <v>473</v>
      </c>
      <c r="C194" s="1">
        <v>8.5500000000000007</v>
      </c>
      <c r="D194" s="1">
        <v>0.05</v>
      </c>
    </row>
    <row r="195" spans="1:4" x14ac:dyDescent="0.25">
      <c r="A195" s="1">
        <v>2448160.0499999998</v>
      </c>
      <c r="B195" s="1" t="s">
        <v>474</v>
      </c>
      <c r="C195" s="1">
        <v>8.9</v>
      </c>
      <c r="D195" s="1">
        <v>5.3452E-2</v>
      </c>
    </row>
    <row r="196" spans="1:4" x14ac:dyDescent="0.25">
      <c r="A196" s="1">
        <v>2448180.4598099999</v>
      </c>
      <c r="B196" s="1" t="s">
        <v>475</v>
      </c>
      <c r="C196" s="1">
        <v>9.0857139999999994</v>
      </c>
      <c r="D196" s="1">
        <v>0.112183</v>
      </c>
    </row>
    <row r="197" spans="1:4" x14ac:dyDescent="0.25">
      <c r="A197" s="1">
        <v>2448197.5699999998</v>
      </c>
      <c r="B197" s="1" t="s">
        <v>476</v>
      </c>
      <c r="C197" s="1">
        <v>9.15</v>
      </c>
      <c r="D197" s="1">
        <v>0.05</v>
      </c>
    </row>
    <row r="198" spans="1:4" ht="30" x14ac:dyDescent="0.25">
      <c r="A198" s="1">
        <v>2448224.7740000002</v>
      </c>
      <c r="B198" s="1" t="s">
        <v>477</v>
      </c>
      <c r="C198" s="1">
        <v>9.32</v>
      </c>
      <c r="D198" s="1">
        <v>0.111355</v>
      </c>
    </row>
    <row r="199" spans="1:4" x14ac:dyDescent="0.25">
      <c r="A199" s="1">
        <v>2448245.46</v>
      </c>
      <c r="B199" s="1" t="s">
        <v>478</v>
      </c>
      <c r="C199" s="1">
        <v>9.3000000000000007</v>
      </c>
      <c r="D199" s="1">
        <v>0.1</v>
      </c>
    </row>
    <row r="200" spans="1:4" x14ac:dyDescent="0.25">
      <c r="A200" s="1">
        <v>2448268.6794799999</v>
      </c>
      <c r="B200" s="1" t="s">
        <v>479</v>
      </c>
      <c r="C200" s="1">
        <v>9.5374999999999996</v>
      </c>
      <c r="D200" s="1">
        <v>0.10680000000000001</v>
      </c>
    </row>
    <row r="201" spans="1:4" x14ac:dyDescent="0.25">
      <c r="A201" s="1">
        <v>2448286.5175000001</v>
      </c>
      <c r="B201" s="1" t="s">
        <v>480</v>
      </c>
      <c r="C201" s="1">
        <v>10.574999999999999</v>
      </c>
      <c r="D201" s="1">
        <v>0.11086799999999999</v>
      </c>
    </row>
    <row r="202" spans="1:4" x14ac:dyDescent="0.25">
      <c r="A202" s="1">
        <v>2448308.1175000002</v>
      </c>
      <c r="B202" s="1" t="s">
        <v>481</v>
      </c>
      <c r="C202" s="1">
        <v>10.475</v>
      </c>
      <c r="D202" s="1">
        <v>4.7870999999999997E-2</v>
      </c>
    </row>
    <row r="203" spans="1:4" ht="30" x14ac:dyDescent="0.25">
      <c r="A203" s="1">
        <v>2448327.59</v>
      </c>
      <c r="B203" s="1" t="s">
        <v>482</v>
      </c>
      <c r="C203" s="1">
        <v>9.8249999999999993</v>
      </c>
      <c r="D203" s="1">
        <v>0.160078</v>
      </c>
    </row>
    <row r="204" spans="1:4" ht="30" x14ac:dyDescent="0.25">
      <c r="A204" s="1">
        <v>2448340.7999999998</v>
      </c>
      <c r="B204" s="1" t="s">
        <v>483</v>
      </c>
      <c r="C204" s="1">
        <v>9.5</v>
      </c>
      <c r="D204" s="1">
        <v>0.1</v>
      </c>
    </row>
    <row r="205" spans="1:4" ht="30" x14ac:dyDescent="0.25">
      <c r="A205" s="1">
        <v>2448479.56905</v>
      </c>
      <c r="B205" s="1" t="s">
        <v>484</v>
      </c>
      <c r="C205" s="1">
        <v>9.3000000000000007</v>
      </c>
      <c r="D205" s="1">
        <v>0.1</v>
      </c>
    </row>
    <row r="206" spans="1:4" ht="30" x14ac:dyDescent="0.25">
      <c r="A206" s="1">
        <v>2448497.54734</v>
      </c>
      <c r="B206" s="1" t="s">
        <v>485</v>
      </c>
      <c r="C206" s="1">
        <v>8.9339999999999993</v>
      </c>
      <c r="D206" s="1">
        <v>0.14579400000000001</v>
      </c>
    </row>
    <row r="207" spans="1:4" x14ac:dyDescent="0.25">
      <c r="A207" s="1">
        <v>2448516.5663600001</v>
      </c>
      <c r="B207" s="1" t="s">
        <v>486</v>
      </c>
      <c r="C207" s="1">
        <v>8.8071429999999999</v>
      </c>
      <c r="D207" s="1">
        <v>6.5853999999999996E-2</v>
      </c>
    </row>
    <row r="208" spans="1:4" x14ac:dyDescent="0.25">
      <c r="A208" s="1">
        <v>2448536.2053499999</v>
      </c>
      <c r="B208" s="1" t="s">
        <v>487</v>
      </c>
      <c r="C208" s="1">
        <v>8.8238099999999999</v>
      </c>
      <c r="D208" s="1">
        <v>4.1348999999999997E-2</v>
      </c>
    </row>
    <row r="209" spans="1:4" x14ac:dyDescent="0.25">
      <c r="A209" s="1">
        <v>2448553.5489500002</v>
      </c>
      <c r="B209" s="1" t="s">
        <v>488</v>
      </c>
      <c r="C209" s="1">
        <v>9.016667</v>
      </c>
      <c r="D209" s="1">
        <v>6.5405000000000005E-2</v>
      </c>
    </row>
    <row r="210" spans="1:4" x14ac:dyDescent="0.25">
      <c r="A210" s="1">
        <v>2448569.98232</v>
      </c>
      <c r="B210" s="1" t="s">
        <v>489</v>
      </c>
      <c r="C210" s="1">
        <v>9.1560000000000006</v>
      </c>
      <c r="D210" s="1">
        <v>6.7072000000000007E-2</v>
      </c>
    </row>
    <row r="211" spans="1:4" x14ac:dyDescent="0.25">
      <c r="A211" s="1">
        <v>2448595.9309700001</v>
      </c>
      <c r="B211" s="1" t="s">
        <v>490</v>
      </c>
      <c r="C211" s="1">
        <v>9.5366669999999996</v>
      </c>
      <c r="D211" s="1">
        <v>8.3004999999999995E-2</v>
      </c>
    </row>
    <row r="212" spans="1:4" x14ac:dyDescent="0.25">
      <c r="A212" s="1">
        <v>2448608.5377799999</v>
      </c>
      <c r="B212" s="1" t="s">
        <v>491</v>
      </c>
      <c r="C212" s="1">
        <v>9.8800000000000008</v>
      </c>
      <c r="D212" s="1">
        <v>0.113333</v>
      </c>
    </row>
    <row r="213" spans="1:4" x14ac:dyDescent="0.25">
      <c r="A213" s="1">
        <v>2448625.8728100001</v>
      </c>
      <c r="B213" s="1" t="s">
        <v>492</v>
      </c>
      <c r="C213" s="1">
        <v>10.262499999999999</v>
      </c>
      <c r="D213" s="1">
        <v>0.18316399999999999</v>
      </c>
    </row>
    <row r="214" spans="1:4" x14ac:dyDescent="0.25">
      <c r="A214" s="1">
        <v>2448642.77355</v>
      </c>
      <c r="B214" s="1" t="s">
        <v>493</v>
      </c>
      <c r="C214" s="1">
        <v>10.2125</v>
      </c>
      <c r="D214" s="1">
        <v>0.15051999999999999</v>
      </c>
    </row>
    <row r="215" spans="1:4" x14ac:dyDescent="0.25">
      <c r="A215" s="1">
        <v>2448653.78981</v>
      </c>
      <c r="B215" s="1" t="s">
        <v>494</v>
      </c>
      <c r="C215" s="1">
        <v>10.262499999999999</v>
      </c>
      <c r="D215" s="1">
        <v>8.4383E-2</v>
      </c>
    </row>
    <row r="216" spans="1:4" x14ac:dyDescent="0.25">
      <c r="A216" s="1">
        <v>2448677.94246</v>
      </c>
      <c r="B216" s="1" t="s">
        <v>495</v>
      </c>
      <c r="C216" s="1">
        <v>10.628571000000001</v>
      </c>
      <c r="D216" s="1">
        <v>0.17418400000000001</v>
      </c>
    </row>
    <row r="217" spans="1:4" x14ac:dyDescent="0.25">
      <c r="A217" s="1">
        <v>2448690.5504999999</v>
      </c>
      <c r="B217" s="1" t="s">
        <v>496</v>
      </c>
      <c r="C217" s="1">
        <v>10.56</v>
      </c>
      <c r="D217" s="1">
        <v>0.18601100000000001</v>
      </c>
    </row>
    <row r="218" spans="1:4" x14ac:dyDescent="0.25">
      <c r="A218" s="1">
        <v>2448730.7000000002</v>
      </c>
      <c r="B218" s="1" t="s">
        <v>497</v>
      </c>
      <c r="C218" s="1">
        <v>10.233333</v>
      </c>
      <c r="D218" s="1">
        <v>0.39299400000000001</v>
      </c>
    </row>
    <row r="219" spans="1:4" x14ac:dyDescent="0.25">
      <c r="A219" s="1">
        <v>2448869.7406700002</v>
      </c>
      <c r="B219" s="1" t="s">
        <v>498</v>
      </c>
      <c r="C219" s="1">
        <v>9.9285709999999998</v>
      </c>
      <c r="D219" s="1">
        <v>0.14094000000000001</v>
      </c>
    </row>
    <row r="220" spans="1:4" x14ac:dyDescent="0.25">
      <c r="A220" s="1">
        <v>2448889</v>
      </c>
      <c r="B220" s="1" t="s">
        <v>499</v>
      </c>
      <c r="C220" s="1">
        <v>10.5</v>
      </c>
      <c r="D220" s="1">
        <v>0</v>
      </c>
    </row>
    <row r="221" spans="1:4" x14ac:dyDescent="0.25">
      <c r="A221" s="1">
        <v>2448911.5033999998</v>
      </c>
      <c r="B221" s="1" t="s">
        <v>500</v>
      </c>
      <c r="C221" s="1">
        <v>9.9</v>
      </c>
      <c r="D221" s="1">
        <v>0</v>
      </c>
    </row>
    <row r="222" spans="1:4" x14ac:dyDescent="0.25">
      <c r="A222" s="1">
        <v>2448923.9589999998</v>
      </c>
      <c r="B222" s="1" t="s">
        <v>501</v>
      </c>
      <c r="C222" s="1">
        <v>9.65</v>
      </c>
      <c r="D222" s="1">
        <v>0.119024</v>
      </c>
    </row>
    <row r="223" spans="1:4" ht="30" x14ac:dyDescent="0.25">
      <c r="A223" s="1">
        <v>2448950.9140699999</v>
      </c>
      <c r="B223" s="1" t="s">
        <v>502</v>
      </c>
      <c r="C223" s="1">
        <v>9.9499999999999993</v>
      </c>
      <c r="D223" s="1">
        <v>0.168819</v>
      </c>
    </row>
    <row r="224" spans="1:4" x14ac:dyDescent="0.25">
      <c r="A224" s="1">
        <v>2448965.3665200002</v>
      </c>
      <c r="B224" s="1" t="s">
        <v>503</v>
      </c>
      <c r="C224" s="1">
        <v>9.8000000000000007</v>
      </c>
      <c r="D224" s="1">
        <v>0.225832</v>
      </c>
    </row>
    <row r="225" spans="1:4" x14ac:dyDescent="0.25">
      <c r="A225" s="1">
        <v>2448982.6122900001</v>
      </c>
      <c r="B225" s="1" t="s">
        <v>504</v>
      </c>
      <c r="C225" s="1">
        <v>10</v>
      </c>
      <c r="D225" s="1">
        <v>0.15353</v>
      </c>
    </row>
    <row r="226" spans="1:4" x14ac:dyDescent="0.25">
      <c r="A226" s="1">
        <v>2448997.1263199998</v>
      </c>
      <c r="B226" s="1" t="s">
        <v>505</v>
      </c>
      <c r="C226" s="1">
        <v>9.6875</v>
      </c>
      <c r="D226" s="1">
        <v>0.14197299999999999</v>
      </c>
    </row>
    <row r="227" spans="1:4" x14ac:dyDescent="0.25">
      <c r="A227" s="1">
        <v>2449013.2783300001</v>
      </c>
      <c r="B227" s="1" t="s">
        <v>506</v>
      </c>
      <c r="C227" s="1">
        <v>10.022</v>
      </c>
      <c r="D227" s="1">
        <v>0.13539399999999999</v>
      </c>
    </row>
    <row r="228" spans="1:4" x14ac:dyDescent="0.25">
      <c r="A228" s="1">
        <v>2449035.3641400002</v>
      </c>
      <c r="B228" s="1" t="s">
        <v>507</v>
      </c>
      <c r="C228" s="1">
        <v>9.8428570000000004</v>
      </c>
      <c r="D228" s="1">
        <v>0.13656499999999999</v>
      </c>
    </row>
    <row r="229" spans="1:4" x14ac:dyDescent="0.25">
      <c r="A229" s="1">
        <v>2449048.0599699998</v>
      </c>
      <c r="B229" s="1" t="s">
        <v>508</v>
      </c>
      <c r="C229" s="1">
        <v>10.142856999999999</v>
      </c>
      <c r="D229" s="1">
        <v>0.164544</v>
      </c>
    </row>
    <row r="230" spans="1:4" ht="30" x14ac:dyDescent="0.25">
      <c r="A230" s="1">
        <v>2449063.1894200002</v>
      </c>
      <c r="B230" s="1" t="s">
        <v>509</v>
      </c>
      <c r="C230" s="1">
        <v>10.412105</v>
      </c>
      <c r="D230" s="1">
        <v>8.6516999999999997E-2</v>
      </c>
    </row>
    <row r="231" spans="1:4" ht="30" x14ac:dyDescent="0.25">
      <c r="A231" s="1">
        <v>2449077.0926199998</v>
      </c>
      <c r="B231" s="1" t="s">
        <v>510</v>
      </c>
      <c r="C231" s="1">
        <v>10.380833000000001</v>
      </c>
      <c r="D231" s="1">
        <v>7.6003000000000001E-2</v>
      </c>
    </row>
    <row r="232" spans="1:4" x14ac:dyDescent="0.25">
      <c r="A232" s="1">
        <v>2449095.90166</v>
      </c>
      <c r="B232" s="1" t="s">
        <v>511</v>
      </c>
      <c r="C232" s="1">
        <v>10.305999999999999</v>
      </c>
      <c r="D232" s="1">
        <v>0.25107000000000002</v>
      </c>
    </row>
    <row r="233" spans="1:4" x14ac:dyDescent="0.25">
      <c r="A233" s="1">
        <v>2449193.5972000002</v>
      </c>
      <c r="B233" s="1" t="s">
        <v>512</v>
      </c>
      <c r="C233" s="1">
        <v>10.7</v>
      </c>
      <c r="D233" s="1">
        <v>0</v>
      </c>
    </row>
    <row r="234" spans="1:4" ht="30" x14ac:dyDescent="0.25">
      <c r="A234" s="1">
        <v>2449212.4500000002</v>
      </c>
      <c r="B234" s="1" t="s">
        <v>513</v>
      </c>
      <c r="C234" s="1">
        <v>10.675000000000001</v>
      </c>
      <c r="D234" s="1">
        <v>0.14930399999999999</v>
      </c>
    </row>
    <row r="235" spans="1:4" x14ac:dyDescent="0.25">
      <c r="A235" s="1">
        <v>2449236.1333300001</v>
      </c>
      <c r="B235" s="1" t="s">
        <v>514</v>
      </c>
      <c r="C235" s="1">
        <v>10.6</v>
      </c>
      <c r="D235" s="1">
        <v>0.351188</v>
      </c>
    </row>
    <row r="236" spans="1:4" x14ac:dyDescent="0.25">
      <c r="A236" s="1">
        <v>2449249.2678800002</v>
      </c>
      <c r="B236" s="1" t="s">
        <v>515</v>
      </c>
      <c r="C236" s="1">
        <v>10.0625</v>
      </c>
      <c r="D236" s="1">
        <v>0.109497</v>
      </c>
    </row>
    <row r="237" spans="1:4" x14ac:dyDescent="0.25">
      <c r="A237" s="1">
        <v>2449264.7683899999</v>
      </c>
      <c r="B237" s="1" t="s">
        <v>516</v>
      </c>
      <c r="C237" s="1">
        <v>9.76</v>
      </c>
      <c r="D237" s="1">
        <v>5.416E-2</v>
      </c>
    </row>
    <row r="238" spans="1:4" x14ac:dyDescent="0.25">
      <c r="A238" s="1">
        <v>2449279.2412100001</v>
      </c>
      <c r="B238" s="1" t="s">
        <v>517</v>
      </c>
      <c r="C238" s="1">
        <v>9.5529410000000006</v>
      </c>
      <c r="D238" s="1">
        <v>7.3823E-2</v>
      </c>
    </row>
    <row r="239" spans="1:4" ht="30" x14ac:dyDescent="0.25">
      <c r="A239" s="1">
        <v>2449302.4074200001</v>
      </c>
      <c r="B239" s="1" t="s">
        <v>518</v>
      </c>
      <c r="C239" s="1">
        <v>9.2166669999999993</v>
      </c>
      <c r="D239" s="1">
        <v>4.2342999999999999E-2</v>
      </c>
    </row>
    <row r="240" spans="1:4" ht="30" x14ac:dyDescent="0.25">
      <c r="A240" s="1">
        <v>2449312.1515100002</v>
      </c>
      <c r="B240" s="1" t="s">
        <v>519</v>
      </c>
      <c r="C240" s="1">
        <v>9.2026920000000008</v>
      </c>
      <c r="D240" s="1">
        <v>3.7839999999999999E-2</v>
      </c>
    </row>
    <row r="241" spans="1:4" x14ac:dyDescent="0.25">
      <c r="A241" s="1">
        <v>2449332.7469199998</v>
      </c>
      <c r="B241" s="1" t="s">
        <v>520</v>
      </c>
      <c r="C241" s="1">
        <v>8.9721050000000009</v>
      </c>
      <c r="D241" s="1">
        <v>3.7154E-2</v>
      </c>
    </row>
    <row r="242" spans="1:4" x14ac:dyDescent="0.25">
      <c r="A242" s="1">
        <v>2449350.8407999999</v>
      </c>
      <c r="B242" s="1" t="s">
        <v>521</v>
      </c>
      <c r="C242" s="1">
        <v>8.9364290000000004</v>
      </c>
      <c r="D242" s="1">
        <v>4.9940999999999999E-2</v>
      </c>
    </row>
    <row r="243" spans="1:4" x14ac:dyDescent="0.25">
      <c r="A243" s="1">
        <v>2449366.0709799998</v>
      </c>
      <c r="B243" s="1" t="s">
        <v>522</v>
      </c>
      <c r="C243" s="1">
        <v>8.9945000000000004</v>
      </c>
      <c r="D243" s="1">
        <v>4.4648E-2</v>
      </c>
    </row>
    <row r="244" spans="1:4" x14ac:dyDescent="0.25">
      <c r="A244" s="1">
        <v>2449382.8223799998</v>
      </c>
      <c r="B244" s="1" t="s">
        <v>523</v>
      </c>
      <c r="C244" s="1">
        <v>9.0869999999999997</v>
      </c>
      <c r="D244" s="1">
        <v>3.8152999999999999E-2</v>
      </c>
    </row>
    <row r="245" spans="1:4" x14ac:dyDescent="0.25">
      <c r="A245" s="1">
        <v>2449395.5395200001</v>
      </c>
      <c r="B245" s="1" t="s">
        <v>524</v>
      </c>
      <c r="C245" s="1">
        <v>9.1090909999999994</v>
      </c>
      <c r="D245" s="1">
        <v>5.6334000000000002E-2</v>
      </c>
    </row>
    <row r="246" spans="1:4" x14ac:dyDescent="0.25">
      <c r="A246" s="1">
        <v>2449417.06293</v>
      </c>
      <c r="B246" s="1" t="s">
        <v>525</v>
      </c>
      <c r="C246" s="1">
        <v>9.3360000000000003</v>
      </c>
      <c r="D246" s="1">
        <v>5.3083999999999999E-2</v>
      </c>
    </row>
    <row r="247" spans="1:4" ht="30" x14ac:dyDescent="0.25">
      <c r="A247" s="1">
        <v>2449431.59039</v>
      </c>
      <c r="B247" s="1" t="s">
        <v>526</v>
      </c>
      <c r="C247" s="1">
        <v>9.5043749999999996</v>
      </c>
      <c r="D247" s="1">
        <v>3.5331000000000001E-2</v>
      </c>
    </row>
    <row r="248" spans="1:4" x14ac:dyDescent="0.25">
      <c r="A248" s="1">
        <v>2449451.6661899998</v>
      </c>
      <c r="B248" s="1" t="s">
        <v>527</v>
      </c>
      <c r="C248" s="1">
        <v>9.8275000000000006</v>
      </c>
      <c r="D248" s="1">
        <v>8.3703E-2</v>
      </c>
    </row>
    <row r="249" spans="1:4" x14ac:dyDescent="0.25">
      <c r="A249" s="1">
        <v>2449471.3538799998</v>
      </c>
      <c r="B249" s="1" t="s">
        <v>528</v>
      </c>
      <c r="C249" s="1">
        <v>9.9939999999999998</v>
      </c>
      <c r="D249" s="1">
        <v>0.21008599999999999</v>
      </c>
    </row>
    <row r="250" spans="1:4" x14ac:dyDescent="0.25">
      <c r="A250" s="1">
        <v>2449568.56</v>
      </c>
      <c r="B250" s="1" t="s">
        <v>529</v>
      </c>
      <c r="C250" s="1">
        <v>10.5</v>
      </c>
      <c r="D250" s="1">
        <v>0</v>
      </c>
    </row>
    <row r="251" spans="1:4" ht="30" x14ac:dyDescent="0.25">
      <c r="A251" s="1">
        <v>2449583.3617199999</v>
      </c>
      <c r="B251" s="1" t="s">
        <v>530</v>
      </c>
      <c r="C251" s="1">
        <v>9.98</v>
      </c>
      <c r="D251" s="1">
        <v>0.10198</v>
      </c>
    </row>
    <row r="252" spans="1:4" x14ac:dyDescent="0.25">
      <c r="A252" s="1">
        <v>2449607.0444700001</v>
      </c>
      <c r="B252" s="1" t="s">
        <v>531</v>
      </c>
      <c r="C252" s="1">
        <v>10.138571000000001</v>
      </c>
      <c r="D252" s="1">
        <v>8.3164000000000002E-2</v>
      </c>
    </row>
    <row r="253" spans="1:4" x14ac:dyDescent="0.25">
      <c r="A253" s="1">
        <v>2449634.0255200001</v>
      </c>
      <c r="B253" s="1" t="s">
        <v>532</v>
      </c>
      <c r="C253" s="1">
        <v>9.8249999999999993</v>
      </c>
      <c r="D253" s="1">
        <v>0.205649</v>
      </c>
    </row>
    <row r="254" spans="1:4" x14ac:dyDescent="0.25">
      <c r="A254" s="1">
        <v>2449656.2535600001</v>
      </c>
      <c r="B254" s="1" t="s">
        <v>533</v>
      </c>
      <c r="C254" s="1">
        <v>9.7323079999999997</v>
      </c>
      <c r="D254" s="1">
        <v>8.7802000000000005E-2</v>
      </c>
    </row>
    <row r="255" spans="1:4" ht="30" x14ac:dyDescent="0.25">
      <c r="A255" s="1">
        <v>2449675.2162700002</v>
      </c>
      <c r="B255" s="1" t="s">
        <v>534</v>
      </c>
      <c r="C255" s="1">
        <v>9.4845450000000007</v>
      </c>
      <c r="D255" s="1">
        <v>0.107622</v>
      </c>
    </row>
    <row r="256" spans="1:4" x14ac:dyDescent="0.25">
      <c r="A256" s="1">
        <v>2449690.3335199999</v>
      </c>
      <c r="B256" s="1" t="s">
        <v>535</v>
      </c>
      <c r="C256" s="1">
        <v>9.4253850000000003</v>
      </c>
      <c r="D256" s="1">
        <v>9.9689E-2</v>
      </c>
    </row>
    <row r="257" spans="1:4" x14ac:dyDescent="0.25">
      <c r="A257" s="1">
        <v>2449706.18811</v>
      </c>
      <c r="B257" s="1" t="s">
        <v>536</v>
      </c>
      <c r="C257" s="1">
        <v>9.2663639999999994</v>
      </c>
      <c r="D257" s="1">
        <v>9.9748000000000003E-2</v>
      </c>
    </row>
    <row r="258" spans="1:4" x14ac:dyDescent="0.25">
      <c r="A258" s="1">
        <v>2449723.3393999999</v>
      </c>
      <c r="B258" s="1" t="s">
        <v>537</v>
      </c>
      <c r="C258" s="1">
        <v>9.2082610000000003</v>
      </c>
      <c r="D258" s="1">
        <v>4.7418000000000002E-2</v>
      </c>
    </row>
    <row r="259" spans="1:4" x14ac:dyDescent="0.25">
      <c r="A259" s="1">
        <v>2449746.7618800001</v>
      </c>
      <c r="B259" s="1" t="s">
        <v>538</v>
      </c>
      <c r="C259" s="1">
        <v>9.2579999999999991</v>
      </c>
      <c r="D259" s="1">
        <v>5.6713E-2</v>
      </c>
    </row>
    <row r="260" spans="1:4" x14ac:dyDescent="0.25">
      <c r="A260" s="1">
        <v>2449759.65485</v>
      </c>
      <c r="B260" s="1" t="s">
        <v>539</v>
      </c>
      <c r="C260" s="1">
        <v>9.224615</v>
      </c>
      <c r="D260" s="1">
        <v>5.2958999999999999E-2</v>
      </c>
    </row>
    <row r="261" spans="1:4" x14ac:dyDescent="0.25">
      <c r="A261" s="1">
        <v>2449777.8958299998</v>
      </c>
      <c r="B261" s="1" t="s">
        <v>540</v>
      </c>
      <c r="C261" s="1">
        <v>9.2428000000000008</v>
      </c>
      <c r="D261" s="1">
        <v>3.7530000000000001E-2</v>
      </c>
    </row>
    <row r="262" spans="1:4" ht="30" x14ac:dyDescent="0.25">
      <c r="A262" s="1">
        <v>2449794.5621699998</v>
      </c>
      <c r="B262" s="1" t="s">
        <v>541</v>
      </c>
      <c r="C262" s="1">
        <v>9.2200000000000006</v>
      </c>
      <c r="D262" s="1">
        <v>4.8917000000000002E-2</v>
      </c>
    </row>
    <row r="263" spans="1:4" ht="30" x14ac:dyDescent="0.25">
      <c r="A263" s="1">
        <v>2449807.6308400002</v>
      </c>
      <c r="B263" s="1" t="s">
        <v>542</v>
      </c>
      <c r="C263" s="1">
        <v>9.2486359999999994</v>
      </c>
      <c r="D263" s="1">
        <v>3.8191000000000003E-2</v>
      </c>
    </row>
    <row r="264" spans="1:4" x14ac:dyDescent="0.25">
      <c r="A264" s="1">
        <v>2449822.5481699998</v>
      </c>
      <c r="B264" s="1" t="s">
        <v>543</v>
      </c>
      <c r="C264" s="1">
        <v>9.3030430000000006</v>
      </c>
      <c r="D264" s="1">
        <v>5.5590000000000001E-2</v>
      </c>
    </row>
    <row r="265" spans="1:4" x14ac:dyDescent="0.25">
      <c r="A265" s="1">
        <v>2449838.24878</v>
      </c>
      <c r="B265" s="1" t="s">
        <v>544</v>
      </c>
      <c r="C265" s="1">
        <v>9.6</v>
      </c>
      <c r="D265" s="1">
        <v>0.12110600000000001</v>
      </c>
    </row>
    <row r="266" spans="1:4" x14ac:dyDescent="0.25">
      <c r="A266" s="1">
        <v>2449923.9556800001</v>
      </c>
      <c r="B266" s="1" t="s">
        <v>545</v>
      </c>
      <c r="C266" s="1">
        <v>9.98</v>
      </c>
      <c r="D266" s="1">
        <v>0.115758</v>
      </c>
    </row>
    <row r="267" spans="1:4" x14ac:dyDescent="0.25">
      <c r="A267" s="1">
        <v>2449939.48214</v>
      </c>
      <c r="B267" s="1" t="s">
        <v>546</v>
      </c>
      <c r="C267" s="1">
        <v>10.085713999999999</v>
      </c>
      <c r="D267" s="1">
        <v>0.17515800000000001</v>
      </c>
    </row>
    <row r="268" spans="1:4" ht="30" x14ac:dyDescent="0.25">
      <c r="A268" s="1">
        <v>2449958.4331899998</v>
      </c>
      <c r="B268" s="1" t="s">
        <v>547</v>
      </c>
      <c r="C268" s="1">
        <v>10.118570999999999</v>
      </c>
      <c r="D268" s="1">
        <v>0.117157</v>
      </c>
    </row>
    <row r="269" spans="1:4" x14ac:dyDescent="0.25">
      <c r="A269" s="1">
        <v>2449988.5572799998</v>
      </c>
      <c r="B269" s="1" t="s">
        <v>548</v>
      </c>
      <c r="C269" s="1">
        <v>10.4125</v>
      </c>
      <c r="D269" s="1">
        <v>0.23485400000000001</v>
      </c>
    </row>
    <row r="270" spans="1:4" x14ac:dyDescent="0.25">
      <c r="A270" s="1">
        <v>2450010.7034</v>
      </c>
      <c r="B270" s="1" t="s">
        <v>549</v>
      </c>
      <c r="C270" s="1">
        <v>9.85</v>
      </c>
      <c r="D270" s="1">
        <v>0</v>
      </c>
    </row>
    <row r="271" spans="1:4" x14ac:dyDescent="0.25">
      <c r="A271" s="1">
        <v>2450020.3284800001</v>
      </c>
      <c r="B271" s="1" t="s">
        <v>550</v>
      </c>
      <c r="C271" s="1">
        <v>9.8620000000000001</v>
      </c>
      <c r="D271" s="1">
        <v>8.3663000000000001E-2</v>
      </c>
    </row>
    <row r="272" spans="1:4" ht="30" x14ac:dyDescent="0.25">
      <c r="A272" s="1">
        <v>2450042.5078699999</v>
      </c>
      <c r="B272" s="1" t="s">
        <v>551</v>
      </c>
      <c r="C272" s="1">
        <v>9.762143</v>
      </c>
      <c r="D272" s="1">
        <v>5.4301000000000002E-2</v>
      </c>
    </row>
    <row r="273" spans="1:4" x14ac:dyDescent="0.25">
      <c r="A273" s="1">
        <v>2450060.11026</v>
      </c>
      <c r="B273" s="1" t="s">
        <v>552</v>
      </c>
      <c r="C273" s="1">
        <v>9.4789999999999992</v>
      </c>
      <c r="D273" s="1">
        <v>0.103435</v>
      </c>
    </row>
    <row r="274" spans="1:4" x14ac:dyDescent="0.25">
      <c r="A274" s="1">
        <v>2450075.4938400001</v>
      </c>
      <c r="B274" s="1" t="s">
        <v>553</v>
      </c>
      <c r="C274" s="1">
        <v>9.4035709999999995</v>
      </c>
      <c r="D274" s="1">
        <v>8.9636999999999994E-2</v>
      </c>
    </row>
    <row r="275" spans="1:4" x14ac:dyDescent="0.25">
      <c r="A275" s="1">
        <v>2450093.9469599999</v>
      </c>
      <c r="B275" s="1" t="s">
        <v>554</v>
      </c>
      <c r="C275" s="1">
        <v>8.8722220000000007</v>
      </c>
      <c r="D275" s="1">
        <v>3.6429999999999997E-2</v>
      </c>
    </row>
    <row r="276" spans="1:4" x14ac:dyDescent="0.25">
      <c r="A276" s="1">
        <v>2450104.9463599999</v>
      </c>
      <c r="B276" s="1" t="s">
        <v>555</v>
      </c>
      <c r="C276" s="1">
        <v>8.8142859999999992</v>
      </c>
      <c r="D276" s="1">
        <v>5.4325999999999999E-2</v>
      </c>
    </row>
    <row r="277" spans="1:4" x14ac:dyDescent="0.25">
      <c r="A277" s="1">
        <v>2450121.9084899998</v>
      </c>
      <c r="B277" s="1" t="s">
        <v>556</v>
      </c>
      <c r="C277" s="1">
        <v>8.6188889999999994</v>
      </c>
      <c r="D277" s="1">
        <v>2.8051E-2</v>
      </c>
    </row>
    <row r="278" spans="1:4" x14ac:dyDescent="0.25">
      <c r="A278" s="1">
        <v>2450136.8031799998</v>
      </c>
      <c r="B278" s="1" t="s">
        <v>557</v>
      </c>
      <c r="C278" s="1">
        <v>8.6346150000000002</v>
      </c>
      <c r="D278" s="1">
        <v>2.3496E-2</v>
      </c>
    </row>
    <row r="279" spans="1:4" ht="30" x14ac:dyDescent="0.25">
      <c r="A279" s="1">
        <v>2450153.8179700002</v>
      </c>
      <c r="B279" s="1" t="s">
        <v>558</v>
      </c>
      <c r="C279" s="1">
        <v>8.6769230000000004</v>
      </c>
      <c r="D279" s="1">
        <v>4.5508E-2</v>
      </c>
    </row>
    <row r="280" spans="1:4" ht="30" x14ac:dyDescent="0.25">
      <c r="A280" s="1">
        <v>2450170.6979</v>
      </c>
      <c r="B280" s="1" t="s">
        <v>559</v>
      </c>
      <c r="C280" s="1">
        <v>8.7584619999999997</v>
      </c>
      <c r="D280" s="1">
        <v>4.2424000000000003E-2</v>
      </c>
    </row>
    <row r="281" spans="1:4" x14ac:dyDescent="0.25">
      <c r="A281" s="1">
        <v>2450184.54024</v>
      </c>
      <c r="B281" s="1" t="s">
        <v>560</v>
      </c>
      <c r="C281" s="1">
        <v>9.0549999999999997</v>
      </c>
      <c r="D281" s="1">
        <v>5.8630000000000002E-2</v>
      </c>
    </row>
    <row r="282" spans="1:4" x14ac:dyDescent="0.25">
      <c r="A282" s="1">
        <v>2450198.3286299999</v>
      </c>
      <c r="B282" s="1" t="s">
        <v>561</v>
      </c>
      <c r="C282" s="1">
        <v>9.1412499999999994</v>
      </c>
      <c r="D282" s="1">
        <v>6.1685999999999998E-2</v>
      </c>
    </row>
    <row r="283" spans="1:4" ht="30" x14ac:dyDescent="0.25">
      <c r="A283" s="1">
        <v>2450216.4465000001</v>
      </c>
      <c r="B283" s="1" t="s">
        <v>562</v>
      </c>
      <c r="C283" s="1">
        <v>9.15</v>
      </c>
      <c r="D283" s="1">
        <v>0.05</v>
      </c>
    </row>
    <row r="284" spans="1:4" x14ac:dyDescent="0.25">
      <c r="A284" s="1">
        <v>2450284.5</v>
      </c>
      <c r="B284" s="1" t="s">
        <v>563</v>
      </c>
      <c r="C284" s="1">
        <v>10.8</v>
      </c>
      <c r="D284" s="1">
        <v>0</v>
      </c>
    </row>
    <row r="285" spans="1:4" ht="30" x14ac:dyDescent="0.25">
      <c r="A285" s="1">
        <v>2450305.5</v>
      </c>
      <c r="B285" s="1" t="s">
        <v>564</v>
      </c>
      <c r="C285" s="1">
        <v>10.3</v>
      </c>
      <c r="D285" s="1">
        <v>0.2</v>
      </c>
    </row>
    <row r="286" spans="1:4" ht="30" x14ac:dyDescent="0.25">
      <c r="A286" s="1">
        <v>2450324.7723699999</v>
      </c>
      <c r="B286" s="1" t="s">
        <v>565</v>
      </c>
      <c r="C286" s="1">
        <v>10.1</v>
      </c>
      <c r="D286" s="1">
        <v>0.168325</v>
      </c>
    </row>
    <row r="287" spans="1:4" x14ac:dyDescent="0.25">
      <c r="A287" s="1">
        <v>2450343.9556999998</v>
      </c>
      <c r="B287" s="1" t="s">
        <v>566</v>
      </c>
      <c r="C287" s="1">
        <v>10.057499999999999</v>
      </c>
      <c r="D287" s="1">
        <v>8.2500000000000004E-2</v>
      </c>
    </row>
    <row r="288" spans="1:4" x14ac:dyDescent="0.25">
      <c r="A288" s="1">
        <v>2450365.4206099999</v>
      </c>
      <c r="B288" s="1" t="s">
        <v>567</v>
      </c>
      <c r="C288" s="1">
        <v>10.085000000000001</v>
      </c>
      <c r="D288" s="1">
        <v>9.8333000000000004E-2</v>
      </c>
    </row>
    <row r="289" spans="1:4" x14ac:dyDescent="0.25">
      <c r="A289" s="1">
        <v>2450383.24596</v>
      </c>
      <c r="B289" s="1" t="s">
        <v>568</v>
      </c>
      <c r="C289" s="1">
        <v>10.17</v>
      </c>
      <c r="D289" s="1">
        <v>0.131909</v>
      </c>
    </row>
    <row r="290" spans="1:4" ht="30" x14ac:dyDescent="0.25">
      <c r="A290" s="1">
        <v>2450403.6624500002</v>
      </c>
      <c r="B290" s="1" t="s">
        <v>569</v>
      </c>
      <c r="C290" s="1">
        <v>9.6954550000000008</v>
      </c>
      <c r="D290" s="1">
        <v>5.0206000000000001E-2</v>
      </c>
    </row>
    <row r="291" spans="1:4" x14ac:dyDescent="0.25">
      <c r="A291" s="1">
        <v>2450423.3558100001</v>
      </c>
      <c r="B291" s="1" t="s">
        <v>570</v>
      </c>
      <c r="C291" s="1">
        <v>9.5374999999999996</v>
      </c>
      <c r="D291" s="1">
        <v>0.140073</v>
      </c>
    </row>
    <row r="292" spans="1:4" x14ac:dyDescent="0.25">
      <c r="A292" s="1">
        <v>2450436.7079099999</v>
      </c>
      <c r="B292" s="1" t="s">
        <v>571</v>
      </c>
      <c r="C292" s="1">
        <v>9.3214290000000002</v>
      </c>
      <c r="D292" s="1">
        <v>0.10342800000000001</v>
      </c>
    </row>
    <row r="293" spans="1:4" x14ac:dyDescent="0.25">
      <c r="A293" s="1">
        <v>2450457.9646999999</v>
      </c>
      <c r="B293" s="1" t="s">
        <v>572</v>
      </c>
      <c r="C293" s="1">
        <v>9.3000000000000007</v>
      </c>
      <c r="D293" s="1">
        <v>8.9442999999999995E-2</v>
      </c>
    </row>
    <row r="294" spans="1:4" x14ac:dyDescent="0.25">
      <c r="A294" s="1">
        <v>2450473.3607899998</v>
      </c>
      <c r="B294" s="1" t="s">
        <v>573</v>
      </c>
      <c r="C294" s="1">
        <v>8.8961109999999994</v>
      </c>
      <c r="D294" s="1">
        <v>5.0053E-2</v>
      </c>
    </row>
    <row r="295" spans="1:4" x14ac:dyDescent="0.25">
      <c r="A295" s="1">
        <v>2450487.5890199998</v>
      </c>
      <c r="B295" s="1" t="s">
        <v>574</v>
      </c>
      <c r="C295" s="1">
        <v>8.6014999999999997</v>
      </c>
      <c r="D295" s="1">
        <v>5.1166999999999997E-2</v>
      </c>
    </row>
    <row r="296" spans="1:4" x14ac:dyDescent="0.25">
      <c r="A296" s="1">
        <v>2450503.2873999998</v>
      </c>
      <c r="B296" s="1" t="s">
        <v>575</v>
      </c>
      <c r="C296" s="1">
        <v>8.3857140000000001</v>
      </c>
      <c r="D296" s="1">
        <v>5.3304999999999998E-2</v>
      </c>
    </row>
    <row r="297" spans="1:4" ht="30" x14ac:dyDescent="0.25">
      <c r="A297" s="1">
        <v>2450517.6430100002</v>
      </c>
      <c r="B297" s="1" t="s">
        <v>576</v>
      </c>
      <c r="C297" s="1">
        <v>8.3856249999999992</v>
      </c>
      <c r="D297" s="1">
        <v>3.1463999999999999E-2</v>
      </c>
    </row>
    <row r="298" spans="1:4" ht="30" x14ac:dyDescent="0.25">
      <c r="A298" s="1">
        <v>2450535.89304</v>
      </c>
      <c r="B298" s="1" t="s">
        <v>577</v>
      </c>
      <c r="C298" s="1">
        <v>8.3143750000000001</v>
      </c>
      <c r="D298" s="1">
        <v>4.4600000000000001E-2</v>
      </c>
    </row>
    <row r="299" spans="1:4" x14ac:dyDescent="0.25">
      <c r="A299" s="1">
        <v>2450548.4801099999</v>
      </c>
      <c r="B299" s="1" t="s">
        <v>578</v>
      </c>
      <c r="C299" s="1">
        <v>8.5020000000000007</v>
      </c>
      <c r="D299" s="1">
        <v>3.2428999999999999E-2</v>
      </c>
    </row>
    <row r="300" spans="1:4" x14ac:dyDescent="0.25">
      <c r="A300" s="1">
        <v>2450568.4045799999</v>
      </c>
      <c r="B300" s="1" t="s">
        <v>579</v>
      </c>
      <c r="C300" s="1">
        <v>8.8000000000000007</v>
      </c>
      <c r="D300" s="1">
        <v>6.3245999999999997E-2</v>
      </c>
    </row>
    <row r="301" spans="1:4" ht="30" x14ac:dyDescent="0.25">
      <c r="A301" s="1">
        <v>2450586.0874999999</v>
      </c>
      <c r="B301" s="1" t="s">
        <v>580</v>
      </c>
      <c r="C301" s="1">
        <v>9.1</v>
      </c>
      <c r="D301" s="1">
        <v>0</v>
      </c>
    </row>
    <row r="302" spans="1:4" x14ac:dyDescent="0.25">
      <c r="A302" s="1">
        <v>2450666.2439999999</v>
      </c>
      <c r="B302" s="1" t="s">
        <v>581</v>
      </c>
      <c r="C302" s="1">
        <v>8.9666669999999993</v>
      </c>
      <c r="D302" s="1">
        <v>0.218581</v>
      </c>
    </row>
    <row r="303" spans="1:4" ht="30" x14ac:dyDescent="0.25">
      <c r="A303" s="1">
        <v>2450686.5181</v>
      </c>
      <c r="B303" s="1" t="s">
        <v>582</v>
      </c>
      <c r="C303" s="1">
        <v>9.9</v>
      </c>
      <c r="D303" s="1">
        <v>0</v>
      </c>
    </row>
    <row r="304" spans="1:4" x14ac:dyDescent="0.25">
      <c r="A304" s="1">
        <v>2450700.1195299998</v>
      </c>
      <c r="B304" s="1" t="s">
        <v>583</v>
      </c>
      <c r="C304" s="1">
        <v>9.766667</v>
      </c>
      <c r="D304" s="1">
        <v>0.19264200000000001</v>
      </c>
    </row>
    <row r="305" spans="1:4" x14ac:dyDescent="0.25">
      <c r="A305" s="1">
        <v>2450723.8085500002</v>
      </c>
      <c r="B305" s="1" t="s">
        <v>584</v>
      </c>
      <c r="C305" s="1">
        <v>9.9499999999999993</v>
      </c>
      <c r="D305" s="1">
        <v>0.125831</v>
      </c>
    </row>
    <row r="306" spans="1:4" x14ac:dyDescent="0.25">
      <c r="A306" s="1">
        <v>2450748.6024500001</v>
      </c>
      <c r="B306" s="1" t="s">
        <v>585</v>
      </c>
      <c r="C306" s="1">
        <v>10.074999999999999</v>
      </c>
      <c r="D306" s="1">
        <v>0.160078</v>
      </c>
    </row>
    <row r="307" spans="1:4" ht="30" x14ac:dyDescent="0.25">
      <c r="A307" s="1">
        <v>2450769.4375</v>
      </c>
      <c r="B307" s="1" t="s">
        <v>586</v>
      </c>
      <c r="C307" s="1">
        <v>10.050000000000001</v>
      </c>
      <c r="D307" s="1">
        <v>0.05</v>
      </c>
    </row>
    <row r="308" spans="1:4" x14ac:dyDescent="0.25">
      <c r="A308" s="1">
        <v>2450789.66817</v>
      </c>
      <c r="B308" s="1" t="s">
        <v>587</v>
      </c>
      <c r="C308" s="1">
        <v>9.8166670000000007</v>
      </c>
      <c r="D308" s="1">
        <v>9.4575000000000006E-2</v>
      </c>
    </row>
    <row r="309" spans="1:4" x14ac:dyDescent="0.25">
      <c r="A309" s="1">
        <v>2450814.3448100002</v>
      </c>
      <c r="B309" s="1" t="s">
        <v>588</v>
      </c>
      <c r="C309" s="1">
        <v>9.7208330000000007</v>
      </c>
      <c r="D309" s="1">
        <v>7.6242000000000004E-2</v>
      </c>
    </row>
    <row r="310" spans="1:4" x14ac:dyDescent="0.25">
      <c r="A310" s="1">
        <v>2450828.3732400001</v>
      </c>
      <c r="B310" s="1" t="s">
        <v>589</v>
      </c>
      <c r="C310" s="1">
        <v>9.6281250000000007</v>
      </c>
      <c r="D310" s="1">
        <v>7.1694999999999995E-2</v>
      </c>
    </row>
    <row r="311" spans="1:4" x14ac:dyDescent="0.25">
      <c r="A311" s="1">
        <v>2450844.8288099999</v>
      </c>
      <c r="B311" s="1" t="s">
        <v>590</v>
      </c>
      <c r="C311" s="1">
        <v>9.4295650000000002</v>
      </c>
      <c r="D311" s="1">
        <v>4.7241999999999999E-2</v>
      </c>
    </row>
    <row r="312" spans="1:4" x14ac:dyDescent="0.25">
      <c r="A312" s="1">
        <v>2450861.36992</v>
      </c>
      <c r="B312" s="1" t="s">
        <v>591</v>
      </c>
      <c r="C312" s="1">
        <v>9.1686669999999992</v>
      </c>
      <c r="D312" s="1">
        <v>7.4129E-2</v>
      </c>
    </row>
    <row r="313" spans="1:4" x14ac:dyDescent="0.25">
      <c r="A313" s="1">
        <v>2450874.0250499998</v>
      </c>
      <c r="B313" s="1" t="s">
        <v>592</v>
      </c>
      <c r="C313" s="1">
        <v>8.8723080000000003</v>
      </c>
      <c r="D313" s="1">
        <v>0.13165199999999999</v>
      </c>
    </row>
    <row r="314" spans="1:4" ht="30" x14ac:dyDescent="0.25">
      <c r="A314" s="1">
        <v>2450891.3464700002</v>
      </c>
      <c r="B314" s="1" t="s">
        <v>593</v>
      </c>
      <c r="C314" s="1">
        <v>8.5441179999999992</v>
      </c>
      <c r="D314" s="1">
        <v>3.3498E-2</v>
      </c>
    </row>
    <row r="315" spans="1:4" x14ac:dyDescent="0.25">
      <c r="A315" s="1">
        <v>2450911.4158899998</v>
      </c>
      <c r="B315" s="1" t="s">
        <v>594</v>
      </c>
      <c r="C315" s="1">
        <v>8.5954549999999994</v>
      </c>
      <c r="D315" s="1">
        <v>4.6931E-2</v>
      </c>
    </row>
    <row r="316" spans="1:4" x14ac:dyDescent="0.25">
      <c r="A316" s="1">
        <v>2450927.8168000001</v>
      </c>
      <c r="B316" s="1" t="s">
        <v>595</v>
      </c>
      <c r="C316" s="1">
        <v>8.61</v>
      </c>
      <c r="D316" s="1">
        <v>5.8595000000000001E-2</v>
      </c>
    </row>
    <row r="317" spans="1:4" x14ac:dyDescent="0.25">
      <c r="A317" s="1">
        <v>2450939.7888699998</v>
      </c>
      <c r="B317" s="1" t="s">
        <v>596</v>
      </c>
      <c r="C317" s="1">
        <v>8.65</v>
      </c>
      <c r="D317" s="1">
        <v>6.7082000000000003E-2</v>
      </c>
    </row>
    <row r="318" spans="1:4" x14ac:dyDescent="0.25">
      <c r="A318" s="1">
        <v>2451025.5</v>
      </c>
      <c r="B318" s="1" t="s">
        <v>597</v>
      </c>
      <c r="C318" s="1">
        <v>9.3000000000000007</v>
      </c>
      <c r="D318" s="1">
        <v>0</v>
      </c>
    </row>
    <row r="319" spans="1:4" ht="30" x14ac:dyDescent="0.25">
      <c r="A319" s="1">
        <v>2451038.4810700002</v>
      </c>
      <c r="B319" s="1" t="s">
        <v>598</v>
      </c>
      <c r="C319" s="1">
        <v>9.6333330000000004</v>
      </c>
      <c r="D319" s="1">
        <v>0.18559200000000001</v>
      </c>
    </row>
    <row r="320" spans="1:4" ht="30" x14ac:dyDescent="0.25">
      <c r="A320" s="1">
        <v>2451052.7811199999</v>
      </c>
      <c r="B320" s="1" t="s">
        <v>599</v>
      </c>
      <c r="C320" s="1">
        <v>10.36</v>
      </c>
      <c r="D320" s="1">
        <v>0.14544899999999999</v>
      </c>
    </row>
    <row r="321" spans="1:4" x14ac:dyDescent="0.25">
      <c r="A321" s="1">
        <v>2451073.6069</v>
      </c>
      <c r="B321" s="1" t="s">
        <v>600</v>
      </c>
      <c r="C321" s="1">
        <v>9.9</v>
      </c>
      <c r="D321" s="1">
        <v>0</v>
      </c>
    </row>
    <row r="322" spans="1:4" x14ac:dyDescent="0.25">
      <c r="A322" s="1">
        <v>2451080.8635900002</v>
      </c>
      <c r="B322" s="1" t="s">
        <v>601</v>
      </c>
      <c r="C322" s="1">
        <v>10.4</v>
      </c>
      <c r="D322" s="1">
        <v>0.160357</v>
      </c>
    </row>
    <row r="323" spans="1:4" x14ac:dyDescent="0.25">
      <c r="A323" s="1">
        <v>2451103.9750000001</v>
      </c>
      <c r="B323" s="1" t="s">
        <v>602</v>
      </c>
      <c r="C323" s="1">
        <v>10.525</v>
      </c>
      <c r="D323" s="1">
        <v>0.36371900000000001</v>
      </c>
    </row>
    <row r="324" spans="1:4" x14ac:dyDescent="0.25">
      <c r="A324" s="1">
        <v>2451111.36154</v>
      </c>
      <c r="B324" s="1" t="s">
        <v>603</v>
      </c>
      <c r="C324" s="1">
        <v>10.606249999999999</v>
      </c>
      <c r="D324" s="1">
        <v>0.16486899999999999</v>
      </c>
    </row>
    <row r="325" spans="1:4" ht="30" x14ac:dyDescent="0.25">
      <c r="A325" s="1">
        <v>2451134.45688</v>
      </c>
      <c r="B325" s="1" t="s">
        <v>604</v>
      </c>
      <c r="C325" s="1">
        <v>10.536842</v>
      </c>
      <c r="D325" s="1">
        <v>0.111466</v>
      </c>
    </row>
    <row r="326" spans="1:4" x14ac:dyDescent="0.25">
      <c r="A326" s="1">
        <v>2451154.5219899998</v>
      </c>
      <c r="B326" s="1" t="s">
        <v>605</v>
      </c>
      <c r="C326" s="1">
        <v>9.9528569999999998</v>
      </c>
      <c r="D326" s="1">
        <v>7.9033000000000006E-2</v>
      </c>
    </row>
    <row r="327" spans="1:4" x14ac:dyDescent="0.25">
      <c r="A327" s="1">
        <v>2451169.5572500001</v>
      </c>
      <c r="B327" s="1" t="s">
        <v>606</v>
      </c>
      <c r="C327" s="1">
        <v>9.9361540000000002</v>
      </c>
      <c r="D327" s="1">
        <v>6.6982E-2</v>
      </c>
    </row>
    <row r="328" spans="1:4" x14ac:dyDescent="0.25">
      <c r="A328" s="1">
        <v>2451186.6538399998</v>
      </c>
      <c r="B328" s="1" t="s">
        <v>607</v>
      </c>
      <c r="C328" s="1">
        <v>9.7542860000000005</v>
      </c>
      <c r="D328" s="1">
        <v>7.0099999999999996E-2</v>
      </c>
    </row>
    <row r="329" spans="1:4" x14ac:dyDescent="0.25">
      <c r="A329" s="1">
        <v>2451200.4485900002</v>
      </c>
      <c r="B329" s="1" t="s">
        <v>608</v>
      </c>
      <c r="C329" s="1">
        <v>9.6111109999999993</v>
      </c>
      <c r="D329" s="1">
        <v>0.10095999999999999</v>
      </c>
    </row>
    <row r="330" spans="1:4" x14ac:dyDescent="0.25">
      <c r="A330" s="1">
        <v>2451217.5577699998</v>
      </c>
      <c r="B330" s="1" t="s">
        <v>609</v>
      </c>
      <c r="C330" s="1">
        <v>9.4492309999999993</v>
      </c>
      <c r="D330" s="1">
        <v>5.3690000000000002E-2</v>
      </c>
    </row>
    <row r="331" spans="1:4" x14ac:dyDescent="0.25">
      <c r="A331" s="1">
        <v>2451233.1966200001</v>
      </c>
      <c r="B331" s="1" t="s">
        <v>610</v>
      </c>
      <c r="C331" s="1">
        <v>9.2816670000000006</v>
      </c>
      <c r="D331" s="1">
        <v>4.0204999999999998E-2</v>
      </c>
    </row>
    <row r="332" spans="1:4" ht="30" x14ac:dyDescent="0.25">
      <c r="A332" s="1">
        <v>2451249.5979300002</v>
      </c>
      <c r="B332" s="1" t="s">
        <v>611</v>
      </c>
      <c r="C332" s="1">
        <v>9.1564289999999993</v>
      </c>
      <c r="D332" s="1">
        <v>7.1165000000000006E-2</v>
      </c>
    </row>
    <row r="333" spans="1:4" ht="30" x14ac:dyDescent="0.25">
      <c r="A333" s="1">
        <v>2451264.3020100002</v>
      </c>
      <c r="B333" s="1" t="s">
        <v>156</v>
      </c>
      <c r="C333" s="1">
        <v>8.8618179999999995</v>
      </c>
      <c r="D333" s="1">
        <v>4.5061999999999998E-2</v>
      </c>
    </row>
    <row r="334" spans="1:4" x14ac:dyDescent="0.25">
      <c r="A334" s="1">
        <v>2451278.7198899998</v>
      </c>
      <c r="B334" s="1" t="s">
        <v>612</v>
      </c>
      <c r="C334" s="1">
        <v>8.8458330000000007</v>
      </c>
      <c r="D334" s="1">
        <v>5.0354000000000003E-2</v>
      </c>
    </row>
    <row r="335" spans="1:4" x14ac:dyDescent="0.25">
      <c r="A335" s="1">
        <v>2451298.2822099999</v>
      </c>
      <c r="B335" s="1" t="s">
        <v>613</v>
      </c>
      <c r="C335" s="1">
        <v>8.7357139999999998</v>
      </c>
      <c r="D335" s="1">
        <v>0.105059</v>
      </c>
    </row>
    <row r="336" spans="1:4" x14ac:dyDescent="0.25">
      <c r="A336" s="1">
        <v>2451392.0882700002</v>
      </c>
      <c r="B336" s="1" t="s">
        <v>614</v>
      </c>
      <c r="C336" s="1">
        <v>9.1999999999999993</v>
      </c>
      <c r="D336" s="1">
        <v>5.1639999999999998E-2</v>
      </c>
    </row>
    <row r="337" spans="1:4" ht="30" x14ac:dyDescent="0.25">
      <c r="A337" s="1">
        <v>2451409.3305700002</v>
      </c>
      <c r="B337" s="1" t="s">
        <v>615</v>
      </c>
      <c r="C337" s="1">
        <v>9.4</v>
      </c>
      <c r="D337" s="1">
        <v>8.165E-2</v>
      </c>
    </row>
    <row r="338" spans="1:4" x14ac:dyDescent="0.25">
      <c r="A338" s="1">
        <v>2451430.8258600002</v>
      </c>
      <c r="B338" s="1" t="s">
        <v>616</v>
      </c>
      <c r="C338" s="1">
        <v>9.766667</v>
      </c>
      <c r="D338" s="1">
        <v>0.10671899999999999</v>
      </c>
    </row>
    <row r="339" spans="1:4" x14ac:dyDescent="0.25">
      <c r="A339" s="1">
        <v>2451452.5506799999</v>
      </c>
      <c r="B339" s="1" t="s">
        <v>617</v>
      </c>
      <c r="C339" s="1">
        <v>10.1</v>
      </c>
      <c r="D339" s="1">
        <v>0.204124</v>
      </c>
    </row>
    <row r="340" spans="1:4" x14ac:dyDescent="0.25">
      <c r="A340" s="1">
        <v>2451464.7192299999</v>
      </c>
      <c r="B340" s="1" t="s">
        <v>618</v>
      </c>
      <c r="C340" s="1">
        <v>9.9957139999999995</v>
      </c>
      <c r="D340" s="1">
        <v>0.103828</v>
      </c>
    </row>
    <row r="341" spans="1:4" x14ac:dyDescent="0.25">
      <c r="A341" s="1">
        <v>2451488.76878</v>
      </c>
      <c r="B341" s="1" t="s">
        <v>619</v>
      </c>
      <c r="C341" s="1">
        <v>10.175000000000001</v>
      </c>
      <c r="D341" s="1">
        <v>0.13434699999999999</v>
      </c>
    </row>
    <row r="342" spans="1:4" ht="30" x14ac:dyDescent="0.25">
      <c r="A342" s="1">
        <v>2451506.2359799999</v>
      </c>
      <c r="B342" s="1" t="s">
        <v>620</v>
      </c>
      <c r="C342" s="1">
        <v>9.9499999999999993</v>
      </c>
      <c r="D342" s="1">
        <v>0.13354199999999999</v>
      </c>
    </row>
    <row r="343" spans="1:4" x14ac:dyDescent="0.25">
      <c r="A343" s="1">
        <v>2451522.3773599998</v>
      </c>
      <c r="B343" s="1" t="s">
        <v>621</v>
      </c>
      <c r="C343" s="1">
        <v>10.108333</v>
      </c>
      <c r="D343" s="1">
        <v>9.1666999999999998E-2</v>
      </c>
    </row>
    <row r="344" spans="1:4" x14ac:dyDescent="0.25">
      <c r="A344" s="1">
        <v>2451538.77776</v>
      </c>
      <c r="B344" s="1" t="s">
        <v>622</v>
      </c>
      <c r="C344" s="1">
        <v>10.057143</v>
      </c>
      <c r="D344" s="1">
        <v>0.104328</v>
      </c>
    </row>
    <row r="345" spans="1:4" x14ac:dyDescent="0.25">
      <c r="A345" s="1">
        <v>2451554.00673</v>
      </c>
      <c r="B345" s="1" t="s">
        <v>623</v>
      </c>
      <c r="C345" s="1">
        <v>9.7857140000000005</v>
      </c>
      <c r="D345" s="1">
        <v>0.15185899999999999</v>
      </c>
    </row>
    <row r="346" spans="1:4" x14ac:dyDescent="0.25">
      <c r="A346" s="1">
        <v>2451574.43958</v>
      </c>
      <c r="B346" s="1" t="s">
        <v>624</v>
      </c>
      <c r="C346" s="1">
        <v>9.7799999999999994</v>
      </c>
      <c r="D346" s="1">
        <v>0.22</v>
      </c>
    </row>
    <row r="347" spans="1:4" x14ac:dyDescent="0.25">
      <c r="A347" s="1">
        <v>2451589.8130700001</v>
      </c>
      <c r="B347" s="1" t="s">
        <v>625</v>
      </c>
      <c r="C347" s="1">
        <v>9.983333</v>
      </c>
      <c r="D347" s="1">
        <v>0.11923599999999999</v>
      </c>
    </row>
    <row r="348" spans="1:4" x14ac:dyDescent="0.25">
      <c r="A348" s="1">
        <v>2451606.83892</v>
      </c>
      <c r="B348" s="1" t="s">
        <v>626</v>
      </c>
      <c r="C348" s="1">
        <v>9.5500000000000007</v>
      </c>
      <c r="D348" s="1">
        <v>8.3166000000000004E-2</v>
      </c>
    </row>
    <row r="349" spans="1:4" ht="30" x14ac:dyDescent="0.25">
      <c r="A349" s="1">
        <v>2451622.57271</v>
      </c>
      <c r="B349" s="1" t="s">
        <v>627</v>
      </c>
      <c r="C349" s="1">
        <v>9.3318180000000002</v>
      </c>
      <c r="D349" s="1">
        <v>9.0018000000000001E-2</v>
      </c>
    </row>
    <row r="350" spans="1:4" x14ac:dyDescent="0.25">
      <c r="A350" s="1">
        <v>2451638.3666300001</v>
      </c>
      <c r="B350" s="1" t="s">
        <v>628</v>
      </c>
      <c r="C350" s="1">
        <v>9.0421049999999994</v>
      </c>
      <c r="D350" s="1">
        <v>7.3871999999999993E-2</v>
      </c>
    </row>
    <row r="351" spans="1:4" x14ac:dyDescent="0.25">
      <c r="A351" s="1">
        <v>2451654.61204</v>
      </c>
      <c r="B351" s="1" t="s">
        <v>173</v>
      </c>
      <c r="C351" s="1">
        <v>8.7823530000000005</v>
      </c>
      <c r="D351" s="1">
        <v>8.3240999999999996E-2</v>
      </c>
    </row>
    <row r="352" spans="1:4" x14ac:dyDescent="0.25">
      <c r="A352" s="1">
        <v>2451670.7509499998</v>
      </c>
      <c r="B352" s="1" t="s">
        <v>629</v>
      </c>
      <c r="C352" s="1">
        <v>8.3363639999999997</v>
      </c>
      <c r="D352" s="1">
        <v>0.10115</v>
      </c>
    </row>
    <row r="353" spans="1:4" x14ac:dyDescent="0.25">
      <c r="A353" s="1">
        <v>2451729.4375</v>
      </c>
      <c r="B353" s="1" t="s">
        <v>630</v>
      </c>
      <c r="C353" s="1">
        <v>8.1999999999999993</v>
      </c>
      <c r="D353" s="1">
        <v>0</v>
      </c>
    </row>
    <row r="354" spans="1:4" x14ac:dyDescent="0.25">
      <c r="A354" s="1">
        <v>2451743.7916299999</v>
      </c>
      <c r="B354" s="1" t="s">
        <v>631</v>
      </c>
      <c r="C354" s="1">
        <v>8.4666669999999993</v>
      </c>
      <c r="D354" s="1">
        <v>6.6667000000000004E-2</v>
      </c>
    </row>
    <row r="355" spans="1:4" x14ac:dyDescent="0.25">
      <c r="A355" s="1">
        <v>2451762.9120200002</v>
      </c>
      <c r="B355" s="1" t="s">
        <v>632</v>
      </c>
      <c r="C355" s="1">
        <v>9.0333330000000007</v>
      </c>
      <c r="D355" s="1">
        <v>7.6375999999999999E-2</v>
      </c>
    </row>
    <row r="356" spans="1:4" ht="30" x14ac:dyDescent="0.25">
      <c r="A356" s="1">
        <v>2451778.7516600001</v>
      </c>
      <c r="B356" s="1" t="s">
        <v>633</v>
      </c>
      <c r="C356" s="1">
        <v>9.1</v>
      </c>
      <c r="D356" s="1">
        <v>7.0710999999999996E-2</v>
      </c>
    </row>
    <row r="357" spans="1:4" x14ac:dyDescent="0.25">
      <c r="A357" s="1">
        <v>2451794.3139200001</v>
      </c>
      <c r="B357" s="1" t="s">
        <v>634</v>
      </c>
      <c r="C357" s="1">
        <v>9.3777779999999993</v>
      </c>
      <c r="D357" s="1">
        <v>5.4716000000000001E-2</v>
      </c>
    </row>
    <row r="358" spans="1:4" x14ac:dyDescent="0.25">
      <c r="A358" s="1">
        <v>2451817.7870299998</v>
      </c>
      <c r="B358" s="1" t="s">
        <v>635</v>
      </c>
      <c r="C358" s="1">
        <v>9.6666670000000003</v>
      </c>
      <c r="D358" s="1">
        <v>6.8121000000000001E-2</v>
      </c>
    </row>
    <row r="359" spans="1:4" x14ac:dyDescent="0.25">
      <c r="A359" s="1">
        <v>2451834.8395799999</v>
      </c>
      <c r="B359" s="1" t="s">
        <v>636</v>
      </c>
      <c r="C359" s="1">
        <v>9.9</v>
      </c>
      <c r="D359" s="1">
        <v>0.184197</v>
      </c>
    </row>
    <row r="360" spans="1:4" x14ac:dyDescent="0.25">
      <c r="A360" s="1">
        <v>2451850.5624899999</v>
      </c>
      <c r="B360" s="1" t="s">
        <v>637</v>
      </c>
      <c r="C360" s="1">
        <v>10.095833000000001</v>
      </c>
      <c r="D360" s="1">
        <v>0.12192600000000001</v>
      </c>
    </row>
    <row r="361" spans="1:4" ht="30" x14ac:dyDescent="0.25">
      <c r="A361" s="1">
        <v>2451865.6166699999</v>
      </c>
      <c r="B361" s="1" t="s">
        <v>178</v>
      </c>
      <c r="C361" s="1">
        <v>10.4</v>
      </c>
      <c r="D361" s="1">
        <v>0.21756200000000001</v>
      </c>
    </row>
    <row r="362" spans="1:4" ht="30" x14ac:dyDescent="0.25">
      <c r="A362" s="1">
        <v>2451877.8215100002</v>
      </c>
      <c r="B362" s="1" t="s">
        <v>638</v>
      </c>
      <c r="C362" s="1">
        <v>10.231</v>
      </c>
      <c r="D362" s="1">
        <v>0.12981599999999999</v>
      </c>
    </row>
    <row r="363" spans="1:4" x14ac:dyDescent="0.25">
      <c r="A363" s="1">
        <v>2451899.8879900002</v>
      </c>
      <c r="B363" s="1" t="s">
        <v>639</v>
      </c>
      <c r="C363" s="1">
        <v>10.328571</v>
      </c>
      <c r="D363" s="1">
        <v>0.106266</v>
      </c>
    </row>
    <row r="364" spans="1:4" x14ac:dyDescent="0.25">
      <c r="A364" s="1">
        <v>2451918.9106899998</v>
      </c>
      <c r="B364" s="1" t="s">
        <v>640</v>
      </c>
      <c r="C364" s="1">
        <v>10.246667</v>
      </c>
      <c r="D364" s="1">
        <v>6.4635999999999999E-2</v>
      </c>
    </row>
    <row r="365" spans="1:4" x14ac:dyDescent="0.25">
      <c r="A365" s="1">
        <v>2451931.4383399999</v>
      </c>
      <c r="B365" s="1" t="s">
        <v>641</v>
      </c>
      <c r="C365" s="1">
        <v>10.206250000000001</v>
      </c>
      <c r="D365" s="1">
        <v>0.12828000000000001</v>
      </c>
    </row>
    <row r="366" spans="1:4" x14ac:dyDescent="0.25">
      <c r="A366" s="1">
        <v>2451952.72719</v>
      </c>
      <c r="B366" s="1" t="s">
        <v>642</v>
      </c>
      <c r="C366" s="1">
        <v>10.091666999999999</v>
      </c>
      <c r="D366" s="1">
        <v>0.103322</v>
      </c>
    </row>
    <row r="367" spans="1:4" x14ac:dyDescent="0.25">
      <c r="A367" s="1">
        <v>2451970.1233799998</v>
      </c>
      <c r="B367" s="1" t="s">
        <v>643</v>
      </c>
      <c r="C367" s="1">
        <v>10.006667</v>
      </c>
      <c r="D367" s="1">
        <v>0.10577</v>
      </c>
    </row>
    <row r="368" spans="1:4" ht="30" x14ac:dyDescent="0.25">
      <c r="A368" s="1">
        <v>2451985.60176</v>
      </c>
      <c r="B368" s="1" t="s">
        <v>644</v>
      </c>
      <c r="C368" s="1">
        <v>9.7692309999999996</v>
      </c>
      <c r="D368" s="1">
        <v>9.4315999999999997E-2</v>
      </c>
    </row>
    <row r="369" spans="1:4" x14ac:dyDescent="0.25">
      <c r="A369" s="1">
        <v>2452003.7245499999</v>
      </c>
      <c r="B369" s="1" t="s">
        <v>192</v>
      </c>
      <c r="C369" s="1">
        <v>9.6428569999999993</v>
      </c>
      <c r="D369" s="1">
        <v>0.10415199999999999</v>
      </c>
    </row>
    <row r="370" spans="1:4" x14ac:dyDescent="0.25">
      <c r="A370" s="1">
        <v>2452019.43781</v>
      </c>
      <c r="B370" s="1" t="s">
        <v>645</v>
      </c>
      <c r="C370" s="1">
        <v>9.5428569999999997</v>
      </c>
      <c r="D370" s="1">
        <v>0.100392</v>
      </c>
    </row>
    <row r="371" spans="1:4" x14ac:dyDescent="0.25">
      <c r="A371" s="1">
        <v>2452033.18346</v>
      </c>
      <c r="B371" s="1" t="s">
        <v>646</v>
      </c>
      <c r="C371" s="1">
        <v>9.2799999999999994</v>
      </c>
      <c r="D371" s="1">
        <v>0.14966599999999999</v>
      </c>
    </row>
    <row r="372" spans="1:4" x14ac:dyDescent="0.25">
      <c r="A372" s="1">
        <v>2452123.6</v>
      </c>
      <c r="B372" s="1" t="s">
        <v>647</v>
      </c>
      <c r="C372" s="1">
        <v>8.6999999999999993</v>
      </c>
      <c r="D372" s="1">
        <v>0</v>
      </c>
    </row>
    <row r="373" spans="1:4" ht="30" x14ac:dyDescent="0.25">
      <c r="A373" s="1">
        <v>2452139.2694399999</v>
      </c>
      <c r="B373" s="1" t="s">
        <v>648</v>
      </c>
      <c r="C373" s="1">
        <v>9.0222219999999993</v>
      </c>
      <c r="D373" s="1">
        <v>0.11398999999999999</v>
      </c>
    </row>
    <row r="374" spans="1:4" x14ac:dyDescent="0.25">
      <c r="A374" s="1">
        <v>2452154.2379700001</v>
      </c>
      <c r="B374" s="1" t="s">
        <v>649</v>
      </c>
      <c r="C374" s="1">
        <v>9.5333330000000007</v>
      </c>
      <c r="D374" s="1">
        <v>0.16666700000000001</v>
      </c>
    </row>
    <row r="375" spans="1:4" x14ac:dyDescent="0.25">
      <c r="A375" s="1">
        <v>2452177.3535699998</v>
      </c>
      <c r="B375" s="1" t="s">
        <v>650</v>
      </c>
      <c r="C375" s="1">
        <v>9.2142859999999995</v>
      </c>
      <c r="D375" s="1">
        <v>6.3353000000000007E-2</v>
      </c>
    </row>
    <row r="376" spans="1:4" x14ac:dyDescent="0.25">
      <c r="A376" s="1">
        <v>2452192.17778</v>
      </c>
      <c r="B376" s="1" t="s">
        <v>651</v>
      </c>
      <c r="C376" s="1">
        <v>9.588889</v>
      </c>
      <c r="D376" s="1">
        <v>7.1578000000000003E-2</v>
      </c>
    </row>
    <row r="377" spans="1:4" x14ac:dyDescent="0.25">
      <c r="A377" s="1">
        <v>2452204.63166</v>
      </c>
      <c r="B377" s="1" t="s">
        <v>652</v>
      </c>
      <c r="C377" s="1">
        <v>9.7200000000000006</v>
      </c>
      <c r="D377" s="1">
        <v>0.10729</v>
      </c>
    </row>
    <row r="378" spans="1:4" ht="30" x14ac:dyDescent="0.25">
      <c r="A378" s="1">
        <v>2452229.4735099999</v>
      </c>
      <c r="B378" s="1" t="s">
        <v>194</v>
      </c>
      <c r="C378" s="1">
        <v>9.8666669999999996</v>
      </c>
      <c r="D378" s="1">
        <v>6.5222000000000002E-2</v>
      </c>
    </row>
    <row r="379" spans="1:4" x14ac:dyDescent="0.25">
      <c r="A379" s="1">
        <v>2452246.49505</v>
      </c>
      <c r="B379" s="1" t="s">
        <v>653</v>
      </c>
      <c r="C379" s="1">
        <v>9.8800000000000008</v>
      </c>
      <c r="D379" s="1">
        <v>8.0592999999999998E-2</v>
      </c>
    </row>
    <row r="380" spans="1:4" x14ac:dyDescent="0.25">
      <c r="A380" s="1">
        <v>2452263.4857000001</v>
      </c>
      <c r="B380" s="1" t="s">
        <v>654</v>
      </c>
      <c r="C380" s="1">
        <v>10.035294</v>
      </c>
      <c r="D380" s="1">
        <v>9.6612000000000003E-2</v>
      </c>
    </row>
    <row r="381" spans="1:4" x14ac:dyDescent="0.25">
      <c r="A381" s="1">
        <v>2452280.49236</v>
      </c>
      <c r="B381" s="1" t="s">
        <v>655</v>
      </c>
      <c r="C381" s="1">
        <v>10.205556</v>
      </c>
      <c r="D381" s="1">
        <v>7.0697999999999997E-2</v>
      </c>
    </row>
    <row r="382" spans="1:4" x14ac:dyDescent="0.25">
      <c r="A382" s="1">
        <v>2452294.5872300002</v>
      </c>
      <c r="B382" s="1" t="s">
        <v>656</v>
      </c>
      <c r="C382" s="1">
        <v>10.172222</v>
      </c>
      <c r="D382" s="1">
        <v>9.7284999999999996E-2</v>
      </c>
    </row>
    <row r="383" spans="1:4" x14ac:dyDescent="0.25">
      <c r="A383" s="1">
        <v>2452315.1845499999</v>
      </c>
      <c r="B383" s="1" t="s">
        <v>657</v>
      </c>
      <c r="C383" s="1">
        <v>10.223528999999999</v>
      </c>
      <c r="D383" s="1">
        <v>7.7899999999999997E-2</v>
      </c>
    </row>
    <row r="384" spans="1:4" x14ac:dyDescent="0.25">
      <c r="A384" s="1">
        <v>2452329.71355</v>
      </c>
      <c r="B384" s="1" t="s">
        <v>658</v>
      </c>
      <c r="C384" s="1">
        <v>10.017647</v>
      </c>
      <c r="D384" s="1">
        <v>0.10752399999999999</v>
      </c>
    </row>
    <row r="385" spans="1:4" ht="30" x14ac:dyDescent="0.25">
      <c r="A385" s="1">
        <v>2452343.8374999999</v>
      </c>
      <c r="B385" s="1" t="s">
        <v>659</v>
      </c>
      <c r="C385" s="1">
        <v>10.009524000000001</v>
      </c>
      <c r="D385" s="1">
        <v>8.8076000000000002E-2</v>
      </c>
    </row>
    <row r="386" spans="1:4" ht="30" x14ac:dyDescent="0.25">
      <c r="A386" s="1">
        <v>2452362.6806000001</v>
      </c>
      <c r="B386" s="1" t="s">
        <v>660</v>
      </c>
      <c r="C386" s="1">
        <v>9.8375000000000004</v>
      </c>
      <c r="D386" s="1">
        <v>7.6308000000000001E-2</v>
      </c>
    </row>
    <row r="387" spans="1:4" x14ac:dyDescent="0.25">
      <c r="A387" s="1">
        <v>2452374.8433599998</v>
      </c>
      <c r="B387" s="1" t="s">
        <v>661</v>
      </c>
      <c r="C387" s="1">
        <v>9.8000000000000007</v>
      </c>
      <c r="D387" s="1">
        <v>7.1046999999999999E-2</v>
      </c>
    </row>
    <row r="388" spans="1:4" x14ac:dyDescent="0.25">
      <c r="A388" s="1">
        <v>2452389.8357299999</v>
      </c>
      <c r="B388" s="1" t="s">
        <v>662</v>
      </c>
      <c r="C388" s="1">
        <v>9.588889</v>
      </c>
      <c r="D388" s="1">
        <v>0.144765</v>
      </c>
    </row>
    <row r="389" spans="1:4" x14ac:dyDescent="0.25">
      <c r="A389" s="1">
        <v>2452460.4246499999</v>
      </c>
      <c r="B389" s="1" t="s">
        <v>663</v>
      </c>
      <c r="C389" s="1">
        <v>8.8000000000000007</v>
      </c>
      <c r="D389" s="1">
        <v>0</v>
      </c>
    </row>
    <row r="390" spans="1:4" ht="30" x14ac:dyDescent="0.25">
      <c r="A390" s="1">
        <v>2452503.5585699999</v>
      </c>
      <c r="B390" s="1" t="s">
        <v>664</v>
      </c>
      <c r="C390" s="1">
        <v>8.9333329999999993</v>
      </c>
      <c r="D390" s="1">
        <v>0.120185</v>
      </c>
    </row>
    <row r="391" spans="1:4" ht="30" x14ac:dyDescent="0.25">
      <c r="A391" s="1">
        <v>2452514.87629</v>
      </c>
      <c r="B391" s="1" t="s">
        <v>665</v>
      </c>
      <c r="C391" s="1">
        <v>8.5428569999999997</v>
      </c>
      <c r="D391" s="1">
        <v>3.6886000000000002E-2</v>
      </c>
    </row>
    <row r="392" spans="1:4" x14ac:dyDescent="0.25">
      <c r="A392" s="1">
        <v>2452529.6240900001</v>
      </c>
      <c r="B392" s="1" t="s">
        <v>666</v>
      </c>
      <c r="C392" s="1">
        <v>8.7153849999999995</v>
      </c>
      <c r="D392" s="1">
        <v>4.6473E-2</v>
      </c>
    </row>
    <row r="393" spans="1:4" x14ac:dyDescent="0.25">
      <c r="A393" s="1">
        <v>2452549.4726900002</v>
      </c>
      <c r="B393" s="1" t="s">
        <v>667</v>
      </c>
      <c r="C393" s="1">
        <v>9.0555559999999993</v>
      </c>
      <c r="D393" s="1">
        <v>9.5904000000000003E-2</v>
      </c>
    </row>
    <row r="394" spans="1:4" x14ac:dyDescent="0.25">
      <c r="A394" s="1">
        <v>2452562.79482</v>
      </c>
      <c r="B394" s="1" t="s">
        <v>668</v>
      </c>
      <c r="C394" s="1">
        <v>8.9499999999999993</v>
      </c>
      <c r="D394" s="1">
        <v>7.1879999999999999E-2</v>
      </c>
    </row>
    <row r="395" spans="1:4" x14ac:dyDescent="0.25">
      <c r="A395" s="1">
        <v>2452580.3420799999</v>
      </c>
      <c r="B395" s="1" t="s">
        <v>669</v>
      </c>
      <c r="C395" s="1">
        <v>9.3882349999999999</v>
      </c>
      <c r="D395" s="1">
        <v>6.2357000000000003E-2</v>
      </c>
    </row>
    <row r="396" spans="1:4" ht="30" x14ac:dyDescent="0.25">
      <c r="A396" s="1">
        <v>2452594.93194</v>
      </c>
      <c r="B396" s="1" t="s">
        <v>670</v>
      </c>
      <c r="C396" s="1">
        <v>9.5428569999999997</v>
      </c>
      <c r="D396" s="1">
        <v>0.134265</v>
      </c>
    </row>
    <row r="397" spans="1:4" x14ac:dyDescent="0.25">
      <c r="A397" s="1">
        <v>2452613.1894800002</v>
      </c>
      <c r="B397" s="1" t="s">
        <v>671</v>
      </c>
      <c r="C397" s="1">
        <v>9.7476190000000003</v>
      </c>
      <c r="D397" s="1">
        <v>6.7477999999999996E-2</v>
      </c>
    </row>
    <row r="398" spans="1:4" x14ac:dyDescent="0.25">
      <c r="A398" s="1">
        <v>2452626.5261400002</v>
      </c>
      <c r="B398" s="1" t="s">
        <v>672</v>
      </c>
      <c r="C398" s="1">
        <v>9.7272730000000003</v>
      </c>
      <c r="D398" s="1">
        <v>0.101883</v>
      </c>
    </row>
    <row r="399" spans="1:4" x14ac:dyDescent="0.25">
      <c r="A399" s="1">
        <v>2452645.13931</v>
      </c>
      <c r="B399" s="1" t="s">
        <v>673</v>
      </c>
      <c r="C399" s="1">
        <v>9.7761899999999997</v>
      </c>
      <c r="D399" s="1">
        <v>6.8279999999999993E-2</v>
      </c>
    </row>
    <row r="400" spans="1:4" x14ac:dyDescent="0.25">
      <c r="A400" s="1">
        <v>2452665.9912700001</v>
      </c>
      <c r="B400" s="1" t="s">
        <v>674</v>
      </c>
      <c r="C400" s="1">
        <v>10.007692</v>
      </c>
      <c r="D400" s="1">
        <v>5.9206000000000002E-2</v>
      </c>
    </row>
    <row r="401" spans="1:4" x14ac:dyDescent="0.25">
      <c r="A401" s="1">
        <v>2452680.6146900002</v>
      </c>
      <c r="B401" s="1" t="s">
        <v>675</v>
      </c>
      <c r="C401" s="1">
        <v>10.164286000000001</v>
      </c>
      <c r="D401" s="1">
        <v>8.4908999999999998E-2</v>
      </c>
    </row>
    <row r="402" spans="1:4" x14ac:dyDescent="0.25">
      <c r="A402" s="1">
        <v>2452695.7884800001</v>
      </c>
      <c r="B402" s="1" t="s">
        <v>676</v>
      </c>
      <c r="C402" s="1">
        <v>10.208</v>
      </c>
      <c r="D402" s="1">
        <v>6.4529000000000003E-2</v>
      </c>
    </row>
    <row r="403" spans="1:4" ht="30" x14ac:dyDescent="0.25">
      <c r="A403" s="1">
        <v>2452711.9281199998</v>
      </c>
      <c r="B403" s="1" t="s">
        <v>677</v>
      </c>
      <c r="C403" s="1">
        <v>10.137499999999999</v>
      </c>
      <c r="D403" s="1">
        <v>6.5334000000000003E-2</v>
      </c>
    </row>
    <row r="404" spans="1:4" ht="30" x14ac:dyDescent="0.25">
      <c r="A404" s="1">
        <v>2452726.3640800002</v>
      </c>
      <c r="B404" s="1" t="s">
        <v>678</v>
      </c>
      <c r="C404" s="1">
        <v>9.9379310000000007</v>
      </c>
      <c r="D404" s="1">
        <v>6.4976999999999993E-2</v>
      </c>
    </row>
    <row r="405" spans="1:4" x14ac:dyDescent="0.25">
      <c r="A405" s="1">
        <v>2452742.1725499998</v>
      </c>
      <c r="B405" s="1" t="s">
        <v>679</v>
      </c>
      <c r="C405" s="1">
        <v>9.9681820000000005</v>
      </c>
      <c r="D405" s="1">
        <v>5.3203E-2</v>
      </c>
    </row>
    <row r="406" spans="1:4" x14ac:dyDescent="0.25">
      <c r="A406" s="1">
        <v>2452758.6596599999</v>
      </c>
      <c r="B406" s="1" t="s">
        <v>680</v>
      </c>
      <c r="C406" s="1">
        <v>9.6999999999999993</v>
      </c>
      <c r="D406" s="1">
        <v>0.1</v>
      </c>
    </row>
    <row r="407" spans="1:4" x14ac:dyDescent="0.25">
      <c r="A407" s="1">
        <v>2452769.3342200001</v>
      </c>
      <c r="B407" s="1" t="s">
        <v>681</v>
      </c>
      <c r="C407" s="1">
        <v>9.2750000000000004</v>
      </c>
      <c r="D407" s="1">
        <v>0.125</v>
      </c>
    </row>
    <row r="408" spans="1:4" x14ac:dyDescent="0.25">
      <c r="A408" s="1">
        <v>2452857.37384</v>
      </c>
      <c r="B408" s="1" t="s">
        <v>682</v>
      </c>
      <c r="C408" s="1">
        <v>8.42</v>
      </c>
      <c r="D408" s="1">
        <v>7.3484999999999995E-2</v>
      </c>
    </row>
    <row r="409" spans="1:4" ht="30" x14ac:dyDescent="0.25">
      <c r="A409" s="1">
        <v>2452876.7475999999</v>
      </c>
      <c r="B409" s="1" t="s">
        <v>683</v>
      </c>
      <c r="C409" s="1">
        <v>8.5818180000000002</v>
      </c>
      <c r="D409" s="1">
        <v>6.8514000000000005E-2</v>
      </c>
    </row>
    <row r="410" spans="1:4" x14ac:dyDescent="0.25">
      <c r="A410" s="1">
        <v>2452887.5748600001</v>
      </c>
      <c r="B410" s="1" t="s">
        <v>684</v>
      </c>
      <c r="C410" s="1">
        <v>8.7200000000000006</v>
      </c>
      <c r="D410" s="1">
        <v>7.3484999999999995E-2</v>
      </c>
    </row>
    <row r="411" spans="1:4" x14ac:dyDescent="0.25">
      <c r="A411" s="1">
        <v>2452908.0090299998</v>
      </c>
      <c r="B411" s="1" t="s">
        <v>685</v>
      </c>
      <c r="C411" s="1">
        <v>8.85</v>
      </c>
      <c r="D411" s="1">
        <v>5.7176999999999999E-2</v>
      </c>
    </row>
    <row r="412" spans="1:4" x14ac:dyDescent="0.25">
      <c r="A412" s="1">
        <v>2452933.34112</v>
      </c>
      <c r="B412" s="1" t="s">
        <v>686</v>
      </c>
      <c r="C412" s="1">
        <v>8.9877780000000005</v>
      </c>
      <c r="D412" s="1">
        <v>6.7572999999999994E-2</v>
      </c>
    </row>
    <row r="413" spans="1:4" x14ac:dyDescent="0.25">
      <c r="A413" s="1">
        <v>2452946.4389900002</v>
      </c>
      <c r="B413" s="1" t="s">
        <v>687</v>
      </c>
      <c r="C413" s="1">
        <v>9.2066669999999995</v>
      </c>
      <c r="D413" s="1">
        <v>6.2842999999999996E-2</v>
      </c>
    </row>
    <row r="414" spans="1:4" ht="30" x14ac:dyDescent="0.25">
      <c r="A414" s="1">
        <v>2452963.7773699998</v>
      </c>
      <c r="B414" s="1" t="s">
        <v>688</v>
      </c>
      <c r="C414" s="1">
        <v>9.2588240000000006</v>
      </c>
      <c r="D414" s="1">
        <v>6.9694000000000006E-2</v>
      </c>
    </row>
    <row r="415" spans="1:4" x14ac:dyDescent="0.25">
      <c r="A415" s="1">
        <v>2452977.7118500001</v>
      </c>
      <c r="B415" s="1" t="s">
        <v>689</v>
      </c>
      <c r="C415" s="1">
        <v>9.5</v>
      </c>
      <c r="D415" s="1">
        <v>5.355E-2</v>
      </c>
    </row>
    <row r="416" spans="1:4" x14ac:dyDescent="0.25">
      <c r="A416" s="1">
        <v>2452994.06971</v>
      </c>
      <c r="B416" s="1" t="s">
        <v>690</v>
      </c>
      <c r="C416" s="1">
        <v>9.6333330000000004</v>
      </c>
      <c r="D416" s="1">
        <v>5.5777E-2</v>
      </c>
    </row>
    <row r="417" spans="1:4" x14ac:dyDescent="0.25">
      <c r="A417" s="1">
        <v>2453010.4806400002</v>
      </c>
      <c r="B417" s="1" t="s">
        <v>691</v>
      </c>
      <c r="C417" s="1">
        <v>9.4749999999999996</v>
      </c>
      <c r="D417" s="1">
        <v>4.9098999999999997E-2</v>
      </c>
    </row>
    <row r="418" spans="1:4" x14ac:dyDescent="0.25">
      <c r="A418" s="1">
        <v>2453025.3046300001</v>
      </c>
      <c r="B418" s="1" t="s">
        <v>692</v>
      </c>
      <c r="C418" s="1">
        <v>9.9250000000000007</v>
      </c>
      <c r="D418" s="1">
        <v>5.1392E-2</v>
      </c>
    </row>
    <row r="419" spans="1:4" x14ac:dyDescent="0.25">
      <c r="A419" s="1">
        <v>2453040.2067900002</v>
      </c>
      <c r="B419" s="1" t="s">
        <v>693</v>
      </c>
      <c r="C419" s="1">
        <v>9.855556</v>
      </c>
      <c r="D419" s="1">
        <v>0.10015400000000001</v>
      </c>
    </row>
    <row r="420" spans="1:4" x14ac:dyDescent="0.25">
      <c r="A420" s="1">
        <v>2453056.7003199998</v>
      </c>
      <c r="B420" s="1" t="s">
        <v>694</v>
      </c>
      <c r="C420" s="1">
        <v>10.125833</v>
      </c>
      <c r="D420" s="1">
        <v>6.4667000000000002E-2</v>
      </c>
    </row>
    <row r="421" spans="1:4" ht="30" x14ac:dyDescent="0.25">
      <c r="A421" s="1">
        <v>2453076.5758500001</v>
      </c>
      <c r="B421" s="1" t="s">
        <v>695</v>
      </c>
      <c r="C421" s="1">
        <v>10.157692000000001</v>
      </c>
      <c r="D421" s="1">
        <v>5.7958000000000003E-2</v>
      </c>
    </row>
    <row r="422" spans="1:4" ht="30" x14ac:dyDescent="0.25">
      <c r="A422" s="1">
        <v>2453091.77678</v>
      </c>
      <c r="B422" s="1" t="s">
        <v>696</v>
      </c>
      <c r="C422" s="1">
        <v>10.235455</v>
      </c>
      <c r="D422" s="1">
        <v>6.8640999999999994E-2</v>
      </c>
    </row>
    <row r="423" spans="1:4" x14ac:dyDescent="0.25">
      <c r="A423" s="1">
        <v>2453111.19246</v>
      </c>
      <c r="B423" s="1" t="s">
        <v>697</v>
      </c>
      <c r="C423" s="1">
        <v>10.154999999999999</v>
      </c>
      <c r="D423" s="1">
        <v>6.8624000000000004E-2</v>
      </c>
    </row>
    <row r="424" spans="1:4" x14ac:dyDescent="0.25">
      <c r="A424" s="1">
        <v>2453125.5830000001</v>
      </c>
      <c r="B424" s="1" t="s">
        <v>698</v>
      </c>
      <c r="C424" s="1">
        <v>10.215</v>
      </c>
      <c r="D424" s="1">
        <v>0.15777099999999999</v>
      </c>
    </row>
    <row r="425" spans="1:4" ht="30" x14ac:dyDescent="0.25">
      <c r="A425" s="1">
        <v>2453232.5685000001</v>
      </c>
      <c r="B425" s="1" t="s">
        <v>699</v>
      </c>
      <c r="C425" s="1">
        <v>8.8409089999999999</v>
      </c>
      <c r="D425" s="1">
        <v>9.2828999999999995E-2</v>
      </c>
    </row>
    <row r="426" spans="1:4" ht="30" x14ac:dyDescent="0.25">
      <c r="A426" s="1">
        <v>2453245.8901900002</v>
      </c>
      <c r="B426" s="1" t="s">
        <v>700</v>
      </c>
      <c r="C426" s="1">
        <v>8.76</v>
      </c>
      <c r="D426" s="1">
        <v>6.3836000000000004E-2</v>
      </c>
    </row>
    <row r="427" spans="1:4" x14ac:dyDescent="0.25">
      <c r="A427" s="1">
        <v>2453263.8282300001</v>
      </c>
      <c r="B427" s="1" t="s">
        <v>701</v>
      </c>
      <c r="C427" s="1">
        <v>8.6088240000000003</v>
      </c>
      <c r="D427" s="1">
        <v>4.9243000000000002E-2</v>
      </c>
    </row>
    <row r="428" spans="1:4" x14ac:dyDescent="0.25">
      <c r="A428" s="1">
        <v>2453279.4352799999</v>
      </c>
      <c r="B428" s="1" t="s">
        <v>702</v>
      </c>
      <c r="C428" s="1">
        <v>8.4600000000000009</v>
      </c>
      <c r="D428" s="1">
        <v>9.2735999999999999E-2</v>
      </c>
    </row>
    <row r="429" spans="1:4" x14ac:dyDescent="0.25">
      <c r="A429" s="1">
        <v>2453295.28003</v>
      </c>
      <c r="B429" s="1" t="s">
        <v>703</v>
      </c>
      <c r="C429" s="1">
        <v>8.6608330000000002</v>
      </c>
      <c r="D429" s="1">
        <v>4.6096999999999999E-2</v>
      </c>
    </row>
    <row r="430" spans="1:4" x14ac:dyDescent="0.25">
      <c r="A430" s="1">
        <v>2453313.0215500002</v>
      </c>
      <c r="B430" s="1" t="s">
        <v>704</v>
      </c>
      <c r="C430" s="1">
        <v>8.7356250000000006</v>
      </c>
      <c r="D430" s="1">
        <v>4.0134999999999997E-2</v>
      </c>
    </row>
    <row r="431" spans="1:4" ht="30" x14ac:dyDescent="0.25">
      <c r="A431" s="1">
        <v>2453326.1270400002</v>
      </c>
      <c r="B431" s="1" t="s">
        <v>705</v>
      </c>
      <c r="C431" s="1">
        <v>8.8585709999999995</v>
      </c>
      <c r="D431" s="1">
        <v>5.3470999999999998E-2</v>
      </c>
    </row>
    <row r="432" spans="1:4" x14ac:dyDescent="0.25">
      <c r="A432" s="1">
        <v>2453345.6263899999</v>
      </c>
      <c r="B432" s="1" t="s">
        <v>706</v>
      </c>
      <c r="C432" s="1">
        <v>8.9857139999999998</v>
      </c>
      <c r="D432" s="1">
        <v>4.0991E-2</v>
      </c>
    </row>
    <row r="433" spans="1:4" x14ac:dyDescent="0.25">
      <c r="A433" s="1">
        <v>2453359.8251</v>
      </c>
      <c r="B433" s="1" t="s">
        <v>707</v>
      </c>
      <c r="C433" s="1">
        <v>9.11</v>
      </c>
      <c r="D433" s="1">
        <v>3.6200999999999997E-2</v>
      </c>
    </row>
    <row r="434" spans="1:4" x14ac:dyDescent="0.25">
      <c r="A434" s="1">
        <v>2453377.74009</v>
      </c>
      <c r="B434" s="1" t="s">
        <v>708</v>
      </c>
      <c r="C434" s="1">
        <v>9.2933330000000005</v>
      </c>
      <c r="D434" s="1">
        <v>6.1308000000000001E-2</v>
      </c>
    </row>
    <row r="435" spans="1:4" x14ac:dyDescent="0.25">
      <c r="A435" s="1">
        <v>2453392.9749400001</v>
      </c>
      <c r="B435" s="1" t="s">
        <v>709</v>
      </c>
      <c r="C435" s="1">
        <v>9.52</v>
      </c>
      <c r="D435" s="1">
        <v>0.15937399999999999</v>
      </c>
    </row>
    <row r="436" spans="1:4" x14ac:dyDescent="0.25">
      <c r="A436" s="1">
        <v>2453411.3709399998</v>
      </c>
      <c r="B436" s="1" t="s">
        <v>710</v>
      </c>
      <c r="C436" s="1">
        <v>9.7357139999999998</v>
      </c>
      <c r="D436" s="1">
        <v>0.10409599999999999</v>
      </c>
    </row>
    <row r="437" spans="1:4" x14ac:dyDescent="0.25">
      <c r="A437" s="1">
        <v>2453430.1444199998</v>
      </c>
      <c r="B437" s="1" t="s">
        <v>711</v>
      </c>
      <c r="C437" s="1">
        <v>9.6875</v>
      </c>
      <c r="D437" s="1">
        <v>8.2095000000000001E-2</v>
      </c>
    </row>
    <row r="438" spans="1:4" ht="30" x14ac:dyDescent="0.25">
      <c r="A438" s="1">
        <v>2453448.1794599998</v>
      </c>
      <c r="B438" s="1" t="s">
        <v>712</v>
      </c>
      <c r="C438" s="1">
        <v>9.8928569999999993</v>
      </c>
      <c r="D438" s="1">
        <v>0.114097</v>
      </c>
    </row>
    <row r="439" spans="1:4" x14ac:dyDescent="0.25">
      <c r="A439" s="1">
        <v>2453462.5170999998</v>
      </c>
      <c r="B439" s="1" t="s">
        <v>713</v>
      </c>
      <c r="C439" s="1">
        <v>10.00625</v>
      </c>
      <c r="D439" s="1">
        <v>7.7711000000000002E-2</v>
      </c>
    </row>
    <row r="440" spans="1:4" x14ac:dyDescent="0.25">
      <c r="A440" s="1">
        <v>2453475.4247099999</v>
      </c>
      <c r="B440" s="1" t="s">
        <v>714</v>
      </c>
      <c r="C440" s="1">
        <v>10.1</v>
      </c>
      <c r="D440" s="1">
        <v>6.5133999999999997E-2</v>
      </c>
    </row>
    <row r="441" spans="1:4" ht="30" x14ac:dyDescent="0.25">
      <c r="A441" s="1">
        <v>2453503.2999999998</v>
      </c>
      <c r="B441" s="1" t="s">
        <v>715</v>
      </c>
      <c r="C441" s="1">
        <v>9</v>
      </c>
      <c r="D441" s="1">
        <v>0</v>
      </c>
    </row>
    <row r="442" spans="1:4" ht="30" x14ac:dyDescent="0.25">
      <c r="A442" s="1">
        <v>2453593.4628400002</v>
      </c>
      <c r="B442" s="1" t="s">
        <v>716</v>
      </c>
      <c r="C442" s="1">
        <v>8.7799999999999994</v>
      </c>
      <c r="D442" s="1">
        <v>0.14204900000000001</v>
      </c>
    </row>
    <row r="443" spans="1:4" x14ac:dyDescent="0.25">
      <c r="A443" s="1">
        <v>2453615.4522600002</v>
      </c>
      <c r="B443" s="1" t="s">
        <v>717</v>
      </c>
      <c r="C443" s="1">
        <v>8.5250000000000004</v>
      </c>
      <c r="D443" s="1">
        <v>7.8261999999999998E-2</v>
      </c>
    </row>
    <row r="444" spans="1:4" x14ac:dyDescent="0.25">
      <c r="A444" s="1">
        <v>2453634.6764500001</v>
      </c>
      <c r="B444" s="1" t="s">
        <v>718</v>
      </c>
      <c r="C444" s="1">
        <v>8.0500000000000007</v>
      </c>
      <c r="D444" s="1">
        <v>8.4834999999999994E-2</v>
      </c>
    </row>
    <row r="445" spans="1:4" x14ac:dyDescent="0.25">
      <c r="A445" s="1">
        <v>2453652.3102699998</v>
      </c>
      <c r="B445" s="1" t="s">
        <v>719</v>
      </c>
      <c r="C445" s="1">
        <v>7.9421049999999997</v>
      </c>
      <c r="D445" s="1">
        <v>7.621E-2</v>
      </c>
    </row>
    <row r="446" spans="1:4" x14ac:dyDescent="0.25">
      <c r="A446" s="1">
        <v>2453671.6339500002</v>
      </c>
      <c r="B446" s="1" t="s">
        <v>720</v>
      </c>
      <c r="C446" s="1">
        <v>8.0055560000000003</v>
      </c>
      <c r="D446" s="1">
        <v>7.0234000000000005E-2</v>
      </c>
    </row>
    <row r="447" spans="1:4" x14ac:dyDescent="0.25">
      <c r="A447" s="1">
        <v>2453684.3637999999</v>
      </c>
      <c r="B447" s="1" t="s">
        <v>721</v>
      </c>
      <c r="C447" s="1">
        <v>8.2437500000000004</v>
      </c>
      <c r="D447" s="1">
        <v>8.2647999999999999E-2</v>
      </c>
    </row>
    <row r="448" spans="1:4" ht="30" x14ac:dyDescent="0.25">
      <c r="A448" s="1">
        <v>2453701.6897</v>
      </c>
      <c r="B448" s="1" t="s">
        <v>722</v>
      </c>
      <c r="C448" s="1">
        <v>8.536842</v>
      </c>
      <c r="D448" s="1">
        <v>5.7841999999999998E-2</v>
      </c>
    </row>
    <row r="449" spans="1:4" x14ac:dyDescent="0.25">
      <c r="A449" s="1">
        <v>2453714.33635</v>
      </c>
      <c r="B449" s="1" t="s">
        <v>723</v>
      </c>
      <c r="C449" s="1">
        <v>8.8117649999999994</v>
      </c>
      <c r="D449" s="1">
        <v>5.2075999999999997E-2</v>
      </c>
    </row>
    <row r="450" spans="1:4" x14ac:dyDescent="0.25">
      <c r="A450" s="1">
        <v>2453733.34754</v>
      </c>
      <c r="B450" s="1" t="s">
        <v>724</v>
      </c>
      <c r="C450" s="1">
        <v>9.0250000000000004</v>
      </c>
      <c r="D450" s="1">
        <v>3.9653000000000001E-2</v>
      </c>
    </row>
    <row r="451" spans="1:4" x14ac:dyDescent="0.25">
      <c r="A451" s="1">
        <v>2453745.6070300001</v>
      </c>
      <c r="B451" s="1" t="s">
        <v>725</v>
      </c>
      <c r="C451" s="1">
        <v>9.0588239999999995</v>
      </c>
      <c r="D451" s="1">
        <v>5.1492000000000003E-2</v>
      </c>
    </row>
    <row r="452" spans="1:4" x14ac:dyDescent="0.25">
      <c r="A452" s="1">
        <v>2453761.5585500002</v>
      </c>
      <c r="B452" s="1" t="s">
        <v>726</v>
      </c>
      <c r="C452" s="1">
        <v>9.2739130000000003</v>
      </c>
      <c r="D452" s="1">
        <v>5.7006000000000001E-2</v>
      </c>
    </row>
    <row r="453" spans="1:4" x14ac:dyDescent="0.25">
      <c r="A453" s="1">
        <v>2453778.8956800001</v>
      </c>
      <c r="B453" s="1" t="s">
        <v>727</v>
      </c>
      <c r="C453" s="1">
        <v>9.5500000000000007</v>
      </c>
      <c r="D453" s="1">
        <v>4.8936E-2</v>
      </c>
    </row>
    <row r="454" spans="1:4" x14ac:dyDescent="0.25">
      <c r="A454" s="1">
        <v>2453793.9614400002</v>
      </c>
      <c r="B454" s="1" t="s">
        <v>728</v>
      </c>
      <c r="C454" s="1">
        <v>9.6769230000000004</v>
      </c>
      <c r="D454" s="1">
        <v>7.2636999999999993E-2</v>
      </c>
    </row>
    <row r="455" spans="1:4" ht="30" x14ac:dyDescent="0.25">
      <c r="A455" s="1">
        <v>2453809.3412299999</v>
      </c>
      <c r="B455" s="1" t="s">
        <v>729</v>
      </c>
      <c r="C455" s="1">
        <v>10.007142999999999</v>
      </c>
      <c r="D455" s="1">
        <v>9.0458999999999998E-2</v>
      </c>
    </row>
    <row r="456" spans="1:4" x14ac:dyDescent="0.25">
      <c r="A456" s="1">
        <v>2453830.0973100001</v>
      </c>
      <c r="B456" s="1" t="s">
        <v>730</v>
      </c>
      <c r="C456" s="1">
        <v>9.8187499999999996</v>
      </c>
      <c r="D456" s="1">
        <v>5.7893E-2</v>
      </c>
    </row>
    <row r="457" spans="1:4" x14ac:dyDescent="0.25">
      <c r="A457" s="1">
        <v>2453847.73434</v>
      </c>
      <c r="B457" s="1" t="s">
        <v>731</v>
      </c>
      <c r="C457" s="1">
        <v>10.181818</v>
      </c>
      <c r="D457" s="1">
        <v>9.8919999999999994E-2</v>
      </c>
    </row>
    <row r="458" spans="1:4" ht="30" x14ac:dyDescent="0.25">
      <c r="A458" s="1">
        <v>2453959.2666699998</v>
      </c>
      <c r="B458" s="1" t="s">
        <v>732</v>
      </c>
      <c r="C458" s="1">
        <v>9.3000000000000007</v>
      </c>
      <c r="D458" s="1">
        <v>5.7735000000000002E-2</v>
      </c>
    </row>
    <row r="459" spans="1:4" ht="30" x14ac:dyDescent="0.25">
      <c r="A459" s="1">
        <v>2453975.9403599999</v>
      </c>
      <c r="B459" s="1" t="s">
        <v>733</v>
      </c>
      <c r="C459" s="1">
        <v>9.411111</v>
      </c>
      <c r="D459" s="1">
        <v>0.116003</v>
      </c>
    </row>
    <row r="460" spans="1:4" x14ac:dyDescent="0.25">
      <c r="A460" s="1">
        <v>2453992.1916700001</v>
      </c>
      <c r="B460" s="1" t="s">
        <v>734</v>
      </c>
      <c r="C460" s="1">
        <v>9.516667</v>
      </c>
      <c r="D460" s="1">
        <v>0.107895</v>
      </c>
    </row>
    <row r="461" spans="1:4" x14ac:dyDescent="0.25">
      <c r="A461" s="1">
        <v>2454004.7274600002</v>
      </c>
      <c r="B461" s="1" t="s">
        <v>735</v>
      </c>
      <c r="C461" s="1">
        <v>9.3090910000000004</v>
      </c>
      <c r="D461" s="1">
        <v>0.115565</v>
      </c>
    </row>
    <row r="462" spans="1:4" x14ac:dyDescent="0.25">
      <c r="A462" s="1">
        <v>2454025.7440599999</v>
      </c>
      <c r="B462" s="1" t="s">
        <v>736</v>
      </c>
      <c r="C462" s="1">
        <v>8.6875</v>
      </c>
      <c r="D462" s="1">
        <v>5.4677000000000003E-2</v>
      </c>
    </row>
    <row r="463" spans="1:4" x14ac:dyDescent="0.25">
      <c r="A463" s="1">
        <v>2454036.7869299999</v>
      </c>
      <c r="B463" s="1" t="s">
        <v>737</v>
      </c>
      <c r="C463" s="1">
        <v>8.7176469999999995</v>
      </c>
      <c r="D463" s="1">
        <v>6.3728999999999994E-2</v>
      </c>
    </row>
    <row r="464" spans="1:4" ht="30" x14ac:dyDescent="0.25">
      <c r="A464" s="1">
        <v>2454057.0962999999</v>
      </c>
      <c r="B464" s="1" t="s">
        <v>738</v>
      </c>
      <c r="C464" s="1">
        <v>8.6285710000000009</v>
      </c>
      <c r="D464" s="1">
        <v>4.1486000000000002E-2</v>
      </c>
    </row>
    <row r="465" spans="1:4" x14ac:dyDescent="0.25">
      <c r="A465" s="1">
        <v>2454071.5729299998</v>
      </c>
      <c r="B465" s="1" t="s">
        <v>739</v>
      </c>
      <c r="C465" s="1">
        <v>8.7576920000000005</v>
      </c>
      <c r="D465" s="1">
        <v>4.1942E-2</v>
      </c>
    </row>
    <row r="466" spans="1:4" x14ac:dyDescent="0.25">
      <c r="A466" s="1">
        <v>2454087.6732899998</v>
      </c>
      <c r="B466" s="1" t="s">
        <v>740</v>
      </c>
      <c r="C466" s="1">
        <v>8.7117649999999998</v>
      </c>
      <c r="D466" s="1">
        <v>5.2777999999999999E-2</v>
      </c>
    </row>
    <row r="467" spans="1:4" x14ac:dyDescent="0.25">
      <c r="A467" s="1">
        <v>2454104.9233599999</v>
      </c>
      <c r="B467" s="1" t="s">
        <v>741</v>
      </c>
      <c r="C467" s="1">
        <v>8.8857140000000001</v>
      </c>
      <c r="D467" s="1">
        <v>5.6313000000000002E-2</v>
      </c>
    </row>
    <row r="468" spans="1:4" x14ac:dyDescent="0.25">
      <c r="A468" s="1">
        <v>2454122.6114099999</v>
      </c>
      <c r="B468" s="1" t="s">
        <v>742</v>
      </c>
      <c r="C468" s="1">
        <v>9.1047619999999991</v>
      </c>
      <c r="D468" s="1">
        <v>6.4908999999999994E-2</v>
      </c>
    </row>
    <row r="469" spans="1:4" x14ac:dyDescent="0.25">
      <c r="A469" s="1">
        <v>2454137.3510599998</v>
      </c>
      <c r="B469" s="1" t="s">
        <v>743</v>
      </c>
      <c r="C469" s="1">
        <v>9.1571429999999996</v>
      </c>
      <c r="D469" s="1">
        <v>4.607E-2</v>
      </c>
    </row>
    <row r="470" spans="1:4" x14ac:dyDescent="0.25">
      <c r="A470" s="1">
        <v>2454152.0879000002</v>
      </c>
      <c r="B470" s="1" t="s">
        <v>744</v>
      </c>
      <c r="C470" s="1">
        <v>9.1959999999999997</v>
      </c>
      <c r="D470" s="1">
        <v>5.7584999999999997E-2</v>
      </c>
    </row>
    <row r="471" spans="1:4" ht="30" x14ac:dyDescent="0.25">
      <c r="A471" s="1">
        <v>2454171.6408199999</v>
      </c>
      <c r="B471" s="1" t="s">
        <v>745</v>
      </c>
      <c r="C471" s="1">
        <v>9.3347829999999998</v>
      </c>
      <c r="D471" s="1">
        <v>5.9513000000000003E-2</v>
      </c>
    </row>
    <row r="472" spans="1:4" ht="30" x14ac:dyDescent="0.25">
      <c r="A472" s="1">
        <v>2454186.0096100001</v>
      </c>
      <c r="B472" s="1" t="s">
        <v>746</v>
      </c>
      <c r="C472" s="1">
        <v>9.4821430000000007</v>
      </c>
      <c r="D472" s="1">
        <v>4.5149000000000002E-2</v>
      </c>
    </row>
    <row r="473" spans="1:4" x14ac:dyDescent="0.25">
      <c r="A473" s="1">
        <v>2454201.0535300002</v>
      </c>
      <c r="B473" s="1" t="s">
        <v>747</v>
      </c>
      <c r="C473" s="1">
        <v>9.6156249999999996</v>
      </c>
      <c r="D473" s="1">
        <v>5.3714999999999999E-2</v>
      </c>
    </row>
    <row r="474" spans="1:4" x14ac:dyDescent="0.25">
      <c r="A474" s="1">
        <v>2454214.9865700002</v>
      </c>
      <c r="B474" s="1" t="s">
        <v>748</v>
      </c>
      <c r="C474" s="1">
        <v>9.7133330000000004</v>
      </c>
      <c r="D474" s="1">
        <v>8.8836999999999999E-2</v>
      </c>
    </row>
    <row r="475" spans="1:4" ht="30" x14ac:dyDescent="0.25">
      <c r="A475" s="1">
        <v>2454234.2999999998</v>
      </c>
      <c r="B475" s="1" t="s">
        <v>749</v>
      </c>
      <c r="C475" s="1">
        <v>9.8000000000000007</v>
      </c>
      <c r="D475" s="1">
        <v>0</v>
      </c>
    </row>
    <row r="476" spans="1:4" ht="30" x14ac:dyDescent="0.25">
      <c r="A476" s="1">
        <v>2454330.11338</v>
      </c>
      <c r="B476" s="1" t="s">
        <v>750</v>
      </c>
      <c r="C476" s="1">
        <v>9.3000000000000007</v>
      </c>
      <c r="D476" s="1">
        <v>4.0825E-2</v>
      </c>
    </row>
    <row r="477" spans="1:4" x14ac:dyDescent="0.25">
      <c r="A477" s="1">
        <v>2454359.3997</v>
      </c>
      <c r="B477" s="1" t="s">
        <v>751</v>
      </c>
      <c r="C477" s="1">
        <v>9.3153849999999991</v>
      </c>
      <c r="D477" s="1">
        <v>7.9940999999999998E-2</v>
      </c>
    </row>
    <row r="478" spans="1:4" x14ac:dyDescent="0.25">
      <c r="A478" s="1">
        <v>2454386.8528499999</v>
      </c>
      <c r="B478" s="1" t="s">
        <v>752</v>
      </c>
      <c r="C478" s="1">
        <v>8.76</v>
      </c>
      <c r="D478" s="1">
        <v>6.5320000000000003E-2</v>
      </c>
    </row>
    <row r="479" spans="1:4" x14ac:dyDescent="0.25">
      <c r="A479" s="1">
        <v>2454399.3914100002</v>
      </c>
      <c r="B479" s="1" t="s">
        <v>753</v>
      </c>
      <c r="C479" s="1">
        <v>8.4499999999999993</v>
      </c>
      <c r="D479" s="1">
        <v>6.7734000000000003E-2</v>
      </c>
    </row>
    <row r="480" spans="1:4" ht="30" x14ac:dyDescent="0.25">
      <c r="A480" s="1">
        <v>2454415.8732599998</v>
      </c>
      <c r="B480" s="1" t="s">
        <v>754</v>
      </c>
      <c r="C480" s="1">
        <v>7.9857139999999998</v>
      </c>
      <c r="D480" s="1">
        <v>6.0996000000000002E-2</v>
      </c>
    </row>
    <row r="481" spans="1:4" ht="30" x14ac:dyDescent="0.25">
      <c r="A481" s="1">
        <v>2454432.5600399999</v>
      </c>
      <c r="B481" s="1" t="s">
        <v>755</v>
      </c>
      <c r="C481" s="1">
        <v>8.0095240000000008</v>
      </c>
      <c r="D481" s="1">
        <v>4.7260999999999997E-2</v>
      </c>
    </row>
    <row r="482" spans="1:4" x14ac:dyDescent="0.25">
      <c r="A482" s="1">
        <v>2454448.5638000001</v>
      </c>
      <c r="B482" s="1" t="s">
        <v>756</v>
      </c>
      <c r="C482" s="1">
        <v>8.0117650000000005</v>
      </c>
      <c r="D482" s="1">
        <v>7.5675000000000006E-2</v>
      </c>
    </row>
    <row r="483" spans="1:4" x14ac:dyDescent="0.25">
      <c r="A483" s="1">
        <v>2454467.06311</v>
      </c>
      <c r="B483" s="1" t="s">
        <v>757</v>
      </c>
      <c r="C483" s="1">
        <v>8.09</v>
      </c>
      <c r="D483" s="1">
        <v>5.3033999999999998E-2</v>
      </c>
    </row>
    <row r="484" spans="1:4" x14ac:dyDescent="0.25">
      <c r="A484" s="1">
        <v>2454479.2968700002</v>
      </c>
      <c r="B484" s="1" t="s">
        <v>758</v>
      </c>
      <c r="C484" s="1">
        <v>8.2722219999999993</v>
      </c>
      <c r="D484" s="1">
        <v>6.6571000000000005E-2</v>
      </c>
    </row>
    <row r="485" spans="1:4" x14ac:dyDescent="0.25">
      <c r="A485" s="1">
        <v>2454498.2899099998</v>
      </c>
      <c r="B485" s="1" t="s">
        <v>759</v>
      </c>
      <c r="C485" s="1">
        <v>8.6</v>
      </c>
      <c r="D485" s="1">
        <v>5.6230000000000002E-2</v>
      </c>
    </row>
    <row r="486" spans="1:4" x14ac:dyDescent="0.25">
      <c r="A486" s="1">
        <v>2454512.3531599999</v>
      </c>
      <c r="B486" s="1" t="s">
        <v>760</v>
      </c>
      <c r="C486" s="1">
        <v>8.7166669999999993</v>
      </c>
      <c r="D486" s="1">
        <v>4.7999E-2</v>
      </c>
    </row>
    <row r="487" spans="1:4" x14ac:dyDescent="0.25">
      <c r="A487" s="1">
        <v>2454527.3488599998</v>
      </c>
      <c r="B487" s="1" t="s">
        <v>761</v>
      </c>
      <c r="C487" s="1">
        <v>8.9269230000000004</v>
      </c>
      <c r="D487" s="1">
        <v>4.3166000000000003E-2</v>
      </c>
    </row>
    <row r="488" spans="1:4" ht="30" x14ac:dyDescent="0.25">
      <c r="A488" s="1">
        <v>2454543.8077099998</v>
      </c>
      <c r="B488" s="1" t="s">
        <v>762</v>
      </c>
      <c r="C488" s="1">
        <v>9.0299999999999994</v>
      </c>
      <c r="D488" s="1">
        <v>4.7072000000000003E-2</v>
      </c>
    </row>
    <row r="489" spans="1:4" x14ac:dyDescent="0.25">
      <c r="A489" s="1">
        <v>2454558.3613499999</v>
      </c>
      <c r="B489" s="1" t="s">
        <v>763</v>
      </c>
      <c r="C489" s="1">
        <v>9.1933330000000009</v>
      </c>
      <c r="D489" s="1">
        <v>6.4339999999999994E-2</v>
      </c>
    </row>
    <row r="490" spans="1:4" x14ac:dyDescent="0.25">
      <c r="A490" s="1">
        <v>2454574.8772100001</v>
      </c>
      <c r="B490" s="1" t="s">
        <v>764</v>
      </c>
      <c r="C490" s="1">
        <v>9.3272729999999999</v>
      </c>
      <c r="D490" s="1">
        <v>7.9876000000000003E-2</v>
      </c>
    </row>
    <row r="491" spans="1:4" x14ac:dyDescent="0.25">
      <c r="A491" s="1">
        <v>2454589.3187500001</v>
      </c>
      <c r="B491" s="1" t="s">
        <v>765</v>
      </c>
      <c r="C491" s="1">
        <v>9.6999999999999993</v>
      </c>
      <c r="D491" s="1">
        <v>5.7735000000000002E-2</v>
      </c>
    </row>
    <row r="492" spans="1:4" ht="30" x14ac:dyDescent="0.25">
      <c r="A492" s="1">
        <v>2454600.2999999998</v>
      </c>
      <c r="B492" s="1" t="s">
        <v>766</v>
      </c>
      <c r="C492" s="1">
        <v>9.5</v>
      </c>
      <c r="D492" s="1">
        <v>0</v>
      </c>
    </row>
    <row r="493" spans="1:4" x14ac:dyDescent="0.25">
      <c r="A493" s="1">
        <v>2454683.5659699999</v>
      </c>
      <c r="B493" s="1" t="s">
        <v>767</v>
      </c>
      <c r="C493" s="1">
        <v>10</v>
      </c>
      <c r="D493" s="1">
        <v>0</v>
      </c>
    </row>
    <row r="494" spans="1:4" ht="30" x14ac:dyDescent="0.25">
      <c r="A494" s="1">
        <v>2454708.3342300002</v>
      </c>
      <c r="B494" s="1" t="s">
        <v>768</v>
      </c>
      <c r="C494" s="1">
        <v>9.2857140000000005</v>
      </c>
      <c r="D494" s="1">
        <v>7.0470000000000005E-2</v>
      </c>
    </row>
    <row r="495" spans="1:4" x14ac:dyDescent="0.25">
      <c r="A495" s="1">
        <v>2454721.95475</v>
      </c>
      <c r="B495" s="1" t="s">
        <v>769</v>
      </c>
      <c r="C495" s="1">
        <v>9.1833329999999993</v>
      </c>
      <c r="D495" s="1">
        <v>6.5405000000000005E-2</v>
      </c>
    </row>
    <row r="496" spans="1:4" x14ac:dyDescent="0.25">
      <c r="A496" s="1">
        <v>2454740.2912099999</v>
      </c>
      <c r="B496" s="1" t="s">
        <v>770</v>
      </c>
      <c r="C496" s="1">
        <v>9.1999999999999993</v>
      </c>
      <c r="D496" s="1">
        <v>6.8312999999999999E-2</v>
      </c>
    </row>
    <row r="497" spans="1:4" x14ac:dyDescent="0.25">
      <c r="A497" s="1">
        <v>2454759.97126</v>
      </c>
      <c r="B497" s="1" t="s">
        <v>771</v>
      </c>
      <c r="C497" s="1">
        <v>9.0625</v>
      </c>
      <c r="D497" s="1">
        <v>8.8514999999999996E-2</v>
      </c>
    </row>
    <row r="498" spans="1:4" x14ac:dyDescent="0.25">
      <c r="A498" s="1">
        <v>2454773.0441000001</v>
      </c>
      <c r="B498" s="1" t="s">
        <v>772</v>
      </c>
      <c r="C498" s="1">
        <v>8.7777779999999996</v>
      </c>
      <c r="D498" s="1">
        <v>0.110275</v>
      </c>
    </row>
    <row r="499" spans="1:4" ht="30" x14ac:dyDescent="0.25">
      <c r="A499" s="1">
        <v>2454796.2291299999</v>
      </c>
      <c r="B499" s="1" t="s">
        <v>773</v>
      </c>
      <c r="C499" s="1">
        <v>8.40625</v>
      </c>
      <c r="D499" s="1">
        <v>6.6751000000000005E-2</v>
      </c>
    </row>
    <row r="500" spans="1:4" x14ac:dyDescent="0.25">
      <c r="A500" s="1">
        <v>2454809.4629600001</v>
      </c>
      <c r="B500" s="1" t="s">
        <v>774</v>
      </c>
      <c r="C500" s="1">
        <v>8.2624999999999993</v>
      </c>
      <c r="D500" s="1">
        <v>6.25E-2</v>
      </c>
    </row>
    <row r="501" spans="1:4" x14ac:dyDescent="0.25">
      <c r="A501" s="1">
        <v>2454830.23165</v>
      </c>
      <c r="B501" s="1" t="s">
        <v>775</v>
      </c>
      <c r="C501" s="1">
        <v>8.0809519999999999</v>
      </c>
      <c r="D501" s="1">
        <v>6.8528000000000006E-2</v>
      </c>
    </row>
    <row r="502" spans="1:4" x14ac:dyDescent="0.25">
      <c r="A502" s="1">
        <v>2454847.2788900002</v>
      </c>
      <c r="B502" s="1" t="s">
        <v>776</v>
      </c>
      <c r="C502" s="1">
        <v>8.32</v>
      </c>
      <c r="D502" s="1">
        <v>8.7396000000000001E-2</v>
      </c>
    </row>
    <row r="503" spans="1:4" x14ac:dyDescent="0.25">
      <c r="A503" s="1">
        <v>2454859.5879099998</v>
      </c>
      <c r="B503" s="1" t="s">
        <v>777</v>
      </c>
      <c r="C503" s="1">
        <v>8.3210529999999991</v>
      </c>
      <c r="D503" s="1">
        <v>7.8202999999999995E-2</v>
      </c>
    </row>
    <row r="504" spans="1:4" x14ac:dyDescent="0.25">
      <c r="A504" s="1">
        <v>2454877.8790199999</v>
      </c>
      <c r="B504" s="1" t="s">
        <v>778</v>
      </c>
      <c r="C504" s="1">
        <v>8.4142860000000006</v>
      </c>
      <c r="D504" s="1">
        <v>9.1300999999999993E-2</v>
      </c>
    </row>
    <row r="505" spans="1:4" x14ac:dyDescent="0.25">
      <c r="A505" s="1">
        <v>2454894.2656800002</v>
      </c>
      <c r="B505" s="1" t="s">
        <v>779</v>
      </c>
      <c r="C505" s="1">
        <v>8.5500000000000007</v>
      </c>
      <c r="D505" s="1">
        <v>7.4907000000000001E-2</v>
      </c>
    </row>
    <row r="506" spans="1:4" ht="30" x14ac:dyDescent="0.25">
      <c r="A506" s="1">
        <v>2454909.9984400002</v>
      </c>
      <c r="B506" s="1" t="s">
        <v>780</v>
      </c>
      <c r="C506" s="1">
        <v>8.6999999999999993</v>
      </c>
      <c r="D506" s="1">
        <v>6.1559000000000003E-2</v>
      </c>
    </row>
    <row r="507" spans="1:4" x14ac:dyDescent="0.25">
      <c r="A507" s="1">
        <v>2454924.98392</v>
      </c>
      <c r="B507" s="1" t="s">
        <v>781</v>
      </c>
      <c r="C507" s="1">
        <v>8.875</v>
      </c>
      <c r="D507" s="1">
        <v>7.8793000000000002E-2</v>
      </c>
    </row>
    <row r="508" spans="1:4" x14ac:dyDescent="0.25">
      <c r="A508" s="1">
        <v>2454941.1864999998</v>
      </c>
      <c r="B508" s="1" t="s">
        <v>782</v>
      </c>
      <c r="C508" s="1">
        <v>9.1230770000000003</v>
      </c>
      <c r="D508" s="1">
        <v>4.8243000000000001E-2</v>
      </c>
    </row>
    <row r="509" spans="1:4" x14ac:dyDescent="0.25">
      <c r="A509" s="1">
        <v>2454957.9928199998</v>
      </c>
      <c r="B509" s="1" t="s">
        <v>783</v>
      </c>
      <c r="C509" s="1">
        <v>8.9600000000000009</v>
      </c>
      <c r="D509" s="1">
        <v>2.4494999999999999E-2</v>
      </c>
    </row>
    <row r="510" spans="1:4" x14ac:dyDescent="0.25">
      <c r="A510" s="1">
        <v>2455045.92313</v>
      </c>
      <c r="B510" s="1" t="s">
        <v>784</v>
      </c>
      <c r="C510" s="1">
        <v>9.4666669999999993</v>
      </c>
      <c r="D510" s="1">
        <v>6.6667000000000004E-2</v>
      </c>
    </row>
    <row r="511" spans="1:4" ht="30" x14ac:dyDescent="0.25">
      <c r="A511" s="1">
        <v>2455067.7644500001</v>
      </c>
      <c r="B511" s="1" t="s">
        <v>785</v>
      </c>
      <c r="C511" s="1">
        <v>9.66</v>
      </c>
      <c r="D511" s="1">
        <v>0.06</v>
      </c>
    </row>
    <row r="512" spans="1:4" x14ac:dyDescent="0.25">
      <c r="A512" s="1">
        <v>2455090.4726800001</v>
      </c>
      <c r="B512" s="1" t="s">
        <v>786</v>
      </c>
      <c r="C512" s="1">
        <v>9.6666670000000003</v>
      </c>
      <c r="D512" s="1">
        <v>8.0277000000000001E-2</v>
      </c>
    </row>
    <row r="513" spans="1:4" x14ac:dyDescent="0.25">
      <c r="A513" s="1">
        <v>2455104.43028</v>
      </c>
      <c r="B513" s="1" t="s">
        <v>787</v>
      </c>
      <c r="C513" s="1">
        <v>9.5333330000000007</v>
      </c>
      <c r="D513" s="1">
        <v>9.1894000000000003E-2</v>
      </c>
    </row>
    <row r="514" spans="1:4" x14ac:dyDescent="0.25">
      <c r="A514" s="1">
        <v>2455124.3368600002</v>
      </c>
      <c r="B514" s="1" t="s">
        <v>788</v>
      </c>
      <c r="C514" s="1">
        <v>9.5111109999999996</v>
      </c>
      <c r="D514" s="1">
        <v>0.105993</v>
      </c>
    </row>
    <row r="515" spans="1:4" x14ac:dyDescent="0.25">
      <c r="A515" s="1">
        <v>2455140.51602</v>
      </c>
      <c r="B515" s="1" t="s">
        <v>789</v>
      </c>
      <c r="C515" s="1">
        <v>9.1666670000000003</v>
      </c>
      <c r="D515" s="1">
        <v>7.6011999999999996E-2</v>
      </c>
    </row>
    <row r="516" spans="1:4" ht="30" x14ac:dyDescent="0.25">
      <c r="A516" s="1">
        <v>2455154.5218799999</v>
      </c>
      <c r="B516" s="1" t="s">
        <v>790</v>
      </c>
      <c r="C516" s="1">
        <v>9.1615380000000002</v>
      </c>
      <c r="D516" s="1">
        <v>4.6046999999999998E-2</v>
      </c>
    </row>
    <row r="517" spans="1:4" x14ac:dyDescent="0.25">
      <c r="A517" s="1">
        <v>2455172.2820700002</v>
      </c>
      <c r="B517" s="1" t="s">
        <v>791</v>
      </c>
      <c r="C517" s="1">
        <v>8.82</v>
      </c>
      <c r="D517" s="1">
        <v>9.2170000000000002E-2</v>
      </c>
    </row>
    <row r="518" spans="1:4" x14ac:dyDescent="0.25">
      <c r="A518" s="1">
        <v>2455186.7632499998</v>
      </c>
      <c r="B518" s="1" t="s">
        <v>792</v>
      </c>
      <c r="C518" s="1">
        <v>8.3249999999999993</v>
      </c>
      <c r="D518" s="1">
        <v>0.104796</v>
      </c>
    </row>
    <row r="519" spans="1:4" x14ac:dyDescent="0.25">
      <c r="A519" s="1">
        <v>2455204.8280500001</v>
      </c>
      <c r="B519" s="1" t="s">
        <v>793</v>
      </c>
      <c r="C519" s="1">
        <v>8.0399999999999991</v>
      </c>
      <c r="D519" s="1">
        <v>9.0921000000000002E-2</v>
      </c>
    </row>
    <row r="520" spans="1:4" x14ac:dyDescent="0.25">
      <c r="A520" s="1">
        <v>2455218.6133599998</v>
      </c>
      <c r="B520" s="1" t="s">
        <v>794</v>
      </c>
      <c r="C520" s="1">
        <v>7.9</v>
      </c>
      <c r="D520" s="1">
        <v>3.9440999999999997E-2</v>
      </c>
    </row>
    <row r="521" spans="1:4" x14ac:dyDescent="0.25">
      <c r="A521" s="1">
        <v>2455234.9670299999</v>
      </c>
      <c r="B521" s="1" t="s">
        <v>795</v>
      </c>
      <c r="C521" s="1">
        <v>7.89</v>
      </c>
      <c r="D521" s="1">
        <v>0.10692699999999999</v>
      </c>
    </row>
    <row r="522" spans="1:4" x14ac:dyDescent="0.25">
      <c r="A522" s="1">
        <v>2455251.4442199999</v>
      </c>
      <c r="B522" s="1" t="s">
        <v>796</v>
      </c>
      <c r="C522" s="1">
        <v>7.9636360000000002</v>
      </c>
      <c r="D522" s="1">
        <v>8.1210000000000004E-2</v>
      </c>
    </row>
    <row r="523" spans="1:4" x14ac:dyDescent="0.25">
      <c r="A523" s="1">
        <v>2455264.7041699998</v>
      </c>
      <c r="B523" s="1" t="s">
        <v>797</v>
      </c>
      <c r="C523" s="1">
        <v>8.2652169999999998</v>
      </c>
      <c r="D523" s="1">
        <v>6.5519999999999995E-2</v>
      </c>
    </row>
    <row r="524" spans="1:4" ht="30" x14ac:dyDescent="0.25">
      <c r="A524" s="1">
        <v>2455284.2818399998</v>
      </c>
      <c r="B524" s="1" t="s">
        <v>798</v>
      </c>
      <c r="C524" s="1">
        <v>8.7357139999999998</v>
      </c>
      <c r="D524" s="1">
        <v>7.9563999999999996E-2</v>
      </c>
    </row>
    <row r="525" spans="1:4" x14ac:dyDescent="0.25">
      <c r="A525" s="1">
        <v>2455298.6203700001</v>
      </c>
      <c r="B525" s="1" t="s">
        <v>799</v>
      </c>
      <c r="C525" s="1">
        <v>8.9312500000000004</v>
      </c>
      <c r="D525" s="1">
        <v>7.7308000000000002E-2</v>
      </c>
    </row>
    <row r="526" spans="1:4" x14ac:dyDescent="0.25">
      <c r="A526" s="1">
        <v>2455311.7293500002</v>
      </c>
      <c r="B526" s="1" t="s">
        <v>800</v>
      </c>
      <c r="C526" s="1">
        <v>9.0374999999999996</v>
      </c>
      <c r="D526" s="1">
        <v>9.8084000000000005E-2</v>
      </c>
    </row>
    <row r="527" spans="1:4" x14ac:dyDescent="0.25">
      <c r="A527" s="1">
        <v>2455325.9330500001</v>
      </c>
      <c r="B527" s="1" t="s">
        <v>801</v>
      </c>
      <c r="C527" s="1">
        <v>9.0500000000000007</v>
      </c>
      <c r="D527" s="1">
        <v>0.05</v>
      </c>
    </row>
    <row r="528" spans="1:4" ht="30" x14ac:dyDescent="0.25">
      <c r="A528" s="1">
        <v>2455341.2999999998</v>
      </c>
      <c r="B528" s="1" t="s">
        <v>802</v>
      </c>
      <c r="C528" s="1">
        <v>9.4</v>
      </c>
      <c r="D528" s="1">
        <v>0</v>
      </c>
    </row>
    <row r="529" spans="1:4" x14ac:dyDescent="0.25">
      <c r="A529" s="1">
        <v>2455414.5652999999</v>
      </c>
      <c r="B529" s="1" t="s">
        <v>803</v>
      </c>
      <c r="C529" s="1">
        <v>9.6999999999999993</v>
      </c>
      <c r="D529" s="1">
        <v>0</v>
      </c>
    </row>
    <row r="530" spans="1:4" x14ac:dyDescent="0.25">
      <c r="A530" s="1">
        <v>2455448.73318</v>
      </c>
      <c r="B530" s="1" t="s">
        <v>804</v>
      </c>
      <c r="C530" s="1">
        <v>9.8800000000000008</v>
      </c>
      <c r="D530" s="1">
        <v>0.08</v>
      </c>
    </row>
    <row r="531" spans="1:4" x14ac:dyDescent="0.25">
      <c r="A531" s="1">
        <v>2455466.1132</v>
      </c>
      <c r="B531" s="1" t="s">
        <v>805</v>
      </c>
      <c r="C531" s="1">
        <v>9.9749999999999996</v>
      </c>
      <c r="D531" s="1">
        <v>0.26887100000000003</v>
      </c>
    </row>
    <row r="532" spans="1:4" x14ac:dyDescent="0.25">
      <c r="A532" s="1">
        <v>2455479.1542600002</v>
      </c>
      <c r="B532" s="1" t="s">
        <v>806</v>
      </c>
      <c r="C532" s="1">
        <v>10.137499999999999</v>
      </c>
      <c r="D532" s="1">
        <v>0.114856</v>
      </c>
    </row>
    <row r="533" spans="1:4" x14ac:dyDescent="0.25">
      <c r="A533" s="1">
        <v>2455494.3101900001</v>
      </c>
      <c r="B533" s="1" t="s">
        <v>807</v>
      </c>
      <c r="C533" s="1">
        <v>10.14</v>
      </c>
      <c r="D533" s="1">
        <v>8.9691000000000007E-2</v>
      </c>
    </row>
    <row r="534" spans="1:4" ht="30" x14ac:dyDescent="0.25">
      <c r="A534" s="1">
        <v>2455511.02819</v>
      </c>
      <c r="B534" s="1" t="s">
        <v>808</v>
      </c>
      <c r="C534" s="1">
        <v>9.99</v>
      </c>
      <c r="D534" s="1">
        <v>5.4670999999999997E-2</v>
      </c>
    </row>
    <row r="535" spans="1:4" ht="30" x14ac:dyDescent="0.25">
      <c r="A535" s="1">
        <v>2455529.8838</v>
      </c>
      <c r="B535" s="1" t="s">
        <v>809</v>
      </c>
      <c r="C535" s="1">
        <v>9.766667</v>
      </c>
      <c r="D535" s="1">
        <v>0.14063300000000001</v>
      </c>
    </row>
    <row r="536" spans="1:4" x14ac:dyDescent="0.25">
      <c r="A536" s="1">
        <v>2455541.0633100001</v>
      </c>
      <c r="B536" s="1" t="s">
        <v>810</v>
      </c>
      <c r="C536" s="1">
        <v>9.6999999999999993</v>
      </c>
      <c r="D536" s="1">
        <v>9.6362000000000003E-2</v>
      </c>
    </row>
    <row r="537" spans="1:4" x14ac:dyDescent="0.25">
      <c r="A537" s="1">
        <v>2455565.9139399999</v>
      </c>
      <c r="B537" s="1" t="s">
        <v>811</v>
      </c>
      <c r="C537" s="1">
        <v>9.1272730000000006</v>
      </c>
      <c r="D537" s="1">
        <v>8.9535000000000003E-2</v>
      </c>
    </row>
    <row r="538" spans="1:4" x14ac:dyDescent="0.25">
      <c r="A538" s="1">
        <v>2455578.4430499999</v>
      </c>
      <c r="B538" s="1" t="s">
        <v>812</v>
      </c>
      <c r="C538" s="1">
        <v>8.89</v>
      </c>
      <c r="D538" s="1">
        <v>7.6666999999999999E-2</v>
      </c>
    </row>
    <row r="539" spans="1:4" x14ac:dyDescent="0.25">
      <c r="A539" s="1">
        <v>2455594.5496200002</v>
      </c>
      <c r="B539" s="1" t="s">
        <v>813</v>
      </c>
      <c r="C539" s="1">
        <v>8.7111110000000007</v>
      </c>
      <c r="D539" s="1">
        <v>5.4519999999999999E-2</v>
      </c>
    </row>
    <row r="540" spans="1:4" x14ac:dyDescent="0.25">
      <c r="A540" s="1">
        <v>2455609.74339</v>
      </c>
      <c r="B540" s="1" t="s">
        <v>814</v>
      </c>
      <c r="C540" s="1">
        <v>8.5133329999999994</v>
      </c>
      <c r="D540" s="1">
        <v>4.9633999999999998E-2</v>
      </c>
    </row>
    <row r="541" spans="1:4" x14ac:dyDescent="0.25">
      <c r="A541" s="1">
        <v>2455624.6648300001</v>
      </c>
      <c r="B541" s="1" t="s">
        <v>815</v>
      </c>
      <c r="C541" s="1">
        <v>8.5250000000000004</v>
      </c>
      <c r="D541" s="1">
        <v>4.0660000000000002E-2</v>
      </c>
    </row>
    <row r="542" spans="1:4" ht="30" x14ac:dyDescent="0.25">
      <c r="A542" s="1">
        <v>2455642.0413600001</v>
      </c>
      <c r="B542" s="1" t="s">
        <v>816</v>
      </c>
      <c r="C542" s="1">
        <v>8.5038459999999993</v>
      </c>
      <c r="D542" s="1">
        <v>5.0984000000000002E-2</v>
      </c>
    </row>
    <row r="543" spans="1:4" x14ac:dyDescent="0.25">
      <c r="A543" s="1">
        <v>2455654.47664</v>
      </c>
      <c r="B543" s="1" t="s">
        <v>817</v>
      </c>
      <c r="C543" s="1">
        <v>8.6384620000000005</v>
      </c>
      <c r="D543" s="1">
        <v>5.7131000000000001E-2</v>
      </c>
    </row>
    <row r="544" spans="1:4" x14ac:dyDescent="0.25">
      <c r="A544" s="1">
        <v>2455670.0623699999</v>
      </c>
      <c r="B544" s="1" t="s">
        <v>818</v>
      </c>
      <c r="C544" s="1">
        <v>8.86</v>
      </c>
      <c r="D544" s="1">
        <v>7.7934000000000003E-2</v>
      </c>
    </row>
    <row r="545" spans="1:4" x14ac:dyDescent="0.25">
      <c r="A545" s="1">
        <v>2455684.43927</v>
      </c>
      <c r="B545" s="1" t="s">
        <v>819</v>
      </c>
      <c r="C545" s="1">
        <v>8.8769229999999997</v>
      </c>
      <c r="D545" s="1">
        <v>6.2176000000000002E-2</v>
      </c>
    </row>
    <row r="546" spans="1:4" x14ac:dyDescent="0.25">
      <c r="A546" s="1">
        <v>2455776.6</v>
      </c>
      <c r="B546" s="1" t="s">
        <v>820</v>
      </c>
      <c r="C546" s="1">
        <v>9.4</v>
      </c>
      <c r="D546" s="1">
        <v>0</v>
      </c>
    </row>
    <row r="547" spans="1:4" ht="30" x14ac:dyDescent="0.25">
      <c r="A547" s="1">
        <v>2455803.76199</v>
      </c>
      <c r="B547" s="1" t="s">
        <v>821</v>
      </c>
      <c r="C547" s="1">
        <v>9.82</v>
      </c>
      <c r="D547" s="1">
        <v>0.152971</v>
      </c>
    </row>
    <row r="548" spans="1:4" x14ac:dyDescent="0.25">
      <c r="A548" s="1">
        <v>2455816.3044599998</v>
      </c>
      <c r="B548" s="1" t="s">
        <v>822</v>
      </c>
      <c r="C548" s="1">
        <v>9.75</v>
      </c>
      <c r="D548" s="1">
        <v>0.246644</v>
      </c>
    </row>
    <row r="549" spans="1:4" x14ac:dyDescent="0.25">
      <c r="A549" s="1">
        <v>2455833.51376</v>
      </c>
      <c r="B549" s="1" t="s">
        <v>823</v>
      </c>
      <c r="C549" s="1">
        <v>9.9</v>
      </c>
      <c r="D549" s="1">
        <v>8.8192000000000006E-2</v>
      </c>
    </row>
    <row r="550" spans="1:4" x14ac:dyDescent="0.25">
      <c r="A550" s="1">
        <v>2455852.8007</v>
      </c>
      <c r="B550" s="1" t="s">
        <v>824</v>
      </c>
      <c r="C550" s="1">
        <v>10.1</v>
      </c>
      <c r="D550" s="1">
        <v>0.152753</v>
      </c>
    </row>
    <row r="551" spans="1:4" x14ac:dyDescent="0.25">
      <c r="A551" s="1">
        <v>2455870.2794499998</v>
      </c>
      <c r="B551" s="1" t="s">
        <v>825</v>
      </c>
      <c r="C551" s="1">
        <v>10.199999999999999</v>
      </c>
      <c r="D551" s="1">
        <v>8.5635000000000003E-2</v>
      </c>
    </row>
    <row r="552" spans="1:4" ht="30" x14ac:dyDescent="0.25">
      <c r="A552" s="1">
        <v>2455888.0104800002</v>
      </c>
      <c r="B552" s="1" t="s">
        <v>826</v>
      </c>
      <c r="C552" s="1">
        <v>9.9857139999999998</v>
      </c>
      <c r="D552" s="1">
        <v>7.0987999999999996E-2</v>
      </c>
    </row>
    <row r="553" spans="1:4" x14ac:dyDescent="0.25">
      <c r="A553" s="1">
        <v>2455903.1662900001</v>
      </c>
      <c r="B553" s="1" t="s">
        <v>827</v>
      </c>
      <c r="C553" s="1">
        <v>9.7375000000000007</v>
      </c>
      <c r="D553" s="1">
        <v>9.9888000000000005E-2</v>
      </c>
    </row>
    <row r="554" spans="1:4" x14ac:dyDescent="0.25">
      <c r="A554" s="1">
        <v>2455918.6068799999</v>
      </c>
      <c r="B554" s="1" t="s">
        <v>828</v>
      </c>
      <c r="C554" s="1">
        <v>9.8538460000000008</v>
      </c>
      <c r="D554" s="1">
        <v>5.7306000000000003E-2</v>
      </c>
    </row>
    <row r="555" spans="1:4" x14ac:dyDescent="0.25">
      <c r="A555" s="1">
        <v>2455935.8702699998</v>
      </c>
      <c r="B555" s="1" t="s">
        <v>829</v>
      </c>
      <c r="C555" s="1">
        <v>9.5500000000000007</v>
      </c>
      <c r="D555" s="1">
        <v>5.8714000000000002E-2</v>
      </c>
    </row>
    <row r="556" spans="1:4" x14ac:dyDescent="0.25">
      <c r="A556" s="1">
        <v>2455952.89169</v>
      </c>
      <c r="B556" s="1" t="s">
        <v>830</v>
      </c>
      <c r="C556" s="1">
        <v>9.3083329999999993</v>
      </c>
      <c r="D556" s="1">
        <v>3.3616E-2</v>
      </c>
    </row>
    <row r="557" spans="1:4" x14ac:dyDescent="0.25">
      <c r="A557" s="1">
        <v>2455968.7958200001</v>
      </c>
      <c r="B557" s="1" t="s">
        <v>831</v>
      </c>
      <c r="C557" s="1">
        <v>9.0250000000000004</v>
      </c>
      <c r="D557" s="1">
        <v>5.3619E-2</v>
      </c>
    </row>
    <row r="558" spans="1:4" x14ac:dyDescent="0.25">
      <c r="A558" s="1">
        <v>2455980.77147</v>
      </c>
      <c r="B558" s="1" t="s">
        <v>832</v>
      </c>
      <c r="C558" s="1">
        <v>8.6846150000000009</v>
      </c>
      <c r="D558" s="1">
        <v>7.1473999999999996E-2</v>
      </c>
    </row>
    <row r="559" spans="1:4" ht="30" x14ac:dyDescent="0.25">
      <c r="A559" s="1">
        <v>2455997.4686699999</v>
      </c>
      <c r="B559" s="1" t="s">
        <v>833</v>
      </c>
      <c r="C559" s="1">
        <v>8.2142859999999995</v>
      </c>
      <c r="D559" s="1">
        <v>5.4022000000000001E-2</v>
      </c>
    </row>
    <row r="560" spans="1:4" ht="30" x14ac:dyDescent="0.25">
      <c r="A560" s="1">
        <v>2456012.0178700001</v>
      </c>
      <c r="B560" s="1" t="s">
        <v>834</v>
      </c>
      <c r="C560" s="1">
        <v>7.8323530000000003</v>
      </c>
      <c r="D560" s="1">
        <v>3.6249999999999998E-2</v>
      </c>
    </row>
    <row r="561" spans="1:4" x14ac:dyDescent="0.25">
      <c r="A561" s="1">
        <v>2456026.57913</v>
      </c>
      <c r="B561" s="1" t="s">
        <v>835</v>
      </c>
      <c r="C561" s="1">
        <v>7.822222</v>
      </c>
      <c r="D561" s="1">
        <v>3.8980000000000001E-2</v>
      </c>
    </row>
    <row r="562" spans="1:4" x14ac:dyDescent="0.25">
      <c r="A562" s="1">
        <v>2456042.6189999999</v>
      </c>
      <c r="B562" s="1" t="s">
        <v>836</v>
      </c>
      <c r="C562" s="1">
        <v>7.9714289999999997</v>
      </c>
      <c r="D562" s="1">
        <v>6.7473000000000005E-2</v>
      </c>
    </row>
    <row r="563" spans="1:4" ht="30" x14ac:dyDescent="0.25">
      <c r="A563" s="1">
        <v>2456057.8698</v>
      </c>
      <c r="B563" s="1" t="s">
        <v>837</v>
      </c>
      <c r="C563" s="1">
        <v>7.9</v>
      </c>
      <c r="D563" s="1">
        <v>0.1</v>
      </c>
    </row>
    <row r="564" spans="1:4" x14ac:dyDescent="0.25">
      <c r="A564" s="1">
        <v>2456131.5882000001</v>
      </c>
      <c r="B564" s="1" t="s">
        <v>838</v>
      </c>
      <c r="C564" s="1">
        <v>9.4</v>
      </c>
      <c r="D564" s="1">
        <v>0</v>
      </c>
    </row>
    <row r="565" spans="1:4" ht="30" x14ac:dyDescent="0.25">
      <c r="A565" s="1">
        <v>2456164.92821</v>
      </c>
      <c r="B565" s="1" t="s">
        <v>839</v>
      </c>
      <c r="C565" s="1">
        <v>9.4666669999999993</v>
      </c>
      <c r="D565" s="1">
        <v>0.10671899999999999</v>
      </c>
    </row>
    <row r="566" spans="1:4" x14ac:dyDescent="0.25">
      <c r="A566" s="1">
        <v>2456185.5481699998</v>
      </c>
      <c r="B566" s="1" t="s">
        <v>840</v>
      </c>
      <c r="C566" s="1">
        <v>9.6888889999999996</v>
      </c>
      <c r="D566" s="1">
        <v>0.112354</v>
      </c>
    </row>
    <row r="567" spans="1:4" x14ac:dyDescent="0.25">
      <c r="A567" s="1">
        <v>2456203.2591599999</v>
      </c>
      <c r="B567" s="1" t="s">
        <v>841</v>
      </c>
      <c r="C567" s="1">
        <v>10.08</v>
      </c>
      <c r="D567" s="1">
        <v>0.106771</v>
      </c>
    </row>
    <row r="568" spans="1:4" x14ac:dyDescent="0.25">
      <c r="A568" s="1">
        <v>2456219.8132699998</v>
      </c>
      <c r="B568" s="1" t="s">
        <v>241</v>
      </c>
      <c r="C568" s="1">
        <v>10.11</v>
      </c>
      <c r="D568" s="1">
        <v>0.11100599999999999</v>
      </c>
    </row>
    <row r="569" spans="1:4" x14ac:dyDescent="0.25">
      <c r="A569" s="1">
        <v>2456240.8591999998</v>
      </c>
      <c r="B569" s="1" t="s">
        <v>842</v>
      </c>
      <c r="C569" s="1">
        <v>9.9636359999999993</v>
      </c>
      <c r="D569" s="1">
        <v>0.207265</v>
      </c>
    </row>
    <row r="570" spans="1:4" ht="30" x14ac:dyDescent="0.25">
      <c r="A570" s="1">
        <v>2456259.95059</v>
      </c>
      <c r="B570" s="1" t="s">
        <v>843</v>
      </c>
      <c r="C570" s="1">
        <v>10.242857000000001</v>
      </c>
      <c r="D570" s="1">
        <v>7.5384999999999994E-2</v>
      </c>
    </row>
    <row r="571" spans="1:4" x14ac:dyDescent="0.25">
      <c r="A571" s="1">
        <v>2456275.1027000002</v>
      </c>
      <c r="B571" s="1" t="s">
        <v>844</v>
      </c>
      <c r="C571" s="1">
        <v>10.125</v>
      </c>
      <c r="D571" s="1">
        <v>4.6332999999999999E-2</v>
      </c>
    </row>
    <row r="572" spans="1:4" x14ac:dyDescent="0.25">
      <c r="A572" s="1">
        <v>2456299.2394400002</v>
      </c>
      <c r="B572" s="1" t="s">
        <v>845</v>
      </c>
      <c r="C572" s="1">
        <v>9.891667</v>
      </c>
      <c r="D572" s="1">
        <v>7.8692999999999999E-2</v>
      </c>
    </row>
    <row r="573" spans="1:4" x14ac:dyDescent="0.25">
      <c r="A573" s="1">
        <v>2456310.9257499999</v>
      </c>
      <c r="B573" s="1" t="s">
        <v>846</v>
      </c>
      <c r="C573" s="1">
        <v>9.9555559999999996</v>
      </c>
      <c r="D573" s="1">
        <v>6.8943000000000004E-2</v>
      </c>
    </row>
    <row r="574" spans="1:4" x14ac:dyDescent="0.25">
      <c r="A574" s="1">
        <v>2456329.6107899998</v>
      </c>
      <c r="B574" s="1" t="s">
        <v>847</v>
      </c>
      <c r="C574" s="1">
        <v>9.5615380000000005</v>
      </c>
      <c r="D574" s="1">
        <v>7.1914000000000006E-2</v>
      </c>
    </row>
    <row r="575" spans="1:4" x14ac:dyDescent="0.25">
      <c r="A575" s="1">
        <v>2456345.01357</v>
      </c>
      <c r="B575" s="1" t="s">
        <v>848</v>
      </c>
      <c r="C575" s="1">
        <v>9.4285709999999998</v>
      </c>
      <c r="D575" s="1">
        <v>8.9214000000000002E-2</v>
      </c>
    </row>
    <row r="576" spans="1:4" x14ac:dyDescent="0.25">
      <c r="A576" s="1">
        <v>2456361.1165900002</v>
      </c>
      <c r="B576" s="1" t="s">
        <v>849</v>
      </c>
      <c r="C576" s="1">
        <v>9.0760000000000005</v>
      </c>
      <c r="D576" s="1">
        <v>6.7645999999999998E-2</v>
      </c>
    </row>
    <row r="577" spans="1:4" x14ac:dyDescent="0.25">
      <c r="A577" s="1">
        <v>2456376.3556599999</v>
      </c>
      <c r="B577" s="1" t="s">
        <v>850</v>
      </c>
      <c r="C577" s="1">
        <v>8.7454549999999998</v>
      </c>
      <c r="D577" s="1">
        <v>0.113909</v>
      </c>
    </row>
    <row r="578" spans="1:4" x14ac:dyDescent="0.25">
      <c r="A578" s="1">
        <v>2456390.5026699998</v>
      </c>
      <c r="B578" s="1" t="s">
        <v>851</v>
      </c>
      <c r="C578" s="1">
        <v>8.3695649999999997</v>
      </c>
      <c r="D578" s="1">
        <v>8.6072999999999997E-2</v>
      </c>
    </row>
    <row r="579" spans="1:4" x14ac:dyDescent="0.25">
      <c r="A579" s="1">
        <v>2456408.5908900001</v>
      </c>
      <c r="B579" s="1" t="s">
        <v>852</v>
      </c>
      <c r="C579" s="1">
        <v>7.9769230000000002</v>
      </c>
      <c r="D579" s="1">
        <v>6.8082000000000004E-2</v>
      </c>
    </row>
    <row r="580" spans="1:4" x14ac:dyDescent="0.25">
      <c r="A580" s="1">
        <v>2456419.10513</v>
      </c>
      <c r="B580" s="1" t="s">
        <v>853</v>
      </c>
      <c r="C580" s="1">
        <v>7.9</v>
      </c>
      <c r="D580" s="1">
        <v>0.13540099999999999</v>
      </c>
    </row>
    <row r="581" spans="1:4" x14ac:dyDescent="0.25">
      <c r="A581" s="1">
        <v>2456493.5970000001</v>
      </c>
      <c r="B581" s="1" t="s">
        <v>854</v>
      </c>
      <c r="C581" s="1">
        <v>9.1999999999999993</v>
      </c>
      <c r="D581" s="1">
        <v>0</v>
      </c>
    </row>
    <row r="582" spans="1:4" x14ac:dyDescent="0.25">
      <c r="A582" s="1">
        <v>2456517.5630000001</v>
      </c>
      <c r="B582" s="1" t="s">
        <v>855</v>
      </c>
      <c r="C582" s="1">
        <v>9.6</v>
      </c>
      <c r="D582" s="1">
        <v>0</v>
      </c>
    </row>
    <row r="583" spans="1:4" x14ac:dyDescent="0.25">
      <c r="A583" s="1">
        <v>2456545.28883</v>
      </c>
      <c r="B583" s="1" t="s">
        <v>856</v>
      </c>
      <c r="C583" s="1">
        <v>9.8142859999999992</v>
      </c>
      <c r="D583" s="1">
        <v>7.9965999999999995E-2</v>
      </c>
    </row>
    <row r="584" spans="1:4" x14ac:dyDescent="0.25">
      <c r="A584" s="1">
        <v>2456566.1554700001</v>
      </c>
      <c r="B584" s="1" t="s">
        <v>857</v>
      </c>
      <c r="C584" s="1">
        <v>9.8142859999999992</v>
      </c>
      <c r="D584" s="1">
        <v>0.15800600000000001</v>
      </c>
    </row>
    <row r="585" spans="1:4" x14ac:dyDescent="0.25">
      <c r="A585" s="1">
        <v>2456578.4642500002</v>
      </c>
      <c r="B585" s="1" t="s">
        <v>858</v>
      </c>
      <c r="C585" s="1">
        <v>9.9499999999999993</v>
      </c>
      <c r="D585" s="1">
        <v>0.19364899999999999</v>
      </c>
    </row>
    <row r="586" spans="1:4" x14ac:dyDescent="0.25">
      <c r="A586" s="1">
        <v>2456597.12115</v>
      </c>
      <c r="B586" s="1" t="s">
        <v>859</v>
      </c>
      <c r="C586" s="1">
        <v>10.28</v>
      </c>
      <c r="D586" s="1">
        <v>6.8451999999999999E-2</v>
      </c>
    </row>
    <row r="587" spans="1:4" x14ac:dyDescent="0.25">
      <c r="A587" s="1">
        <v>2456610.5151800001</v>
      </c>
      <c r="B587" s="1" t="s">
        <v>860</v>
      </c>
      <c r="C587" s="1">
        <v>10.362500000000001</v>
      </c>
      <c r="D587" s="1">
        <v>9.4372999999999999E-2</v>
      </c>
    </row>
    <row r="588" spans="1:4" x14ac:dyDescent="0.25">
      <c r="A588" s="1">
        <v>2456630.77813</v>
      </c>
      <c r="B588" s="1" t="s">
        <v>861</v>
      </c>
      <c r="C588" s="1">
        <v>10.446154</v>
      </c>
      <c r="D588" s="1">
        <v>4.8853000000000001E-2</v>
      </c>
    </row>
    <row r="589" spans="1:4" x14ac:dyDescent="0.25">
      <c r="A589" s="1">
        <v>2456647.5054600001</v>
      </c>
      <c r="B589" s="1" t="s">
        <v>862</v>
      </c>
      <c r="C589" s="1">
        <v>10.388889000000001</v>
      </c>
      <c r="D589" s="1">
        <v>5.8793999999999999E-2</v>
      </c>
    </row>
    <row r="590" spans="1:4" x14ac:dyDescent="0.25">
      <c r="A590" s="1">
        <v>2456659.4975299998</v>
      </c>
      <c r="B590" s="1" t="s">
        <v>863</v>
      </c>
      <c r="C590" s="1">
        <v>10.414286000000001</v>
      </c>
      <c r="D590" s="1">
        <v>4.4873000000000003E-2</v>
      </c>
    </row>
    <row r="591" spans="1:4" x14ac:dyDescent="0.25">
      <c r="A591" s="1">
        <v>2456676.6119900001</v>
      </c>
      <c r="B591" s="1" t="s">
        <v>267</v>
      </c>
      <c r="C591" s="1">
        <v>10.425000000000001</v>
      </c>
      <c r="D591" s="1">
        <v>7.4999999999999997E-2</v>
      </c>
    </row>
    <row r="592" spans="1:4" x14ac:dyDescent="0.25">
      <c r="A592" s="1">
        <v>2456689.1715500001</v>
      </c>
      <c r="B592" s="1" t="s">
        <v>864</v>
      </c>
      <c r="C592" s="1">
        <v>10.262499999999999</v>
      </c>
      <c r="D592" s="1">
        <v>0.10166</v>
      </c>
    </row>
    <row r="593" spans="1:4" x14ac:dyDescent="0.25">
      <c r="A593" s="1">
        <v>2456709.1491999999</v>
      </c>
      <c r="B593" s="1" t="s">
        <v>865</v>
      </c>
      <c r="C593" s="1">
        <v>10.328571</v>
      </c>
      <c r="D593" s="1">
        <v>5.5266999999999997E-2</v>
      </c>
    </row>
    <row r="594" spans="1:4" x14ac:dyDescent="0.25">
      <c r="A594" s="1">
        <v>2456722.5979200001</v>
      </c>
      <c r="B594" s="1" t="s">
        <v>866</v>
      </c>
      <c r="C594" s="1">
        <v>9.9727270000000008</v>
      </c>
      <c r="D594" s="1">
        <v>0.113805</v>
      </c>
    </row>
    <row r="595" spans="1:4" x14ac:dyDescent="0.25">
      <c r="A595" s="1">
        <v>2456739.4601500002</v>
      </c>
      <c r="B595" s="1" t="s">
        <v>867</v>
      </c>
      <c r="C595" s="1">
        <v>9.8227270000000004</v>
      </c>
      <c r="D595" s="1">
        <v>6.3085000000000002E-2</v>
      </c>
    </row>
    <row r="596" spans="1:4" x14ac:dyDescent="0.25">
      <c r="A596" s="1">
        <v>2456753.8745200001</v>
      </c>
      <c r="B596" s="1" t="s">
        <v>868</v>
      </c>
      <c r="C596" s="1">
        <v>9.7181820000000005</v>
      </c>
      <c r="D596" s="1">
        <v>7.6060000000000003E-2</v>
      </c>
    </row>
    <row r="597" spans="1:4" x14ac:dyDescent="0.25">
      <c r="A597" s="1">
        <v>2456769.5791099998</v>
      </c>
      <c r="B597" s="1" t="s">
        <v>869</v>
      </c>
      <c r="C597" s="1">
        <v>9.5952380000000002</v>
      </c>
      <c r="D597" s="1">
        <v>6.6360000000000002E-2</v>
      </c>
    </row>
    <row r="598" spans="1:4" x14ac:dyDescent="0.25">
      <c r="A598" s="1">
        <v>2456781.6068500001</v>
      </c>
      <c r="B598" s="1" t="s">
        <v>870</v>
      </c>
      <c r="C598" s="1">
        <v>9.4250000000000007</v>
      </c>
      <c r="D598" s="1">
        <v>0.103078</v>
      </c>
    </row>
    <row r="599" spans="1:4" x14ac:dyDescent="0.25">
      <c r="A599" s="1">
        <v>2456867.08</v>
      </c>
      <c r="B599" s="1" t="s">
        <v>871</v>
      </c>
      <c r="C599" s="1">
        <v>8.5</v>
      </c>
      <c r="D599" s="1">
        <v>0</v>
      </c>
    </row>
    <row r="600" spans="1:4" x14ac:dyDescent="0.25">
      <c r="A600" s="1">
        <v>2456889.8204299998</v>
      </c>
      <c r="B600" s="1" t="s">
        <v>872</v>
      </c>
      <c r="C600" s="1">
        <v>9.1999999999999993</v>
      </c>
      <c r="D600" s="1">
        <v>0.173205</v>
      </c>
    </row>
    <row r="601" spans="1:4" x14ac:dyDescent="0.25">
      <c r="A601" s="1">
        <v>2456905.5883999998</v>
      </c>
      <c r="B601" s="1" t="s">
        <v>873</v>
      </c>
      <c r="C601" s="1">
        <v>9.1</v>
      </c>
      <c r="D601" s="1">
        <v>0.104881</v>
      </c>
    </row>
    <row r="602" spans="1:4" x14ac:dyDescent="0.25">
      <c r="A602" s="1">
        <v>2456923.9848699998</v>
      </c>
      <c r="B602" s="1" t="s">
        <v>874</v>
      </c>
      <c r="C602" s="1">
        <v>9.5111109999999996</v>
      </c>
      <c r="D602" s="1">
        <v>0.13788500000000001</v>
      </c>
    </row>
    <row r="603" spans="1:4" x14ac:dyDescent="0.25">
      <c r="A603" s="1">
        <v>2456934.4274200001</v>
      </c>
      <c r="B603" s="1" t="s">
        <v>875</v>
      </c>
      <c r="C603" s="1">
        <v>9.5333330000000007</v>
      </c>
      <c r="D603" s="1">
        <v>0.160555</v>
      </c>
    </row>
    <row r="604" spans="1:4" x14ac:dyDescent="0.25">
      <c r="A604" s="1">
        <v>2456955.4654600001</v>
      </c>
      <c r="B604" s="1" t="s">
        <v>876</v>
      </c>
      <c r="C604" s="1">
        <v>9.8000000000000007</v>
      </c>
      <c r="D604" s="1">
        <v>7.1714E-2</v>
      </c>
    </row>
    <row r="605" spans="1:4" x14ac:dyDescent="0.25">
      <c r="A605" s="1">
        <v>2456971.6367899999</v>
      </c>
      <c r="B605" s="1" t="s">
        <v>877</v>
      </c>
      <c r="C605" s="1">
        <v>10.077778</v>
      </c>
      <c r="D605" s="1">
        <v>4.0062E-2</v>
      </c>
    </row>
    <row r="606" spans="1:4" x14ac:dyDescent="0.25">
      <c r="A606" s="1">
        <v>2456987.40123</v>
      </c>
      <c r="B606" s="1" t="s">
        <v>878</v>
      </c>
      <c r="C606" s="1">
        <v>10.009091</v>
      </c>
      <c r="D606" s="1">
        <v>0.11867</v>
      </c>
    </row>
    <row r="607" spans="1:4" x14ac:dyDescent="0.25">
      <c r="A607" s="1">
        <v>2457001.5581299998</v>
      </c>
      <c r="B607" s="1" t="s">
        <v>879</v>
      </c>
      <c r="C607" s="1">
        <v>10.145455</v>
      </c>
      <c r="D607" s="1">
        <v>0.104763</v>
      </c>
    </row>
    <row r="608" spans="1:4" x14ac:dyDescent="0.25">
      <c r="A608" s="1">
        <v>2457015.8113600002</v>
      </c>
      <c r="B608" s="1" t="s">
        <v>880</v>
      </c>
      <c r="C608" s="1">
        <v>10.331579</v>
      </c>
      <c r="D608" s="1">
        <v>5.9752E-2</v>
      </c>
    </row>
    <row r="609" spans="1:4" x14ac:dyDescent="0.25">
      <c r="A609" s="1">
        <v>2457036.9898299999</v>
      </c>
      <c r="B609" s="1" t="s">
        <v>881</v>
      </c>
      <c r="C609" s="1">
        <v>10.361110999999999</v>
      </c>
      <c r="D609" s="1">
        <v>4.5113E-2</v>
      </c>
    </row>
    <row r="610" spans="1:4" x14ac:dyDescent="0.25">
      <c r="A610" s="1">
        <v>2457051.4933000002</v>
      </c>
      <c r="B610" s="1" t="s">
        <v>63</v>
      </c>
      <c r="C610" s="1">
        <v>10.37</v>
      </c>
      <c r="D610" s="1">
        <v>9.0737999999999999E-2</v>
      </c>
    </row>
    <row r="611" spans="1:4" x14ac:dyDescent="0.25">
      <c r="A611" s="1">
        <v>2457067.7166200001</v>
      </c>
      <c r="B611" s="1" t="s">
        <v>882</v>
      </c>
      <c r="C611" s="1">
        <v>10.442308000000001</v>
      </c>
      <c r="D611" s="1">
        <v>5.9270999999999997E-2</v>
      </c>
    </row>
    <row r="612" spans="1:4" x14ac:dyDescent="0.25">
      <c r="A612" s="1">
        <v>2457083.3108399999</v>
      </c>
      <c r="B612" s="1" t="s">
        <v>883</v>
      </c>
      <c r="C612" s="1">
        <v>10.456250000000001</v>
      </c>
      <c r="D612" s="1">
        <v>2.7338999999999999E-2</v>
      </c>
    </row>
    <row r="613" spans="1:4" x14ac:dyDescent="0.25">
      <c r="A613" s="1">
        <v>2457098.8210999998</v>
      </c>
      <c r="B613" s="1" t="s">
        <v>884</v>
      </c>
      <c r="C613" s="1">
        <v>10.343182000000001</v>
      </c>
      <c r="D613" s="1">
        <v>2.7581999999999999E-2</v>
      </c>
    </row>
    <row r="614" spans="1:4" x14ac:dyDescent="0.25">
      <c r="A614" s="1">
        <v>2457114.2788399998</v>
      </c>
      <c r="B614" s="1" t="s">
        <v>0</v>
      </c>
      <c r="C614" s="1">
        <v>10.128571000000001</v>
      </c>
      <c r="D614" s="1">
        <v>6.0391E-2</v>
      </c>
    </row>
    <row r="615" spans="1:4" x14ac:dyDescent="0.25">
      <c r="A615" s="1">
        <v>2457129.0850499999</v>
      </c>
      <c r="B615" s="1" t="s">
        <v>885</v>
      </c>
      <c r="C615" s="1">
        <v>9.9076920000000008</v>
      </c>
      <c r="D615" s="1">
        <v>6.9486999999999993E-2</v>
      </c>
    </row>
    <row r="616" spans="1:4" x14ac:dyDescent="0.25">
      <c r="A616" s="1">
        <v>2457145.5917099998</v>
      </c>
      <c r="B616" s="1" t="s">
        <v>886</v>
      </c>
      <c r="C616" s="1">
        <v>9.75</v>
      </c>
      <c r="D616" s="1">
        <v>0.1</v>
      </c>
    </row>
    <row r="617" spans="1:4" x14ac:dyDescent="0.25">
      <c r="A617" s="1">
        <v>2457257.0392499999</v>
      </c>
      <c r="B617" s="1" t="s">
        <v>887</v>
      </c>
      <c r="C617" s="1">
        <v>8.5250000000000004</v>
      </c>
      <c r="D617" s="1">
        <v>0.205649</v>
      </c>
    </row>
    <row r="618" spans="1:4" x14ac:dyDescent="0.25">
      <c r="A618" s="1">
        <v>2457275.2472999999</v>
      </c>
      <c r="B618" s="1" t="s">
        <v>888</v>
      </c>
      <c r="C618" s="1">
        <v>8.7285710000000005</v>
      </c>
      <c r="D618" s="1">
        <v>0.17281199999999999</v>
      </c>
    </row>
    <row r="619" spans="1:4" x14ac:dyDescent="0.25">
      <c r="A619" s="1">
        <v>2457291.3447599998</v>
      </c>
      <c r="B619" s="1" t="s">
        <v>889</v>
      </c>
      <c r="C619" s="1">
        <v>9.108333</v>
      </c>
      <c r="D619" s="1">
        <v>0.149979</v>
      </c>
    </row>
    <row r="620" spans="1:4" x14ac:dyDescent="0.25">
      <c r="A620" s="1">
        <v>2457311.3346899999</v>
      </c>
      <c r="B620" s="1" t="s">
        <v>890</v>
      </c>
      <c r="C620" s="1">
        <v>9.3699999999999992</v>
      </c>
      <c r="D620" s="1">
        <v>0.15206</v>
      </c>
    </row>
    <row r="621" spans="1:4" x14ac:dyDescent="0.25">
      <c r="A621" s="1">
        <v>2457330.5700599998</v>
      </c>
      <c r="B621" s="1" t="s">
        <v>891</v>
      </c>
      <c r="C621" s="1">
        <v>9.35</v>
      </c>
      <c r="D621" s="1">
        <v>0.108815</v>
      </c>
    </row>
    <row r="622" spans="1:4" x14ac:dyDescent="0.25">
      <c r="A622" s="1">
        <v>2457345.20915</v>
      </c>
      <c r="B622" s="1" t="s">
        <v>892</v>
      </c>
      <c r="C622" s="1">
        <v>9.3545449999999999</v>
      </c>
      <c r="D622" s="1">
        <v>9.1814000000000007E-2</v>
      </c>
    </row>
    <row r="623" spans="1:4" x14ac:dyDescent="0.25">
      <c r="A623" s="1">
        <v>2457362.61472</v>
      </c>
      <c r="B623" s="1" t="s">
        <v>145</v>
      </c>
      <c r="C623" s="1">
        <v>9.7952379999999994</v>
      </c>
      <c r="D623" s="1">
        <v>4.9988999999999999E-2</v>
      </c>
    </row>
    <row r="624" spans="1:4" x14ac:dyDescent="0.25">
      <c r="A624" s="1">
        <v>2457377.5100699998</v>
      </c>
      <c r="B624" s="1" t="s">
        <v>893</v>
      </c>
      <c r="C624" s="1">
        <v>9.9785710000000005</v>
      </c>
      <c r="D624" s="1">
        <v>4.709E-2</v>
      </c>
    </row>
    <row r="625" spans="1:4" x14ac:dyDescent="0.25">
      <c r="A625" s="1">
        <v>2457392.2312599998</v>
      </c>
      <c r="B625" s="1" t="s">
        <v>894</v>
      </c>
      <c r="C625" s="1">
        <v>10.088234999999999</v>
      </c>
      <c r="D625" s="1">
        <v>4.7653000000000001E-2</v>
      </c>
    </row>
    <row r="626" spans="1:4" x14ac:dyDescent="0.25">
      <c r="A626" s="1">
        <v>2457406.4698700001</v>
      </c>
      <c r="B626" s="1" t="s">
        <v>895</v>
      </c>
      <c r="C626" s="1">
        <v>10.172727</v>
      </c>
      <c r="D626" s="1">
        <v>8.8513999999999995E-2</v>
      </c>
    </row>
    <row r="627" spans="1:4" x14ac:dyDescent="0.25">
      <c r="A627" s="1">
        <v>2457425.8265999998</v>
      </c>
      <c r="B627" s="1" t="s">
        <v>896</v>
      </c>
      <c r="C627" s="1">
        <v>10.247826</v>
      </c>
      <c r="D627" s="1">
        <v>4.8238000000000003E-2</v>
      </c>
    </row>
    <row r="628" spans="1:4" x14ac:dyDescent="0.25">
      <c r="A628" s="1">
        <v>2457439.8399700001</v>
      </c>
      <c r="B628" s="1" t="s">
        <v>897</v>
      </c>
      <c r="C628" s="1">
        <v>10.193333000000001</v>
      </c>
      <c r="D628" s="1">
        <v>6.6524E-2</v>
      </c>
    </row>
    <row r="629" spans="1:4" x14ac:dyDescent="0.25">
      <c r="A629" s="1">
        <v>2457453.4487200002</v>
      </c>
      <c r="B629" s="1" t="s">
        <v>898</v>
      </c>
      <c r="C629" s="1">
        <v>10.288966</v>
      </c>
      <c r="D629" s="1">
        <v>6.0201999999999999E-2</v>
      </c>
    </row>
    <row r="630" spans="1:4" x14ac:dyDescent="0.25">
      <c r="A630" s="1">
        <v>2457468.8093500002</v>
      </c>
      <c r="B630" s="1" t="s">
        <v>899</v>
      </c>
      <c r="C630" s="1">
        <v>10.346667</v>
      </c>
      <c r="D630" s="1">
        <v>7.4875999999999998E-2</v>
      </c>
    </row>
    <row r="631" spans="1:4" x14ac:dyDescent="0.25">
      <c r="A631" s="1">
        <v>2457485.35971</v>
      </c>
      <c r="B631" s="1" t="s">
        <v>900</v>
      </c>
      <c r="C631" s="1">
        <v>10.15</v>
      </c>
      <c r="D631" s="1">
        <v>5.5488000000000003E-2</v>
      </c>
    </row>
    <row r="632" spans="1:4" x14ac:dyDescent="0.25">
      <c r="A632" s="1">
        <v>2457501.5178999999</v>
      </c>
      <c r="B632" s="1" t="s">
        <v>901</v>
      </c>
      <c r="C632" s="1">
        <v>9.9</v>
      </c>
      <c r="D632" s="1">
        <v>8.6189000000000002E-2</v>
      </c>
    </row>
    <row r="633" spans="1:4" x14ac:dyDescent="0.25">
      <c r="A633" s="1">
        <v>2457513.7264100001</v>
      </c>
      <c r="B633" s="1" t="s">
        <v>902</v>
      </c>
      <c r="C633" s="1">
        <v>9.9166670000000003</v>
      </c>
      <c r="D633" s="1">
        <v>0.11949</v>
      </c>
    </row>
    <row r="634" spans="1:4" x14ac:dyDescent="0.25">
      <c r="A634" s="1">
        <v>2457606.33458</v>
      </c>
      <c r="B634" s="1" t="s">
        <v>903</v>
      </c>
      <c r="C634" s="1">
        <v>7.9</v>
      </c>
      <c r="D634" s="1">
        <v>7.0710999999999996E-2</v>
      </c>
    </row>
    <row r="635" spans="1:4" x14ac:dyDescent="0.25">
      <c r="A635" s="1">
        <v>2457623.35934</v>
      </c>
      <c r="B635" s="1" t="s">
        <v>904</v>
      </c>
      <c r="C635" s="1">
        <v>8.0333330000000007</v>
      </c>
      <c r="D635" s="1">
        <v>0.123603</v>
      </c>
    </row>
    <row r="636" spans="1:4" x14ac:dyDescent="0.25">
      <c r="A636" s="1">
        <v>2457640.1727700001</v>
      </c>
      <c r="B636" s="1" t="s">
        <v>905</v>
      </c>
      <c r="C636" s="1">
        <v>7.9076919999999999</v>
      </c>
      <c r="D636" s="1">
        <v>4.5940000000000002E-2</v>
      </c>
    </row>
    <row r="637" spans="1:4" x14ac:dyDescent="0.25">
      <c r="A637" s="1">
        <v>2457655.9305199999</v>
      </c>
      <c r="B637" s="1" t="s">
        <v>906</v>
      </c>
      <c r="C637" s="1">
        <v>8.16</v>
      </c>
      <c r="D637" s="1">
        <v>6.3596E-2</v>
      </c>
    </row>
    <row r="638" spans="1:4" x14ac:dyDescent="0.25">
      <c r="A638" s="1">
        <v>2457667.1615200001</v>
      </c>
      <c r="B638" s="1" t="s">
        <v>146</v>
      </c>
      <c r="C638" s="1">
        <v>8.24</v>
      </c>
      <c r="D638" s="1">
        <v>0.15033299999999999</v>
      </c>
    </row>
    <row r="639" spans="1:4" x14ac:dyDescent="0.25">
      <c r="A639" s="1">
        <v>2457690.3993500001</v>
      </c>
      <c r="B639" s="1" t="s">
        <v>147</v>
      </c>
      <c r="C639" s="1">
        <v>8.9769229999999993</v>
      </c>
      <c r="D639" s="1">
        <v>9.5510999999999999E-2</v>
      </c>
    </row>
    <row r="640" spans="1:4" x14ac:dyDescent="0.25">
      <c r="A640" s="1">
        <v>2457708.68677</v>
      </c>
      <c r="B640" s="1" t="s">
        <v>907</v>
      </c>
      <c r="C640" s="1">
        <v>9.1916670000000007</v>
      </c>
      <c r="D640" s="1">
        <v>9.2489000000000002E-2</v>
      </c>
    </row>
    <row r="641" spans="1:4" x14ac:dyDescent="0.25">
      <c r="A641" s="1">
        <v>2457725.1745600002</v>
      </c>
      <c r="B641" s="1" t="s">
        <v>908</v>
      </c>
      <c r="C641" s="1">
        <v>9.4722220000000004</v>
      </c>
      <c r="D641" s="1">
        <v>6.4577999999999997E-2</v>
      </c>
    </row>
    <row r="642" spans="1:4" x14ac:dyDescent="0.25">
      <c r="A642" s="1">
        <v>2457741.8766700001</v>
      </c>
      <c r="B642" s="1" t="s">
        <v>909</v>
      </c>
      <c r="C642" s="1">
        <v>9.86</v>
      </c>
      <c r="D642" s="1">
        <v>6.1823999999999997E-2</v>
      </c>
    </row>
    <row r="643" spans="1:4" x14ac:dyDescent="0.25">
      <c r="A643" s="1">
        <v>2457752.43071</v>
      </c>
      <c r="B643" s="1" t="s">
        <v>910</v>
      </c>
      <c r="C643" s="1">
        <v>10.058332999999999</v>
      </c>
      <c r="D643" s="1">
        <v>4.1667000000000003E-2</v>
      </c>
    </row>
    <row r="644" spans="1:4" x14ac:dyDescent="0.25">
      <c r="A644" s="1">
        <v>2457762.37237</v>
      </c>
      <c r="B644" s="1" t="s">
        <v>915</v>
      </c>
      <c r="C644" s="1">
        <v>10.1</v>
      </c>
      <c r="D644" s="1">
        <v>6.1720999999999998E-2</v>
      </c>
    </row>
    <row r="645" spans="1:4" x14ac:dyDescent="0.25">
      <c r="A645" s="1">
        <v>2457774.9954200001</v>
      </c>
      <c r="B645" s="1" t="s">
        <v>916</v>
      </c>
      <c r="C645" s="1">
        <v>10.050000000000001</v>
      </c>
      <c r="D645" s="1">
        <v>7.6375999999999999E-2</v>
      </c>
    </row>
    <row r="646" spans="1:4" x14ac:dyDescent="0.25">
      <c r="A646" s="1">
        <v>2457783.5024799998</v>
      </c>
      <c r="B646" s="1" t="s">
        <v>917</v>
      </c>
      <c r="C646" s="1">
        <v>10.133333</v>
      </c>
      <c r="D646" s="1">
        <v>0.12292699999999999</v>
      </c>
    </row>
    <row r="647" spans="1:4" x14ac:dyDescent="0.25">
      <c r="A647" s="1">
        <v>2457798.8605800001</v>
      </c>
      <c r="B647" s="1" t="s">
        <v>918</v>
      </c>
      <c r="C647" s="1">
        <v>10.166667</v>
      </c>
      <c r="D647" s="1">
        <v>8.6602999999999999E-2</v>
      </c>
    </row>
    <row r="648" spans="1:4" x14ac:dyDescent="0.25">
      <c r="A648" s="1">
        <v>2457806.4194499999</v>
      </c>
      <c r="B648" s="1" t="s">
        <v>919</v>
      </c>
      <c r="C648" s="1">
        <v>10.192308000000001</v>
      </c>
      <c r="D648" s="1">
        <v>8.5830000000000004E-2</v>
      </c>
    </row>
    <row r="649" spans="1:4" x14ac:dyDescent="0.25">
      <c r="A649" s="1">
        <v>2457820.8765699998</v>
      </c>
      <c r="B649" s="1" t="s">
        <v>920</v>
      </c>
      <c r="C649" s="1">
        <v>10.262499999999999</v>
      </c>
      <c r="D649" s="1">
        <v>8.6473999999999995E-2</v>
      </c>
    </row>
    <row r="650" spans="1:4" x14ac:dyDescent="0.25">
      <c r="A650" s="1">
        <v>2457830.6899100002</v>
      </c>
      <c r="B650" s="1" t="s">
        <v>921</v>
      </c>
      <c r="C650" s="1">
        <v>10.444444000000001</v>
      </c>
      <c r="D650" s="1">
        <v>6.0349E-2</v>
      </c>
    </row>
    <row r="651" spans="1:4" x14ac:dyDescent="0.25">
      <c r="A651" s="1">
        <v>2457840.7507600002</v>
      </c>
      <c r="B651" s="1" t="s">
        <v>911</v>
      </c>
      <c r="C651" s="1">
        <v>10.404999999999999</v>
      </c>
      <c r="D651" s="1">
        <v>3.8026999999999998E-2</v>
      </c>
    </row>
    <row r="652" spans="1:4" x14ac:dyDescent="0.25">
      <c r="A652" s="1">
        <v>2457852.13564</v>
      </c>
      <c r="B652" s="1" t="s">
        <v>922</v>
      </c>
      <c r="C652" s="1">
        <v>10.3</v>
      </c>
      <c r="D652" s="1">
        <v>0.109545</v>
      </c>
    </row>
    <row r="653" spans="1:4" x14ac:dyDescent="0.25">
      <c r="A653" s="1">
        <v>2457864.2798899999</v>
      </c>
      <c r="B653" s="1" t="s">
        <v>923</v>
      </c>
      <c r="C653" s="1">
        <v>10.383333</v>
      </c>
      <c r="D653" s="1">
        <v>7.7687999999999993E-2</v>
      </c>
    </row>
    <row r="654" spans="1:4" x14ac:dyDescent="0.25">
      <c r="A654" s="1">
        <v>2457873.6101600002</v>
      </c>
      <c r="B654" s="1" t="s">
        <v>924</v>
      </c>
      <c r="C654" s="1">
        <v>10.133333</v>
      </c>
      <c r="D654" s="1">
        <v>0.117851</v>
      </c>
    </row>
    <row r="655" spans="1:4" x14ac:dyDescent="0.25">
      <c r="A655" s="1">
        <v>2457966.5819999999</v>
      </c>
      <c r="B655" s="1" t="s">
        <v>925</v>
      </c>
      <c r="C655" s="1">
        <v>9</v>
      </c>
      <c r="D655" s="1">
        <v>0</v>
      </c>
    </row>
    <row r="656" spans="1:4" x14ac:dyDescent="0.25">
      <c r="A656" s="1">
        <v>2457981.7644400001</v>
      </c>
      <c r="B656" s="1" t="s">
        <v>926</v>
      </c>
      <c r="C656" s="1">
        <v>8.0399999999999991</v>
      </c>
      <c r="D656" s="1">
        <v>7.4832999999999997E-2</v>
      </c>
    </row>
    <row r="657" spans="1:4" x14ac:dyDescent="0.25">
      <c r="A657" s="1">
        <v>2457992.9218100002</v>
      </c>
      <c r="B657" s="1" t="s">
        <v>927</v>
      </c>
      <c r="C657" s="1">
        <v>8.088889</v>
      </c>
      <c r="D657" s="1">
        <v>7.5358999999999995E-2</v>
      </c>
    </row>
    <row r="658" spans="1:4" x14ac:dyDescent="0.25">
      <c r="A658" s="1">
        <v>2458002.0595200001</v>
      </c>
      <c r="B658" s="1" t="s">
        <v>928</v>
      </c>
      <c r="C658" s="1">
        <v>8</v>
      </c>
      <c r="D658" s="1">
        <v>0.168325</v>
      </c>
    </row>
    <row r="659" spans="1:4" x14ac:dyDescent="0.25">
      <c r="A659" s="1">
        <v>2458013.06195</v>
      </c>
      <c r="B659" s="1" t="s">
        <v>929</v>
      </c>
      <c r="C659" s="1">
        <v>8.375</v>
      </c>
      <c r="D659" s="1">
        <v>4.9098999999999997E-2</v>
      </c>
    </row>
    <row r="660" spans="1:4" x14ac:dyDescent="0.25">
      <c r="A660" s="1">
        <v>2458024.5296200002</v>
      </c>
      <c r="B660" s="1" t="s">
        <v>930</v>
      </c>
      <c r="C660" s="1">
        <v>8.4333329999999993</v>
      </c>
      <c r="D660" s="1">
        <v>8.4326999999999999E-2</v>
      </c>
    </row>
    <row r="661" spans="1:4" x14ac:dyDescent="0.25">
      <c r="A661" s="1">
        <v>2458031.4256000002</v>
      </c>
      <c r="B661" s="1" t="s">
        <v>931</v>
      </c>
      <c r="C661" s="1">
        <v>8.4666669999999993</v>
      </c>
      <c r="D661" s="1">
        <v>9.5451999999999995E-2</v>
      </c>
    </row>
    <row r="662" spans="1:4" x14ac:dyDescent="0.25">
      <c r="A662" s="1">
        <v>2458045.8079300001</v>
      </c>
      <c r="B662" s="1" t="s">
        <v>932</v>
      </c>
      <c r="C662" s="1">
        <v>8.6555560000000007</v>
      </c>
      <c r="D662" s="1">
        <v>5.0307999999999999E-2</v>
      </c>
    </row>
    <row r="663" spans="1:4" x14ac:dyDescent="0.25">
      <c r="A663">
        <v>2458350</v>
      </c>
      <c r="C663">
        <v>8.5</v>
      </c>
    </row>
    <row r="664" spans="1:4" x14ac:dyDescent="0.25">
      <c r="A664">
        <v>2458370</v>
      </c>
      <c r="C664">
        <v>8.2999999999999989</v>
      </c>
    </row>
    <row r="665" spans="1:4" x14ac:dyDescent="0.25">
      <c r="A665">
        <v>2458380</v>
      </c>
      <c r="C665">
        <v>7.9666666666666659</v>
      </c>
    </row>
    <row r="666" spans="1:4" x14ac:dyDescent="0.25">
      <c r="A666">
        <v>2458390</v>
      </c>
      <c r="C666">
        <v>7.7666666666666684</v>
      </c>
    </row>
    <row r="667" spans="1:4" x14ac:dyDescent="0.25">
      <c r="A667">
        <v>2458400</v>
      </c>
      <c r="C667">
        <v>7.8538461538461553</v>
      </c>
    </row>
    <row r="668" spans="1:4" x14ac:dyDescent="0.25">
      <c r="A668">
        <v>2458410</v>
      </c>
      <c r="C668">
        <v>8.0599999999999987</v>
      </c>
    </row>
    <row r="669" spans="1:4" x14ac:dyDescent="0.25">
      <c r="A669">
        <v>2458420</v>
      </c>
      <c r="C669">
        <v>8.1909090909090914</v>
      </c>
    </row>
    <row r="670" spans="1:4" x14ac:dyDescent="0.25">
      <c r="A670">
        <v>2458430</v>
      </c>
      <c r="C670">
        <v>8.2333333333333343</v>
      </c>
    </row>
    <row r="671" spans="1:4" x14ac:dyDescent="0.25">
      <c r="A671">
        <v>2458440</v>
      </c>
      <c r="C671">
        <v>8.4</v>
      </c>
    </row>
    <row r="672" spans="1:4" x14ac:dyDescent="0.25">
      <c r="A672">
        <v>2458450</v>
      </c>
      <c r="C672">
        <v>8.5222222222222221</v>
      </c>
    </row>
    <row r="673" spans="1:3" x14ac:dyDescent="0.25">
      <c r="A673">
        <v>2458460</v>
      </c>
      <c r="C673">
        <v>8.66</v>
      </c>
    </row>
    <row r="674" spans="1:3" x14ac:dyDescent="0.25">
      <c r="A674">
        <v>2458470</v>
      </c>
      <c r="C674">
        <v>8.7777777777777786</v>
      </c>
    </row>
    <row r="675" spans="1:3" x14ac:dyDescent="0.25">
      <c r="A675">
        <v>2458480</v>
      </c>
      <c r="C675">
        <v>9.1125000000000007</v>
      </c>
    </row>
    <row r="676" spans="1:3" x14ac:dyDescent="0.25">
      <c r="A676">
        <v>2458490</v>
      </c>
      <c r="C676">
        <v>9.1214285714285701</v>
      </c>
    </row>
    <row r="677" spans="1:3" x14ac:dyDescent="0.25">
      <c r="A677">
        <v>2458500</v>
      </c>
      <c r="C677">
        <v>9.3399999999999981</v>
      </c>
    </row>
    <row r="678" spans="1:3" x14ac:dyDescent="0.25">
      <c r="A678">
        <v>2458510</v>
      </c>
      <c r="C678">
        <v>9.4500000000000011</v>
      </c>
    </row>
    <row r="679" spans="1:3" x14ac:dyDescent="0.25">
      <c r="A679">
        <v>2458520</v>
      </c>
      <c r="C679">
        <v>9.6857142857142868</v>
      </c>
    </row>
    <row r="680" spans="1:3" x14ac:dyDescent="0.25">
      <c r="A680">
        <v>2458530</v>
      </c>
      <c r="C680">
        <v>9.6937500000000014</v>
      </c>
    </row>
    <row r="681" spans="1:3" x14ac:dyDescent="0.25">
      <c r="A681">
        <v>2458540</v>
      </c>
      <c r="C681">
        <v>9.878947368421052</v>
      </c>
    </row>
    <row r="682" spans="1:3" x14ac:dyDescent="0.25">
      <c r="A682">
        <v>2458550</v>
      </c>
      <c r="C682">
        <v>9.9083333333333332</v>
      </c>
    </row>
    <row r="683" spans="1:3" x14ac:dyDescent="0.25">
      <c r="A683">
        <v>2458560</v>
      </c>
      <c r="C683">
        <v>9.9857142857142858</v>
      </c>
    </row>
    <row r="684" spans="1:3" x14ac:dyDescent="0.25">
      <c r="A684">
        <v>2458570</v>
      </c>
      <c r="C684">
        <v>10.123529411764707</v>
      </c>
    </row>
    <row r="685" spans="1:3" x14ac:dyDescent="0.25">
      <c r="A685">
        <v>2458580</v>
      </c>
      <c r="C685">
        <v>10.146153846153847</v>
      </c>
    </row>
    <row r="686" spans="1:3" x14ac:dyDescent="0.25">
      <c r="A686">
        <v>2458590</v>
      </c>
      <c r="C686">
        <v>10.074999999999999</v>
      </c>
    </row>
    <row r="687" spans="1:3" x14ac:dyDescent="0.25">
      <c r="A687">
        <v>2458600</v>
      </c>
      <c r="C687">
        <v>10.25</v>
      </c>
    </row>
    <row r="688" spans="1:3" x14ac:dyDescent="0.25">
      <c r="A688">
        <v>2458700</v>
      </c>
      <c r="C688">
        <v>9.5666666666666647</v>
      </c>
    </row>
    <row r="689" spans="1:3" x14ac:dyDescent="0.25">
      <c r="A689">
        <v>2458710</v>
      </c>
      <c r="C689">
        <v>9.875</v>
      </c>
    </row>
    <row r="690" spans="1:3" x14ac:dyDescent="0.25">
      <c r="A690">
        <v>2458720</v>
      </c>
      <c r="C690">
        <v>9.8600000000000012</v>
      </c>
    </row>
    <row r="691" spans="1:3" x14ac:dyDescent="0.25">
      <c r="A691">
        <v>2458730</v>
      </c>
      <c r="C691">
        <v>9.1727272727272737</v>
      </c>
    </row>
    <row r="692" spans="1:3" x14ac:dyDescent="0.25">
      <c r="A692">
        <v>2458740</v>
      </c>
      <c r="C692">
        <v>8.84</v>
      </c>
    </row>
    <row r="693" spans="1:3" x14ac:dyDescent="0.25">
      <c r="A693">
        <v>2458750</v>
      </c>
      <c r="C693">
        <v>8.4</v>
      </c>
    </row>
    <row r="694" spans="1:3" x14ac:dyDescent="0.25">
      <c r="A694">
        <v>2458760</v>
      </c>
      <c r="C694">
        <v>8.14</v>
      </c>
    </row>
    <row r="695" spans="1:3" x14ac:dyDescent="0.25">
      <c r="A695">
        <v>2458770</v>
      </c>
      <c r="C695">
        <v>7.7833333333333341</v>
      </c>
    </row>
    <row r="696" spans="1:3" x14ac:dyDescent="0.25">
      <c r="A696">
        <v>2458780</v>
      </c>
      <c r="C696">
        <v>7.9666666666666677</v>
      </c>
    </row>
    <row r="697" spans="1:3" x14ac:dyDescent="0.25">
      <c r="A697">
        <v>2458790</v>
      </c>
      <c r="C697">
        <v>7.757142857142858</v>
      </c>
    </row>
    <row r="698" spans="1:3" x14ac:dyDescent="0.25">
      <c r="A698">
        <v>2458800</v>
      </c>
      <c r="C698">
        <v>7.9599999999999991</v>
      </c>
    </row>
    <row r="699" spans="1:3" x14ac:dyDescent="0.25">
      <c r="A699">
        <v>2458810</v>
      </c>
      <c r="C699">
        <v>8.0545454545454547</v>
      </c>
    </row>
    <row r="700" spans="1:3" x14ac:dyDescent="0.25">
      <c r="A700">
        <v>2458820</v>
      </c>
      <c r="C700">
        <v>8.2142857142857153</v>
      </c>
    </row>
    <row r="701" spans="1:3" x14ac:dyDescent="0.25">
      <c r="A701">
        <v>2458830</v>
      </c>
      <c r="C701">
        <v>8.3909090909090907</v>
      </c>
    </row>
    <row r="702" spans="1:3" x14ac:dyDescent="0.25">
      <c r="A702">
        <v>2458840</v>
      </c>
      <c r="C702">
        <v>8.5499999999999989</v>
      </c>
    </row>
    <row r="703" spans="1:3" x14ac:dyDescent="0.25">
      <c r="A703">
        <v>2458850</v>
      </c>
      <c r="C703">
        <v>8.5900000000000016</v>
      </c>
    </row>
    <row r="704" spans="1:3" x14ac:dyDescent="0.25">
      <c r="A704">
        <v>2458860</v>
      </c>
      <c r="C704">
        <v>8.5153846153846171</v>
      </c>
    </row>
    <row r="705" spans="1:3" x14ac:dyDescent="0.25">
      <c r="A705">
        <v>2458870</v>
      </c>
      <c r="C705">
        <v>8.6499999999999986</v>
      </c>
    </row>
    <row r="706" spans="1:3" x14ac:dyDescent="0.25">
      <c r="A706">
        <v>2458880</v>
      </c>
      <c r="C706">
        <v>8.8099999999999987</v>
      </c>
    </row>
    <row r="707" spans="1:3" x14ac:dyDescent="0.25">
      <c r="A707">
        <v>2458890</v>
      </c>
      <c r="C707">
        <v>9.1142857142857139</v>
      </c>
    </row>
    <row r="708" spans="1:3" x14ac:dyDescent="0.25">
      <c r="A708">
        <v>2458900</v>
      </c>
      <c r="C708">
        <v>9.0428571428571427</v>
      </c>
    </row>
    <row r="709" spans="1:3" x14ac:dyDescent="0.25">
      <c r="A709">
        <v>2458910</v>
      </c>
      <c r="C709">
        <v>8.9833333333333325</v>
      </c>
    </row>
    <row r="710" spans="1:3" x14ac:dyDescent="0.25">
      <c r="A710">
        <v>2458920</v>
      </c>
      <c r="C710">
        <v>9.6666666666666661</v>
      </c>
    </row>
    <row r="711" spans="1:3" x14ac:dyDescent="0.25">
      <c r="A711">
        <v>2458930</v>
      </c>
      <c r="C711">
        <v>9.7388888888888889</v>
      </c>
    </row>
    <row r="712" spans="1:3" x14ac:dyDescent="0.25">
      <c r="A712">
        <v>2458940</v>
      </c>
      <c r="C712">
        <v>9.9600000000000009</v>
      </c>
    </row>
    <row r="713" spans="1:3" x14ac:dyDescent="0.25">
      <c r="A713">
        <v>2458950</v>
      </c>
      <c r="C713">
        <v>10.083333333333334</v>
      </c>
    </row>
    <row r="714" spans="1:3" x14ac:dyDescent="0.25">
      <c r="A714">
        <v>2458960</v>
      </c>
      <c r="C714">
        <v>10.018750000000001</v>
      </c>
    </row>
    <row r="715" spans="1:3" x14ac:dyDescent="0.25">
      <c r="A715">
        <v>2458970</v>
      </c>
      <c r="C715">
        <v>10.4</v>
      </c>
    </row>
    <row r="716" spans="1:3" x14ac:dyDescent="0.25">
      <c r="A716">
        <v>2459060</v>
      </c>
      <c r="C716">
        <v>10.4</v>
      </c>
    </row>
    <row r="717" spans="1:3" x14ac:dyDescent="0.25">
      <c r="A717">
        <v>2459070</v>
      </c>
      <c r="C717">
        <v>9.6999999999999993</v>
      </c>
    </row>
    <row r="718" spans="1:3" x14ac:dyDescent="0.25">
      <c r="A718">
        <v>2459080</v>
      </c>
      <c r="C718">
        <v>10.199999999999999</v>
      </c>
    </row>
    <row r="719" spans="1:3" x14ac:dyDescent="0.25">
      <c r="A719">
        <v>2459090</v>
      </c>
      <c r="C719">
        <v>10.199999999999999</v>
      </c>
    </row>
    <row r="720" spans="1:3" x14ac:dyDescent="0.25">
      <c r="A720">
        <v>2459100</v>
      </c>
      <c r="C720">
        <v>9.9</v>
      </c>
    </row>
    <row r="721" spans="1:3" x14ac:dyDescent="0.25">
      <c r="A721">
        <v>2459110</v>
      </c>
      <c r="C721">
        <v>9.8714285714285719</v>
      </c>
    </row>
    <row r="722" spans="1:3" x14ac:dyDescent="0.25">
      <c r="A722">
        <v>2459120</v>
      </c>
      <c r="C722">
        <v>9.7333333333333325</v>
      </c>
    </row>
    <row r="723" spans="1:3" x14ac:dyDescent="0.25">
      <c r="A723">
        <v>2459130</v>
      </c>
      <c r="C723">
        <v>9.8333333333333339</v>
      </c>
    </row>
    <row r="724" spans="1:3" x14ac:dyDescent="0.25">
      <c r="A724">
        <v>2459140</v>
      </c>
      <c r="C724">
        <v>9.3000000000000007</v>
      </c>
    </row>
    <row r="725" spans="1:3" x14ac:dyDescent="0.25">
      <c r="A725">
        <v>2459150</v>
      </c>
      <c r="C725">
        <v>9.0333333333333332</v>
      </c>
    </row>
    <row r="726" spans="1:3" x14ac:dyDescent="0.25">
      <c r="A726">
        <v>2459160</v>
      </c>
      <c r="C726">
        <v>8.4</v>
      </c>
    </row>
    <row r="727" spans="1:3" x14ac:dyDescent="0.25">
      <c r="A727">
        <v>2459170</v>
      </c>
      <c r="C727">
        <v>8.2083333333333339</v>
      </c>
    </row>
    <row r="728" spans="1:3" x14ac:dyDescent="0.25">
      <c r="A728">
        <v>2459180</v>
      </c>
      <c r="C728">
        <v>7.9666666666666659</v>
      </c>
    </row>
    <row r="729" spans="1:3" x14ac:dyDescent="0.25">
      <c r="A729">
        <v>2459190</v>
      </c>
      <c r="C729">
        <v>7.8666666666666663</v>
      </c>
    </row>
    <row r="730" spans="1:3" x14ac:dyDescent="0.25">
      <c r="A730">
        <v>2459200</v>
      </c>
      <c r="C730">
        <v>8.09</v>
      </c>
    </row>
    <row r="731" spans="1:3" x14ac:dyDescent="0.25">
      <c r="A731">
        <v>2459210</v>
      </c>
      <c r="C731">
        <v>7.9</v>
      </c>
    </row>
    <row r="732" spans="1:3" x14ac:dyDescent="0.25">
      <c r="A732">
        <v>2459220</v>
      </c>
      <c r="C732">
        <v>8.0500000000000007</v>
      </c>
    </row>
    <row r="733" spans="1:3" x14ac:dyDescent="0.25">
      <c r="A733">
        <v>2459230</v>
      </c>
      <c r="C733">
        <v>7.8125</v>
      </c>
    </row>
    <row r="734" spans="1:3" x14ac:dyDescent="0.25">
      <c r="A734">
        <v>2459240</v>
      </c>
      <c r="C734">
        <v>8</v>
      </c>
    </row>
    <row r="735" spans="1:3" x14ac:dyDescent="0.25">
      <c r="A735">
        <v>2459250</v>
      </c>
      <c r="C735">
        <v>8.2666666666666675</v>
      </c>
    </row>
    <row r="736" spans="1:3" x14ac:dyDescent="0.25">
      <c r="A736">
        <v>2459260</v>
      </c>
      <c r="C736">
        <v>8.3428571428571434</v>
      </c>
    </row>
    <row r="737" spans="1:3" x14ac:dyDescent="0.25">
      <c r="A737">
        <v>2459270</v>
      </c>
      <c r="C737">
        <v>8.5428571428571427</v>
      </c>
    </row>
    <row r="738" spans="1:3" x14ac:dyDescent="0.25">
      <c r="A738">
        <v>2459280</v>
      </c>
      <c r="C738">
        <v>8.7428571428571438</v>
      </c>
    </row>
    <row r="739" spans="1:3" x14ac:dyDescent="0.25">
      <c r="A739">
        <v>2459290</v>
      </c>
      <c r="C739">
        <v>8.9499999999999993</v>
      </c>
    </row>
    <row r="740" spans="1:3" x14ac:dyDescent="0.25">
      <c r="A740">
        <v>2459300</v>
      </c>
      <c r="C740">
        <v>9.3374999999999986</v>
      </c>
    </row>
    <row r="741" spans="1:3" x14ac:dyDescent="0.25">
      <c r="A741">
        <v>2459310</v>
      </c>
      <c r="C741">
        <v>9.6142857142857139</v>
      </c>
    </row>
    <row r="742" spans="1:3" x14ac:dyDescent="0.25">
      <c r="A742">
        <v>2459320</v>
      </c>
      <c r="C742">
        <v>9.4666666666666668</v>
      </c>
    </row>
    <row r="743" spans="1:3" x14ac:dyDescent="0.25">
      <c r="A743">
        <v>2459330</v>
      </c>
      <c r="C743">
        <v>9.9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Z489"/>
  <sheetViews>
    <sheetView workbookViewId="0">
      <selection sqref="A1:Z489"/>
    </sheetView>
  </sheetViews>
  <sheetFormatPr baseColWidth="10" defaultRowHeight="15" x14ac:dyDescent="0.25"/>
  <sheetData>
    <row r="1" spans="1:26" ht="30" x14ac:dyDescent="0.25">
      <c r="A1" s="1">
        <v>2457017.3418299998</v>
      </c>
      <c r="B1" s="1" t="s">
        <v>33</v>
      </c>
      <c r="C1" s="1">
        <v>7.8650000000000002</v>
      </c>
      <c r="D1" s="1">
        <v>1.2E-2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/>
      <c r="L1" s="1"/>
      <c r="M1" s="1" t="s">
        <v>40</v>
      </c>
      <c r="N1" s="1"/>
      <c r="O1" s="1"/>
      <c r="P1" s="1">
        <v>12.218</v>
      </c>
      <c r="Q1" s="1"/>
      <c r="R1" s="1"/>
      <c r="S1" s="1" t="s">
        <v>41</v>
      </c>
      <c r="T1" s="1"/>
      <c r="U1" s="1"/>
      <c r="V1" s="1"/>
      <c r="W1" s="1"/>
      <c r="X1" s="1"/>
      <c r="Y1" s="1" t="s">
        <v>42</v>
      </c>
      <c r="Z1" s="1" t="s">
        <v>43</v>
      </c>
    </row>
    <row r="2" spans="1:26" ht="30" x14ac:dyDescent="0.25">
      <c r="A2" s="1">
        <v>2457018.4412799999</v>
      </c>
      <c r="B2" s="1" t="s">
        <v>44</v>
      </c>
      <c r="C2" s="1">
        <v>7.8879999999999999</v>
      </c>
      <c r="D2" s="1">
        <v>1.2E-2</v>
      </c>
      <c r="E2" s="1" t="s">
        <v>34</v>
      </c>
      <c r="F2" s="1" t="s">
        <v>45</v>
      </c>
      <c r="G2" s="1" t="s">
        <v>36</v>
      </c>
      <c r="H2" s="1" t="s">
        <v>37</v>
      </c>
      <c r="I2" s="1"/>
      <c r="J2" s="1"/>
      <c r="K2" s="1"/>
      <c r="L2" s="1" t="s">
        <v>46</v>
      </c>
      <c r="M2" s="1" t="s">
        <v>47</v>
      </c>
      <c r="N2" s="1">
        <v>1</v>
      </c>
      <c r="O2" s="1"/>
      <c r="P2" s="1"/>
      <c r="Q2" s="1">
        <v>2457018.4397999998</v>
      </c>
      <c r="R2" s="1"/>
      <c r="S2" s="1" t="s">
        <v>41</v>
      </c>
      <c r="T2" s="1">
        <v>1</v>
      </c>
      <c r="U2" s="1"/>
      <c r="V2" s="1"/>
      <c r="W2" s="1"/>
      <c r="X2" s="1"/>
      <c r="Y2" s="1" t="s">
        <v>42</v>
      </c>
      <c r="Z2" s="1" t="s">
        <v>43</v>
      </c>
    </row>
    <row r="3" spans="1:26" ht="30" x14ac:dyDescent="0.25">
      <c r="A3" s="1">
        <v>2457019.4419999998</v>
      </c>
      <c r="B3" s="1" t="s">
        <v>48</v>
      </c>
      <c r="C3" s="1">
        <v>8.4450000000000003</v>
      </c>
      <c r="D3" s="1">
        <v>8.0000000000000002E-3</v>
      </c>
      <c r="E3" s="1" t="s">
        <v>34</v>
      </c>
      <c r="F3" s="1" t="s">
        <v>45</v>
      </c>
      <c r="G3" s="1" t="s">
        <v>36</v>
      </c>
      <c r="H3" s="1" t="s">
        <v>37</v>
      </c>
      <c r="I3" s="1"/>
      <c r="J3" s="1"/>
      <c r="K3" s="1"/>
      <c r="L3" s="1" t="s">
        <v>46</v>
      </c>
      <c r="M3" s="1" t="s">
        <v>47</v>
      </c>
      <c r="N3" s="1">
        <v>1</v>
      </c>
      <c r="O3" s="1"/>
      <c r="P3" s="1"/>
      <c r="Q3" s="1">
        <v>2457019.4405</v>
      </c>
      <c r="R3" s="1"/>
      <c r="S3" s="1" t="s">
        <v>41</v>
      </c>
      <c r="T3" s="1">
        <v>2</v>
      </c>
      <c r="U3" s="1"/>
      <c r="V3" s="1"/>
      <c r="W3" s="1"/>
      <c r="X3" s="1"/>
      <c r="Y3" s="1" t="s">
        <v>42</v>
      </c>
      <c r="Z3" s="1" t="s">
        <v>43</v>
      </c>
    </row>
    <row r="4" spans="1:26" ht="30" x14ac:dyDescent="0.25">
      <c r="A4" s="1">
        <v>2457021.4422399998</v>
      </c>
      <c r="B4" s="1" t="s">
        <v>49</v>
      </c>
      <c r="C4" s="1">
        <v>8.1609999999999996</v>
      </c>
      <c r="D4" s="1">
        <v>8.0000000000000002E-3</v>
      </c>
      <c r="E4" s="1" t="s">
        <v>34</v>
      </c>
      <c r="F4" s="1" t="s">
        <v>45</v>
      </c>
      <c r="G4" s="1" t="s">
        <v>36</v>
      </c>
      <c r="H4" s="1" t="s">
        <v>37</v>
      </c>
      <c r="I4" s="1"/>
      <c r="J4" s="1"/>
      <c r="K4" s="1"/>
      <c r="L4" s="1" t="s">
        <v>46</v>
      </c>
      <c r="M4" s="1" t="s">
        <v>47</v>
      </c>
      <c r="N4" s="1">
        <v>1</v>
      </c>
      <c r="O4" s="1"/>
      <c r="P4" s="1"/>
      <c r="Q4" s="1">
        <v>2457021.4407000002</v>
      </c>
      <c r="R4" s="1"/>
      <c r="S4" s="1" t="s">
        <v>41</v>
      </c>
      <c r="T4" s="1">
        <v>3</v>
      </c>
      <c r="U4" s="1"/>
      <c r="V4" s="1"/>
      <c r="W4" s="1"/>
      <c r="X4" s="1"/>
      <c r="Y4" s="1" t="s">
        <v>42</v>
      </c>
      <c r="Z4" s="1" t="s">
        <v>43</v>
      </c>
    </row>
    <row r="5" spans="1:26" ht="30" x14ac:dyDescent="0.25">
      <c r="A5" s="1">
        <v>2457022.4349600002</v>
      </c>
      <c r="B5" s="1" t="s">
        <v>50</v>
      </c>
      <c r="C5" s="1">
        <v>8.1029999999999998</v>
      </c>
      <c r="D5" s="1">
        <v>8.0000000000000002E-3</v>
      </c>
      <c r="E5" s="1" t="s">
        <v>34</v>
      </c>
      <c r="F5" s="1" t="s">
        <v>45</v>
      </c>
      <c r="G5" s="1" t="s">
        <v>36</v>
      </c>
      <c r="H5" s="1" t="s">
        <v>37</v>
      </c>
      <c r="I5" s="1"/>
      <c r="J5" s="1"/>
      <c r="K5" s="1"/>
      <c r="L5" s="1" t="s">
        <v>46</v>
      </c>
      <c r="M5" s="1" t="s">
        <v>47</v>
      </c>
      <c r="N5" s="1">
        <v>1</v>
      </c>
      <c r="O5" s="1"/>
      <c r="P5" s="1"/>
      <c r="Q5" s="1">
        <v>2457022.4334</v>
      </c>
      <c r="R5" s="1"/>
      <c r="S5" s="1" t="s">
        <v>41</v>
      </c>
      <c r="T5" s="1">
        <v>1</v>
      </c>
      <c r="U5" s="1"/>
      <c r="V5" s="1"/>
      <c r="W5" s="1"/>
      <c r="X5" s="1"/>
      <c r="Y5" s="1" t="s">
        <v>42</v>
      </c>
      <c r="Z5" s="1" t="s">
        <v>43</v>
      </c>
    </row>
    <row r="6" spans="1:26" ht="30" x14ac:dyDescent="0.25">
      <c r="A6" s="1">
        <v>2457023.26559</v>
      </c>
      <c r="B6" s="1" t="s">
        <v>51</v>
      </c>
      <c r="C6" s="1">
        <v>8.0860000000000003</v>
      </c>
      <c r="D6" s="1">
        <v>1.2E-2</v>
      </c>
      <c r="E6" s="1" t="s">
        <v>34</v>
      </c>
      <c r="F6" s="1" t="s">
        <v>35</v>
      </c>
      <c r="G6" s="1" t="s">
        <v>36</v>
      </c>
      <c r="H6" s="1" t="s">
        <v>37</v>
      </c>
      <c r="I6" s="1" t="s">
        <v>38</v>
      </c>
      <c r="J6" s="1" t="s">
        <v>39</v>
      </c>
      <c r="K6" s="1"/>
      <c r="L6" s="1"/>
      <c r="M6" s="1" t="s">
        <v>40</v>
      </c>
      <c r="N6" s="1"/>
      <c r="O6" s="1"/>
      <c r="P6" s="1">
        <v>12.266</v>
      </c>
      <c r="Q6" s="1"/>
      <c r="R6" s="1"/>
      <c r="S6" s="1" t="s">
        <v>41</v>
      </c>
      <c r="T6" s="1"/>
      <c r="U6" s="1"/>
      <c r="V6" s="1"/>
      <c r="W6" s="1"/>
      <c r="X6" s="1"/>
      <c r="Y6" s="1" t="s">
        <v>42</v>
      </c>
      <c r="Z6" s="1" t="s">
        <v>43</v>
      </c>
    </row>
    <row r="7" spans="1:26" ht="30" x14ac:dyDescent="0.25">
      <c r="A7" s="1">
        <v>2457024.3235200001</v>
      </c>
      <c r="B7" s="1" t="s">
        <v>52</v>
      </c>
      <c r="C7" s="1">
        <v>8.0449999999999999</v>
      </c>
      <c r="D7" s="1">
        <v>7.0000000000000001E-3</v>
      </c>
      <c r="E7" s="1" t="s">
        <v>34</v>
      </c>
      <c r="F7" s="1" t="s">
        <v>35</v>
      </c>
      <c r="G7" s="1" t="s">
        <v>36</v>
      </c>
      <c r="H7" s="1" t="s">
        <v>37</v>
      </c>
      <c r="I7" s="1" t="s">
        <v>38</v>
      </c>
      <c r="J7" s="1" t="s">
        <v>39</v>
      </c>
      <c r="K7" s="1"/>
      <c r="L7" s="1"/>
      <c r="M7" s="1" t="s">
        <v>40</v>
      </c>
      <c r="N7" s="1"/>
      <c r="O7" s="1"/>
      <c r="P7" s="1">
        <v>12.201000000000001</v>
      </c>
      <c r="Q7" s="1"/>
      <c r="R7" s="1"/>
      <c r="S7" s="1" t="s">
        <v>41</v>
      </c>
      <c r="T7" s="1"/>
      <c r="U7" s="1"/>
      <c r="V7" s="1"/>
      <c r="W7" s="1"/>
      <c r="X7" s="1"/>
      <c r="Y7" s="1" t="s">
        <v>42</v>
      </c>
      <c r="Z7" s="1" t="s">
        <v>43</v>
      </c>
    </row>
    <row r="8" spans="1:26" ht="30" x14ac:dyDescent="0.25">
      <c r="A8" s="1">
        <v>2457024.4360000002</v>
      </c>
      <c r="B8" s="1" t="s">
        <v>52</v>
      </c>
      <c r="C8" s="1">
        <v>8.0299999999999994</v>
      </c>
      <c r="D8" s="1">
        <v>8.0000000000000002E-3</v>
      </c>
      <c r="E8" s="1" t="s">
        <v>34</v>
      </c>
      <c r="F8" s="1" t="s">
        <v>45</v>
      </c>
      <c r="G8" s="1" t="s">
        <v>36</v>
      </c>
      <c r="H8" s="1" t="s">
        <v>37</v>
      </c>
      <c r="I8" s="1"/>
      <c r="J8" s="1"/>
      <c r="K8" s="1"/>
      <c r="L8" s="1" t="s">
        <v>46</v>
      </c>
      <c r="M8" s="1" t="s">
        <v>47</v>
      </c>
      <c r="N8" s="1">
        <v>1</v>
      </c>
      <c r="O8" s="1"/>
      <c r="P8" s="1"/>
      <c r="Q8" s="1">
        <v>2457024.4344000001</v>
      </c>
      <c r="R8" s="1"/>
      <c r="S8" s="1" t="s">
        <v>41</v>
      </c>
      <c r="T8" s="1">
        <v>1</v>
      </c>
      <c r="U8" s="1"/>
      <c r="V8" s="1"/>
      <c r="W8" s="1"/>
      <c r="X8" s="1"/>
      <c r="Y8" s="1" t="s">
        <v>42</v>
      </c>
      <c r="Z8" s="1" t="s">
        <v>43</v>
      </c>
    </row>
    <row r="9" spans="1:26" ht="30" x14ac:dyDescent="0.25">
      <c r="A9" s="1">
        <v>2457025.4365099999</v>
      </c>
      <c r="B9" s="1" t="s">
        <v>53</v>
      </c>
      <c r="C9" s="1">
        <v>7.8760000000000003</v>
      </c>
      <c r="D9" s="1">
        <v>8.0000000000000002E-3</v>
      </c>
      <c r="E9" s="1" t="s">
        <v>34</v>
      </c>
      <c r="F9" s="1" t="s">
        <v>45</v>
      </c>
      <c r="G9" s="1" t="s">
        <v>36</v>
      </c>
      <c r="H9" s="1" t="s">
        <v>37</v>
      </c>
      <c r="I9" s="1"/>
      <c r="J9" s="1"/>
      <c r="K9" s="1"/>
      <c r="L9" s="1" t="s">
        <v>46</v>
      </c>
      <c r="M9" s="1" t="s">
        <v>47</v>
      </c>
      <c r="N9" s="1">
        <v>1</v>
      </c>
      <c r="O9" s="1"/>
      <c r="P9" s="1"/>
      <c r="Q9" s="1">
        <v>2457025.4349000002</v>
      </c>
      <c r="R9" s="1"/>
      <c r="S9" s="1" t="s">
        <v>41</v>
      </c>
      <c r="T9" s="1">
        <v>2</v>
      </c>
      <c r="U9" s="1"/>
      <c r="V9" s="1"/>
      <c r="W9" s="1"/>
      <c r="X9" s="1"/>
      <c r="Y9" s="1" t="s">
        <v>42</v>
      </c>
      <c r="Z9" s="1" t="s">
        <v>43</v>
      </c>
    </row>
    <row r="10" spans="1:26" ht="30" x14ac:dyDescent="0.25">
      <c r="A10" s="1">
        <v>2457028.2496099998</v>
      </c>
      <c r="B10" s="1" t="s">
        <v>54</v>
      </c>
      <c r="C10" s="1">
        <v>7.2720000000000002</v>
      </c>
      <c r="D10" s="1">
        <v>1.6E-2</v>
      </c>
      <c r="E10" s="1" t="s">
        <v>34</v>
      </c>
      <c r="F10" s="1" t="s">
        <v>35</v>
      </c>
      <c r="G10" s="1" t="s">
        <v>36</v>
      </c>
      <c r="H10" s="1" t="s">
        <v>37</v>
      </c>
      <c r="I10" s="1" t="s">
        <v>38</v>
      </c>
      <c r="J10" s="1" t="s">
        <v>39</v>
      </c>
      <c r="K10" s="1" t="s">
        <v>55</v>
      </c>
      <c r="L10" s="1" t="s">
        <v>56</v>
      </c>
      <c r="M10" s="1" t="s">
        <v>40</v>
      </c>
      <c r="N10" s="1"/>
      <c r="O10" s="1"/>
      <c r="P10" s="1">
        <v>12.246</v>
      </c>
      <c r="Q10" s="1"/>
      <c r="R10" s="1"/>
      <c r="S10" s="1" t="s">
        <v>41</v>
      </c>
      <c r="T10" s="1"/>
      <c r="U10" s="1"/>
      <c r="V10" s="1"/>
      <c r="W10" s="1"/>
      <c r="X10" s="1"/>
      <c r="Y10" s="1" t="s">
        <v>42</v>
      </c>
      <c r="Z10" s="1" t="s">
        <v>57</v>
      </c>
    </row>
    <row r="11" spans="1:26" ht="30" x14ac:dyDescent="0.25">
      <c r="A11" s="1">
        <v>2457028.4379599998</v>
      </c>
      <c r="B11" s="1" t="s">
        <v>54</v>
      </c>
      <c r="C11" s="1">
        <v>7.7560000000000002</v>
      </c>
      <c r="D11" s="1">
        <v>7.0000000000000001E-3</v>
      </c>
      <c r="E11" s="1" t="s">
        <v>34</v>
      </c>
      <c r="F11" s="1" t="s">
        <v>45</v>
      </c>
      <c r="G11" s="1" t="s">
        <v>36</v>
      </c>
      <c r="H11" s="1" t="s">
        <v>37</v>
      </c>
      <c r="I11" s="1"/>
      <c r="J11" s="1"/>
      <c r="K11" s="1"/>
      <c r="L11" s="1" t="s">
        <v>46</v>
      </c>
      <c r="M11" s="1" t="s">
        <v>47</v>
      </c>
      <c r="N11" s="1">
        <v>1</v>
      </c>
      <c r="O11" s="1"/>
      <c r="P11" s="1"/>
      <c r="Q11" s="1">
        <v>2457028.4363000002</v>
      </c>
      <c r="R11" s="1"/>
      <c r="S11" s="1" t="s">
        <v>41</v>
      </c>
      <c r="T11" s="1">
        <v>1</v>
      </c>
      <c r="U11" s="1"/>
      <c r="V11" s="1"/>
      <c r="W11" s="1"/>
      <c r="X11" s="1"/>
      <c r="Y11" s="1" t="s">
        <v>42</v>
      </c>
      <c r="Z11" s="1" t="s">
        <v>43</v>
      </c>
    </row>
    <row r="12" spans="1:26" ht="60" x14ac:dyDescent="0.25">
      <c r="A12" s="1">
        <v>2457047.9786800002</v>
      </c>
      <c r="B12" s="1" t="s">
        <v>58</v>
      </c>
      <c r="C12" s="1">
        <v>8.26</v>
      </c>
      <c r="D12" s="1">
        <v>0.02</v>
      </c>
      <c r="E12" s="1" t="s">
        <v>34</v>
      </c>
      <c r="F12" s="1" t="s">
        <v>20</v>
      </c>
      <c r="G12" s="1" t="s">
        <v>36</v>
      </c>
      <c r="H12" s="1" t="s">
        <v>59</v>
      </c>
      <c r="I12" s="1" t="s">
        <v>60</v>
      </c>
      <c r="J12" s="1" t="s">
        <v>61</v>
      </c>
      <c r="K12" s="1"/>
      <c r="L12" s="1" t="s">
        <v>62</v>
      </c>
      <c r="M12" s="1" t="s">
        <v>47</v>
      </c>
      <c r="N12" s="1">
        <v>1.9850000000000001</v>
      </c>
      <c r="O12" s="1">
        <v>11.015000000000001</v>
      </c>
      <c r="P12" s="1">
        <v>11.265000000000001</v>
      </c>
      <c r="Q12" s="1"/>
      <c r="R12" s="1"/>
      <c r="S12" s="1" t="s">
        <v>41</v>
      </c>
      <c r="T12" s="1"/>
      <c r="U12" s="1"/>
      <c r="V12" s="1"/>
      <c r="W12" s="1"/>
      <c r="X12" s="1"/>
      <c r="Y12" s="1" t="s">
        <v>42</v>
      </c>
      <c r="Z12" s="1" t="s">
        <v>43</v>
      </c>
    </row>
    <row r="13" spans="1:26" ht="60" x14ac:dyDescent="0.25">
      <c r="A13" s="1">
        <v>2457050.97658</v>
      </c>
      <c r="B13" s="1" t="s">
        <v>63</v>
      </c>
      <c r="C13" s="1">
        <v>8.01</v>
      </c>
      <c r="D13" s="1">
        <v>0.01</v>
      </c>
      <c r="E13" s="1" t="s">
        <v>34</v>
      </c>
      <c r="F13" s="1" t="s">
        <v>20</v>
      </c>
      <c r="G13" s="1" t="s">
        <v>36</v>
      </c>
      <c r="H13" s="1" t="s">
        <v>59</v>
      </c>
      <c r="I13" s="1" t="s">
        <v>60</v>
      </c>
      <c r="J13" s="1" t="s">
        <v>61</v>
      </c>
      <c r="K13" s="1"/>
      <c r="L13" s="1" t="s">
        <v>62</v>
      </c>
      <c r="M13" s="1" t="s">
        <v>47</v>
      </c>
      <c r="N13" s="1">
        <v>1.907</v>
      </c>
      <c r="O13" s="1">
        <v>11.015000000000001</v>
      </c>
      <c r="P13" s="1">
        <v>11.266999999999999</v>
      </c>
      <c r="Q13" s="1"/>
      <c r="R13" s="1"/>
      <c r="S13" s="1" t="s">
        <v>41</v>
      </c>
      <c r="T13" s="1"/>
      <c r="U13" s="1"/>
      <c r="V13" s="1"/>
      <c r="W13" s="1"/>
      <c r="X13" s="1"/>
      <c r="Y13" s="1" t="s">
        <v>42</v>
      </c>
      <c r="Z13" s="1" t="s">
        <v>43</v>
      </c>
    </row>
    <row r="14" spans="1:26" ht="60" x14ac:dyDescent="0.25">
      <c r="A14" s="1">
        <v>2457056.97481</v>
      </c>
      <c r="B14" s="1" t="s">
        <v>64</v>
      </c>
      <c r="C14" s="1">
        <v>8</v>
      </c>
      <c r="D14" s="1">
        <v>0.02</v>
      </c>
      <c r="E14" s="1" t="s">
        <v>34</v>
      </c>
      <c r="F14" s="1" t="s">
        <v>20</v>
      </c>
      <c r="G14" s="1" t="s">
        <v>36</v>
      </c>
      <c r="H14" s="1" t="s">
        <v>59</v>
      </c>
      <c r="I14" s="1" t="s">
        <v>60</v>
      </c>
      <c r="J14" s="1" t="s">
        <v>61</v>
      </c>
      <c r="K14" s="1"/>
      <c r="L14" s="1" t="s">
        <v>62</v>
      </c>
      <c r="M14" s="1" t="s">
        <v>47</v>
      </c>
      <c r="N14" s="1">
        <v>1.7450000000000001</v>
      </c>
      <c r="O14" s="1">
        <v>11.015000000000001</v>
      </c>
      <c r="P14" s="1">
        <v>11.263999999999999</v>
      </c>
      <c r="Q14" s="1"/>
      <c r="R14" s="1"/>
      <c r="S14" s="1" t="s">
        <v>41</v>
      </c>
      <c r="T14" s="1"/>
      <c r="U14" s="1"/>
      <c r="V14" s="1"/>
      <c r="W14" s="1"/>
      <c r="X14" s="1"/>
      <c r="Y14" s="1" t="s">
        <v>42</v>
      </c>
      <c r="Z14" s="1" t="s">
        <v>43</v>
      </c>
    </row>
    <row r="15" spans="1:26" ht="60" x14ac:dyDescent="0.25">
      <c r="A15" s="1">
        <v>2457059.9742200002</v>
      </c>
      <c r="B15" s="1" t="s">
        <v>65</v>
      </c>
      <c r="C15" s="1">
        <v>8.11</v>
      </c>
      <c r="D15" s="1">
        <v>0.02</v>
      </c>
      <c r="E15" s="1" t="s">
        <v>34</v>
      </c>
      <c r="F15" s="1" t="s">
        <v>20</v>
      </c>
      <c r="G15" s="1" t="s">
        <v>36</v>
      </c>
      <c r="H15" s="1" t="s">
        <v>59</v>
      </c>
      <c r="I15" s="1" t="s">
        <v>60</v>
      </c>
      <c r="J15" s="1" t="s">
        <v>61</v>
      </c>
      <c r="K15" s="1"/>
      <c r="L15" s="1" t="s">
        <v>62</v>
      </c>
      <c r="M15" s="1" t="s">
        <v>47</v>
      </c>
      <c r="N15" s="1">
        <v>1.673</v>
      </c>
      <c r="O15" s="1">
        <v>11.015000000000001</v>
      </c>
      <c r="P15" s="1">
        <v>11.268000000000001</v>
      </c>
      <c r="Q15" s="1"/>
      <c r="R15" s="1"/>
      <c r="S15" s="1" t="s">
        <v>41</v>
      </c>
      <c r="T15" s="1"/>
      <c r="U15" s="1"/>
      <c r="V15" s="1"/>
      <c r="W15" s="1"/>
      <c r="X15" s="1"/>
      <c r="Y15" s="1" t="s">
        <v>42</v>
      </c>
      <c r="Z15" s="1" t="s">
        <v>43</v>
      </c>
    </row>
    <row r="16" spans="1:26" ht="60" x14ac:dyDescent="0.25">
      <c r="A16" s="1">
        <v>2457065.97884</v>
      </c>
      <c r="B16" s="1" t="s">
        <v>66</v>
      </c>
      <c r="C16" s="1">
        <v>7.91</v>
      </c>
      <c r="D16" s="1">
        <v>0.02</v>
      </c>
      <c r="E16" s="1" t="s">
        <v>34</v>
      </c>
      <c r="F16" s="1" t="s">
        <v>20</v>
      </c>
      <c r="G16" s="1" t="s">
        <v>36</v>
      </c>
      <c r="H16" s="1" t="s">
        <v>59</v>
      </c>
      <c r="I16" s="1" t="s">
        <v>60</v>
      </c>
      <c r="J16" s="1" t="s">
        <v>61</v>
      </c>
      <c r="K16" s="1"/>
      <c r="L16" s="1" t="s">
        <v>62</v>
      </c>
      <c r="M16" s="1" t="s">
        <v>47</v>
      </c>
      <c r="N16" s="1">
        <v>1.508</v>
      </c>
      <c r="O16" s="1">
        <v>11.015000000000001</v>
      </c>
      <c r="P16" s="1">
        <v>11.278</v>
      </c>
      <c r="Q16" s="1"/>
      <c r="R16" s="1"/>
      <c r="S16" s="1" t="s">
        <v>41</v>
      </c>
      <c r="T16" s="1"/>
      <c r="U16" s="1"/>
      <c r="V16" s="1"/>
      <c r="W16" s="1"/>
      <c r="X16" s="1"/>
      <c r="Y16" s="1" t="s">
        <v>42</v>
      </c>
      <c r="Z16" s="1" t="s">
        <v>43</v>
      </c>
    </row>
    <row r="17" spans="1:26" ht="30" x14ac:dyDescent="0.25">
      <c r="A17" s="1">
        <v>2457079.9939899999</v>
      </c>
      <c r="B17" s="1" t="s">
        <v>67</v>
      </c>
      <c r="C17" s="1">
        <v>7.8970000000000002</v>
      </c>
      <c r="D17" s="1">
        <v>0.02</v>
      </c>
      <c r="E17" s="1" t="s">
        <v>34</v>
      </c>
      <c r="F17" s="1" t="s">
        <v>22</v>
      </c>
      <c r="G17" s="1" t="s">
        <v>36</v>
      </c>
      <c r="H17" s="1">
        <v>65</v>
      </c>
      <c r="I17" s="1">
        <v>94</v>
      </c>
      <c r="J17" s="1" t="s">
        <v>68</v>
      </c>
      <c r="K17" s="1"/>
      <c r="L17" s="1"/>
      <c r="M17" s="1" t="s">
        <v>40</v>
      </c>
      <c r="N17" s="1"/>
      <c r="O17" s="1">
        <v>6.4219999999999997</v>
      </c>
      <c r="P17" s="1">
        <v>9.5570000000000004</v>
      </c>
      <c r="Q17" s="1"/>
      <c r="R17" s="1"/>
      <c r="S17" s="1" t="s">
        <v>41</v>
      </c>
      <c r="T17" s="1">
        <v>1</v>
      </c>
      <c r="U17" s="1"/>
      <c r="V17" s="1"/>
      <c r="W17" s="1"/>
      <c r="X17" s="1"/>
      <c r="Y17" s="1" t="s">
        <v>42</v>
      </c>
      <c r="Z17" s="1" t="s">
        <v>43</v>
      </c>
    </row>
    <row r="18" spans="1:26" ht="30" x14ac:dyDescent="0.25">
      <c r="A18" s="1">
        <v>2457081.9905300001</v>
      </c>
      <c r="B18" s="1" t="s">
        <v>69</v>
      </c>
      <c r="C18" s="1">
        <v>8.3810000000000002</v>
      </c>
      <c r="D18" s="1">
        <v>0.02</v>
      </c>
      <c r="E18" s="1" t="s">
        <v>34</v>
      </c>
      <c r="F18" s="1" t="s">
        <v>22</v>
      </c>
      <c r="G18" s="1" t="s">
        <v>36</v>
      </c>
      <c r="H18" s="1">
        <v>65</v>
      </c>
      <c r="I18" s="1">
        <v>94</v>
      </c>
      <c r="J18" s="1" t="s">
        <v>68</v>
      </c>
      <c r="K18" s="1"/>
      <c r="L18" s="1"/>
      <c r="M18" s="1" t="s">
        <v>40</v>
      </c>
      <c r="N18" s="1"/>
      <c r="O18" s="1">
        <v>6.4219999999999997</v>
      </c>
      <c r="P18" s="1">
        <v>9.56</v>
      </c>
      <c r="Q18" s="1"/>
      <c r="R18" s="1"/>
      <c r="S18" s="1" t="s">
        <v>41</v>
      </c>
      <c r="T18" s="1">
        <v>1</v>
      </c>
      <c r="U18" s="1"/>
      <c r="V18" s="1"/>
      <c r="W18" s="1"/>
      <c r="X18" s="1"/>
      <c r="Y18" s="1" t="s">
        <v>42</v>
      </c>
      <c r="Z18" s="1" t="s">
        <v>43</v>
      </c>
    </row>
    <row r="19" spans="1:26" ht="75" x14ac:dyDescent="0.25">
      <c r="A19" s="1">
        <v>2457084.8813299998</v>
      </c>
      <c r="B19" s="1" t="s">
        <v>19</v>
      </c>
      <c r="C19" s="1">
        <v>8.5</v>
      </c>
      <c r="D19" s="1">
        <v>0.1</v>
      </c>
      <c r="E19" s="1" t="s">
        <v>34</v>
      </c>
      <c r="F19" s="1" t="s">
        <v>20</v>
      </c>
      <c r="G19" s="1" t="s">
        <v>36</v>
      </c>
      <c r="H19" s="1" t="s">
        <v>59</v>
      </c>
      <c r="I19" s="1" t="s">
        <v>60</v>
      </c>
      <c r="J19" s="1" t="s">
        <v>61</v>
      </c>
      <c r="K19" s="1"/>
      <c r="L19" s="1" t="s">
        <v>70</v>
      </c>
      <c r="M19" s="1" t="s">
        <v>40</v>
      </c>
      <c r="N19" s="1">
        <v>1.9370000000000001</v>
      </c>
      <c r="O19" s="1">
        <v>11.015000000000001</v>
      </c>
      <c r="P19" s="1">
        <v>11.367000000000001</v>
      </c>
      <c r="Q19" s="1"/>
      <c r="R19" s="1"/>
      <c r="S19" s="1" t="s">
        <v>41</v>
      </c>
      <c r="T19" s="1"/>
      <c r="U19" s="1"/>
      <c r="V19" s="1"/>
      <c r="W19" s="1"/>
      <c r="X19" s="1"/>
      <c r="Y19" s="1" t="s">
        <v>42</v>
      </c>
      <c r="Z19" s="1" t="s">
        <v>43</v>
      </c>
    </row>
    <row r="20" spans="1:26" ht="30" x14ac:dyDescent="0.25">
      <c r="A20" s="1">
        <v>2457087.9729800001</v>
      </c>
      <c r="B20" s="1" t="s">
        <v>21</v>
      </c>
      <c r="C20" s="1">
        <v>7.7919999999999998</v>
      </c>
      <c r="D20" s="1">
        <v>0.02</v>
      </c>
      <c r="E20" s="1" t="s">
        <v>34</v>
      </c>
      <c r="F20" s="1" t="s">
        <v>22</v>
      </c>
      <c r="G20" s="1" t="s">
        <v>36</v>
      </c>
      <c r="H20" s="1">
        <v>65</v>
      </c>
      <c r="I20" s="1">
        <v>94</v>
      </c>
      <c r="J20" s="1" t="s">
        <v>68</v>
      </c>
      <c r="K20" s="1"/>
      <c r="L20" s="1"/>
      <c r="M20" s="1" t="s">
        <v>40</v>
      </c>
      <c r="N20" s="1"/>
      <c r="O20" s="1">
        <v>6.4219999999999997</v>
      </c>
      <c r="P20" s="1">
        <v>9.5549999999999997</v>
      </c>
      <c r="Q20" s="1"/>
      <c r="R20" s="1"/>
      <c r="S20" s="1" t="s">
        <v>41</v>
      </c>
      <c r="T20" s="1">
        <v>1</v>
      </c>
      <c r="U20" s="1"/>
      <c r="V20" s="1"/>
      <c r="W20" s="1"/>
      <c r="X20" s="1"/>
      <c r="Y20" s="1" t="s">
        <v>42</v>
      </c>
      <c r="Z20" s="1" t="s">
        <v>43</v>
      </c>
    </row>
    <row r="21" spans="1:26" ht="30" x14ac:dyDescent="0.25">
      <c r="A21" s="1">
        <v>2457088.96991</v>
      </c>
      <c r="B21" s="1" t="s">
        <v>23</v>
      </c>
      <c r="C21" s="1">
        <v>8.3629999999999995</v>
      </c>
      <c r="D21" s="1">
        <v>0.02</v>
      </c>
      <c r="E21" s="1" t="s">
        <v>34</v>
      </c>
      <c r="F21" s="1" t="s">
        <v>22</v>
      </c>
      <c r="G21" s="1" t="s">
        <v>36</v>
      </c>
      <c r="H21" s="1">
        <v>65</v>
      </c>
      <c r="I21" s="1">
        <v>94</v>
      </c>
      <c r="J21" s="1" t="s">
        <v>68</v>
      </c>
      <c r="K21" s="1"/>
      <c r="L21" s="1"/>
      <c r="M21" s="1" t="s">
        <v>40</v>
      </c>
      <c r="N21" s="1"/>
      <c r="O21" s="1">
        <v>6.4219999999999997</v>
      </c>
      <c r="P21" s="1">
        <v>9.7479999999999993</v>
      </c>
      <c r="Q21" s="1"/>
      <c r="R21" s="1"/>
      <c r="S21" s="1" t="s">
        <v>41</v>
      </c>
      <c r="T21" s="1">
        <v>1</v>
      </c>
      <c r="U21" s="1"/>
      <c r="V21" s="1"/>
      <c r="W21" s="1"/>
      <c r="X21" s="1"/>
      <c r="Y21" s="1" t="s">
        <v>42</v>
      </c>
      <c r="Z21" s="1" t="s">
        <v>43</v>
      </c>
    </row>
    <row r="22" spans="1:26" ht="60" x14ac:dyDescent="0.25">
      <c r="A22" s="1">
        <v>2457090.9602100002</v>
      </c>
      <c r="B22" s="1" t="s">
        <v>24</v>
      </c>
      <c r="C22" s="1">
        <v>7.92</v>
      </c>
      <c r="D22" s="1">
        <v>0.02</v>
      </c>
      <c r="E22" s="1" t="s">
        <v>34</v>
      </c>
      <c r="F22" s="1" t="s">
        <v>20</v>
      </c>
      <c r="G22" s="1" t="s">
        <v>36</v>
      </c>
      <c r="H22" s="1" t="s">
        <v>59</v>
      </c>
      <c r="I22" s="1" t="s">
        <v>60</v>
      </c>
      <c r="J22" s="1" t="s">
        <v>61</v>
      </c>
      <c r="K22" s="1"/>
      <c r="L22" s="1" t="s">
        <v>62</v>
      </c>
      <c r="M22" s="1" t="s">
        <v>47</v>
      </c>
      <c r="N22" s="1">
        <v>1.2569999999999999</v>
      </c>
      <c r="O22" s="1">
        <v>11.015000000000001</v>
      </c>
      <c r="P22" s="1">
        <v>11.288</v>
      </c>
      <c r="Q22" s="1"/>
      <c r="R22" s="1"/>
      <c r="S22" s="1" t="s">
        <v>41</v>
      </c>
      <c r="T22" s="1"/>
      <c r="U22" s="1"/>
      <c r="V22" s="1"/>
      <c r="W22" s="1"/>
      <c r="X22" s="1"/>
      <c r="Y22" s="1" t="s">
        <v>42</v>
      </c>
      <c r="Z22" s="1" t="s">
        <v>43</v>
      </c>
    </row>
    <row r="23" spans="1:26" ht="30" x14ac:dyDescent="0.25">
      <c r="A23" s="1">
        <v>2457097.9468399999</v>
      </c>
      <c r="B23" s="1" t="s">
        <v>25</v>
      </c>
      <c r="C23" s="1">
        <v>8.0809999999999995</v>
      </c>
      <c r="D23" s="1">
        <v>0.02</v>
      </c>
      <c r="E23" s="1" t="s">
        <v>34</v>
      </c>
      <c r="F23" s="1" t="s">
        <v>22</v>
      </c>
      <c r="G23" s="1" t="s">
        <v>36</v>
      </c>
      <c r="H23" s="1">
        <v>65</v>
      </c>
      <c r="I23" s="1">
        <v>94</v>
      </c>
      <c r="J23" s="1" t="s">
        <v>68</v>
      </c>
      <c r="K23" s="1"/>
      <c r="L23" s="1"/>
      <c r="M23" s="1" t="s">
        <v>40</v>
      </c>
      <c r="N23" s="1"/>
      <c r="O23" s="1">
        <v>6.4219999999999997</v>
      </c>
      <c r="P23" s="1">
        <v>9.5540000000000003</v>
      </c>
      <c r="Q23" s="1"/>
      <c r="R23" s="1"/>
      <c r="S23" s="1" t="s">
        <v>41</v>
      </c>
      <c r="T23" s="1">
        <v>1</v>
      </c>
      <c r="U23" s="1"/>
      <c r="V23" s="1"/>
      <c r="W23" s="1"/>
      <c r="X23" s="1"/>
      <c r="Y23" s="1" t="s">
        <v>42</v>
      </c>
      <c r="Z23" s="1" t="s">
        <v>43</v>
      </c>
    </row>
    <row r="24" spans="1:26" ht="30" x14ac:dyDescent="0.25">
      <c r="A24" s="1">
        <v>2457097.9785000002</v>
      </c>
      <c r="B24" s="1" t="s">
        <v>25</v>
      </c>
      <c r="C24" s="1">
        <v>8.1170000000000009</v>
      </c>
      <c r="D24" s="1">
        <v>0.02</v>
      </c>
      <c r="E24" s="1" t="s">
        <v>34</v>
      </c>
      <c r="F24" s="1" t="s">
        <v>22</v>
      </c>
      <c r="G24" s="1" t="s">
        <v>36</v>
      </c>
      <c r="H24" s="1">
        <v>65</v>
      </c>
      <c r="I24" s="1">
        <v>94</v>
      </c>
      <c r="J24" s="1" t="s">
        <v>68</v>
      </c>
      <c r="K24" s="1"/>
      <c r="L24" s="1"/>
      <c r="M24" s="1" t="s">
        <v>40</v>
      </c>
      <c r="N24" s="1"/>
      <c r="O24" s="1">
        <v>6.4219999999999997</v>
      </c>
      <c r="P24" s="1">
        <v>9.5429999999999993</v>
      </c>
      <c r="Q24" s="1"/>
      <c r="R24" s="1"/>
      <c r="S24" s="1" t="s">
        <v>41</v>
      </c>
      <c r="T24" s="1">
        <v>1</v>
      </c>
      <c r="U24" s="1"/>
      <c r="V24" s="1"/>
      <c r="W24" s="1"/>
      <c r="X24" s="1"/>
      <c r="Y24" s="1" t="s">
        <v>42</v>
      </c>
      <c r="Z24" s="1" t="s">
        <v>43</v>
      </c>
    </row>
    <row r="25" spans="1:26" ht="30" x14ac:dyDescent="0.25">
      <c r="A25" s="1">
        <v>2457101.8854999999</v>
      </c>
      <c r="B25" s="1" t="s">
        <v>26</v>
      </c>
      <c r="C25" s="1">
        <v>8.4060000000000006</v>
      </c>
      <c r="D25" s="1">
        <v>6.0000000000000001E-3</v>
      </c>
      <c r="E25" s="1" t="s">
        <v>34</v>
      </c>
      <c r="F25" s="1" t="s">
        <v>71</v>
      </c>
      <c r="G25" s="1" t="s">
        <v>36</v>
      </c>
      <c r="H25" s="1" t="s">
        <v>37</v>
      </c>
      <c r="I25" s="1" t="s">
        <v>72</v>
      </c>
      <c r="J25" s="1">
        <v>150509</v>
      </c>
      <c r="K25" s="1"/>
      <c r="L25" s="1"/>
      <c r="M25" s="1" t="s">
        <v>40</v>
      </c>
      <c r="N25" s="1">
        <v>1.1779999999999999</v>
      </c>
      <c r="O25" s="1"/>
      <c r="P25" s="1">
        <v>8.8339999999999996</v>
      </c>
      <c r="Q25" s="1"/>
      <c r="R25" s="1"/>
      <c r="S25" s="1" t="s">
        <v>41</v>
      </c>
      <c r="T25" s="1">
        <v>0</v>
      </c>
      <c r="U25" s="1"/>
      <c r="V25" s="1"/>
      <c r="W25" s="1"/>
      <c r="X25" s="1"/>
      <c r="Y25" s="1" t="s">
        <v>42</v>
      </c>
      <c r="Z25" s="1" t="s">
        <v>43</v>
      </c>
    </row>
    <row r="26" spans="1:26" ht="30" x14ac:dyDescent="0.25">
      <c r="A26" s="1">
        <v>2457101.88705</v>
      </c>
      <c r="B26" s="1" t="s">
        <v>26</v>
      </c>
      <c r="C26" s="1">
        <v>8.4749999999999996</v>
      </c>
      <c r="D26" s="1">
        <v>7.0000000000000001E-3</v>
      </c>
      <c r="E26" s="1" t="s">
        <v>34</v>
      </c>
      <c r="F26" s="1" t="s">
        <v>71</v>
      </c>
      <c r="G26" s="1" t="s">
        <v>36</v>
      </c>
      <c r="H26" s="1" t="s">
        <v>37</v>
      </c>
      <c r="I26" s="1" t="s">
        <v>72</v>
      </c>
      <c r="J26" s="1">
        <v>150509</v>
      </c>
      <c r="K26" s="1"/>
      <c r="L26" s="1"/>
      <c r="M26" s="1" t="s">
        <v>40</v>
      </c>
      <c r="N26" s="1">
        <v>1.1739999999999999</v>
      </c>
      <c r="O26" s="1"/>
      <c r="P26" s="1">
        <v>8.9130000000000003</v>
      </c>
      <c r="Q26" s="1"/>
      <c r="R26" s="1"/>
      <c r="S26" s="1" t="s">
        <v>41</v>
      </c>
      <c r="T26" s="1">
        <v>0</v>
      </c>
      <c r="U26" s="1"/>
      <c r="V26" s="1"/>
      <c r="W26" s="1"/>
      <c r="X26" s="1"/>
      <c r="Y26" s="1" t="s">
        <v>42</v>
      </c>
      <c r="Z26" s="1" t="s">
        <v>43</v>
      </c>
    </row>
    <row r="27" spans="1:26" ht="30" x14ac:dyDescent="0.25">
      <c r="A27" s="1">
        <v>2457101.8886199999</v>
      </c>
      <c r="B27" s="1" t="s">
        <v>26</v>
      </c>
      <c r="C27" s="1">
        <v>8.5459999999999994</v>
      </c>
      <c r="D27" s="1">
        <v>6.0000000000000001E-3</v>
      </c>
      <c r="E27" s="1" t="s">
        <v>34</v>
      </c>
      <c r="F27" s="1" t="s">
        <v>71</v>
      </c>
      <c r="G27" s="1" t="s">
        <v>36</v>
      </c>
      <c r="H27" s="1" t="s">
        <v>37</v>
      </c>
      <c r="I27" s="1" t="s">
        <v>72</v>
      </c>
      <c r="J27" s="1">
        <v>150509</v>
      </c>
      <c r="K27" s="1"/>
      <c r="L27" s="1"/>
      <c r="M27" s="1" t="s">
        <v>40</v>
      </c>
      <c r="N27" s="1">
        <v>1.17</v>
      </c>
      <c r="O27" s="1"/>
      <c r="P27" s="1">
        <v>8.9559999999999995</v>
      </c>
      <c r="Q27" s="1"/>
      <c r="R27" s="1"/>
      <c r="S27" s="1" t="s">
        <v>41</v>
      </c>
      <c r="T27" s="1">
        <v>0</v>
      </c>
      <c r="U27" s="1"/>
      <c r="V27" s="1"/>
      <c r="W27" s="1"/>
      <c r="X27" s="1"/>
      <c r="Y27" s="1" t="s">
        <v>42</v>
      </c>
      <c r="Z27" s="1" t="s">
        <v>43</v>
      </c>
    </row>
    <row r="28" spans="1:26" ht="30" x14ac:dyDescent="0.25">
      <c r="A28" s="1">
        <v>2457104.87836</v>
      </c>
      <c r="B28" s="1" t="s">
        <v>27</v>
      </c>
      <c r="C28" s="1">
        <v>8.359</v>
      </c>
      <c r="D28" s="1">
        <v>3.0000000000000001E-3</v>
      </c>
      <c r="E28" s="1" t="s">
        <v>34</v>
      </c>
      <c r="F28" s="1" t="s">
        <v>71</v>
      </c>
      <c r="G28" s="1" t="s">
        <v>36</v>
      </c>
      <c r="H28" s="1" t="s">
        <v>37</v>
      </c>
      <c r="I28" s="1" t="s">
        <v>72</v>
      </c>
      <c r="J28" s="1">
        <v>150509</v>
      </c>
      <c r="K28" s="1"/>
      <c r="L28" s="1"/>
      <c r="M28" s="1" t="s">
        <v>40</v>
      </c>
      <c r="N28" s="1">
        <v>1.179</v>
      </c>
      <c r="O28" s="1"/>
      <c r="P28" s="1">
        <v>8.7970000000000006</v>
      </c>
      <c r="Q28" s="1"/>
      <c r="R28" s="1"/>
      <c r="S28" s="1" t="s">
        <v>41</v>
      </c>
      <c r="T28" s="1">
        <v>0</v>
      </c>
      <c r="U28" s="1"/>
      <c r="V28" s="1"/>
      <c r="W28" s="1"/>
      <c r="X28" s="1"/>
      <c r="Y28" s="1" t="s">
        <v>42</v>
      </c>
      <c r="Z28" s="1" t="s">
        <v>43</v>
      </c>
    </row>
    <row r="29" spans="1:26" ht="30" x14ac:dyDescent="0.25">
      <c r="A29" s="1">
        <v>2457104.8799399999</v>
      </c>
      <c r="B29" s="1" t="s">
        <v>27</v>
      </c>
      <c r="C29" s="1">
        <v>8.2289999999999992</v>
      </c>
      <c r="D29" s="1">
        <v>3.0000000000000001E-3</v>
      </c>
      <c r="E29" s="1" t="s">
        <v>34</v>
      </c>
      <c r="F29" s="1" t="s">
        <v>71</v>
      </c>
      <c r="G29" s="1" t="s">
        <v>36</v>
      </c>
      <c r="H29" s="1" t="s">
        <v>37</v>
      </c>
      <c r="I29" s="1" t="s">
        <v>72</v>
      </c>
      <c r="J29" s="1">
        <v>150509</v>
      </c>
      <c r="K29" s="1"/>
      <c r="L29" s="1"/>
      <c r="M29" s="1" t="s">
        <v>40</v>
      </c>
      <c r="N29" s="1">
        <v>1.1739999999999999</v>
      </c>
      <c r="O29" s="1"/>
      <c r="P29" s="1">
        <v>8.81</v>
      </c>
      <c r="Q29" s="1"/>
      <c r="R29" s="1"/>
      <c r="S29" s="1" t="s">
        <v>41</v>
      </c>
      <c r="T29" s="1">
        <v>0</v>
      </c>
      <c r="U29" s="1"/>
      <c r="V29" s="1"/>
      <c r="W29" s="1"/>
      <c r="X29" s="1"/>
      <c r="Y29" s="1" t="s">
        <v>42</v>
      </c>
      <c r="Z29" s="1" t="s">
        <v>43</v>
      </c>
    </row>
    <row r="30" spans="1:26" ht="30" x14ac:dyDescent="0.25">
      <c r="A30" s="1">
        <v>2457104.88154</v>
      </c>
      <c r="B30" s="1" t="s">
        <v>27</v>
      </c>
      <c r="C30" s="1">
        <v>8.0619999999999994</v>
      </c>
      <c r="D30" s="1">
        <v>3.0000000000000001E-3</v>
      </c>
      <c r="E30" s="1" t="s">
        <v>34</v>
      </c>
      <c r="F30" s="1" t="s">
        <v>71</v>
      </c>
      <c r="G30" s="1" t="s">
        <v>36</v>
      </c>
      <c r="H30" s="1" t="s">
        <v>37</v>
      </c>
      <c r="I30" s="1" t="s">
        <v>72</v>
      </c>
      <c r="J30" s="1">
        <v>150509</v>
      </c>
      <c r="K30" s="1"/>
      <c r="L30" s="1"/>
      <c r="M30" s="1" t="s">
        <v>40</v>
      </c>
      <c r="N30" s="1">
        <v>1.17</v>
      </c>
      <c r="O30" s="1"/>
      <c r="P30" s="1">
        <v>8.8249999999999993</v>
      </c>
      <c r="Q30" s="1"/>
      <c r="R30" s="1"/>
      <c r="S30" s="1" t="s">
        <v>41</v>
      </c>
      <c r="T30" s="1">
        <v>0</v>
      </c>
      <c r="U30" s="1"/>
      <c r="V30" s="1"/>
      <c r="W30" s="1"/>
      <c r="X30" s="1"/>
      <c r="Y30" s="1" t="s">
        <v>42</v>
      </c>
      <c r="Z30" s="1" t="s">
        <v>43</v>
      </c>
    </row>
    <row r="31" spans="1:26" ht="30" x14ac:dyDescent="0.25">
      <c r="A31" s="1">
        <v>2457104.92765</v>
      </c>
      <c r="B31" s="1" t="s">
        <v>27</v>
      </c>
      <c r="C31" s="1">
        <v>8.0239999999999991</v>
      </c>
      <c r="D31" s="1">
        <v>0.02</v>
      </c>
      <c r="E31" s="1" t="s">
        <v>34</v>
      </c>
      <c r="F31" s="1" t="s">
        <v>22</v>
      </c>
      <c r="G31" s="1" t="s">
        <v>36</v>
      </c>
      <c r="H31" s="1">
        <v>65</v>
      </c>
      <c r="I31" s="1">
        <v>94</v>
      </c>
      <c r="J31" s="1" t="s">
        <v>68</v>
      </c>
      <c r="K31" s="1"/>
      <c r="L31" s="1"/>
      <c r="M31" s="1" t="s">
        <v>40</v>
      </c>
      <c r="N31" s="1"/>
      <c r="O31" s="1">
        <v>6.4219999999999997</v>
      </c>
      <c r="P31" s="1">
        <v>9.5079999999999991</v>
      </c>
      <c r="Q31" s="1"/>
      <c r="R31" s="1"/>
      <c r="S31" s="1" t="s">
        <v>41</v>
      </c>
      <c r="T31" s="1">
        <v>1</v>
      </c>
      <c r="U31" s="1"/>
      <c r="V31" s="1"/>
      <c r="W31" s="1"/>
      <c r="X31" s="1"/>
      <c r="Y31" s="1" t="s">
        <v>42</v>
      </c>
      <c r="Z31" s="1" t="s">
        <v>43</v>
      </c>
    </row>
    <row r="32" spans="1:26" ht="30" x14ac:dyDescent="0.25">
      <c r="A32" s="1">
        <v>2457104.9436900001</v>
      </c>
      <c r="B32" s="1" t="s">
        <v>27</v>
      </c>
      <c r="C32" s="1">
        <v>8.1989999999999998</v>
      </c>
      <c r="D32" s="1">
        <v>0.02</v>
      </c>
      <c r="E32" s="1" t="s">
        <v>34</v>
      </c>
      <c r="F32" s="1" t="s">
        <v>22</v>
      </c>
      <c r="G32" s="1" t="s">
        <v>36</v>
      </c>
      <c r="H32" s="1">
        <v>65</v>
      </c>
      <c r="I32" s="1">
        <v>94</v>
      </c>
      <c r="J32" s="1" t="s">
        <v>68</v>
      </c>
      <c r="K32" s="1"/>
      <c r="L32" s="1"/>
      <c r="M32" s="1" t="s">
        <v>40</v>
      </c>
      <c r="N32" s="1"/>
      <c r="O32" s="1">
        <v>6.4219999999999997</v>
      </c>
      <c r="P32" s="1">
        <v>9.5389999999999997</v>
      </c>
      <c r="Q32" s="1"/>
      <c r="R32" s="1"/>
      <c r="S32" s="1" t="s">
        <v>41</v>
      </c>
      <c r="T32" s="1">
        <v>1</v>
      </c>
      <c r="U32" s="1"/>
      <c r="V32" s="1"/>
      <c r="W32" s="1"/>
      <c r="X32" s="1"/>
      <c r="Y32" s="1" t="s">
        <v>42</v>
      </c>
      <c r="Z32" s="1" t="s">
        <v>43</v>
      </c>
    </row>
    <row r="33" spans="1:26" ht="30" x14ac:dyDescent="0.25">
      <c r="A33" s="1">
        <v>2457104.9545200001</v>
      </c>
      <c r="B33" s="1" t="s">
        <v>27</v>
      </c>
      <c r="C33" s="1">
        <v>8.3119999999999994</v>
      </c>
      <c r="D33" s="1">
        <v>0.02</v>
      </c>
      <c r="E33" s="1" t="s">
        <v>34</v>
      </c>
      <c r="F33" s="1" t="s">
        <v>22</v>
      </c>
      <c r="G33" s="1" t="s">
        <v>36</v>
      </c>
      <c r="H33" s="1">
        <v>65</v>
      </c>
      <c r="I33" s="1">
        <v>94</v>
      </c>
      <c r="J33" s="1" t="s">
        <v>68</v>
      </c>
      <c r="K33" s="1"/>
      <c r="L33" s="1"/>
      <c r="M33" s="1" t="s">
        <v>40</v>
      </c>
      <c r="N33" s="1"/>
      <c r="O33" s="1">
        <v>6.4219999999999997</v>
      </c>
      <c r="P33" s="1">
        <v>9.5640000000000001</v>
      </c>
      <c r="Q33" s="1"/>
      <c r="R33" s="1"/>
      <c r="S33" s="1" t="s">
        <v>41</v>
      </c>
      <c r="T33" s="1">
        <v>1</v>
      </c>
      <c r="U33" s="1"/>
      <c r="V33" s="1"/>
      <c r="W33" s="1"/>
      <c r="X33" s="1"/>
      <c r="Y33" s="1" t="s">
        <v>42</v>
      </c>
      <c r="Z33" s="1" t="s">
        <v>43</v>
      </c>
    </row>
    <row r="34" spans="1:26" ht="30" x14ac:dyDescent="0.25">
      <c r="A34" s="1">
        <v>2457104.9652300002</v>
      </c>
      <c r="B34" s="1" t="s">
        <v>27</v>
      </c>
      <c r="C34" s="1">
        <v>8.2690000000000001</v>
      </c>
      <c r="D34" s="1">
        <v>0.02</v>
      </c>
      <c r="E34" s="1" t="s">
        <v>34</v>
      </c>
      <c r="F34" s="1" t="s">
        <v>22</v>
      </c>
      <c r="G34" s="1" t="s">
        <v>36</v>
      </c>
      <c r="H34" s="1">
        <v>65</v>
      </c>
      <c r="I34" s="1">
        <v>94</v>
      </c>
      <c r="J34" s="1" t="s">
        <v>68</v>
      </c>
      <c r="K34" s="1"/>
      <c r="L34" s="1"/>
      <c r="M34" s="1" t="s">
        <v>40</v>
      </c>
      <c r="N34" s="1"/>
      <c r="O34" s="1">
        <v>6.4219999999999997</v>
      </c>
      <c r="P34" s="1">
        <v>9.5739999999999998</v>
      </c>
      <c r="Q34" s="1"/>
      <c r="R34" s="1"/>
      <c r="S34" s="1" t="s">
        <v>41</v>
      </c>
      <c r="T34" s="1">
        <v>1</v>
      </c>
      <c r="U34" s="1"/>
      <c r="V34" s="1"/>
      <c r="W34" s="1"/>
      <c r="X34" s="1"/>
      <c r="Y34" s="1" t="s">
        <v>42</v>
      </c>
      <c r="Z34" s="1" t="s">
        <v>43</v>
      </c>
    </row>
    <row r="35" spans="1:26" ht="30" x14ac:dyDescent="0.25">
      <c r="A35" s="1">
        <v>2457104.9767200002</v>
      </c>
      <c r="B35" s="1" t="s">
        <v>27</v>
      </c>
      <c r="C35" s="1">
        <v>8.1590000000000007</v>
      </c>
      <c r="D35" s="1">
        <v>0.02</v>
      </c>
      <c r="E35" s="1" t="s">
        <v>34</v>
      </c>
      <c r="F35" s="1" t="s">
        <v>22</v>
      </c>
      <c r="G35" s="1" t="s">
        <v>36</v>
      </c>
      <c r="H35" s="1">
        <v>65</v>
      </c>
      <c r="I35" s="1">
        <v>94</v>
      </c>
      <c r="J35" s="1" t="s">
        <v>68</v>
      </c>
      <c r="K35" s="1"/>
      <c r="L35" s="1"/>
      <c r="M35" s="1" t="s">
        <v>40</v>
      </c>
      <c r="N35" s="1"/>
      <c r="O35" s="1">
        <v>6.4219999999999997</v>
      </c>
      <c r="P35" s="1">
        <v>9.5579999999999998</v>
      </c>
      <c r="Q35" s="1"/>
      <c r="R35" s="1"/>
      <c r="S35" s="1" t="s">
        <v>41</v>
      </c>
      <c r="T35" s="1">
        <v>1</v>
      </c>
      <c r="U35" s="1"/>
      <c r="V35" s="1"/>
      <c r="W35" s="1"/>
      <c r="X35" s="1"/>
      <c r="Y35" s="1" t="s">
        <v>42</v>
      </c>
      <c r="Z35" s="1" t="s">
        <v>43</v>
      </c>
    </row>
    <row r="36" spans="1:26" ht="30" x14ac:dyDescent="0.25">
      <c r="A36" s="1">
        <v>2457106.87726</v>
      </c>
      <c r="B36" s="1" t="s">
        <v>28</v>
      </c>
      <c r="C36" s="1">
        <v>7.9930000000000003</v>
      </c>
      <c r="D36" s="1">
        <v>3.0000000000000001E-3</v>
      </c>
      <c r="E36" s="1" t="s">
        <v>34</v>
      </c>
      <c r="F36" s="1" t="s">
        <v>71</v>
      </c>
      <c r="G36" s="1" t="s">
        <v>36</v>
      </c>
      <c r="H36" s="1" t="s">
        <v>37</v>
      </c>
      <c r="I36" s="1" t="s">
        <v>72</v>
      </c>
      <c r="J36" s="1">
        <v>150509</v>
      </c>
      <c r="K36" s="1"/>
      <c r="L36" s="1"/>
      <c r="M36" s="1" t="s">
        <v>40</v>
      </c>
      <c r="N36" s="1">
        <v>1.165</v>
      </c>
      <c r="O36" s="1"/>
      <c r="P36" s="1">
        <v>8.8049999999999997</v>
      </c>
      <c r="Q36" s="1"/>
      <c r="R36" s="1"/>
      <c r="S36" s="1" t="s">
        <v>41</v>
      </c>
      <c r="T36" s="1">
        <v>0</v>
      </c>
      <c r="U36" s="1"/>
      <c r="V36" s="1"/>
      <c r="W36" s="1"/>
      <c r="X36" s="1"/>
      <c r="Y36" s="1" t="s">
        <v>42</v>
      </c>
      <c r="Z36" s="1" t="s">
        <v>43</v>
      </c>
    </row>
    <row r="37" spans="1:26" ht="30" x14ac:dyDescent="0.25">
      <c r="A37" s="1">
        <v>2457106.8793299999</v>
      </c>
      <c r="B37" s="1" t="s">
        <v>28</v>
      </c>
      <c r="C37" s="1">
        <v>8.0830000000000002</v>
      </c>
      <c r="D37" s="1">
        <v>3.0000000000000001E-3</v>
      </c>
      <c r="E37" s="1" t="s">
        <v>34</v>
      </c>
      <c r="F37" s="1" t="s">
        <v>71</v>
      </c>
      <c r="G37" s="1" t="s">
        <v>36</v>
      </c>
      <c r="H37" s="1" t="s">
        <v>37</v>
      </c>
      <c r="I37" s="1" t="s">
        <v>72</v>
      </c>
      <c r="J37" s="1">
        <v>150509</v>
      </c>
      <c r="K37" s="1"/>
      <c r="L37" s="1"/>
      <c r="M37" s="1" t="s">
        <v>40</v>
      </c>
      <c r="N37" s="1">
        <v>1.159</v>
      </c>
      <c r="O37" s="1"/>
      <c r="P37" s="1">
        <v>8.8770000000000007</v>
      </c>
      <c r="Q37" s="1"/>
      <c r="R37" s="1"/>
      <c r="S37" s="1" t="s">
        <v>41</v>
      </c>
      <c r="T37" s="1">
        <v>0</v>
      </c>
      <c r="U37" s="1"/>
      <c r="V37" s="1"/>
      <c r="W37" s="1"/>
      <c r="X37" s="1"/>
      <c r="Y37" s="1" t="s">
        <v>42</v>
      </c>
      <c r="Z37" s="1" t="s">
        <v>43</v>
      </c>
    </row>
    <row r="38" spans="1:26" ht="30" x14ac:dyDescent="0.25">
      <c r="A38" s="1">
        <v>2457106.8809600002</v>
      </c>
      <c r="B38" s="1" t="s">
        <v>28</v>
      </c>
      <c r="C38" s="1">
        <v>8.0679999999999996</v>
      </c>
      <c r="D38" s="1">
        <v>3.0000000000000001E-3</v>
      </c>
      <c r="E38" s="1" t="s">
        <v>34</v>
      </c>
      <c r="F38" s="1" t="s">
        <v>71</v>
      </c>
      <c r="G38" s="1" t="s">
        <v>36</v>
      </c>
      <c r="H38" s="1" t="s">
        <v>37</v>
      </c>
      <c r="I38" s="1" t="s">
        <v>72</v>
      </c>
      <c r="J38" s="1">
        <v>150509</v>
      </c>
      <c r="K38" s="1"/>
      <c r="L38" s="1"/>
      <c r="M38" s="1" t="s">
        <v>40</v>
      </c>
      <c r="N38" s="1">
        <v>1.1559999999999999</v>
      </c>
      <c r="O38" s="1"/>
      <c r="P38" s="1">
        <v>8.8079999999999998</v>
      </c>
      <c r="Q38" s="1"/>
      <c r="R38" s="1"/>
      <c r="S38" s="1" t="s">
        <v>41</v>
      </c>
      <c r="T38" s="1">
        <v>0</v>
      </c>
      <c r="U38" s="1"/>
      <c r="V38" s="1"/>
      <c r="W38" s="1"/>
      <c r="X38" s="1"/>
      <c r="Y38" s="1" t="s">
        <v>42</v>
      </c>
      <c r="Z38" s="1" t="s">
        <v>43</v>
      </c>
    </row>
    <row r="39" spans="1:26" ht="30" x14ac:dyDescent="0.25">
      <c r="A39" s="1">
        <v>2457106.9198799999</v>
      </c>
      <c r="B39" s="1" t="s">
        <v>28</v>
      </c>
      <c r="C39" s="1">
        <v>7.9459999999999997</v>
      </c>
      <c r="D39" s="1">
        <v>0.02</v>
      </c>
      <c r="E39" s="1" t="s">
        <v>34</v>
      </c>
      <c r="F39" s="1" t="s">
        <v>22</v>
      </c>
      <c r="G39" s="1" t="s">
        <v>36</v>
      </c>
      <c r="H39" s="1">
        <v>65</v>
      </c>
      <c r="I39" s="1">
        <v>94</v>
      </c>
      <c r="J39" s="1" t="s">
        <v>68</v>
      </c>
      <c r="K39" s="1"/>
      <c r="L39" s="1"/>
      <c r="M39" s="1" t="s">
        <v>40</v>
      </c>
      <c r="N39" s="1"/>
      <c r="O39" s="1">
        <v>6.4219999999999997</v>
      </c>
      <c r="P39" s="1">
        <v>9.5630000000000006</v>
      </c>
      <c r="Q39" s="1"/>
      <c r="R39" s="1"/>
      <c r="S39" s="1" t="s">
        <v>41</v>
      </c>
      <c r="T39" s="1">
        <v>1</v>
      </c>
      <c r="U39" s="1"/>
      <c r="V39" s="1"/>
      <c r="W39" s="1"/>
      <c r="X39" s="1"/>
      <c r="Y39" s="1" t="s">
        <v>42</v>
      </c>
      <c r="Z39" s="1" t="s">
        <v>43</v>
      </c>
    </row>
    <row r="40" spans="1:26" ht="30" x14ac:dyDescent="0.25">
      <c r="A40" s="1">
        <v>2457106.93658</v>
      </c>
      <c r="B40" s="1" t="s">
        <v>28</v>
      </c>
      <c r="C40" s="1">
        <v>7.9850000000000003</v>
      </c>
      <c r="D40" s="1">
        <v>0.02</v>
      </c>
      <c r="E40" s="1" t="s">
        <v>34</v>
      </c>
      <c r="F40" s="1" t="s">
        <v>22</v>
      </c>
      <c r="G40" s="1" t="s">
        <v>36</v>
      </c>
      <c r="H40" s="1">
        <v>65</v>
      </c>
      <c r="I40" s="1">
        <v>94</v>
      </c>
      <c r="J40" s="1" t="s">
        <v>68</v>
      </c>
      <c r="K40" s="1"/>
      <c r="L40" s="1"/>
      <c r="M40" s="1" t="s">
        <v>40</v>
      </c>
      <c r="N40" s="1"/>
      <c r="O40" s="1">
        <v>6.4219999999999997</v>
      </c>
      <c r="P40" s="1">
        <v>9.5210000000000008</v>
      </c>
      <c r="Q40" s="1"/>
      <c r="R40" s="1"/>
      <c r="S40" s="1" t="s">
        <v>41</v>
      </c>
      <c r="T40" s="1">
        <v>1</v>
      </c>
      <c r="U40" s="1"/>
      <c r="V40" s="1"/>
      <c r="W40" s="1"/>
      <c r="X40" s="1"/>
      <c r="Y40" s="1" t="s">
        <v>42</v>
      </c>
      <c r="Z40" s="1" t="s">
        <v>43</v>
      </c>
    </row>
    <row r="41" spans="1:26" ht="30" x14ac:dyDescent="0.25">
      <c r="A41" s="1">
        <v>2457106.9523399998</v>
      </c>
      <c r="B41" s="1" t="s">
        <v>28</v>
      </c>
      <c r="C41" s="1">
        <v>8.2140000000000004</v>
      </c>
      <c r="D41" s="1">
        <v>0.02</v>
      </c>
      <c r="E41" s="1" t="s">
        <v>34</v>
      </c>
      <c r="F41" s="1" t="s">
        <v>22</v>
      </c>
      <c r="G41" s="1" t="s">
        <v>36</v>
      </c>
      <c r="H41" s="1">
        <v>65</v>
      </c>
      <c r="I41" s="1">
        <v>94</v>
      </c>
      <c r="J41" s="1" t="s">
        <v>68</v>
      </c>
      <c r="K41" s="1"/>
      <c r="L41" s="1"/>
      <c r="M41" s="1" t="s">
        <v>40</v>
      </c>
      <c r="N41" s="1"/>
      <c r="O41" s="1">
        <v>6.4219999999999997</v>
      </c>
      <c r="P41" s="1">
        <v>9.5960000000000001</v>
      </c>
      <c r="Q41" s="1"/>
      <c r="R41" s="1"/>
      <c r="S41" s="1" t="s">
        <v>41</v>
      </c>
      <c r="T41" s="1">
        <v>1</v>
      </c>
      <c r="U41" s="1"/>
      <c r="V41" s="1"/>
      <c r="W41" s="1"/>
      <c r="X41" s="1"/>
      <c r="Y41" s="1" t="s">
        <v>42</v>
      </c>
      <c r="Z41" s="1" t="s">
        <v>43</v>
      </c>
    </row>
    <row r="42" spans="1:26" ht="30" x14ac:dyDescent="0.25">
      <c r="A42" s="1">
        <v>2457107.9241499999</v>
      </c>
      <c r="B42" s="1" t="s">
        <v>29</v>
      </c>
      <c r="C42" s="1">
        <v>8.0939999999999994</v>
      </c>
      <c r="D42" s="1">
        <v>0.02</v>
      </c>
      <c r="E42" s="1" t="s">
        <v>34</v>
      </c>
      <c r="F42" s="1" t="s">
        <v>22</v>
      </c>
      <c r="G42" s="1" t="s">
        <v>36</v>
      </c>
      <c r="H42" s="1">
        <v>65</v>
      </c>
      <c r="I42" s="1">
        <v>94</v>
      </c>
      <c r="J42" s="1" t="s">
        <v>68</v>
      </c>
      <c r="K42" s="1"/>
      <c r="L42" s="1"/>
      <c r="M42" s="1" t="s">
        <v>40</v>
      </c>
      <c r="N42" s="1"/>
      <c r="O42" s="1">
        <v>6.4219999999999997</v>
      </c>
      <c r="P42" s="1">
        <v>9.5069999999999997</v>
      </c>
      <c r="Q42" s="1"/>
      <c r="R42" s="1"/>
      <c r="S42" s="1" t="s">
        <v>41</v>
      </c>
      <c r="T42" s="1">
        <v>1</v>
      </c>
      <c r="U42" s="1"/>
      <c r="V42" s="1"/>
      <c r="W42" s="1"/>
      <c r="X42" s="1"/>
      <c r="Y42" s="1" t="s">
        <v>42</v>
      </c>
      <c r="Z42" s="1" t="s">
        <v>43</v>
      </c>
    </row>
    <row r="43" spans="1:26" ht="30" x14ac:dyDescent="0.25">
      <c r="A43" s="1">
        <v>2457107.93988</v>
      </c>
      <c r="B43" s="1" t="s">
        <v>29</v>
      </c>
      <c r="C43" s="1">
        <v>8.3179999999999996</v>
      </c>
      <c r="D43" s="1">
        <v>0.02</v>
      </c>
      <c r="E43" s="1" t="s">
        <v>34</v>
      </c>
      <c r="F43" s="1" t="s">
        <v>22</v>
      </c>
      <c r="G43" s="1" t="s">
        <v>36</v>
      </c>
      <c r="H43" s="1">
        <v>65</v>
      </c>
      <c r="I43" s="1">
        <v>94</v>
      </c>
      <c r="J43" s="1" t="s">
        <v>68</v>
      </c>
      <c r="K43" s="1"/>
      <c r="L43" s="1"/>
      <c r="M43" s="1" t="s">
        <v>40</v>
      </c>
      <c r="N43" s="1"/>
      <c r="O43" s="1">
        <v>6.4219999999999997</v>
      </c>
      <c r="P43" s="1">
        <v>9.5489999999999995</v>
      </c>
      <c r="Q43" s="1"/>
      <c r="R43" s="1"/>
      <c r="S43" s="1" t="s">
        <v>41</v>
      </c>
      <c r="T43" s="1">
        <v>1</v>
      </c>
      <c r="U43" s="1"/>
      <c r="V43" s="1"/>
      <c r="W43" s="1"/>
      <c r="X43" s="1"/>
      <c r="Y43" s="1" t="s">
        <v>42</v>
      </c>
      <c r="Z43" s="1" t="s">
        <v>43</v>
      </c>
    </row>
    <row r="44" spans="1:26" ht="30" x14ac:dyDescent="0.25">
      <c r="A44" s="1">
        <v>2457107.9555799998</v>
      </c>
      <c r="B44" s="1" t="s">
        <v>29</v>
      </c>
      <c r="C44" s="1">
        <v>8.1720000000000006</v>
      </c>
      <c r="D44" s="1">
        <v>0.02</v>
      </c>
      <c r="E44" s="1" t="s">
        <v>34</v>
      </c>
      <c r="F44" s="1" t="s">
        <v>22</v>
      </c>
      <c r="G44" s="1" t="s">
        <v>36</v>
      </c>
      <c r="H44" s="1">
        <v>65</v>
      </c>
      <c r="I44" s="1">
        <v>94</v>
      </c>
      <c r="J44" s="1" t="s">
        <v>68</v>
      </c>
      <c r="K44" s="1"/>
      <c r="L44" s="1"/>
      <c r="M44" s="1" t="s">
        <v>40</v>
      </c>
      <c r="N44" s="1"/>
      <c r="O44" s="1">
        <v>6.4219999999999997</v>
      </c>
      <c r="P44" s="1">
        <v>9.5359999999999996</v>
      </c>
      <c r="Q44" s="1"/>
      <c r="R44" s="1"/>
      <c r="S44" s="1" t="s">
        <v>41</v>
      </c>
      <c r="T44" s="1">
        <v>1</v>
      </c>
      <c r="U44" s="1"/>
      <c r="V44" s="1"/>
      <c r="W44" s="1"/>
      <c r="X44" s="1"/>
      <c r="Y44" s="1" t="s">
        <v>42</v>
      </c>
      <c r="Z44" s="1" t="s">
        <v>43</v>
      </c>
    </row>
    <row r="45" spans="1:26" ht="30" x14ac:dyDescent="0.25">
      <c r="A45" s="1">
        <v>2457107.9594200002</v>
      </c>
      <c r="B45" s="1" t="s">
        <v>29</v>
      </c>
      <c r="C45" s="1">
        <v>8.1660000000000004</v>
      </c>
      <c r="D45" s="1">
        <v>0.02</v>
      </c>
      <c r="E45" s="1" t="s">
        <v>34</v>
      </c>
      <c r="F45" s="1" t="s">
        <v>22</v>
      </c>
      <c r="G45" s="1" t="s">
        <v>36</v>
      </c>
      <c r="H45" s="1">
        <v>65</v>
      </c>
      <c r="I45" s="1">
        <v>94</v>
      </c>
      <c r="J45" s="1" t="s">
        <v>68</v>
      </c>
      <c r="K45" s="1"/>
      <c r="L45" s="1"/>
      <c r="M45" s="1" t="s">
        <v>40</v>
      </c>
      <c r="N45" s="1"/>
      <c r="O45" s="1">
        <v>6.4219999999999997</v>
      </c>
      <c r="P45" s="1">
        <v>9.5350000000000001</v>
      </c>
      <c r="Q45" s="1"/>
      <c r="R45" s="1"/>
      <c r="S45" s="1" t="s">
        <v>41</v>
      </c>
      <c r="T45" s="1">
        <v>1</v>
      </c>
      <c r="U45" s="1"/>
      <c r="V45" s="1"/>
      <c r="W45" s="1"/>
      <c r="X45" s="1"/>
      <c r="Y45" s="1" t="s">
        <v>42</v>
      </c>
      <c r="Z45" s="1" t="s">
        <v>43</v>
      </c>
    </row>
    <row r="46" spans="1:26" ht="30" x14ac:dyDescent="0.25">
      <c r="A46" s="1">
        <v>2457107.9701</v>
      </c>
      <c r="B46" s="1" t="s">
        <v>29</v>
      </c>
      <c r="C46" s="1">
        <v>8.2040000000000006</v>
      </c>
      <c r="D46" s="1">
        <v>0.02</v>
      </c>
      <c r="E46" s="1" t="s">
        <v>34</v>
      </c>
      <c r="F46" s="1" t="s">
        <v>22</v>
      </c>
      <c r="G46" s="1" t="s">
        <v>36</v>
      </c>
      <c r="H46" s="1">
        <v>65</v>
      </c>
      <c r="I46" s="1">
        <v>94</v>
      </c>
      <c r="J46" s="1" t="s">
        <v>68</v>
      </c>
      <c r="K46" s="1"/>
      <c r="L46" s="1"/>
      <c r="M46" s="1" t="s">
        <v>40</v>
      </c>
      <c r="N46" s="1"/>
      <c r="O46" s="1">
        <v>6.4219999999999997</v>
      </c>
      <c r="P46" s="1">
        <v>9.5749999999999993</v>
      </c>
      <c r="Q46" s="1"/>
      <c r="R46" s="1"/>
      <c r="S46" s="1" t="s">
        <v>41</v>
      </c>
      <c r="T46" s="1">
        <v>1</v>
      </c>
      <c r="U46" s="1"/>
      <c r="V46" s="1"/>
      <c r="W46" s="1"/>
      <c r="X46" s="1"/>
      <c r="Y46" s="1" t="s">
        <v>42</v>
      </c>
      <c r="Z46" s="1" t="s">
        <v>43</v>
      </c>
    </row>
    <row r="47" spans="1:26" ht="30" x14ac:dyDescent="0.25">
      <c r="A47" s="1">
        <v>2457107.98074</v>
      </c>
      <c r="B47" s="1" t="s">
        <v>29</v>
      </c>
      <c r="C47" s="1">
        <v>8.2159999999999993</v>
      </c>
      <c r="D47" s="1">
        <v>0.02</v>
      </c>
      <c r="E47" s="1" t="s">
        <v>34</v>
      </c>
      <c r="F47" s="1" t="s">
        <v>22</v>
      </c>
      <c r="G47" s="1" t="s">
        <v>36</v>
      </c>
      <c r="H47" s="1">
        <v>65</v>
      </c>
      <c r="I47" s="1">
        <v>94</v>
      </c>
      <c r="J47" s="1" t="s">
        <v>68</v>
      </c>
      <c r="K47" s="1"/>
      <c r="L47" s="1"/>
      <c r="M47" s="1" t="s">
        <v>40</v>
      </c>
      <c r="N47" s="1"/>
      <c r="O47" s="1">
        <v>6.4219999999999997</v>
      </c>
      <c r="P47" s="1">
        <v>9.5670000000000002</v>
      </c>
      <c r="Q47" s="1"/>
      <c r="R47" s="1"/>
      <c r="S47" s="1" t="s">
        <v>41</v>
      </c>
      <c r="T47" s="1">
        <v>1</v>
      </c>
      <c r="U47" s="1"/>
      <c r="V47" s="1"/>
      <c r="W47" s="1"/>
      <c r="X47" s="1"/>
      <c r="Y47" s="1" t="s">
        <v>42</v>
      </c>
      <c r="Z47" s="1" t="s">
        <v>43</v>
      </c>
    </row>
    <row r="48" spans="1:26" ht="30" x14ac:dyDescent="0.25">
      <c r="A48" s="1">
        <v>2457108.9170900001</v>
      </c>
      <c r="B48" s="1" t="s">
        <v>30</v>
      </c>
      <c r="C48" s="1">
        <v>7.7270000000000003</v>
      </c>
      <c r="D48" s="1">
        <v>0.02</v>
      </c>
      <c r="E48" s="1" t="s">
        <v>34</v>
      </c>
      <c r="F48" s="1" t="s">
        <v>22</v>
      </c>
      <c r="G48" s="1" t="s">
        <v>36</v>
      </c>
      <c r="H48" s="1">
        <v>65</v>
      </c>
      <c r="I48" s="1">
        <v>94</v>
      </c>
      <c r="J48" s="1" t="s">
        <v>68</v>
      </c>
      <c r="K48" s="1"/>
      <c r="L48" s="1"/>
      <c r="M48" s="1" t="s">
        <v>40</v>
      </c>
      <c r="N48" s="1"/>
      <c r="O48" s="1">
        <v>6.4219999999999997</v>
      </c>
      <c r="P48" s="1">
        <v>9.5510000000000002</v>
      </c>
      <c r="Q48" s="1"/>
      <c r="R48" s="1"/>
      <c r="S48" s="1" t="s">
        <v>41</v>
      </c>
      <c r="T48" s="1">
        <v>1</v>
      </c>
      <c r="U48" s="1"/>
      <c r="V48" s="1"/>
      <c r="W48" s="1"/>
      <c r="X48" s="1"/>
      <c r="Y48" s="1" t="s">
        <v>42</v>
      </c>
      <c r="Z48" s="1" t="s">
        <v>43</v>
      </c>
    </row>
    <row r="49" spans="1:26" ht="30" x14ac:dyDescent="0.25">
      <c r="A49" s="1">
        <v>2457108.9338600002</v>
      </c>
      <c r="B49" s="1" t="s">
        <v>30</v>
      </c>
      <c r="C49" s="1">
        <v>7.8970000000000002</v>
      </c>
      <c r="D49" s="1">
        <v>0.02</v>
      </c>
      <c r="E49" s="1" t="s">
        <v>34</v>
      </c>
      <c r="F49" s="1" t="s">
        <v>22</v>
      </c>
      <c r="G49" s="1" t="s">
        <v>36</v>
      </c>
      <c r="H49" s="1">
        <v>65</v>
      </c>
      <c r="I49" s="1">
        <v>94</v>
      </c>
      <c r="J49" s="1" t="s">
        <v>68</v>
      </c>
      <c r="K49" s="1"/>
      <c r="L49" s="1"/>
      <c r="M49" s="1" t="s">
        <v>40</v>
      </c>
      <c r="N49" s="1"/>
      <c r="O49" s="1">
        <v>6.4219999999999997</v>
      </c>
      <c r="P49" s="1">
        <v>9.56</v>
      </c>
      <c r="Q49" s="1"/>
      <c r="R49" s="1"/>
      <c r="S49" s="1" t="s">
        <v>41</v>
      </c>
      <c r="T49" s="1">
        <v>1</v>
      </c>
      <c r="U49" s="1"/>
      <c r="V49" s="1"/>
      <c r="W49" s="1"/>
      <c r="X49" s="1"/>
      <c r="Y49" s="1" t="s">
        <v>42</v>
      </c>
      <c r="Z49" s="1" t="s">
        <v>43</v>
      </c>
    </row>
    <row r="50" spans="1:26" ht="30" x14ac:dyDescent="0.25">
      <c r="A50" s="1">
        <v>2457108.9461400001</v>
      </c>
      <c r="B50" s="1" t="s">
        <v>30</v>
      </c>
      <c r="C50" s="1">
        <v>7.9660000000000002</v>
      </c>
      <c r="D50" s="1">
        <v>0.02</v>
      </c>
      <c r="E50" s="1" t="s">
        <v>34</v>
      </c>
      <c r="F50" s="1" t="s">
        <v>22</v>
      </c>
      <c r="G50" s="1" t="s">
        <v>36</v>
      </c>
      <c r="H50" s="1">
        <v>65</v>
      </c>
      <c r="I50" s="1">
        <v>94</v>
      </c>
      <c r="J50" s="1" t="s">
        <v>68</v>
      </c>
      <c r="K50" s="1"/>
      <c r="L50" s="1"/>
      <c r="M50" s="1" t="s">
        <v>40</v>
      </c>
      <c r="N50" s="1"/>
      <c r="O50" s="1">
        <v>6.4219999999999997</v>
      </c>
      <c r="P50" s="1">
        <v>9.5329999999999995</v>
      </c>
      <c r="Q50" s="1"/>
      <c r="R50" s="1"/>
      <c r="S50" s="1" t="s">
        <v>41</v>
      </c>
      <c r="T50" s="1">
        <v>1</v>
      </c>
      <c r="U50" s="1"/>
      <c r="V50" s="1"/>
      <c r="W50" s="1"/>
      <c r="X50" s="1"/>
      <c r="Y50" s="1" t="s">
        <v>42</v>
      </c>
      <c r="Z50" s="1" t="s">
        <v>43</v>
      </c>
    </row>
    <row r="51" spans="1:26" ht="30" x14ac:dyDescent="0.25">
      <c r="A51" s="1">
        <v>2457109.9259100002</v>
      </c>
      <c r="B51" s="1" t="s">
        <v>31</v>
      </c>
      <c r="C51" s="1">
        <v>7.6139999999999999</v>
      </c>
      <c r="D51" s="1">
        <v>0.02</v>
      </c>
      <c r="E51" s="1" t="s">
        <v>34</v>
      </c>
      <c r="F51" s="1" t="s">
        <v>22</v>
      </c>
      <c r="G51" s="1" t="s">
        <v>36</v>
      </c>
      <c r="H51" s="1">
        <v>65</v>
      </c>
      <c r="I51" s="1">
        <v>94</v>
      </c>
      <c r="J51" s="1" t="s">
        <v>68</v>
      </c>
      <c r="K51" s="1"/>
      <c r="L51" s="1"/>
      <c r="M51" s="1" t="s">
        <v>40</v>
      </c>
      <c r="N51" s="1"/>
      <c r="O51" s="1">
        <v>6.4219999999999997</v>
      </c>
      <c r="P51" s="1">
        <v>9.5030000000000001</v>
      </c>
      <c r="Q51" s="1"/>
      <c r="R51" s="1"/>
      <c r="S51" s="1" t="s">
        <v>41</v>
      </c>
      <c r="T51" s="1">
        <v>1</v>
      </c>
      <c r="U51" s="1"/>
      <c r="V51" s="1"/>
      <c r="W51" s="1"/>
      <c r="X51" s="1"/>
      <c r="Y51" s="1" t="s">
        <v>42</v>
      </c>
      <c r="Z51" s="1" t="s">
        <v>43</v>
      </c>
    </row>
    <row r="52" spans="1:26" ht="30" x14ac:dyDescent="0.25">
      <c r="A52" s="1">
        <v>2457109.9424200002</v>
      </c>
      <c r="B52" s="1" t="s">
        <v>31</v>
      </c>
      <c r="C52" s="1">
        <v>7.3819999999999997</v>
      </c>
      <c r="D52" s="1">
        <v>0.02</v>
      </c>
      <c r="E52" s="1" t="s">
        <v>34</v>
      </c>
      <c r="F52" s="1" t="s">
        <v>22</v>
      </c>
      <c r="G52" s="1" t="s">
        <v>36</v>
      </c>
      <c r="H52" s="1">
        <v>65</v>
      </c>
      <c r="I52" s="1">
        <v>94</v>
      </c>
      <c r="J52" s="1" t="s">
        <v>68</v>
      </c>
      <c r="K52" s="1"/>
      <c r="L52" s="1"/>
      <c r="M52" s="1" t="s">
        <v>40</v>
      </c>
      <c r="N52" s="1"/>
      <c r="O52" s="1">
        <v>6.4219999999999997</v>
      </c>
      <c r="P52" s="1">
        <v>9.5399999999999991</v>
      </c>
      <c r="Q52" s="1"/>
      <c r="R52" s="1"/>
      <c r="S52" s="1" t="s">
        <v>41</v>
      </c>
      <c r="T52" s="1">
        <v>1</v>
      </c>
      <c r="U52" s="1"/>
      <c r="V52" s="1"/>
      <c r="W52" s="1"/>
      <c r="X52" s="1"/>
      <c r="Y52" s="1" t="s">
        <v>42</v>
      </c>
      <c r="Z52" s="1" t="s">
        <v>43</v>
      </c>
    </row>
    <row r="53" spans="1:26" ht="30" x14ac:dyDescent="0.25">
      <c r="A53" s="1">
        <v>2457109.9532599999</v>
      </c>
      <c r="B53" s="1" t="s">
        <v>31</v>
      </c>
      <c r="C53" s="1">
        <v>7.3760000000000003</v>
      </c>
      <c r="D53" s="1">
        <v>0.02</v>
      </c>
      <c r="E53" s="1" t="s">
        <v>34</v>
      </c>
      <c r="F53" s="1" t="s">
        <v>22</v>
      </c>
      <c r="G53" s="1" t="s">
        <v>36</v>
      </c>
      <c r="H53" s="1">
        <v>65</v>
      </c>
      <c r="I53" s="1">
        <v>94</v>
      </c>
      <c r="J53" s="1" t="s">
        <v>68</v>
      </c>
      <c r="K53" s="1"/>
      <c r="L53" s="1"/>
      <c r="M53" s="1" t="s">
        <v>40</v>
      </c>
      <c r="N53" s="1"/>
      <c r="O53" s="1">
        <v>6.4219999999999997</v>
      </c>
      <c r="P53" s="1">
        <v>9.5559999999999992</v>
      </c>
      <c r="Q53" s="1"/>
      <c r="R53" s="1"/>
      <c r="S53" s="1" t="s">
        <v>41</v>
      </c>
      <c r="T53" s="1">
        <v>1</v>
      </c>
      <c r="U53" s="1"/>
      <c r="V53" s="1"/>
      <c r="W53" s="1"/>
      <c r="X53" s="1"/>
      <c r="Y53" s="1" t="s">
        <v>42</v>
      </c>
      <c r="Z53" s="1" t="s">
        <v>43</v>
      </c>
    </row>
    <row r="54" spans="1:26" ht="30" x14ac:dyDescent="0.25">
      <c r="A54" s="1">
        <v>2457109.96404</v>
      </c>
      <c r="B54" s="1" t="s">
        <v>31</v>
      </c>
      <c r="C54" s="1">
        <v>7.4640000000000004</v>
      </c>
      <c r="D54" s="1">
        <v>0.02</v>
      </c>
      <c r="E54" s="1" t="s">
        <v>34</v>
      </c>
      <c r="F54" s="1" t="s">
        <v>22</v>
      </c>
      <c r="G54" s="1" t="s">
        <v>36</v>
      </c>
      <c r="H54" s="1">
        <v>65</v>
      </c>
      <c r="I54" s="1">
        <v>94</v>
      </c>
      <c r="J54" s="1" t="s">
        <v>68</v>
      </c>
      <c r="K54" s="1"/>
      <c r="L54" s="1"/>
      <c r="M54" s="1" t="s">
        <v>40</v>
      </c>
      <c r="N54" s="1"/>
      <c r="O54" s="1">
        <v>6.4219999999999997</v>
      </c>
      <c r="P54" s="1">
        <v>9.5570000000000004</v>
      </c>
      <c r="Q54" s="1"/>
      <c r="R54" s="1"/>
      <c r="S54" s="1" t="s">
        <v>41</v>
      </c>
      <c r="T54" s="1">
        <v>1</v>
      </c>
      <c r="U54" s="1"/>
      <c r="V54" s="1"/>
      <c r="W54" s="1"/>
      <c r="X54" s="1"/>
      <c r="Y54" s="1" t="s">
        <v>42</v>
      </c>
      <c r="Z54" s="1" t="s">
        <v>43</v>
      </c>
    </row>
    <row r="55" spans="1:26" ht="30" x14ac:dyDescent="0.25">
      <c r="A55" s="1">
        <v>2457109.9748</v>
      </c>
      <c r="B55" s="1" t="s">
        <v>31</v>
      </c>
      <c r="C55" s="1">
        <v>7.5339999999999998</v>
      </c>
      <c r="D55" s="1">
        <v>0.02</v>
      </c>
      <c r="E55" s="1" t="s">
        <v>34</v>
      </c>
      <c r="F55" s="1" t="s">
        <v>22</v>
      </c>
      <c r="G55" s="1" t="s">
        <v>36</v>
      </c>
      <c r="H55" s="1">
        <v>65</v>
      </c>
      <c r="I55" s="1">
        <v>94</v>
      </c>
      <c r="J55" s="1" t="s">
        <v>68</v>
      </c>
      <c r="K55" s="1"/>
      <c r="L55" s="1"/>
      <c r="M55" s="1" t="s">
        <v>40</v>
      </c>
      <c r="N55" s="1"/>
      <c r="O55" s="1">
        <v>6.4219999999999997</v>
      </c>
      <c r="P55" s="1">
        <v>9.5459999999999994</v>
      </c>
      <c r="Q55" s="1"/>
      <c r="R55" s="1"/>
      <c r="S55" s="1" t="s">
        <v>41</v>
      </c>
      <c r="T55" s="1">
        <v>1</v>
      </c>
      <c r="U55" s="1"/>
      <c r="V55" s="1"/>
      <c r="W55" s="1"/>
      <c r="X55" s="1"/>
      <c r="Y55" s="1" t="s">
        <v>42</v>
      </c>
      <c r="Z55" s="1" t="s">
        <v>43</v>
      </c>
    </row>
    <row r="56" spans="1:26" ht="30" x14ac:dyDescent="0.25">
      <c r="A56" s="1">
        <v>2457109.98563</v>
      </c>
      <c r="B56" s="1" t="s">
        <v>31</v>
      </c>
      <c r="C56" s="1">
        <v>7.5019999999999998</v>
      </c>
      <c r="D56" s="1">
        <v>0.02</v>
      </c>
      <c r="E56" s="1" t="s">
        <v>34</v>
      </c>
      <c r="F56" s="1" t="s">
        <v>22</v>
      </c>
      <c r="G56" s="1" t="s">
        <v>36</v>
      </c>
      <c r="H56" s="1">
        <v>65</v>
      </c>
      <c r="I56" s="1">
        <v>94</v>
      </c>
      <c r="J56" s="1" t="s">
        <v>68</v>
      </c>
      <c r="K56" s="1"/>
      <c r="L56" s="1"/>
      <c r="M56" s="1" t="s">
        <v>40</v>
      </c>
      <c r="N56" s="1"/>
      <c r="O56" s="1">
        <v>6.4219999999999997</v>
      </c>
      <c r="P56" s="1">
        <v>9.5139999999999993</v>
      </c>
      <c r="Q56" s="1"/>
      <c r="R56" s="1"/>
      <c r="S56" s="1" t="s">
        <v>41</v>
      </c>
      <c r="T56" s="1">
        <v>1</v>
      </c>
      <c r="U56" s="1"/>
      <c r="V56" s="1"/>
      <c r="W56" s="1"/>
      <c r="X56" s="1"/>
      <c r="Y56" s="1" t="s">
        <v>42</v>
      </c>
      <c r="Z56" s="1" t="s">
        <v>43</v>
      </c>
    </row>
    <row r="57" spans="1:26" ht="30" x14ac:dyDescent="0.25">
      <c r="A57" s="1">
        <v>2457110.8675799998</v>
      </c>
      <c r="B57" s="1" t="s">
        <v>32</v>
      </c>
      <c r="C57" s="1">
        <v>7.8220000000000001</v>
      </c>
      <c r="D57" s="1">
        <v>3.0000000000000001E-3</v>
      </c>
      <c r="E57" s="1" t="s">
        <v>34</v>
      </c>
      <c r="F57" s="1" t="s">
        <v>71</v>
      </c>
      <c r="G57" s="1" t="s">
        <v>36</v>
      </c>
      <c r="H57" s="1" t="s">
        <v>37</v>
      </c>
      <c r="I57" s="1" t="s">
        <v>72</v>
      </c>
      <c r="J57" s="1">
        <v>150509</v>
      </c>
      <c r="K57" s="1"/>
      <c r="L57" s="1"/>
      <c r="M57" s="1" t="s">
        <v>40</v>
      </c>
      <c r="N57" s="1">
        <v>1.88</v>
      </c>
      <c r="O57" s="1"/>
      <c r="P57" s="1">
        <v>8.7940000000000005</v>
      </c>
      <c r="Q57" s="1"/>
      <c r="R57" s="1"/>
      <c r="S57" s="1" t="s">
        <v>41</v>
      </c>
      <c r="T57" s="1">
        <v>0</v>
      </c>
      <c r="U57" s="1"/>
      <c r="V57" s="1"/>
      <c r="W57" s="1"/>
      <c r="X57" s="1"/>
      <c r="Y57" s="1" t="s">
        <v>42</v>
      </c>
      <c r="Z57" s="1" t="s">
        <v>43</v>
      </c>
    </row>
    <row r="58" spans="1:26" ht="30" x14ac:dyDescent="0.25">
      <c r="A58" s="1">
        <v>2457110.87249</v>
      </c>
      <c r="B58" s="1" t="s">
        <v>32</v>
      </c>
      <c r="C58" s="1">
        <v>7.8090000000000002</v>
      </c>
      <c r="D58" s="1">
        <v>3.0000000000000001E-3</v>
      </c>
      <c r="E58" s="1" t="s">
        <v>34</v>
      </c>
      <c r="F58" s="1" t="s">
        <v>71</v>
      </c>
      <c r="G58" s="1" t="s">
        <v>36</v>
      </c>
      <c r="H58" s="1" t="s">
        <v>37</v>
      </c>
      <c r="I58" s="1" t="s">
        <v>72</v>
      </c>
      <c r="J58" s="1">
        <v>150509</v>
      </c>
      <c r="K58" s="1"/>
      <c r="L58" s="1"/>
      <c r="M58" s="1" t="s">
        <v>40</v>
      </c>
      <c r="N58" s="1">
        <v>1.8240000000000001</v>
      </c>
      <c r="O58" s="1"/>
      <c r="P58" s="1">
        <v>8.8230000000000004</v>
      </c>
      <c r="Q58" s="1"/>
      <c r="R58" s="1"/>
      <c r="S58" s="1" t="s">
        <v>41</v>
      </c>
      <c r="T58" s="1">
        <v>0</v>
      </c>
      <c r="U58" s="1"/>
      <c r="V58" s="1"/>
      <c r="W58" s="1"/>
      <c r="X58" s="1"/>
      <c r="Y58" s="1" t="s">
        <v>42</v>
      </c>
      <c r="Z58" s="1" t="s">
        <v>43</v>
      </c>
    </row>
    <row r="59" spans="1:26" ht="30" x14ac:dyDescent="0.25">
      <c r="A59" s="1">
        <v>2457110.87738</v>
      </c>
      <c r="B59" s="1" t="s">
        <v>32</v>
      </c>
      <c r="C59" s="1">
        <v>7.8860000000000001</v>
      </c>
      <c r="D59" s="1">
        <v>3.0000000000000001E-3</v>
      </c>
      <c r="E59" s="1" t="s">
        <v>34</v>
      </c>
      <c r="F59" s="1" t="s">
        <v>71</v>
      </c>
      <c r="G59" s="1" t="s">
        <v>36</v>
      </c>
      <c r="H59" s="1" t="s">
        <v>37</v>
      </c>
      <c r="I59" s="1" t="s">
        <v>72</v>
      </c>
      <c r="J59" s="1">
        <v>150509</v>
      </c>
      <c r="K59" s="1"/>
      <c r="L59" s="1"/>
      <c r="M59" s="1" t="s">
        <v>40</v>
      </c>
      <c r="N59" s="1">
        <v>1.774</v>
      </c>
      <c r="O59" s="1"/>
      <c r="P59" s="1">
        <v>8.81</v>
      </c>
      <c r="Q59" s="1"/>
      <c r="R59" s="1"/>
      <c r="S59" s="1" t="s">
        <v>41</v>
      </c>
      <c r="T59" s="1">
        <v>0</v>
      </c>
      <c r="U59" s="1"/>
      <c r="V59" s="1"/>
      <c r="W59" s="1"/>
      <c r="X59" s="1"/>
      <c r="Y59" s="1" t="s">
        <v>42</v>
      </c>
      <c r="Z59" s="1" t="s">
        <v>43</v>
      </c>
    </row>
    <row r="60" spans="1:26" ht="30" x14ac:dyDescent="0.25">
      <c r="A60" s="1">
        <v>2457110.8822300001</v>
      </c>
      <c r="B60" s="1" t="s">
        <v>32</v>
      </c>
      <c r="C60" s="1">
        <v>7.9009999999999998</v>
      </c>
      <c r="D60" s="1">
        <v>3.0000000000000001E-3</v>
      </c>
      <c r="E60" s="1" t="s">
        <v>34</v>
      </c>
      <c r="F60" s="1" t="s">
        <v>71</v>
      </c>
      <c r="G60" s="1" t="s">
        <v>36</v>
      </c>
      <c r="H60" s="1" t="s">
        <v>37</v>
      </c>
      <c r="I60" s="1" t="s">
        <v>72</v>
      </c>
      <c r="J60" s="1">
        <v>150509</v>
      </c>
      <c r="K60" s="1"/>
      <c r="L60" s="1"/>
      <c r="M60" s="1" t="s">
        <v>40</v>
      </c>
      <c r="N60" s="1">
        <v>1.726</v>
      </c>
      <c r="O60" s="1"/>
      <c r="P60" s="1">
        <v>8.8190000000000008</v>
      </c>
      <c r="Q60" s="1"/>
      <c r="R60" s="1"/>
      <c r="S60" s="1" t="s">
        <v>41</v>
      </c>
      <c r="T60" s="1">
        <v>0</v>
      </c>
      <c r="U60" s="1"/>
      <c r="V60" s="1"/>
      <c r="W60" s="1"/>
      <c r="X60" s="1"/>
      <c r="Y60" s="1" t="s">
        <v>42</v>
      </c>
      <c r="Z60" s="1" t="s">
        <v>43</v>
      </c>
    </row>
    <row r="61" spans="1:26" ht="30" x14ac:dyDescent="0.25">
      <c r="A61" s="1">
        <v>2457110.8870899999</v>
      </c>
      <c r="B61" s="1" t="s">
        <v>32</v>
      </c>
      <c r="C61" s="1">
        <v>7.8680000000000003</v>
      </c>
      <c r="D61" s="1">
        <v>3.0000000000000001E-3</v>
      </c>
      <c r="E61" s="1" t="s">
        <v>34</v>
      </c>
      <c r="F61" s="1" t="s">
        <v>71</v>
      </c>
      <c r="G61" s="1" t="s">
        <v>36</v>
      </c>
      <c r="H61" s="1" t="s">
        <v>37</v>
      </c>
      <c r="I61" s="1" t="s">
        <v>72</v>
      </c>
      <c r="J61" s="1">
        <v>150509</v>
      </c>
      <c r="K61" s="1"/>
      <c r="L61" s="1"/>
      <c r="M61" s="1" t="s">
        <v>40</v>
      </c>
      <c r="N61" s="1">
        <v>1.681</v>
      </c>
      <c r="O61" s="1"/>
      <c r="P61" s="1">
        <v>8.8330000000000002</v>
      </c>
      <c r="Q61" s="1"/>
      <c r="R61" s="1"/>
      <c r="S61" s="1" t="s">
        <v>41</v>
      </c>
      <c r="T61" s="1">
        <v>0</v>
      </c>
      <c r="U61" s="1"/>
      <c r="V61" s="1"/>
      <c r="W61" s="1"/>
      <c r="X61" s="1"/>
      <c r="Y61" s="1" t="s">
        <v>42</v>
      </c>
      <c r="Z61" s="1" t="s">
        <v>43</v>
      </c>
    </row>
    <row r="62" spans="1:26" ht="30" x14ac:dyDescent="0.25">
      <c r="A62" s="1">
        <v>2457110.9142999998</v>
      </c>
      <c r="B62" s="1" t="s">
        <v>32</v>
      </c>
      <c r="C62" s="1">
        <v>7.718</v>
      </c>
      <c r="D62" s="1">
        <v>0.02</v>
      </c>
      <c r="E62" s="1" t="s">
        <v>34</v>
      </c>
      <c r="F62" s="1" t="s">
        <v>22</v>
      </c>
      <c r="G62" s="1" t="s">
        <v>36</v>
      </c>
      <c r="H62" s="1">
        <v>65</v>
      </c>
      <c r="I62" s="1">
        <v>94</v>
      </c>
      <c r="J62" s="1" t="s">
        <v>68</v>
      </c>
      <c r="K62" s="1"/>
      <c r="L62" s="1"/>
      <c r="M62" s="1" t="s">
        <v>40</v>
      </c>
      <c r="N62" s="1"/>
      <c r="O62" s="1">
        <v>6.4219999999999997</v>
      </c>
      <c r="P62" s="1">
        <v>9.7260000000000009</v>
      </c>
      <c r="Q62" s="1"/>
      <c r="R62" s="1"/>
      <c r="S62" s="1" t="s">
        <v>41</v>
      </c>
      <c r="T62" s="1">
        <v>1</v>
      </c>
      <c r="U62" s="1"/>
      <c r="V62" s="1"/>
      <c r="W62" s="1"/>
      <c r="X62" s="1"/>
      <c r="Y62" s="1" t="s">
        <v>42</v>
      </c>
      <c r="Z62" s="1" t="s">
        <v>43</v>
      </c>
    </row>
    <row r="63" spans="1:26" ht="30" x14ac:dyDescent="0.25">
      <c r="A63" s="1">
        <v>2457110.9305099999</v>
      </c>
      <c r="B63" s="1" t="s">
        <v>32</v>
      </c>
      <c r="C63" s="1">
        <v>7.8090000000000002</v>
      </c>
      <c r="D63" s="1">
        <v>0.02</v>
      </c>
      <c r="E63" s="1" t="s">
        <v>34</v>
      </c>
      <c r="F63" s="1" t="s">
        <v>22</v>
      </c>
      <c r="G63" s="1" t="s">
        <v>36</v>
      </c>
      <c r="H63" s="1">
        <v>65</v>
      </c>
      <c r="I63" s="1">
        <v>94</v>
      </c>
      <c r="J63" s="1" t="s">
        <v>68</v>
      </c>
      <c r="K63" s="1"/>
      <c r="L63" s="1"/>
      <c r="M63" s="1" t="s">
        <v>40</v>
      </c>
      <c r="N63" s="1"/>
      <c r="O63" s="1">
        <v>6.4219999999999997</v>
      </c>
      <c r="P63" s="1">
        <v>9.7840000000000007</v>
      </c>
      <c r="Q63" s="1"/>
      <c r="R63" s="1"/>
      <c r="S63" s="1" t="s">
        <v>41</v>
      </c>
      <c r="T63" s="1">
        <v>1</v>
      </c>
      <c r="U63" s="1"/>
      <c r="V63" s="1"/>
      <c r="W63" s="1"/>
      <c r="X63" s="1"/>
      <c r="Y63" s="1" t="s">
        <v>42</v>
      </c>
      <c r="Z63" s="1" t="s">
        <v>43</v>
      </c>
    </row>
    <row r="64" spans="1:26" ht="30" x14ac:dyDescent="0.25">
      <c r="A64" s="1">
        <v>2457110.9468499999</v>
      </c>
      <c r="B64" s="1" t="s">
        <v>32</v>
      </c>
      <c r="C64" s="1">
        <v>7.4169999999999998</v>
      </c>
      <c r="D64" s="1">
        <v>0.02</v>
      </c>
      <c r="E64" s="1" t="s">
        <v>34</v>
      </c>
      <c r="F64" s="1" t="s">
        <v>22</v>
      </c>
      <c r="G64" s="1" t="s">
        <v>36</v>
      </c>
      <c r="H64" s="1">
        <v>65</v>
      </c>
      <c r="I64" s="1">
        <v>94</v>
      </c>
      <c r="J64" s="1" t="s">
        <v>68</v>
      </c>
      <c r="K64" s="1"/>
      <c r="L64" s="1"/>
      <c r="M64" s="1" t="s">
        <v>40</v>
      </c>
      <c r="N64" s="1"/>
      <c r="O64" s="1">
        <v>6.4219999999999997</v>
      </c>
      <c r="P64" s="1">
        <v>9.7729999999999997</v>
      </c>
      <c r="Q64" s="1"/>
      <c r="R64" s="1"/>
      <c r="S64" s="1" t="s">
        <v>41</v>
      </c>
      <c r="T64" s="1">
        <v>1</v>
      </c>
      <c r="U64" s="1"/>
      <c r="V64" s="1"/>
      <c r="W64" s="1"/>
      <c r="X64" s="1"/>
      <c r="Y64" s="1" t="s">
        <v>42</v>
      </c>
      <c r="Z64" s="1" t="s">
        <v>43</v>
      </c>
    </row>
    <row r="65" spans="1:26" ht="30" x14ac:dyDescent="0.25">
      <c r="A65" s="1">
        <v>2457110.9616899998</v>
      </c>
      <c r="B65" s="1" t="s">
        <v>32</v>
      </c>
      <c r="C65" s="1">
        <v>7.5030000000000001</v>
      </c>
      <c r="D65" s="1">
        <v>0.02</v>
      </c>
      <c r="E65" s="1" t="s">
        <v>34</v>
      </c>
      <c r="F65" s="1" t="s">
        <v>22</v>
      </c>
      <c r="G65" s="1" t="s">
        <v>36</v>
      </c>
      <c r="H65" s="1">
        <v>65</v>
      </c>
      <c r="I65" s="1">
        <v>94</v>
      </c>
      <c r="J65" s="1" t="s">
        <v>68</v>
      </c>
      <c r="K65" s="1"/>
      <c r="L65" s="1"/>
      <c r="M65" s="1" t="s">
        <v>40</v>
      </c>
      <c r="N65" s="1"/>
      <c r="O65" s="1">
        <v>6.4219999999999997</v>
      </c>
      <c r="P65" s="1">
        <v>9.83</v>
      </c>
      <c r="Q65" s="1"/>
      <c r="R65" s="1"/>
      <c r="S65" s="1" t="s">
        <v>41</v>
      </c>
      <c r="T65" s="1">
        <v>1</v>
      </c>
      <c r="U65" s="1"/>
      <c r="V65" s="1"/>
      <c r="W65" s="1"/>
      <c r="X65" s="1"/>
      <c r="Y65" s="1" t="s">
        <v>42</v>
      </c>
      <c r="Z65" s="1" t="s">
        <v>43</v>
      </c>
    </row>
    <row r="66" spans="1:26" ht="30" x14ac:dyDescent="0.25">
      <c r="A66" s="1">
        <v>2457110.9724300001</v>
      </c>
      <c r="B66" s="1" t="s">
        <v>32</v>
      </c>
      <c r="C66" s="1">
        <v>7.601</v>
      </c>
      <c r="D66" s="1">
        <v>0.02</v>
      </c>
      <c r="E66" s="1" t="s">
        <v>34</v>
      </c>
      <c r="F66" s="1" t="s">
        <v>22</v>
      </c>
      <c r="G66" s="1" t="s">
        <v>36</v>
      </c>
      <c r="H66" s="1">
        <v>65</v>
      </c>
      <c r="I66" s="1">
        <v>94</v>
      </c>
      <c r="J66" s="1" t="s">
        <v>68</v>
      </c>
      <c r="K66" s="1"/>
      <c r="L66" s="1"/>
      <c r="M66" s="1" t="s">
        <v>40</v>
      </c>
      <c r="N66" s="1"/>
      <c r="O66" s="1">
        <v>6.4219999999999997</v>
      </c>
      <c r="P66" s="1">
        <v>9.7889999999999997</v>
      </c>
      <c r="Q66" s="1"/>
      <c r="R66" s="1"/>
      <c r="S66" s="1" t="s">
        <v>41</v>
      </c>
      <c r="T66" s="1">
        <v>1</v>
      </c>
      <c r="U66" s="1"/>
      <c r="V66" s="1"/>
      <c r="W66" s="1"/>
      <c r="X66" s="1"/>
      <c r="Y66" s="1" t="s">
        <v>42</v>
      </c>
      <c r="Z66" s="1" t="s">
        <v>43</v>
      </c>
    </row>
    <row r="67" spans="1:26" ht="30" x14ac:dyDescent="0.25">
      <c r="A67" s="1">
        <v>2457110.98318</v>
      </c>
      <c r="B67" s="1" t="s">
        <v>32</v>
      </c>
      <c r="C67" s="1">
        <v>7.3360000000000003</v>
      </c>
      <c r="D67" s="1">
        <v>0.02</v>
      </c>
      <c r="E67" s="1" t="s">
        <v>34</v>
      </c>
      <c r="F67" s="1" t="s">
        <v>22</v>
      </c>
      <c r="G67" s="1" t="s">
        <v>36</v>
      </c>
      <c r="H67" s="1">
        <v>65</v>
      </c>
      <c r="I67" s="1">
        <v>94</v>
      </c>
      <c r="J67" s="1" t="s">
        <v>68</v>
      </c>
      <c r="K67" s="1"/>
      <c r="L67" s="1"/>
      <c r="M67" s="1" t="s">
        <v>40</v>
      </c>
      <c r="N67" s="1"/>
      <c r="O67" s="1">
        <v>6.4219999999999997</v>
      </c>
      <c r="P67" s="1">
        <v>9.7579999999999991</v>
      </c>
      <c r="Q67" s="1"/>
      <c r="R67" s="1"/>
      <c r="S67" s="1" t="s">
        <v>41</v>
      </c>
      <c r="T67" s="1">
        <v>1</v>
      </c>
      <c r="U67" s="1"/>
      <c r="V67" s="1"/>
      <c r="W67" s="1"/>
      <c r="X67" s="1"/>
      <c r="Y67" s="1" t="s">
        <v>42</v>
      </c>
      <c r="Z67" s="1" t="s">
        <v>43</v>
      </c>
    </row>
    <row r="68" spans="1:26" ht="30" x14ac:dyDescent="0.25">
      <c r="A68" s="1">
        <v>2457113.9024100001</v>
      </c>
      <c r="B68" s="1" t="s">
        <v>0</v>
      </c>
      <c r="C68" s="1">
        <v>7.8719999999999999</v>
      </c>
      <c r="D68" s="1">
        <v>0.02</v>
      </c>
      <c r="E68" s="1" t="s">
        <v>34</v>
      </c>
      <c r="F68" s="1" t="s">
        <v>22</v>
      </c>
      <c r="G68" s="1" t="s">
        <v>36</v>
      </c>
      <c r="H68" s="1">
        <v>65</v>
      </c>
      <c r="I68" s="1">
        <v>94</v>
      </c>
      <c r="J68" s="1" t="s">
        <v>68</v>
      </c>
      <c r="K68" s="1"/>
      <c r="L68" s="1"/>
      <c r="M68" s="1" t="s">
        <v>40</v>
      </c>
      <c r="N68" s="1"/>
      <c r="O68" s="1">
        <v>6.4219999999999997</v>
      </c>
      <c r="P68" s="1">
        <v>9.5809999999999995</v>
      </c>
      <c r="Q68" s="1"/>
      <c r="R68" s="1"/>
      <c r="S68" s="1" t="s">
        <v>41</v>
      </c>
      <c r="T68" s="1">
        <v>1</v>
      </c>
      <c r="U68" s="1"/>
      <c r="V68" s="1"/>
      <c r="W68" s="1"/>
      <c r="X68" s="1"/>
      <c r="Y68" s="1" t="s">
        <v>42</v>
      </c>
      <c r="Z68" s="1" t="s">
        <v>43</v>
      </c>
    </row>
    <row r="69" spans="1:26" ht="30" x14ac:dyDescent="0.25">
      <c r="A69" s="1">
        <v>2457113.9191100001</v>
      </c>
      <c r="B69" s="1" t="s">
        <v>0</v>
      </c>
      <c r="C69" s="1">
        <v>7.8620000000000001</v>
      </c>
      <c r="D69" s="1">
        <v>0.02</v>
      </c>
      <c r="E69" s="1" t="s">
        <v>34</v>
      </c>
      <c r="F69" s="1" t="s">
        <v>22</v>
      </c>
      <c r="G69" s="1" t="s">
        <v>36</v>
      </c>
      <c r="H69" s="1">
        <v>65</v>
      </c>
      <c r="I69" s="1">
        <v>94</v>
      </c>
      <c r="J69" s="1" t="s">
        <v>68</v>
      </c>
      <c r="K69" s="1"/>
      <c r="L69" s="1"/>
      <c r="M69" s="1" t="s">
        <v>40</v>
      </c>
      <c r="N69" s="1"/>
      <c r="O69" s="1">
        <v>6.4219999999999997</v>
      </c>
      <c r="P69" s="1">
        <v>9.5670000000000002</v>
      </c>
      <c r="Q69" s="1"/>
      <c r="R69" s="1"/>
      <c r="S69" s="1" t="s">
        <v>41</v>
      </c>
      <c r="T69" s="1">
        <v>1</v>
      </c>
      <c r="U69" s="1"/>
      <c r="V69" s="1"/>
      <c r="W69" s="1"/>
      <c r="X69" s="1"/>
      <c r="Y69" s="1" t="s">
        <v>42</v>
      </c>
      <c r="Z69" s="1" t="s">
        <v>43</v>
      </c>
    </row>
    <row r="70" spans="1:26" ht="30" x14ac:dyDescent="0.25">
      <c r="A70" s="1">
        <v>2457113.9350200002</v>
      </c>
      <c r="B70" s="1" t="s">
        <v>0</v>
      </c>
      <c r="C70" s="1">
        <v>7.9340000000000002</v>
      </c>
      <c r="D70" s="1">
        <v>0.02</v>
      </c>
      <c r="E70" s="1" t="s">
        <v>34</v>
      </c>
      <c r="F70" s="1" t="s">
        <v>22</v>
      </c>
      <c r="G70" s="1" t="s">
        <v>36</v>
      </c>
      <c r="H70" s="1">
        <v>65</v>
      </c>
      <c r="I70" s="1">
        <v>94</v>
      </c>
      <c r="J70" s="1" t="s">
        <v>68</v>
      </c>
      <c r="K70" s="1"/>
      <c r="L70" s="1"/>
      <c r="M70" s="1" t="s">
        <v>40</v>
      </c>
      <c r="N70" s="1"/>
      <c r="O70" s="1">
        <v>6.4219999999999997</v>
      </c>
      <c r="P70" s="1">
        <v>9.5069999999999997</v>
      </c>
      <c r="Q70" s="1"/>
      <c r="R70" s="1"/>
      <c r="S70" s="1" t="s">
        <v>41</v>
      </c>
      <c r="T70" s="1">
        <v>1</v>
      </c>
      <c r="U70" s="1"/>
      <c r="V70" s="1"/>
      <c r="W70" s="1"/>
      <c r="X70" s="1"/>
      <c r="Y70" s="1" t="s">
        <v>42</v>
      </c>
      <c r="Z70" s="1" t="s">
        <v>43</v>
      </c>
    </row>
    <row r="71" spans="1:26" ht="30" x14ac:dyDescent="0.25">
      <c r="A71" s="1">
        <v>2457113.9748399998</v>
      </c>
      <c r="B71" s="1" t="s">
        <v>0</v>
      </c>
      <c r="C71" s="1">
        <v>7.907</v>
      </c>
      <c r="D71" s="1">
        <v>0.02</v>
      </c>
      <c r="E71" s="1" t="s">
        <v>34</v>
      </c>
      <c r="F71" s="1" t="s">
        <v>22</v>
      </c>
      <c r="G71" s="1" t="s">
        <v>36</v>
      </c>
      <c r="H71" s="1">
        <v>65</v>
      </c>
      <c r="I71" s="1">
        <v>94</v>
      </c>
      <c r="J71" s="1" t="s">
        <v>68</v>
      </c>
      <c r="K71" s="1"/>
      <c r="L71" s="1"/>
      <c r="M71" s="1" t="s">
        <v>40</v>
      </c>
      <c r="N71" s="1"/>
      <c r="O71" s="1">
        <v>6.4219999999999997</v>
      </c>
      <c r="P71" s="1">
        <v>9.548</v>
      </c>
      <c r="Q71" s="1"/>
      <c r="R71" s="1"/>
      <c r="S71" s="1" t="s">
        <v>41</v>
      </c>
      <c r="T71" s="1">
        <v>1</v>
      </c>
      <c r="U71" s="1"/>
      <c r="V71" s="1"/>
      <c r="W71" s="1"/>
      <c r="X71" s="1"/>
      <c r="Y71" s="1" t="s">
        <v>42</v>
      </c>
      <c r="Z71" s="1" t="s">
        <v>43</v>
      </c>
    </row>
    <row r="72" spans="1:26" ht="30" x14ac:dyDescent="0.25">
      <c r="A72" s="1">
        <v>2457114.85843</v>
      </c>
      <c r="B72" s="1" t="s">
        <v>1</v>
      </c>
      <c r="C72" s="1">
        <v>7.6840000000000002</v>
      </c>
      <c r="D72" s="1">
        <v>3.0000000000000001E-3</v>
      </c>
      <c r="E72" s="1" t="s">
        <v>34</v>
      </c>
      <c r="F72" s="1" t="s">
        <v>71</v>
      </c>
      <c r="G72" s="1" t="s">
        <v>36</v>
      </c>
      <c r="H72" s="1" t="s">
        <v>37</v>
      </c>
      <c r="I72" s="1" t="s">
        <v>72</v>
      </c>
      <c r="J72" s="1">
        <v>150509</v>
      </c>
      <c r="K72" s="1"/>
      <c r="L72" s="1"/>
      <c r="M72" s="1" t="s">
        <v>40</v>
      </c>
      <c r="N72" s="1">
        <v>1.879</v>
      </c>
      <c r="O72" s="1"/>
      <c r="P72" s="1">
        <v>8.8219999999999992</v>
      </c>
      <c r="Q72" s="1"/>
      <c r="R72" s="1"/>
      <c r="S72" s="1" t="s">
        <v>41</v>
      </c>
      <c r="T72" s="1">
        <v>0</v>
      </c>
      <c r="U72" s="1"/>
      <c r="V72" s="1"/>
      <c r="W72" s="1"/>
      <c r="X72" s="1"/>
      <c r="Y72" s="1" t="s">
        <v>42</v>
      </c>
      <c r="Z72" s="1" t="s">
        <v>43</v>
      </c>
    </row>
    <row r="73" spans="1:26" ht="30" x14ac:dyDescent="0.25">
      <c r="A73" s="1">
        <v>2457114.8634700002</v>
      </c>
      <c r="B73" s="1" t="s">
        <v>1</v>
      </c>
      <c r="C73" s="1">
        <v>7.7130000000000001</v>
      </c>
      <c r="D73" s="1">
        <v>3.0000000000000001E-3</v>
      </c>
      <c r="E73" s="1" t="s">
        <v>34</v>
      </c>
      <c r="F73" s="1" t="s">
        <v>71</v>
      </c>
      <c r="G73" s="1" t="s">
        <v>36</v>
      </c>
      <c r="H73" s="1" t="s">
        <v>37</v>
      </c>
      <c r="I73" s="1" t="s">
        <v>72</v>
      </c>
      <c r="J73" s="1">
        <v>150509</v>
      </c>
      <c r="K73" s="1"/>
      <c r="L73" s="1"/>
      <c r="M73" s="1" t="s">
        <v>40</v>
      </c>
      <c r="N73" s="1">
        <v>1.823</v>
      </c>
      <c r="O73" s="1"/>
      <c r="P73" s="1">
        <v>8.7959999999999994</v>
      </c>
      <c r="Q73" s="1"/>
      <c r="R73" s="1"/>
      <c r="S73" s="1" t="s">
        <v>41</v>
      </c>
      <c r="T73" s="1">
        <v>0</v>
      </c>
      <c r="U73" s="1"/>
      <c r="V73" s="1"/>
      <c r="W73" s="1"/>
      <c r="X73" s="1"/>
      <c r="Y73" s="1" t="s">
        <v>42</v>
      </c>
      <c r="Z73" s="1" t="s">
        <v>43</v>
      </c>
    </row>
    <row r="74" spans="1:26" ht="30" x14ac:dyDescent="0.25">
      <c r="A74" s="1">
        <v>2457114.8683000002</v>
      </c>
      <c r="B74" s="1" t="s">
        <v>1</v>
      </c>
      <c r="C74" s="1">
        <v>7.819</v>
      </c>
      <c r="D74" s="1">
        <v>3.0000000000000001E-3</v>
      </c>
      <c r="E74" s="1" t="s">
        <v>34</v>
      </c>
      <c r="F74" s="1" t="s">
        <v>71</v>
      </c>
      <c r="G74" s="1" t="s">
        <v>36</v>
      </c>
      <c r="H74" s="1" t="s">
        <v>37</v>
      </c>
      <c r="I74" s="1" t="s">
        <v>72</v>
      </c>
      <c r="J74" s="1">
        <v>150509</v>
      </c>
      <c r="K74" s="1"/>
      <c r="L74" s="1"/>
      <c r="M74" s="1" t="s">
        <v>40</v>
      </c>
      <c r="N74" s="1">
        <v>1.7749999999999999</v>
      </c>
      <c r="O74" s="1"/>
      <c r="P74" s="1">
        <v>8.8740000000000006</v>
      </c>
      <c r="Q74" s="1"/>
      <c r="R74" s="1"/>
      <c r="S74" s="1" t="s">
        <v>41</v>
      </c>
      <c r="T74" s="1">
        <v>0</v>
      </c>
      <c r="U74" s="1"/>
      <c r="V74" s="1"/>
      <c r="W74" s="1"/>
      <c r="X74" s="1"/>
      <c r="Y74" s="1" t="s">
        <v>42</v>
      </c>
      <c r="Z74" s="1" t="s">
        <v>43</v>
      </c>
    </row>
    <row r="75" spans="1:26" ht="30" x14ac:dyDescent="0.25">
      <c r="A75" s="1">
        <v>2457114.87317</v>
      </c>
      <c r="B75" s="1" t="s">
        <v>1</v>
      </c>
      <c r="C75" s="1">
        <v>7.7039999999999997</v>
      </c>
      <c r="D75" s="1">
        <v>3.0000000000000001E-3</v>
      </c>
      <c r="E75" s="1" t="s">
        <v>34</v>
      </c>
      <c r="F75" s="1" t="s">
        <v>71</v>
      </c>
      <c r="G75" s="1" t="s">
        <v>36</v>
      </c>
      <c r="H75" s="1" t="s">
        <v>37</v>
      </c>
      <c r="I75" s="1" t="s">
        <v>72</v>
      </c>
      <c r="J75" s="1">
        <v>150509</v>
      </c>
      <c r="K75" s="1"/>
      <c r="L75" s="1"/>
      <c r="M75" s="1" t="s">
        <v>40</v>
      </c>
      <c r="N75" s="1">
        <v>1.726</v>
      </c>
      <c r="O75" s="1"/>
      <c r="P75" s="1">
        <v>8.8230000000000004</v>
      </c>
      <c r="Q75" s="1"/>
      <c r="R75" s="1"/>
      <c r="S75" s="1" t="s">
        <v>41</v>
      </c>
      <c r="T75" s="1">
        <v>0</v>
      </c>
      <c r="U75" s="1"/>
      <c r="V75" s="1"/>
      <c r="W75" s="1"/>
      <c r="X75" s="1"/>
      <c r="Y75" s="1" t="s">
        <v>42</v>
      </c>
      <c r="Z75" s="1" t="s">
        <v>43</v>
      </c>
    </row>
    <row r="76" spans="1:26" ht="30" x14ac:dyDescent="0.25">
      <c r="A76" s="1">
        <v>2457114.8781499998</v>
      </c>
      <c r="B76" s="1" t="s">
        <v>1</v>
      </c>
      <c r="C76" s="1">
        <v>7.7450000000000001</v>
      </c>
      <c r="D76" s="1">
        <v>3.0000000000000001E-3</v>
      </c>
      <c r="E76" s="1" t="s">
        <v>34</v>
      </c>
      <c r="F76" s="1" t="s">
        <v>71</v>
      </c>
      <c r="G76" s="1" t="s">
        <v>36</v>
      </c>
      <c r="H76" s="1" t="s">
        <v>37</v>
      </c>
      <c r="I76" s="1" t="s">
        <v>72</v>
      </c>
      <c r="J76" s="1">
        <v>150509</v>
      </c>
      <c r="K76" s="1"/>
      <c r="L76" s="1"/>
      <c r="M76" s="1" t="s">
        <v>40</v>
      </c>
      <c r="N76" s="1">
        <v>1.68</v>
      </c>
      <c r="O76" s="1"/>
      <c r="P76" s="1">
        <v>8.8170000000000002</v>
      </c>
      <c r="Q76" s="1"/>
      <c r="R76" s="1"/>
      <c r="S76" s="1" t="s">
        <v>41</v>
      </c>
      <c r="T76" s="1">
        <v>0</v>
      </c>
      <c r="U76" s="1"/>
      <c r="V76" s="1"/>
      <c r="W76" s="1"/>
      <c r="X76" s="1"/>
      <c r="Y76" s="1" t="s">
        <v>42</v>
      </c>
      <c r="Z76" s="1" t="s">
        <v>43</v>
      </c>
    </row>
    <row r="77" spans="1:26" ht="30" x14ac:dyDescent="0.25">
      <c r="A77" s="1">
        <v>2457114.8976799999</v>
      </c>
      <c r="B77" s="1" t="s">
        <v>1</v>
      </c>
      <c r="C77" s="1">
        <v>7.9660000000000002</v>
      </c>
      <c r="D77" s="1">
        <v>0.02</v>
      </c>
      <c r="E77" s="1" t="s">
        <v>34</v>
      </c>
      <c r="F77" s="1" t="s">
        <v>22</v>
      </c>
      <c r="G77" s="1" t="s">
        <v>36</v>
      </c>
      <c r="H77" s="1">
        <v>65</v>
      </c>
      <c r="I77" s="1">
        <v>94</v>
      </c>
      <c r="J77" s="1" t="s">
        <v>68</v>
      </c>
      <c r="K77" s="1"/>
      <c r="L77" s="1"/>
      <c r="M77" s="1" t="s">
        <v>40</v>
      </c>
      <c r="N77" s="1"/>
      <c r="O77" s="1">
        <v>6.4219999999999997</v>
      </c>
      <c r="P77" s="1">
        <v>9.6120000000000001</v>
      </c>
      <c r="Q77" s="1"/>
      <c r="R77" s="1"/>
      <c r="S77" s="1" t="s">
        <v>41</v>
      </c>
      <c r="T77" s="1">
        <v>1</v>
      </c>
      <c r="U77" s="1"/>
      <c r="V77" s="1"/>
      <c r="W77" s="1"/>
      <c r="X77" s="1"/>
      <c r="Y77" s="1" t="s">
        <v>42</v>
      </c>
      <c r="Z77" s="1" t="s">
        <v>43</v>
      </c>
    </row>
    <row r="78" spans="1:26" ht="30" x14ac:dyDescent="0.25">
      <c r="A78" s="1">
        <v>2457114.9144199998</v>
      </c>
      <c r="B78" s="1" t="s">
        <v>1</v>
      </c>
      <c r="C78" s="1">
        <v>7.7539999999999996</v>
      </c>
      <c r="D78" s="1">
        <v>0.02</v>
      </c>
      <c r="E78" s="1" t="s">
        <v>34</v>
      </c>
      <c r="F78" s="1" t="s">
        <v>22</v>
      </c>
      <c r="G78" s="1" t="s">
        <v>36</v>
      </c>
      <c r="H78" s="1">
        <v>65</v>
      </c>
      <c r="I78" s="1">
        <v>94</v>
      </c>
      <c r="J78" s="1" t="s">
        <v>68</v>
      </c>
      <c r="K78" s="1"/>
      <c r="L78" s="1"/>
      <c r="M78" s="1" t="s">
        <v>40</v>
      </c>
      <c r="N78" s="1"/>
      <c r="O78" s="1">
        <v>6.4219999999999997</v>
      </c>
      <c r="P78" s="1">
        <v>9.4779999999999998</v>
      </c>
      <c r="Q78" s="1"/>
      <c r="R78" s="1"/>
      <c r="S78" s="1" t="s">
        <v>41</v>
      </c>
      <c r="T78" s="1">
        <v>1</v>
      </c>
      <c r="U78" s="1"/>
      <c r="V78" s="1"/>
      <c r="W78" s="1"/>
      <c r="X78" s="1"/>
      <c r="Y78" s="1" t="s">
        <v>42</v>
      </c>
      <c r="Z78" s="1" t="s">
        <v>43</v>
      </c>
    </row>
    <row r="79" spans="1:26" ht="30" x14ac:dyDescent="0.25">
      <c r="A79" s="1">
        <v>2457114.9307400002</v>
      </c>
      <c r="B79" s="1" t="s">
        <v>1</v>
      </c>
      <c r="C79" s="1">
        <v>7.7759999999999998</v>
      </c>
      <c r="D79" s="1">
        <v>0.02</v>
      </c>
      <c r="E79" s="1" t="s">
        <v>34</v>
      </c>
      <c r="F79" s="1" t="s">
        <v>22</v>
      </c>
      <c r="G79" s="1" t="s">
        <v>36</v>
      </c>
      <c r="H79" s="1">
        <v>65</v>
      </c>
      <c r="I79" s="1">
        <v>94</v>
      </c>
      <c r="J79" s="1" t="s">
        <v>68</v>
      </c>
      <c r="K79" s="1"/>
      <c r="L79" s="1"/>
      <c r="M79" s="1" t="s">
        <v>40</v>
      </c>
      <c r="N79" s="1"/>
      <c r="O79" s="1">
        <v>6.4219999999999997</v>
      </c>
      <c r="P79" s="1">
        <v>9.5869999999999997</v>
      </c>
      <c r="Q79" s="1"/>
      <c r="R79" s="1"/>
      <c r="S79" s="1" t="s">
        <v>41</v>
      </c>
      <c r="T79" s="1">
        <v>1</v>
      </c>
      <c r="U79" s="1"/>
      <c r="V79" s="1"/>
      <c r="W79" s="1"/>
      <c r="X79" s="1"/>
      <c r="Y79" s="1" t="s">
        <v>42</v>
      </c>
      <c r="Z79" s="1" t="s">
        <v>43</v>
      </c>
    </row>
    <row r="80" spans="1:26" ht="30" x14ac:dyDescent="0.25">
      <c r="A80" s="1">
        <v>2457114.9725199998</v>
      </c>
      <c r="B80" s="1" t="s">
        <v>1</v>
      </c>
      <c r="C80" s="1">
        <v>7.8689999999999998</v>
      </c>
      <c r="D80" s="1">
        <v>0.02</v>
      </c>
      <c r="E80" s="1" t="s">
        <v>34</v>
      </c>
      <c r="F80" s="1" t="s">
        <v>22</v>
      </c>
      <c r="G80" s="1" t="s">
        <v>36</v>
      </c>
      <c r="H80" s="1">
        <v>65</v>
      </c>
      <c r="I80" s="1">
        <v>94</v>
      </c>
      <c r="J80" s="1" t="s">
        <v>68</v>
      </c>
      <c r="K80" s="1"/>
      <c r="L80" s="1"/>
      <c r="M80" s="1" t="s">
        <v>40</v>
      </c>
      <c r="N80" s="1"/>
      <c r="O80" s="1">
        <v>6.4219999999999997</v>
      </c>
      <c r="P80" s="1">
        <v>9.5220000000000002</v>
      </c>
      <c r="Q80" s="1"/>
      <c r="R80" s="1"/>
      <c r="S80" s="1" t="s">
        <v>41</v>
      </c>
      <c r="T80" s="1">
        <v>1</v>
      </c>
      <c r="U80" s="1"/>
      <c r="V80" s="1"/>
      <c r="W80" s="1"/>
      <c r="X80" s="1"/>
      <c r="Y80" s="1" t="s">
        <v>42</v>
      </c>
      <c r="Z80" s="1" t="s">
        <v>43</v>
      </c>
    </row>
    <row r="81" spans="1:26" ht="30" x14ac:dyDescent="0.25">
      <c r="A81" s="1">
        <v>2457115.9139999999</v>
      </c>
      <c r="B81" s="1" t="s">
        <v>2</v>
      </c>
      <c r="C81" s="1">
        <v>8.0609999999999999</v>
      </c>
      <c r="D81" s="1">
        <v>0.02</v>
      </c>
      <c r="E81" s="1" t="s">
        <v>34</v>
      </c>
      <c r="F81" s="1" t="s">
        <v>22</v>
      </c>
      <c r="G81" s="1" t="s">
        <v>36</v>
      </c>
      <c r="H81" s="1">
        <v>65</v>
      </c>
      <c r="I81" s="1">
        <v>94</v>
      </c>
      <c r="J81" s="1" t="s">
        <v>68</v>
      </c>
      <c r="K81" s="1"/>
      <c r="L81" s="1"/>
      <c r="M81" s="1" t="s">
        <v>40</v>
      </c>
      <c r="N81" s="1"/>
      <c r="O81" s="1">
        <v>6.4219999999999997</v>
      </c>
      <c r="P81" s="1">
        <v>9.6720000000000006</v>
      </c>
      <c r="Q81" s="1"/>
      <c r="R81" s="1"/>
      <c r="S81" s="1" t="s">
        <v>41</v>
      </c>
      <c r="T81" s="1">
        <v>1</v>
      </c>
      <c r="U81" s="1"/>
      <c r="V81" s="1"/>
      <c r="W81" s="1"/>
      <c r="X81" s="1"/>
      <c r="Y81" s="1" t="s">
        <v>42</v>
      </c>
      <c r="Z81" s="1" t="s">
        <v>43</v>
      </c>
    </row>
    <row r="82" spans="1:26" ht="30" x14ac:dyDescent="0.25">
      <c r="A82" s="1">
        <v>2457115.93065</v>
      </c>
      <c r="B82" s="1" t="s">
        <v>2</v>
      </c>
      <c r="C82" s="1">
        <v>7.9960000000000004</v>
      </c>
      <c r="D82" s="1">
        <v>0.02</v>
      </c>
      <c r="E82" s="1" t="s">
        <v>34</v>
      </c>
      <c r="F82" s="1" t="s">
        <v>22</v>
      </c>
      <c r="G82" s="1" t="s">
        <v>36</v>
      </c>
      <c r="H82" s="1">
        <v>65</v>
      </c>
      <c r="I82" s="1">
        <v>94</v>
      </c>
      <c r="J82" s="1" t="s">
        <v>68</v>
      </c>
      <c r="K82" s="1"/>
      <c r="L82" s="1"/>
      <c r="M82" s="1" t="s">
        <v>40</v>
      </c>
      <c r="N82" s="1"/>
      <c r="O82" s="1">
        <v>6.4219999999999997</v>
      </c>
      <c r="P82" s="1">
        <v>9.5239999999999991</v>
      </c>
      <c r="Q82" s="1"/>
      <c r="R82" s="1"/>
      <c r="S82" s="1" t="s">
        <v>41</v>
      </c>
      <c r="T82" s="1">
        <v>1</v>
      </c>
      <c r="U82" s="1"/>
      <c r="V82" s="1"/>
      <c r="W82" s="1"/>
      <c r="X82" s="1"/>
      <c r="Y82" s="1" t="s">
        <v>42</v>
      </c>
      <c r="Z82" s="1" t="s">
        <v>43</v>
      </c>
    </row>
    <row r="83" spans="1:26" ht="30" x14ac:dyDescent="0.25">
      <c r="A83" s="1">
        <v>2457117.8575800001</v>
      </c>
      <c r="B83" s="1" t="s">
        <v>73</v>
      </c>
      <c r="C83" s="1">
        <v>8.1289999999999996</v>
      </c>
      <c r="D83" s="1">
        <v>3.0000000000000001E-3</v>
      </c>
      <c r="E83" s="1" t="s">
        <v>34</v>
      </c>
      <c r="F83" s="1" t="s">
        <v>71</v>
      </c>
      <c r="G83" s="1" t="s">
        <v>36</v>
      </c>
      <c r="H83" s="1" t="s">
        <v>37</v>
      </c>
      <c r="I83" s="1" t="s">
        <v>72</v>
      </c>
      <c r="J83" s="1">
        <v>150509</v>
      </c>
      <c r="K83" s="1"/>
      <c r="L83" s="1"/>
      <c r="M83" s="1" t="s">
        <v>40</v>
      </c>
      <c r="N83" s="1">
        <v>1.1399999999999999</v>
      </c>
      <c r="O83" s="1"/>
      <c r="P83" s="1">
        <v>8.798</v>
      </c>
      <c r="Q83" s="1"/>
      <c r="R83" s="1"/>
      <c r="S83" s="1" t="s">
        <v>41</v>
      </c>
      <c r="T83" s="1">
        <v>0</v>
      </c>
      <c r="U83" s="1"/>
      <c r="V83" s="1"/>
      <c r="W83" s="1"/>
      <c r="X83" s="1"/>
      <c r="Y83" s="1" t="s">
        <v>42</v>
      </c>
      <c r="Z83" s="1" t="s">
        <v>43</v>
      </c>
    </row>
    <row r="84" spans="1:26" ht="30" x14ac:dyDescent="0.25">
      <c r="A84" s="1">
        <v>2457117.8591200002</v>
      </c>
      <c r="B84" s="1" t="s">
        <v>73</v>
      </c>
      <c r="C84" s="1">
        <v>8.2200000000000006</v>
      </c>
      <c r="D84" s="1">
        <v>3.0000000000000001E-3</v>
      </c>
      <c r="E84" s="1" t="s">
        <v>34</v>
      </c>
      <c r="F84" s="1" t="s">
        <v>71</v>
      </c>
      <c r="G84" s="1" t="s">
        <v>36</v>
      </c>
      <c r="H84" s="1" t="s">
        <v>37</v>
      </c>
      <c r="I84" s="1" t="s">
        <v>72</v>
      </c>
      <c r="J84" s="1">
        <v>150509</v>
      </c>
      <c r="K84" s="1"/>
      <c r="L84" s="1"/>
      <c r="M84" s="1" t="s">
        <v>40</v>
      </c>
      <c r="N84" s="1">
        <v>1.137</v>
      </c>
      <c r="O84" s="1"/>
      <c r="P84" s="1">
        <v>8.8279999999999994</v>
      </c>
      <c r="Q84" s="1"/>
      <c r="R84" s="1"/>
      <c r="S84" s="1" t="s">
        <v>41</v>
      </c>
      <c r="T84" s="1">
        <v>0</v>
      </c>
      <c r="U84" s="1"/>
      <c r="V84" s="1"/>
      <c r="W84" s="1"/>
      <c r="X84" s="1"/>
      <c r="Y84" s="1" t="s">
        <v>42</v>
      </c>
      <c r="Z84" s="1" t="s">
        <v>43</v>
      </c>
    </row>
    <row r="85" spans="1:26" ht="30" x14ac:dyDescent="0.25">
      <c r="A85" s="1">
        <v>2457117.8606699998</v>
      </c>
      <c r="B85" s="1" t="s">
        <v>73</v>
      </c>
      <c r="C85" s="1">
        <v>8.1219999999999999</v>
      </c>
      <c r="D85" s="1">
        <v>3.0000000000000001E-3</v>
      </c>
      <c r="E85" s="1" t="s">
        <v>34</v>
      </c>
      <c r="F85" s="1" t="s">
        <v>71</v>
      </c>
      <c r="G85" s="1" t="s">
        <v>36</v>
      </c>
      <c r="H85" s="1" t="s">
        <v>37</v>
      </c>
      <c r="I85" s="1" t="s">
        <v>72</v>
      </c>
      <c r="J85" s="1">
        <v>150509</v>
      </c>
      <c r="K85" s="1"/>
      <c r="L85" s="1"/>
      <c r="M85" s="1" t="s">
        <v>40</v>
      </c>
      <c r="N85" s="1">
        <v>1.1339999999999999</v>
      </c>
      <c r="O85" s="1"/>
      <c r="P85" s="1">
        <v>8.8379999999999992</v>
      </c>
      <c r="Q85" s="1"/>
      <c r="R85" s="1"/>
      <c r="S85" s="1" t="s">
        <v>41</v>
      </c>
      <c r="T85" s="1">
        <v>0</v>
      </c>
      <c r="U85" s="1"/>
      <c r="V85" s="1"/>
      <c r="W85" s="1"/>
      <c r="X85" s="1"/>
      <c r="Y85" s="1" t="s">
        <v>42</v>
      </c>
      <c r="Z85" s="1" t="s">
        <v>43</v>
      </c>
    </row>
    <row r="86" spans="1:26" ht="30" x14ac:dyDescent="0.25">
      <c r="A86" s="1">
        <v>2457119.8919500001</v>
      </c>
      <c r="B86" s="1" t="s">
        <v>3</v>
      </c>
      <c r="C86" s="1">
        <v>7.3579999999999997</v>
      </c>
      <c r="D86" s="1">
        <v>0.02</v>
      </c>
      <c r="E86" s="1" t="s">
        <v>34</v>
      </c>
      <c r="F86" s="1" t="s">
        <v>22</v>
      </c>
      <c r="G86" s="1" t="s">
        <v>36</v>
      </c>
      <c r="H86" s="1">
        <v>65</v>
      </c>
      <c r="I86" s="1">
        <v>94</v>
      </c>
      <c r="J86" s="1" t="s">
        <v>68</v>
      </c>
      <c r="K86" s="1"/>
      <c r="L86" s="1"/>
      <c r="M86" s="1" t="s">
        <v>40</v>
      </c>
      <c r="N86" s="1"/>
      <c r="O86" s="1">
        <v>6.4219999999999997</v>
      </c>
      <c r="P86" s="1">
        <v>9.5470000000000006</v>
      </c>
      <c r="Q86" s="1"/>
      <c r="R86" s="1"/>
      <c r="S86" s="1" t="s">
        <v>41</v>
      </c>
      <c r="T86" s="1">
        <v>1</v>
      </c>
      <c r="U86" s="1"/>
      <c r="V86" s="1"/>
      <c r="W86" s="1"/>
      <c r="X86" s="1"/>
      <c r="Y86" s="1" t="s">
        <v>42</v>
      </c>
      <c r="Z86" s="1" t="s">
        <v>43</v>
      </c>
    </row>
    <row r="87" spans="1:26" ht="30" x14ac:dyDescent="0.25">
      <c r="A87" s="1">
        <v>2457119.90741</v>
      </c>
      <c r="B87" s="1" t="s">
        <v>3</v>
      </c>
      <c r="C87" s="1">
        <v>7.5419999999999998</v>
      </c>
      <c r="D87" s="1">
        <v>0.02</v>
      </c>
      <c r="E87" s="1" t="s">
        <v>34</v>
      </c>
      <c r="F87" s="1" t="s">
        <v>22</v>
      </c>
      <c r="G87" s="1" t="s">
        <v>36</v>
      </c>
      <c r="H87" s="1">
        <v>65</v>
      </c>
      <c r="I87" s="1">
        <v>94</v>
      </c>
      <c r="J87" s="1" t="s">
        <v>68</v>
      </c>
      <c r="K87" s="1"/>
      <c r="L87" s="1"/>
      <c r="M87" s="1" t="s">
        <v>40</v>
      </c>
      <c r="N87" s="1"/>
      <c r="O87" s="1">
        <v>6.4219999999999997</v>
      </c>
      <c r="P87" s="1">
        <v>9.59</v>
      </c>
      <c r="Q87" s="1"/>
      <c r="R87" s="1"/>
      <c r="S87" s="1" t="s">
        <v>41</v>
      </c>
      <c r="T87" s="1">
        <v>1</v>
      </c>
      <c r="U87" s="1"/>
      <c r="V87" s="1"/>
      <c r="W87" s="1"/>
      <c r="X87" s="1"/>
      <c r="Y87" s="1" t="s">
        <v>42</v>
      </c>
      <c r="Z87" s="1" t="s">
        <v>43</v>
      </c>
    </row>
    <row r="88" spans="1:26" ht="30" x14ac:dyDescent="0.25">
      <c r="A88" s="1">
        <v>2457119.9227499999</v>
      </c>
      <c r="B88" s="1" t="s">
        <v>3</v>
      </c>
      <c r="C88" s="1">
        <v>7.383</v>
      </c>
      <c r="D88" s="1">
        <v>0.02</v>
      </c>
      <c r="E88" s="1" t="s">
        <v>34</v>
      </c>
      <c r="F88" s="1" t="s">
        <v>22</v>
      </c>
      <c r="G88" s="1" t="s">
        <v>36</v>
      </c>
      <c r="H88" s="1">
        <v>65</v>
      </c>
      <c r="I88" s="1">
        <v>94</v>
      </c>
      <c r="J88" s="1" t="s">
        <v>68</v>
      </c>
      <c r="K88" s="1"/>
      <c r="L88" s="1"/>
      <c r="M88" s="1" t="s">
        <v>40</v>
      </c>
      <c r="N88" s="1"/>
      <c r="O88" s="1">
        <v>6.4219999999999997</v>
      </c>
      <c r="P88" s="1">
        <v>9.58</v>
      </c>
      <c r="Q88" s="1"/>
      <c r="R88" s="1"/>
      <c r="S88" s="1" t="s">
        <v>41</v>
      </c>
      <c r="T88" s="1">
        <v>1</v>
      </c>
      <c r="U88" s="1"/>
      <c r="V88" s="1"/>
      <c r="W88" s="1"/>
      <c r="X88" s="1"/>
      <c r="Y88" s="1" t="s">
        <v>42</v>
      </c>
      <c r="Z88" s="1" t="s">
        <v>43</v>
      </c>
    </row>
    <row r="89" spans="1:26" ht="30" x14ac:dyDescent="0.25">
      <c r="A89" s="1">
        <v>2457119.93707</v>
      </c>
      <c r="B89" s="1" t="s">
        <v>3</v>
      </c>
      <c r="C89" s="1">
        <v>7.7050000000000001</v>
      </c>
      <c r="D89" s="1">
        <v>0.02</v>
      </c>
      <c r="E89" s="1" t="s">
        <v>34</v>
      </c>
      <c r="F89" s="1" t="s">
        <v>22</v>
      </c>
      <c r="G89" s="1" t="s">
        <v>36</v>
      </c>
      <c r="H89" s="1">
        <v>65</v>
      </c>
      <c r="I89" s="1">
        <v>94</v>
      </c>
      <c r="J89" s="1" t="s">
        <v>68</v>
      </c>
      <c r="K89" s="1"/>
      <c r="L89" s="1"/>
      <c r="M89" s="1" t="s">
        <v>40</v>
      </c>
      <c r="N89" s="1"/>
      <c r="O89" s="1">
        <v>6.4219999999999997</v>
      </c>
      <c r="P89" s="1">
        <v>9.5519999999999996</v>
      </c>
      <c r="Q89" s="1"/>
      <c r="R89" s="1"/>
      <c r="S89" s="1" t="s">
        <v>41</v>
      </c>
      <c r="T89" s="1">
        <v>1</v>
      </c>
      <c r="U89" s="1"/>
      <c r="V89" s="1"/>
      <c r="W89" s="1"/>
      <c r="X89" s="1"/>
      <c r="Y89" s="1" t="s">
        <v>42</v>
      </c>
      <c r="Z89" s="1" t="s">
        <v>43</v>
      </c>
    </row>
    <row r="90" spans="1:26" ht="30" x14ac:dyDescent="0.25">
      <c r="A90" s="1">
        <v>2457119.94771</v>
      </c>
      <c r="B90" s="1" t="s">
        <v>3</v>
      </c>
      <c r="C90" s="1">
        <v>7.8639999999999999</v>
      </c>
      <c r="D90" s="1">
        <v>0.02</v>
      </c>
      <c r="E90" s="1" t="s">
        <v>34</v>
      </c>
      <c r="F90" s="1" t="s">
        <v>22</v>
      </c>
      <c r="G90" s="1" t="s">
        <v>36</v>
      </c>
      <c r="H90" s="1">
        <v>65</v>
      </c>
      <c r="I90" s="1">
        <v>94</v>
      </c>
      <c r="J90" s="1" t="s">
        <v>68</v>
      </c>
      <c r="K90" s="1"/>
      <c r="L90" s="1"/>
      <c r="M90" s="1" t="s">
        <v>40</v>
      </c>
      <c r="N90" s="1"/>
      <c r="O90" s="1">
        <v>6.4219999999999997</v>
      </c>
      <c r="P90" s="1">
        <v>9.5419999999999998</v>
      </c>
      <c r="Q90" s="1"/>
      <c r="R90" s="1"/>
      <c r="S90" s="1" t="s">
        <v>41</v>
      </c>
      <c r="T90" s="1">
        <v>1</v>
      </c>
      <c r="U90" s="1"/>
      <c r="V90" s="1"/>
      <c r="W90" s="1"/>
      <c r="X90" s="1"/>
      <c r="Y90" s="1" t="s">
        <v>42</v>
      </c>
      <c r="Z90" s="1" t="s">
        <v>43</v>
      </c>
    </row>
    <row r="91" spans="1:26" ht="30" x14ac:dyDescent="0.25">
      <c r="A91" s="1">
        <v>2457119.9583299998</v>
      </c>
      <c r="B91" s="1" t="s">
        <v>3</v>
      </c>
      <c r="C91" s="1">
        <v>7.7270000000000003</v>
      </c>
      <c r="D91" s="1">
        <v>0.02</v>
      </c>
      <c r="E91" s="1" t="s">
        <v>34</v>
      </c>
      <c r="F91" s="1" t="s">
        <v>22</v>
      </c>
      <c r="G91" s="1" t="s">
        <v>36</v>
      </c>
      <c r="H91" s="1">
        <v>65</v>
      </c>
      <c r="I91" s="1">
        <v>94</v>
      </c>
      <c r="J91" s="1" t="s">
        <v>68</v>
      </c>
      <c r="K91" s="1"/>
      <c r="L91" s="1"/>
      <c r="M91" s="1" t="s">
        <v>40</v>
      </c>
      <c r="N91" s="1"/>
      <c r="O91" s="1">
        <v>6.4219999999999997</v>
      </c>
      <c r="P91" s="1">
        <v>9.5640000000000001</v>
      </c>
      <c r="Q91" s="1"/>
      <c r="R91" s="1"/>
      <c r="S91" s="1" t="s">
        <v>41</v>
      </c>
      <c r="T91" s="1">
        <v>1</v>
      </c>
      <c r="U91" s="1"/>
      <c r="V91" s="1"/>
      <c r="W91" s="1"/>
      <c r="X91" s="1"/>
      <c r="Y91" s="1" t="s">
        <v>42</v>
      </c>
      <c r="Z91" s="1" t="s">
        <v>43</v>
      </c>
    </row>
    <row r="92" spans="1:26" ht="30" x14ac:dyDescent="0.25">
      <c r="A92" s="1">
        <v>2457119.9689199999</v>
      </c>
      <c r="B92" s="1" t="s">
        <v>3</v>
      </c>
      <c r="C92" s="1">
        <v>7.6539999999999999</v>
      </c>
      <c r="D92" s="1">
        <v>0.02</v>
      </c>
      <c r="E92" s="1" t="s">
        <v>34</v>
      </c>
      <c r="F92" s="1" t="s">
        <v>22</v>
      </c>
      <c r="G92" s="1" t="s">
        <v>36</v>
      </c>
      <c r="H92" s="1">
        <v>65</v>
      </c>
      <c r="I92" s="1">
        <v>94</v>
      </c>
      <c r="J92" s="1" t="s">
        <v>68</v>
      </c>
      <c r="K92" s="1"/>
      <c r="L92" s="1"/>
      <c r="M92" s="1" t="s">
        <v>40</v>
      </c>
      <c r="N92" s="1"/>
      <c r="O92" s="1">
        <v>6.4219999999999997</v>
      </c>
      <c r="P92" s="1">
        <v>9.5009999999999994</v>
      </c>
      <c r="Q92" s="1"/>
      <c r="R92" s="1"/>
      <c r="S92" s="1" t="s">
        <v>41</v>
      </c>
      <c r="T92" s="1">
        <v>1</v>
      </c>
      <c r="U92" s="1"/>
      <c r="V92" s="1"/>
      <c r="W92" s="1"/>
      <c r="X92" s="1"/>
      <c r="Y92" s="1" t="s">
        <v>42</v>
      </c>
      <c r="Z92" s="1" t="s">
        <v>43</v>
      </c>
    </row>
    <row r="93" spans="1:26" ht="30" x14ac:dyDescent="0.25">
      <c r="A93" s="1">
        <v>2457119.97951</v>
      </c>
      <c r="B93" s="1" t="s">
        <v>3</v>
      </c>
      <c r="C93" s="1">
        <v>7.7759999999999998</v>
      </c>
      <c r="D93" s="1">
        <v>0.02</v>
      </c>
      <c r="E93" s="1" t="s">
        <v>34</v>
      </c>
      <c r="F93" s="1" t="s">
        <v>22</v>
      </c>
      <c r="G93" s="1" t="s">
        <v>36</v>
      </c>
      <c r="H93" s="1">
        <v>65</v>
      </c>
      <c r="I93" s="1">
        <v>94</v>
      </c>
      <c r="J93" s="1" t="s">
        <v>68</v>
      </c>
      <c r="K93" s="1"/>
      <c r="L93" s="1"/>
      <c r="M93" s="1" t="s">
        <v>40</v>
      </c>
      <c r="N93" s="1"/>
      <c r="O93" s="1">
        <v>6.4219999999999997</v>
      </c>
      <c r="P93" s="1">
        <v>9.6050000000000004</v>
      </c>
      <c r="Q93" s="1"/>
      <c r="R93" s="1"/>
      <c r="S93" s="1" t="s">
        <v>41</v>
      </c>
      <c r="T93" s="1">
        <v>1</v>
      </c>
      <c r="U93" s="1"/>
      <c r="V93" s="1"/>
      <c r="W93" s="1"/>
      <c r="X93" s="1"/>
      <c r="Y93" s="1" t="s">
        <v>42</v>
      </c>
      <c r="Z93" s="1" t="s">
        <v>43</v>
      </c>
    </row>
    <row r="94" spans="1:26" ht="30" x14ac:dyDescent="0.25">
      <c r="A94" s="1">
        <v>2457120.88925</v>
      </c>
      <c r="B94" s="1" t="s">
        <v>4</v>
      </c>
      <c r="C94" s="1">
        <v>7.8570000000000002</v>
      </c>
      <c r="D94" s="1">
        <v>0.02</v>
      </c>
      <c r="E94" s="1" t="s">
        <v>34</v>
      </c>
      <c r="F94" s="1" t="s">
        <v>22</v>
      </c>
      <c r="G94" s="1" t="s">
        <v>36</v>
      </c>
      <c r="H94" s="1">
        <v>65</v>
      </c>
      <c r="I94" s="1">
        <v>94</v>
      </c>
      <c r="J94" s="1" t="s">
        <v>68</v>
      </c>
      <c r="K94" s="1"/>
      <c r="L94" s="1"/>
      <c r="M94" s="1" t="s">
        <v>40</v>
      </c>
      <c r="N94" s="1"/>
      <c r="O94" s="1">
        <v>6.4219999999999997</v>
      </c>
      <c r="P94" s="1">
        <v>9.5340000000000007</v>
      </c>
      <c r="Q94" s="1"/>
      <c r="R94" s="1"/>
      <c r="S94" s="1" t="s">
        <v>41</v>
      </c>
      <c r="T94" s="1">
        <v>1</v>
      </c>
      <c r="U94" s="1"/>
      <c r="V94" s="1"/>
      <c r="W94" s="1"/>
      <c r="X94" s="1"/>
      <c r="Y94" s="1" t="s">
        <v>42</v>
      </c>
      <c r="Z94" s="1" t="s">
        <v>43</v>
      </c>
    </row>
    <row r="95" spans="1:26" ht="30" x14ac:dyDescent="0.25">
      <c r="A95" s="1">
        <v>2457120.9049999998</v>
      </c>
      <c r="B95" s="1" t="s">
        <v>4</v>
      </c>
      <c r="C95" s="1">
        <v>7.6879999999999997</v>
      </c>
      <c r="D95" s="1">
        <v>0.02</v>
      </c>
      <c r="E95" s="1" t="s">
        <v>34</v>
      </c>
      <c r="F95" s="1" t="s">
        <v>22</v>
      </c>
      <c r="G95" s="1" t="s">
        <v>36</v>
      </c>
      <c r="H95" s="1">
        <v>65</v>
      </c>
      <c r="I95" s="1">
        <v>94</v>
      </c>
      <c r="J95" s="1" t="s">
        <v>68</v>
      </c>
      <c r="K95" s="1"/>
      <c r="L95" s="1"/>
      <c r="M95" s="1" t="s">
        <v>40</v>
      </c>
      <c r="N95" s="1"/>
      <c r="O95" s="1">
        <v>6.4219999999999997</v>
      </c>
      <c r="P95" s="1">
        <v>9.5259999999999998</v>
      </c>
      <c r="Q95" s="1"/>
      <c r="R95" s="1"/>
      <c r="S95" s="1" t="s">
        <v>41</v>
      </c>
      <c r="T95" s="1">
        <v>1</v>
      </c>
      <c r="U95" s="1"/>
      <c r="V95" s="1"/>
      <c r="W95" s="1"/>
      <c r="X95" s="1"/>
      <c r="Y95" s="1" t="s">
        <v>42</v>
      </c>
      <c r="Z95" s="1" t="s">
        <v>43</v>
      </c>
    </row>
    <row r="96" spans="1:26" ht="30" x14ac:dyDescent="0.25">
      <c r="A96" s="1">
        <v>2457120.9207799998</v>
      </c>
      <c r="B96" s="1" t="s">
        <v>4</v>
      </c>
      <c r="C96" s="1">
        <v>7.9939999999999998</v>
      </c>
      <c r="D96" s="1">
        <v>0.02</v>
      </c>
      <c r="E96" s="1" t="s">
        <v>34</v>
      </c>
      <c r="F96" s="1" t="s">
        <v>22</v>
      </c>
      <c r="G96" s="1" t="s">
        <v>36</v>
      </c>
      <c r="H96" s="1">
        <v>65</v>
      </c>
      <c r="I96" s="1">
        <v>94</v>
      </c>
      <c r="J96" s="1" t="s">
        <v>68</v>
      </c>
      <c r="K96" s="1"/>
      <c r="L96" s="1"/>
      <c r="M96" s="1" t="s">
        <v>40</v>
      </c>
      <c r="N96" s="1"/>
      <c r="O96" s="1">
        <v>6.4219999999999997</v>
      </c>
      <c r="P96" s="1">
        <v>9.5389999999999997</v>
      </c>
      <c r="Q96" s="1"/>
      <c r="R96" s="1"/>
      <c r="S96" s="1" t="s">
        <v>41</v>
      </c>
      <c r="T96" s="1">
        <v>1</v>
      </c>
      <c r="U96" s="1"/>
      <c r="V96" s="1"/>
      <c r="W96" s="1"/>
      <c r="X96" s="1"/>
      <c r="Y96" s="1" t="s">
        <v>42</v>
      </c>
      <c r="Z96" s="1" t="s">
        <v>43</v>
      </c>
    </row>
    <row r="97" spans="1:26" ht="30" x14ac:dyDescent="0.25">
      <c r="A97" s="1">
        <v>2457120.9341199999</v>
      </c>
      <c r="B97" s="1" t="s">
        <v>4</v>
      </c>
      <c r="C97" s="1">
        <v>7.71</v>
      </c>
      <c r="D97" s="1">
        <v>0.02</v>
      </c>
      <c r="E97" s="1" t="s">
        <v>34</v>
      </c>
      <c r="F97" s="1" t="s">
        <v>22</v>
      </c>
      <c r="G97" s="1" t="s">
        <v>36</v>
      </c>
      <c r="H97" s="1">
        <v>65</v>
      </c>
      <c r="I97" s="1">
        <v>94</v>
      </c>
      <c r="J97" s="1" t="s">
        <v>68</v>
      </c>
      <c r="K97" s="1"/>
      <c r="L97" s="1"/>
      <c r="M97" s="1" t="s">
        <v>40</v>
      </c>
      <c r="N97" s="1"/>
      <c r="O97" s="1">
        <v>6.4219999999999997</v>
      </c>
      <c r="P97" s="1">
        <v>9.5340000000000007</v>
      </c>
      <c r="Q97" s="1"/>
      <c r="R97" s="1"/>
      <c r="S97" s="1" t="s">
        <v>41</v>
      </c>
      <c r="T97" s="1">
        <v>1</v>
      </c>
      <c r="U97" s="1"/>
      <c r="V97" s="1"/>
      <c r="W97" s="1"/>
      <c r="X97" s="1"/>
      <c r="Y97" s="1" t="s">
        <v>42</v>
      </c>
      <c r="Z97" s="1" t="s">
        <v>43</v>
      </c>
    </row>
    <row r="98" spans="1:26" ht="30" x14ac:dyDescent="0.25">
      <c r="A98" s="1">
        <v>2457120.9448199999</v>
      </c>
      <c r="B98" s="1" t="s">
        <v>4</v>
      </c>
      <c r="C98" s="1">
        <v>7.8109999999999999</v>
      </c>
      <c r="D98" s="1">
        <v>0.02</v>
      </c>
      <c r="E98" s="1" t="s">
        <v>34</v>
      </c>
      <c r="F98" s="1" t="s">
        <v>22</v>
      </c>
      <c r="G98" s="1" t="s">
        <v>36</v>
      </c>
      <c r="H98" s="1">
        <v>65</v>
      </c>
      <c r="I98" s="1">
        <v>94</v>
      </c>
      <c r="J98" s="1" t="s">
        <v>68</v>
      </c>
      <c r="K98" s="1"/>
      <c r="L98" s="1"/>
      <c r="M98" s="1" t="s">
        <v>40</v>
      </c>
      <c r="N98" s="1"/>
      <c r="O98" s="1">
        <v>6.4219999999999997</v>
      </c>
      <c r="P98" s="1">
        <v>9.5530000000000008</v>
      </c>
      <c r="Q98" s="1"/>
      <c r="R98" s="1"/>
      <c r="S98" s="1" t="s">
        <v>41</v>
      </c>
      <c r="T98" s="1">
        <v>1</v>
      </c>
      <c r="U98" s="1"/>
      <c r="V98" s="1"/>
      <c r="W98" s="1"/>
      <c r="X98" s="1"/>
      <c r="Y98" s="1" t="s">
        <v>42</v>
      </c>
      <c r="Z98" s="1" t="s">
        <v>43</v>
      </c>
    </row>
    <row r="99" spans="1:26" ht="30" x14ac:dyDescent="0.25">
      <c r="A99" s="1">
        <v>2457120.9555000002</v>
      </c>
      <c r="B99" s="1" t="s">
        <v>4</v>
      </c>
      <c r="C99" s="1">
        <v>7.6580000000000004</v>
      </c>
      <c r="D99" s="1">
        <v>0.02</v>
      </c>
      <c r="E99" s="1" t="s">
        <v>34</v>
      </c>
      <c r="F99" s="1" t="s">
        <v>22</v>
      </c>
      <c r="G99" s="1" t="s">
        <v>36</v>
      </c>
      <c r="H99" s="1">
        <v>65</v>
      </c>
      <c r="I99" s="1">
        <v>94</v>
      </c>
      <c r="J99" s="1" t="s">
        <v>68</v>
      </c>
      <c r="K99" s="1"/>
      <c r="L99" s="1"/>
      <c r="M99" s="1" t="s">
        <v>40</v>
      </c>
      <c r="N99" s="1"/>
      <c r="O99" s="1">
        <v>6.4219999999999997</v>
      </c>
      <c r="P99" s="1">
        <v>9.6080000000000005</v>
      </c>
      <c r="Q99" s="1"/>
      <c r="R99" s="1"/>
      <c r="S99" s="1" t="s">
        <v>41</v>
      </c>
      <c r="T99" s="1">
        <v>1</v>
      </c>
      <c r="U99" s="1"/>
      <c r="V99" s="1"/>
      <c r="W99" s="1"/>
      <c r="X99" s="1"/>
      <c r="Y99" s="1" t="s">
        <v>42</v>
      </c>
      <c r="Z99" s="1" t="s">
        <v>43</v>
      </c>
    </row>
    <row r="100" spans="1:26" ht="30" x14ac:dyDescent="0.25">
      <c r="A100" s="1">
        <v>2457120.9661400001</v>
      </c>
      <c r="B100" s="1" t="s">
        <v>4</v>
      </c>
      <c r="C100" s="1">
        <v>7.8869999999999996</v>
      </c>
      <c r="D100" s="1">
        <v>0.02</v>
      </c>
      <c r="E100" s="1" t="s">
        <v>34</v>
      </c>
      <c r="F100" s="1" t="s">
        <v>22</v>
      </c>
      <c r="G100" s="1" t="s">
        <v>36</v>
      </c>
      <c r="H100" s="1">
        <v>65</v>
      </c>
      <c r="I100" s="1">
        <v>94</v>
      </c>
      <c r="J100" s="1" t="s">
        <v>68</v>
      </c>
      <c r="K100" s="1"/>
      <c r="L100" s="1"/>
      <c r="M100" s="1" t="s">
        <v>40</v>
      </c>
      <c r="N100" s="1"/>
      <c r="O100" s="1">
        <v>6.4219999999999997</v>
      </c>
      <c r="P100" s="1">
        <v>9.5510000000000002</v>
      </c>
      <c r="Q100" s="1"/>
      <c r="R100" s="1"/>
      <c r="S100" s="1" t="s">
        <v>41</v>
      </c>
      <c r="T100" s="1">
        <v>1</v>
      </c>
      <c r="U100" s="1"/>
      <c r="V100" s="1"/>
      <c r="W100" s="1"/>
      <c r="X100" s="1"/>
      <c r="Y100" s="1" t="s">
        <v>42</v>
      </c>
      <c r="Z100" s="1" t="s">
        <v>43</v>
      </c>
    </row>
    <row r="101" spans="1:26" ht="30" x14ac:dyDescent="0.25">
      <c r="A101" s="1">
        <v>2457120.97682</v>
      </c>
      <c r="B101" s="1" t="s">
        <v>4</v>
      </c>
      <c r="C101" s="1">
        <v>8.0280000000000005</v>
      </c>
      <c r="D101" s="1">
        <v>0.02</v>
      </c>
      <c r="E101" s="1" t="s">
        <v>34</v>
      </c>
      <c r="F101" s="1" t="s">
        <v>22</v>
      </c>
      <c r="G101" s="1" t="s">
        <v>36</v>
      </c>
      <c r="H101" s="1">
        <v>65</v>
      </c>
      <c r="I101" s="1">
        <v>94</v>
      </c>
      <c r="J101" s="1" t="s">
        <v>68</v>
      </c>
      <c r="K101" s="1"/>
      <c r="L101" s="1"/>
      <c r="M101" s="1" t="s">
        <v>40</v>
      </c>
      <c r="N101" s="1"/>
      <c r="O101" s="1">
        <v>6.4219999999999997</v>
      </c>
      <c r="P101" s="1">
        <v>9.5510000000000002</v>
      </c>
      <c r="Q101" s="1"/>
      <c r="R101" s="1"/>
      <c r="S101" s="1" t="s">
        <v>41</v>
      </c>
      <c r="T101" s="1">
        <v>1</v>
      </c>
      <c r="U101" s="1"/>
      <c r="V101" s="1"/>
      <c r="W101" s="1"/>
      <c r="X101" s="1"/>
      <c r="Y101" s="1" t="s">
        <v>42</v>
      </c>
      <c r="Z101" s="1" t="s">
        <v>43</v>
      </c>
    </row>
    <row r="102" spans="1:26" ht="30" x14ac:dyDescent="0.25">
      <c r="A102" s="1">
        <v>2457121.88008</v>
      </c>
      <c r="B102" s="1" t="s">
        <v>5</v>
      </c>
      <c r="C102" s="1">
        <v>7.6820000000000004</v>
      </c>
      <c r="D102" s="1">
        <v>0.02</v>
      </c>
      <c r="E102" s="1" t="s">
        <v>34</v>
      </c>
      <c r="F102" s="1" t="s">
        <v>22</v>
      </c>
      <c r="G102" s="1" t="s">
        <v>36</v>
      </c>
      <c r="H102" s="1">
        <v>65</v>
      </c>
      <c r="I102" s="1">
        <v>94</v>
      </c>
      <c r="J102" s="1" t="s">
        <v>68</v>
      </c>
      <c r="K102" s="1"/>
      <c r="L102" s="1"/>
      <c r="M102" s="1" t="s">
        <v>40</v>
      </c>
      <c r="N102" s="1"/>
      <c r="O102" s="1">
        <v>6.4219999999999997</v>
      </c>
      <c r="P102" s="1">
        <v>9.5530000000000008</v>
      </c>
      <c r="Q102" s="1"/>
      <c r="R102" s="1"/>
      <c r="S102" s="1" t="s">
        <v>41</v>
      </c>
      <c r="T102" s="1">
        <v>1</v>
      </c>
      <c r="U102" s="1"/>
      <c r="V102" s="1"/>
      <c r="W102" s="1"/>
      <c r="X102" s="1"/>
      <c r="Y102" s="1" t="s">
        <v>42</v>
      </c>
      <c r="Z102" s="1" t="s">
        <v>43</v>
      </c>
    </row>
    <row r="103" spans="1:26" ht="30" x14ac:dyDescent="0.25">
      <c r="A103" s="1">
        <v>2457121.8967599999</v>
      </c>
      <c r="B103" s="1" t="s">
        <v>5</v>
      </c>
      <c r="C103" s="1">
        <v>7.8760000000000003</v>
      </c>
      <c r="D103" s="1">
        <v>0.02</v>
      </c>
      <c r="E103" s="1" t="s">
        <v>34</v>
      </c>
      <c r="F103" s="1" t="s">
        <v>22</v>
      </c>
      <c r="G103" s="1" t="s">
        <v>36</v>
      </c>
      <c r="H103" s="1">
        <v>65</v>
      </c>
      <c r="I103" s="1">
        <v>94</v>
      </c>
      <c r="J103" s="1" t="s">
        <v>68</v>
      </c>
      <c r="K103" s="1"/>
      <c r="L103" s="1"/>
      <c r="M103" s="1" t="s">
        <v>40</v>
      </c>
      <c r="N103" s="1"/>
      <c r="O103" s="1">
        <v>6.4219999999999997</v>
      </c>
      <c r="P103" s="1">
        <v>9.58</v>
      </c>
      <c r="Q103" s="1"/>
      <c r="R103" s="1"/>
      <c r="S103" s="1" t="s">
        <v>41</v>
      </c>
      <c r="T103" s="1">
        <v>1</v>
      </c>
      <c r="U103" s="1"/>
      <c r="V103" s="1"/>
      <c r="W103" s="1"/>
      <c r="X103" s="1"/>
      <c r="Y103" s="1" t="s">
        <v>42</v>
      </c>
      <c r="Z103" s="1" t="s">
        <v>43</v>
      </c>
    </row>
    <row r="104" spans="1:26" ht="30" x14ac:dyDescent="0.25">
      <c r="A104" s="1">
        <v>2457121.9123499999</v>
      </c>
      <c r="B104" s="1" t="s">
        <v>5</v>
      </c>
      <c r="C104" s="1">
        <v>7.6769999999999996</v>
      </c>
      <c r="D104" s="1">
        <v>0.02</v>
      </c>
      <c r="E104" s="1" t="s">
        <v>34</v>
      </c>
      <c r="F104" s="1" t="s">
        <v>22</v>
      </c>
      <c r="G104" s="1" t="s">
        <v>36</v>
      </c>
      <c r="H104" s="1">
        <v>65</v>
      </c>
      <c r="I104" s="1">
        <v>94</v>
      </c>
      <c r="J104" s="1" t="s">
        <v>68</v>
      </c>
      <c r="K104" s="1"/>
      <c r="L104" s="1"/>
      <c r="M104" s="1" t="s">
        <v>40</v>
      </c>
      <c r="N104" s="1"/>
      <c r="O104" s="1">
        <v>6.4219999999999997</v>
      </c>
      <c r="P104" s="1">
        <v>9.6620000000000008</v>
      </c>
      <c r="Q104" s="1"/>
      <c r="R104" s="1"/>
      <c r="S104" s="1" t="s">
        <v>41</v>
      </c>
      <c r="T104" s="1">
        <v>1</v>
      </c>
      <c r="U104" s="1"/>
      <c r="V104" s="1"/>
      <c r="W104" s="1"/>
      <c r="X104" s="1"/>
      <c r="Y104" s="1" t="s">
        <v>42</v>
      </c>
      <c r="Z104" s="1" t="s">
        <v>43</v>
      </c>
    </row>
    <row r="105" spans="1:26" ht="30" x14ac:dyDescent="0.25">
      <c r="A105" s="1">
        <v>2457121.9534</v>
      </c>
      <c r="B105" s="1" t="s">
        <v>5</v>
      </c>
      <c r="C105" s="1">
        <v>7.5940000000000003</v>
      </c>
      <c r="D105" s="1">
        <v>0.02</v>
      </c>
      <c r="E105" s="1" t="s">
        <v>34</v>
      </c>
      <c r="F105" s="1" t="s">
        <v>22</v>
      </c>
      <c r="G105" s="1" t="s">
        <v>36</v>
      </c>
      <c r="H105" s="1">
        <v>65</v>
      </c>
      <c r="I105" s="1">
        <v>94</v>
      </c>
      <c r="J105" s="1" t="s">
        <v>68</v>
      </c>
      <c r="K105" s="1"/>
      <c r="L105" s="1"/>
      <c r="M105" s="1" t="s">
        <v>40</v>
      </c>
      <c r="N105" s="1"/>
      <c r="O105" s="1">
        <v>6.4219999999999997</v>
      </c>
      <c r="P105" s="1">
        <v>9.5890000000000004</v>
      </c>
      <c r="Q105" s="1"/>
      <c r="R105" s="1"/>
      <c r="S105" s="1" t="s">
        <v>41</v>
      </c>
      <c r="T105" s="1">
        <v>1</v>
      </c>
      <c r="U105" s="1"/>
      <c r="V105" s="1"/>
      <c r="W105" s="1"/>
      <c r="X105" s="1"/>
      <c r="Y105" s="1" t="s">
        <v>42</v>
      </c>
      <c r="Z105" s="1" t="s">
        <v>43</v>
      </c>
    </row>
    <row r="106" spans="1:26" ht="30" x14ac:dyDescent="0.25">
      <c r="A106" s="1">
        <v>2457121.9640299999</v>
      </c>
      <c r="B106" s="1" t="s">
        <v>5</v>
      </c>
      <c r="C106" s="1">
        <v>7.6829999999999998</v>
      </c>
      <c r="D106" s="1">
        <v>0.02</v>
      </c>
      <c r="E106" s="1" t="s">
        <v>34</v>
      </c>
      <c r="F106" s="1" t="s">
        <v>22</v>
      </c>
      <c r="G106" s="1" t="s">
        <v>36</v>
      </c>
      <c r="H106" s="1">
        <v>65</v>
      </c>
      <c r="I106" s="1">
        <v>94</v>
      </c>
      <c r="J106" s="1" t="s">
        <v>68</v>
      </c>
      <c r="K106" s="1"/>
      <c r="L106" s="1"/>
      <c r="M106" s="1" t="s">
        <v>40</v>
      </c>
      <c r="N106" s="1"/>
      <c r="O106" s="1">
        <v>6.4219999999999997</v>
      </c>
      <c r="P106" s="1">
        <v>9.5579999999999998</v>
      </c>
      <c r="Q106" s="1"/>
      <c r="R106" s="1"/>
      <c r="S106" s="1" t="s">
        <v>41</v>
      </c>
      <c r="T106" s="1">
        <v>1</v>
      </c>
      <c r="U106" s="1"/>
      <c r="V106" s="1"/>
      <c r="W106" s="1"/>
      <c r="X106" s="1"/>
      <c r="Y106" s="1" t="s">
        <v>42</v>
      </c>
      <c r="Z106" s="1" t="s">
        <v>43</v>
      </c>
    </row>
    <row r="107" spans="1:26" ht="30" x14ac:dyDescent="0.25">
      <c r="A107" s="1">
        <v>2457121.9746599998</v>
      </c>
      <c r="B107" s="1" t="s">
        <v>5</v>
      </c>
      <c r="C107" s="1">
        <v>7.8620000000000001</v>
      </c>
      <c r="D107" s="1">
        <v>0.02</v>
      </c>
      <c r="E107" s="1" t="s">
        <v>34</v>
      </c>
      <c r="F107" s="1" t="s">
        <v>22</v>
      </c>
      <c r="G107" s="1" t="s">
        <v>36</v>
      </c>
      <c r="H107" s="1">
        <v>65</v>
      </c>
      <c r="I107" s="1">
        <v>94</v>
      </c>
      <c r="J107" s="1" t="s">
        <v>68</v>
      </c>
      <c r="K107" s="1"/>
      <c r="L107" s="1"/>
      <c r="M107" s="1" t="s">
        <v>40</v>
      </c>
      <c r="N107" s="1"/>
      <c r="O107" s="1">
        <v>6.4219999999999997</v>
      </c>
      <c r="P107" s="1">
        <v>9.5120000000000005</v>
      </c>
      <c r="Q107" s="1"/>
      <c r="R107" s="1"/>
      <c r="S107" s="1" t="s">
        <v>41</v>
      </c>
      <c r="T107" s="1">
        <v>1</v>
      </c>
      <c r="U107" s="1"/>
      <c r="V107" s="1"/>
      <c r="W107" s="1"/>
      <c r="X107" s="1"/>
      <c r="Y107" s="1" t="s">
        <v>42</v>
      </c>
      <c r="Z107" s="1" t="s">
        <v>43</v>
      </c>
    </row>
    <row r="108" spans="1:26" ht="30" x14ac:dyDescent="0.25">
      <c r="A108" s="1">
        <v>2457122.8922199998</v>
      </c>
      <c r="B108" s="1" t="s">
        <v>6</v>
      </c>
      <c r="C108" s="1">
        <v>8.0060000000000002</v>
      </c>
      <c r="D108" s="1">
        <v>0.02</v>
      </c>
      <c r="E108" s="1" t="s">
        <v>34</v>
      </c>
      <c r="F108" s="1" t="s">
        <v>22</v>
      </c>
      <c r="G108" s="1" t="s">
        <v>36</v>
      </c>
      <c r="H108" s="1">
        <v>65</v>
      </c>
      <c r="I108" s="1">
        <v>94</v>
      </c>
      <c r="J108" s="1" t="s">
        <v>68</v>
      </c>
      <c r="K108" s="1"/>
      <c r="L108" s="1"/>
      <c r="M108" s="1" t="s">
        <v>40</v>
      </c>
      <c r="N108" s="1"/>
      <c r="O108" s="1">
        <v>6.4219999999999997</v>
      </c>
      <c r="P108" s="1">
        <v>9.532</v>
      </c>
      <c r="Q108" s="1"/>
      <c r="R108" s="1"/>
      <c r="S108" s="1" t="s">
        <v>41</v>
      </c>
      <c r="T108" s="1">
        <v>1</v>
      </c>
      <c r="U108" s="1"/>
      <c r="V108" s="1"/>
      <c r="W108" s="1"/>
      <c r="X108" s="1"/>
      <c r="Y108" s="1" t="s">
        <v>42</v>
      </c>
      <c r="Z108" s="1" t="s">
        <v>43</v>
      </c>
    </row>
    <row r="109" spans="1:26" ht="30" x14ac:dyDescent="0.25">
      <c r="A109" s="1">
        <v>2457122.93347</v>
      </c>
      <c r="B109" s="1" t="s">
        <v>6</v>
      </c>
      <c r="C109" s="1">
        <v>7.5960000000000001</v>
      </c>
      <c r="D109" s="1">
        <v>0.02</v>
      </c>
      <c r="E109" s="1" t="s">
        <v>34</v>
      </c>
      <c r="F109" s="1" t="s">
        <v>22</v>
      </c>
      <c r="G109" s="1" t="s">
        <v>36</v>
      </c>
      <c r="H109" s="1">
        <v>65</v>
      </c>
      <c r="I109" s="1">
        <v>94</v>
      </c>
      <c r="J109" s="1" t="s">
        <v>68</v>
      </c>
      <c r="K109" s="1"/>
      <c r="L109" s="1"/>
      <c r="M109" s="1" t="s">
        <v>40</v>
      </c>
      <c r="N109" s="1"/>
      <c r="O109" s="1">
        <v>6.4219999999999997</v>
      </c>
      <c r="P109" s="1">
        <v>9.5510000000000002</v>
      </c>
      <c r="Q109" s="1"/>
      <c r="R109" s="1"/>
      <c r="S109" s="1" t="s">
        <v>41</v>
      </c>
      <c r="T109" s="1">
        <v>1</v>
      </c>
      <c r="U109" s="1"/>
      <c r="V109" s="1"/>
      <c r="W109" s="1"/>
      <c r="X109" s="1"/>
      <c r="Y109" s="1" t="s">
        <v>42</v>
      </c>
      <c r="Z109" s="1" t="s">
        <v>43</v>
      </c>
    </row>
    <row r="110" spans="1:26" ht="30" x14ac:dyDescent="0.25">
      <c r="A110" s="1">
        <v>2457122.9443299999</v>
      </c>
      <c r="B110" s="1" t="s">
        <v>6</v>
      </c>
      <c r="C110" s="1">
        <v>7.7030000000000003</v>
      </c>
      <c r="D110" s="1">
        <v>0.02</v>
      </c>
      <c r="E110" s="1" t="s">
        <v>34</v>
      </c>
      <c r="F110" s="1" t="s">
        <v>22</v>
      </c>
      <c r="G110" s="1" t="s">
        <v>36</v>
      </c>
      <c r="H110" s="1">
        <v>65</v>
      </c>
      <c r="I110" s="1">
        <v>94</v>
      </c>
      <c r="J110" s="1" t="s">
        <v>68</v>
      </c>
      <c r="K110" s="1"/>
      <c r="L110" s="1"/>
      <c r="M110" s="1" t="s">
        <v>40</v>
      </c>
      <c r="N110" s="1"/>
      <c r="O110" s="1">
        <v>6.4219999999999997</v>
      </c>
      <c r="P110" s="1">
        <v>9.5690000000000008</v>
      </c>
      <c r="Q110" s="1"/>
      <c r="R110" s="1"/>
      <c r="S110" s="1" t="s">
        <v>41</v>
      </c>
      <c r="T110" s="1">
        <v>1</v>
      </c>
      <c r="U110" s="1"/>
      <c r="V110" s="1"/>
      <c r="W110" s="1"/>
      <c r="X110" s="1"/>
      <c r="Y110" s="1" t="s">
        <v>42</v>
      </c>
      <c r="Z110" s="1" t="s">
        <v>43</v>
      </c>
    </row>
    <row r="111" spans="1:26" ht="30" x14ac:dyDescent="0.25">
      <c r="A111" s="1">
        <v>2457122.9551300001</v>
      </c>
      <c r="B111" s="1" t="s">
        <v>6</v>
      </c>
      <c r="C111" s="1">
        <v>7.82</v>
      </c>
      <c r="D111" s="1">
        <v>0.02</v>
      </c>
      <c r="E111" s="1" t="s">
        <v>34</v>
      </c>
      <c r="F111" s="1" t="s">
        <v>22</v>
      </c>
      <c r="G111" s="1" t="s">
        <v>36</v>
      </c>
      <c r="H111" s="1">
        <v>65</v>
      </c>
      <c r="I111" s="1">
        <v>94</v>
      </c>
      <c r="J111" s="1" t="s">
        <v>68</v>
      </c>
      <c r="K111" s="1"/>
      <c r="L111" s="1"/>
      <c r="M111" s="1" t="s">
        <v>40</v>
      </c>
      <c r="N111" s="1"/>
      <c r="O111" s="1">
        <v>6.4219999999999997</v>
      </c>
      <c r="P111" s="1">
        <v>9.5389999999999997</v>
      </c>
      <c r="Q111" s="1"/>
      <c r="R111" s="1"/>
      <c r="S111" s="1" t="s">
        <v>41</v>
      </c>
      <c r="T111" s="1">
        <v>1</v>
      </c>
      <c r="U111" s="1"/>
      <c r="V111" s="1"/>
      <c r="W111" s="1"/>
      <c r="X111" s="1"/>
      <c r="Y111" s="1" t="s">
        <v>42</v>
      </c>
      <c r="Z111" s="1" t="s">
        <v>43</v>
      </c>
    </row>
    <row r="112" spans="1:26" ht="30" x14ac:dyDescent="0.25">
      <c r="A112" s="1">
        <v>2457122.96594</v>
      </c>
      <c r="B112" s="1" t="s">
        <v>6</v>
      </c>
      <c r="C112" s="1">
        <v>7.8559999999999999</v>
      </c>
      <c r="D112" s="1">
        <v>0.02</v>
      </c>
      <c r="E112" s="1" t="s">
        <v>34</v>
      </c>
      <c r="F112" s="1" t="s">
        <v>22</v>
      </c>
      <c r="G112" s="1" t="s">
        <v>36</v>
      </c>
      <c r="H112" s="1">
        <v>65</v>
      </c>
      <c r="I112" s="1">
        <v>94</v>
      </c>
      <c r="J112" s="1" t="s">
        <v>68</v>
      </c>
      <c r="K112" s="1"/>
      <c r="L112" s="1"/>
      <c r="M112" s="1" t="s">
        <v>40</v>
      </c>
      <c r="N112" s="1"/>
      <c r="O112" s="1">
        <v>6.4219999999999997</v>
      </c>
      <c r="P112" s="1">
        <v>9.52</v>
      </c>
      <c r="Q112" s="1"/>
      <c r="R112" s="1"/>
      <c r="S112" s="1" t="s">
        <v>41</v>
      </c>
      <c r="T112" s="1">
        <v>1</v>
      </c>
      <c r="U112" s="1"/>
      <c r="V112" s="1"/>
      <c r="W112" s="1"/>
      <c r="X112" s="1"/>
      <c r="Y112" s="1" t="s">
        <v>42</v>
      </c>
      <c r="Z112" s="1" t="s">
        <v>43</v>
      </c>
    </row>
    <row r="113" spans="1:26" ht="30" x14ac:dyDescent="0.25">
      <c r="A113" s="1">
        <v>2457124.8501900001</v>
      </c>
      <c r="B113" s="1" t="s">
        <v>74</v>
      </c>
      <c r="C113" s="1">
        <v>7.8280000000000003</v>
      </c>
      <c r="D113" s="1">
        <v>3.0000000000000001E-3</v>
      </c>
      <c r="E113" s="1" t="s">
        <v>34</v>
      </c>
      <c r="F113" s="1" t="s">
        <v>71</v>
      </c>
      <c r="G113" s="1" t="s">
        <v>36</v>
      </c>
      <c r="H113" s="1" t="s">
        <v>37</v>
      </c>
      <c r="I113" s="1" t="s">
        <v>72</v>
      </c>
      <c r="J113" s="1">
        <v>150509</v>
      </c>
      <c r="K113" s="1"/>
      <c r="L113" s="1"/>
      <c r="M113" s="1" t="s">
        <v>40</v>
      </c>
      <c r="N113" s="1">
        <v>1.115</v>
      </c>
      <c r="O113" s="1"/>
      <c r="P113" s="1">
        <v>8.7829999999999995</v>
      </c>
      <c r="Q113" s="1"/>
      <c r="R113" s="1"/>
      <c r="S113" s="1" t="s">
        <v>41</v>
      </c>
      <c r="T113" s="1">
        <v>0</v>
      </c>
      <c r="U113" s="1"/>
      <c r="V113" s="1"/>
      <c r="W113" s="1"/>
      <c r="X113" s="1"/>
      <c r="Y113" s="1" t="s">
        <v>42</v>
      </c>
      <c r="Z113" s="1" t="s">
        <v>43</v>
      </c>
    </row>
    <row r="114" spans="1:26" ht="30" x14ac:dyDescent="0.25">
      <c r="A114" s="1">
        <v>2457124.85176</v>
      </c>
      <c r="B114" s="1" t="s">
        <v>74</v>
      </c>
      <c r="C114" s="1">
        <v>7.8410000000000002</v>
      </c>
      <c r="D114" s="1">
        <v>2E-3</v>
      </c>
      <c r="E114" s="1" t="s">
        <v>34</v>
      </c>
      <c r="F114" s="1" t="s">
        <v>71</v>
      </c>
      <c r="G114" s="1" t="s">
        <v>36</v>
      </c>
      <c r="H114" s="1" t="s">
        <v>37</v>
      </c>
      <c r="I114" s="1" t="s">
        <v>72</v>
      </c>
      <c r="J114" s="1">
        <v>150509</v>
      </c>
      <c r="K114" s="1"/>
      <c r="L114" s="1"/>
      <c r="M114" s="1" t="s">
        <v>40</v>
      </c>
      <c r="N114" s="1">
        <v>1.111</v>
      </c>
      <c r="O114" s="1"/>
      <c r="P114" s="1">
        <v>8.8140000000000001</v>
      </c>
      <c r="Q114" s="1"/>
      <c r="R114" s="1"/>
      <c r="S114" s="1" t="s">
        <v>41</v>
      </c>
      <c r="T114" s="1">
        <v>0</v>
      </c>
      <c r="U114" s="1"/>
      <c r="V114" s="1"/>
      <c r="W114" s="1"/>
      <c r="X114" s="1"/>
      <c r="Y114" s="1" t="s">
        <v>42</v>
      </c>
      <c r="Z114" s="1" t="s">
        <v>43</v>
      </c>
    </row>
    <row r="115" spans="1:26" ht="30" x14ac:dyDescent="0.25">
      <c r="A115" s="1">
        <v>2457124.8534599999</v>
      </c>
      <c r="B115" s="1" t="s">
        <v>74</v>
      </c>
      <c r="C115" s="1">
        <v>7.9489999999999998</v>
      </c>
      <c r="D115" s="1">
        <v>3.0000000000000001E-3</v>
      </c>
      <c r="E115" s="1" t="s">
        <v>34</v>
      </c>
      <c r="F115" s="1" t="s">
        <v>71</v>
      </c>
      <c r="G115" s="1" t="s">
        <v>36</v>
      </c>
      <c r="H115" s="1" t="s">
        <v>37</v>
      </c>
      <c r="I115" s="1" t="s">
        <v>72</v>
      </c>
      <c r="J115" s="1">
        <v>150509</v>
      </c>
      <c r="K115" s="1"/>
      <c r="L115" s="1"/>
      <c r="M115" s="1" t="s">
        <v>40</v>
      </c>
      <c r="N115" s="1">
        <v>1.1100000000000001</v>
      </c>
      <c r="O115" s="1"/>
      <c r="P115" s="1">
        <v>8.8539999999999992</v>
      </c>
      <c r="Q115" s="1"/>
      <c r="R115" s="1"/>
      <c r="S115" s="1" t="s">
        <v>41</v>
      </c>
      <c r="T115" s="1">
        <v>0</v>
      </c>
      <c r="U115" s="1"/>
      <c r="V115" s="1"/>
      <c r="W115" s="1"/>
      <c r="X115" s="1"/>
      <c r="Y115" s="1" t="s">
        <v>42</v>
      </c>
      <c r="Z115" s="1" t="s">
        <v>43</v>
      </c>
    </row>
    <row r="116" spans="1:26" ht="30" x14ac:dyDescent="0.25">
      <c r="A116" s="1">
        <v>2457125.8460499998</v>
      </c>
      <c r="B116" s="1" t="s">
        <v>75</v>
      </c>
      <c r="C116" s="1">
        <v>7.9160000000000004</v>
      </c>
      <c r="D116" s="1">
        <v>2E-3</v>
      </c>
      <c r="E116" s="1" t="s">
        <v>34</v>
      </c>
      <c r="F116" s="1" t="s">
        <v>71</v>
      </c>
      <c r="G116" s="1" t="s">
        <v>36</v>
      </c>
      <c r="H116" s="1" t="s">
        <v>37</v>
      </c>
      <c r="I116" s="1" t="s">
        <v>72</v>
      </c>
      <c r="J116" s="1">
        <v>150509</v>
      </c>
      <c r="K116" s="1"/>
      <c r="L116" s="1"/>
      <c r="M116" s="1" t="s">
        <v>40</v>
      </c>
      <c r="N116" s="1">
        <v>1.1160000000000001</v>
      </c>
      <c r="O116" s="1"/>
      <c r="P116" s="1">
        <v>8.8089999999999993</v>
      </c>
      <c r="Q116" s="1"/>
      <c r="R116" s="1"/>
      <c r="S116" s="1" t="s">
        <v>41</v>
      </c>
      <c r="T116" s="1">
        <v>0</v>
      </c>
      <c r="U116" s="1"/>
      <c r="V116" s="1"/>
      <c r="W116" s="1"/>
      <c r="X116" s="1"/>
      <c r="Y116" s="1" t="s">
        <v>42</v>
      </c>
      <c r="Z116" s="1" t="s">
        <v>43</v>
      </c>
    </row>
    <row r="117" spans="1:26" ht="30" x14ac:dyDescent="0.25">
      <c r="A117" s="1">
        <v>2457125.84791</v>
      </c>
      <c r="B117" s="1" t="s">
        <v>75</v>
      </c>
      <c r="C117" s="1">
        <v>7.8920000000000003</v>
      </c>
      <c r="D117" s="1">
        <v>2E-3</v>
      </c>
      <c r="E117" s="1" t="s">
        <v>34</v>
      </c>
      <c r="F117" s="1" t="s">
        <v>71</v>
      </c>
      <c r="G117" s="1" t="s">
        <v>36</v>
      </c>
      <c r="H117" s="1" t="s">
        <v>37</v>
      </c>
      <c r="I117" s="1" t="s">
        <v>72</v>
      </c>
      <c r="J117" s="1">
        <v>150509</v>
      </c>
      <c r="K117" s="1"/>
      <c r="L117" s="1"/>
      <c r="M117" s="1" t="s">
        <v>40</v>
      </c>
      <c r="N117" s="1">
        <v>1.1120000000000001</v>
      </c>
      <c r="O117" s="1"/>
      <c r="P117" s="1">
        <v>8.81</v>
      </c>
      <c r="Q117" s="1"/>
      <c r="R117" s="1"/>
      <c r="S117" s="1" t="s">
        <v>41</v>
      </c>
      <c r="T117" s="1">
        <v>0</v>
      </c>
      <c r="U117" s="1"/>
      <c r="V117" s="1"/>
      <c r="W117" s="1"/>
      <c r="X117" s="1"/>
      <c r="Y117" s="1" t="s">
        <v>42</v>
      </c>
      <c r="Z117" s="1" t="s">
        <v>43</v>
      </c>
    </row>
    <row r="118" spans="1:26" ht="30" x14ac:dyDescent="0.25">
      <c r="A118" s="1">
        <v>2457125.8495</v>
      </c>
      <c r="B118" s="1" t="s">
        <v>75</v>
      </c>
      <c r="C118" s="1">
        <v>7.8479999999999999</v>
      </c>
      <c r="D118" s="1">
        <v>2E-3</v>
      </c>
      <c r="E118" s="1" t="s">
        <v>34</v>
      </c>
      <c r="F118" s="1" t="s">
        <v>71</v>
      </c>
      <c r="G118" s="1" t="s">
        <v>36</v>
      </c>
      <c r="H118" s="1" t="s">
        <v>37</v>
      </c>
      <c r="I118" s="1" t="s">
        <v>72</v>
      </c>
      <c r="J118" s="1">
        <v>150509</v>
      </c>
      <c r="K118" s="1"/>
      <c r="L118" s="1"/>
      <c r="M118" s="1" t="s">
        <v>40</v>
      </c>
      <c r="N118" s="1">
        <v>1.1100000000000001</v>
      </c>
      <c r="O118" s="1"/>
      <c r="P118" s="1">
        <v>8.7870000000000008</v>
      </c>
      <c r="Q118" s="1"/>
      <c r="R118" s="1"/>
      <c r="S118" s="1" t="s">
        <v>41</v>
      </c>
      <c r="T118" s="1">
        <v>0</v>
      </c>
      <c r="U118" s="1"/>
      <c r="V118" s="1"/>
      <c r="W118" s="1"/>
      <c r="X118" s="1"/>
      <c r="Y118" s="1" t="s">
        <v>42</v>
      </c>
      <c r="Z118" s="1" t="s">
        <v>43</v>
      </c>
    </row>
    <row r="119" spans="1:26" ht="30" x14ac:dyDescent="0.25">
      <c r="A119" s="1">
        <v>2457126.86644</v>
      </c>
      <c r="B119" s="1" t="s">
        <v>7</v>
      </c>
      <c r="C119" s="1">
        <v>7.5549999999999997</v>
      </c>
      <c r="D119" s="1">
        <v>0.02</v>
      </c>
      <c r="E119" s="1" t="s">
        <v>34</v>
      </c>
      <c r="F119" s="1" t="s">
        <v>22</v>
      </c>
      <c r="G119" s="1" t="s">
        <v>36</v>
      </c>
      <c r="H119" s="1">
        <v>65</v>
      </c>
      <c r="I119" s="1">
        <v>94</v>
      </c>
      <c r="J119" s="1" t="s">
        <v>68</v>
      </c>
      <c r="K119" s="1"/>
      <c r="L119" s="1"/>
      <c r="M119" s="1" t="s">
        <v>40</v>
      </c>
      <c r="N119" s="1"/>
      <c r="O119" s="1">
        <v>6.4219999999999997</v>
      </c>
      <c r="P119" s="1">
        <v>9.577</v>
      </c>
      <c r="Q119" s="1"/>
      <c r="R119" s="1"/>
      <c r="S119" s="1" t="s">
        <v>41</v>
      </c>
      <c r="T119" s="1">
        <v>1</v>
      </c>
      <c r="U119" s="1"/>
      <c r="V119" s="1"/>
      <c r="W119" s="1"/>
      <c r="X119" s="1"/>
      <c r="Y119" s="1" t="s">
        <v>42</v>
      </c>
      <c r="Z119" s="1" t="s">
        <v>43</v>
      </c>
    </row>
    <row r="120" spans="1:26" ht="30" x14ac:dyDescent="0.25">
      <c r="A120" s="1">
        <v>2457126.8830400002</v>
      </c>
      <c r="B120" s="1" t="s">
        <v>7</v>
      </c>
      <c r="C120" s="1">
        <v>7.4240000000000004</v>
      </c>
      <c r="D120" s="1">
        <v>0.02</v>
      </c>
      <c r="E120" s="1" t="s">
        <v>34</v>
      </c>
      <c r="F120" s="1" t="s">
        <v>22</v>
      </c>
      <c r="G120" s="1" t="s">
        <v>36</v>
      </c>
      <c r="H120" s="1">
        <v>65</v>
      </c>
      <c r="I120" s="1">
        <v>94</v>
      </c>
      <c r="J120" s="1" t="s">
        <v>68</v>
      </c>
      <c r="K120" s="1"/>
      <c r="L120" s="1"/>
      <c r="M120" s="1" t="s">
        <v>40</v>
      </c>
      <c r="N120" s="1"/>
      <c r="O120" s="1">
        <v>6.4219999999999997</v>
      </c>
      <c r="P120" s="1">
        <v>9.5950000000000006</v>
      </c>
      <c r="Q120" s="1"/>
      <c r="R120" s="1"/>
      <c r="S120" s="1" t="s">
        <v>41</v>
      </c>
      <c r="T120" s="1">
        <v>1</v>
      </c>
      <c r="U120" s="1"/>
      <c r="V120" s="1"/>
      <c r="W120" s="1"/>
      <c r="X120" s="1"/>
      <c r="Y120" s="1" t="s">
        <v>42</v>
      </c>
      <c r="Z120" s="1" t="s">
        <v>43</v>
      </c>
    </row>
    <row r="121" spans="1:26" ht="30" x14ac:dyDescent="0.25">
      <c r="A121" s="1">
        <v>2457126.89854</v>
      </c>
      <c r="B121" s="1" t="s">
        <v>7</v>
      </c>
      <c r="C121" s="1">
        <v>7.476</v>
      </c>
      <c r="D121" s="1">
        <v>0.02</v>
      </c>
      <c r="E121" s="1" t="s">
        <v>34</v>
      </c>
      <c r="F121" s="1" t="s">
        <v>22</v>
      </c>
      <c r="G121" s="1" t="s">
        <v>36</v>
      </c>
      <c r="H121" s="1">
        <v>65</v>
      </c>
      <c r="I121" s="1">
        <v>94</v>
      </c>
      <c r="J121" s="1" t="s">
        <v>68</v>
      </c>
      <c r="K121" s="1"/>
      <c r="L121" s="1"/>
      <c r="M121" s="1" t="s">
        <v>40</v>
      </c>
      <c r="N121" s="1"/>
      <c r="O121" s="1">
        <v>6.4219999999999997</v>
      </c>
      <c r="P121" s="1">
        <v>9.57</v>
      </c>
      <c r="Q121" s="1"/>
      <c r="R121" s="1"/>
      <c r="S121" s="1" t="s">
        <v>41</v>
      </c>
      <c r="T121" s="1">
        <v>1</v>
      </c>
      <c r="U121" s="1"/>
      <c r="V121" s="1"/>
      <c r="W121" s="1"/>
      <c r="X121" s="1"/>
      <c r="Y121" s="1" t="s">
        <v>42</v>
      </c>
      <c r="Z121" s="1" t="s">
        <v>43</v>
      </c>
    </row>
    <row r="122" spans="1:26" ht="30" x14ac:dyDescent="0.25">
      <c r="A122" s="1">
        <v>2457126.9394399999</v>
      </c>
      <c r="B122" s="1" t="s">
        <v>7</v>
      </c>
      <c r="C122" s="1">
        <v>7.4989999999999997</v>
      </c>
      <c r="D122" s="1">
        <v>0.02</v>
      </c>
      <c r="E122" s="1" t="s">
        <v>34</v>
      </c>
      <c r="F122" s="1" t="s">
        <v>22</v>
      </c>
      <c r="G122" s="1" t="s">
        <v>36</v>
      </c>
      <c r="H122" s="1">
        <v>65</v>
      </c>
      <c r="I122" s="1">
        <v>94</v>
      </c>
      <c r="J122" s="1" t="s">
        <v>68</v>
      </c>
      <c r="K122" s="1"/>
      <c r="L122" s="1"/>
      <c r="M122" s="1" t="s">
        <v>40</v>
      </c>
      <c r="N122" s="1"/>
      <c r="O122" s="1">
        <v>6.4219999999999997</v>
      </c>
      <c r="P122" s="1">
        <v>9.5020000000000007</v>
      </c>
      <c r="Q122" s="1"/>
      <c r="R122" s="1"/>
      <c r="S122" s="1" t="s">
        <v>41</v>
      </c>
      <c r="T122" s="1">
        <v>1</v>
      </c>
      <c r="U122" s="1"/>
      <c r="V122" s="1"/>
      <c r="W122" s="1"/>
      <c r="X122" s="1"/>
      <c r="Y122" s="1" t="s">
        <v>42</v>
      </c>
      <c r="Z122" s="1" t="s">
        <v>43</v>
      </c>
    </row>
    <row r="123" spans="1:26" ht="30" x14ac:dyDescent="0.25">
      <c r="A123" s="1">
        <v>2457126.9501399999</v>
      </c>
      <c r="B123" s="1" t="s">
        <v>7</v>
      </c>
      <c r="C123" s="1">
        <v>7.4660000000000002</v>
      </c>
      <c r="D123" s="1">
        <v>0.02</v>
      </c>
      <c r="E123" s="1" t="s">
        <v>34</v>
      </c>
      <c r="F123" s="1" t="s">
        <v>22</v>
      </c>
      <c r="G123" s="1" t="s">
        <v>36</v>
      </c>
      <c r="H123" s="1">
        <v>65</v>
      </c>
      <c r="I123" s="1">
        <v>94</v>
      </c>
      <c r="J123" s="1" t="s">
        <v>68</v>
      </c>
      <c r="K123" s="1"/>
      <c r="L123" s="1"/>
      <c r="M123" s="1" t="s">
        <v>40</v>
      </c>
      <c r="N123" s="1"/>
      <c r="O123" s="1">
        <v>6.4219999999999997</v>
      </c>
      <c r="P123" s="1">
        <v>9.5310000000000006</v>
      </c>
      <c r="Q123" s="1"/>
      <c r="R123" s="1"/>
      <c r="S123" s="1" t="s">
        <v>41</v>
      </c>
      <c r="T123" s="1">
        <v>1</v>
      </c>
      <c r="U123" s="1"/>
      <c r="V123" s="1"/>
      <c r="W123" s="1"/>
      <c r="X123" s="1"/>
      <c r="Y123" s="1" t="s">
        <v>42</v>
      </c>
      <c r="Z123" s="1" t="s">
        <v>43</v>
      </c>
    </row>
    <row r="124" spans="1:26" ht="30" x14ac:dyDescent="0.25">
      <c r="A124" s="1">
        <v>2457126.9607500001</v>
      </c>
      <c r="B124" s="1" t="s">
        <v>7</v>
      </c>
      <c r="C124" s="1">
        <v>7.3390000000000004</v>
      </c>
      <c r="D124" s="1">
        <v>0.02</v>
      </c>
      <c r="E124" s="1" t="s">
        <v>34</v>
      </c>
      <c r="F124" s="1" t="s">
        <v>22</v>
      </c>
      <c r="G124" s="1" t="s">
        <v>36</v>
      </c>
      <c r="H124" s="1">
        <v>65</v>
      </c>
      <c r="I124" s="1">
        <v>94</v>
      </c>
      <c r="J124" s="1" t="s">
        <v>68</v>
      </c>
      <c r="K124" s="1"/>
      <c r="L124" s="1"/>
      <c r="M124" s="1" t="s">
        <v>40</v>
      </c>
      <c r="N124" s="1"/>
      <c r="O124" s="1">
        <v>6.4219999999999997</v>
      </c>
      <c r="P124" s="1">
        <v>9.5670000000000002</v>
      </c>
      <c r="Q124" s="1"/>
      <c r="R124" s="1"/>
      <c r="S124" s="1" t="s">
        <v>41</v>
      </c>
      <c r="T124" s="1">
        <v>1</v>
      </c>
      <c r="U124" s="1"/>
      <c r="V124" s="1"/>
      <c r="W124" s="1"/>
      <c r="X124" s="1"/>
      <c r="Y124" s="1" t="s">
        <v>42</v>
      </c>
      <c r="Z124" s="1" t="s">
        <v>43</v>
      </c>
    </row>
    <row r="125" spans="1:26" ht="30" x14ac:dyDescent="0.25">
      <c r="A125" s="1">
        <v>2457126.97138</v>
      </c>
      <c r="B125" s="1" t="s">
        <v>7</v>
      </c>
      <c r="C125" s="1">
        <v>7.4790000000000001</v>
      </c>
      <c r="D125" s="1">
        <v>0.02</v>
      </c>
      <c r="E125" s="1" t="s">
        <v>34</v>
      </c>
      <c r="F125" s="1" t="s">
        <v>22</v>
      </c>
      <c r="G125" s="1" t="s">
        <v>36</v>
      </c>
      <c r="H125" s="1">
        <v>65</v>
      </c>
      <c r="I125" s="1">
        <v>94</v>
      </c>
      <c r="J125" s="1" t="s">
        <v>68</v>
      </c>
      <c r="K125" s="1"/>
      <c r="L125" s="1"/>
      <c r="M125" s="1" t="s">
        <v>40</v>
      </c>
      <c r="N125" s="1"/>
      <c r="O125" s="1">
        <v>6.4219999999999997</v>
      </c>
      <c r="P125" s="1">
        <v>9.5519999999999996</v>
      </c>
      <c r="Q125" s="1"/>
      <c r="R125" s="1"/>
      <c r="S125" s="1" t="s">
        <v>41</v>
      </c>
      <c r="T125" s="1">
        <v>1</v>
      </c>
      <c r="U125" s="1"/>
      <c r="V125" s="1"/>
      <c r="W125" s="1"/>
      <c r="X125" s="1"/>
      <c r="Y125" s="1" t="s">
        <v>42</v>
      </c>
      <c r="Z125" s="1" t="s">
        <v>43</v>
      </c>
    </row>
    <row r="126" spans="1:26" ht="30" x14ac:dyDescent="0.25">
      <c r="A126" s="1">
        <v>2457127.89671</v>
      </c>
      <c r="B126" s="1" t="s">
        <v>8</v>
      </c>
      <c r="C126" s="1">
        <v>7.8579999999999997</v>
      </c>
      <c r="D126" s="1">
        <v>0.02</v>
      </c>
      <c r="E126" s="1" t="s">
        <v>34</v>
      </c>
      <c r="F126" s="1" t="s">
        <v>22</v>
      </c>
      <c r="G126" s="1" t="s">
        <v>36</v>
      </c>
      <c r="H126" s="1">
        <v>65</v>
      </c>
      <c r="I126" s="1">
        <v>94</v>
      </c>
      <c r="J126" s="1" t="s">
        <v>68</v>
      </c>
      <c r="K126" s="1"/>
      <c r="L126" s="1"/>
      <c r="M126" s="1" t="s">
        <v>40</v>
      </c>
      <c r="N126" s="1"/>
      <c r="O126" s="1">
        <v>6.4219999999999997</v>
      </c>
      <c r="P126" s="1">
        <v>9.5749999999999993</v>
      </c>
      <c r="Q126" s="1"/>
      <c r="R126" s="1"/>
      <c r="S126" s="1" t="s">
        <v>41</v>
      </c>
      <c r="T126" s="1">
        <v>1</v>
      </c>
      <c r="U126" s="1"/>
      <c r="V126" s="1"/>
      <c r="W126" s="1"/>
      <c r="X126" s="1"/>
      <c r="Y126" s="1" t="s">
        <v>42</v>
      </c>
      <c r="Z126" s="1" t="s">
        <v>43</v>
      </c>
    </row>
    <row r="127" spans="1:26" ht="30" x14ac:dyDescent="0.25">
      <c r="A127" s="1">
        <v>2457127.9045299999</v>
      </c>
      <c r="B127" s="1" t="s">
        <v>8</v>
      </c>
      <c r="C127" s="1">
        <v>7.7060000000000004</v>
      </c>
      <c r="D127" s="1">
        <v>0.02</v>
      </c>
      <c r="E127" s="1" t="s">
        <v>34</v>
      </c>
      <c r="F127" s="1" t="s">
        <v>22</v>
      </c>
      <c r="G127" s="1" t="s">
        <v>36</v>
      </c>
      <c r="H127" s="1">
        <v>65</v>
      </c>
      <c r="I127" s="1">
        <v>94</v>
      </c>
      <c r="J127" s="1" t="s">
        <v>68</v>
      </c>
      <c r="K127" s="1"/>
      <c r="L127" s="1"/>
      <c r="M127" s="1" t="s">
        <v>40</v>
      </c>
      <c r="N127" s="1"/>
      <c r="O127" s="1">
        <v>6.4219999999999997</v>
      </c>
      <c r="P127" s="1">
        <v>9.5459999999999994</v>
      </c>
      <c r="Q127" s="1"/>
      <c r="R127" s="1"/>
      <c r="S127" s="1" t="s">
        <v>41</v>
      </c>
      <c r="T127" s="1">
        <v>1</v>
      </c>
      <c r="U127" s="1"/>
      <c r="V127" s="1"/>
      <c r="W127" s="1"/>
      <c r="X127" s="1"/>
      <c r="Y127" s="1" t="s">
        <v>42</v>
      </c>
      <c r="Z127" s="1" t="s">
        <v>43</v>
      </c>
    </row>
    <row r="128" spans="1:26" ht="30" x14ac:dyDescent="0.25">
      <c r="A128" s="1">
        <v>2457127.9151900001</v>
      </c>
      <c r="B128" s="1" t="s">
        <v>8</v>
      </c>
      <c r="C128" s="1">
        <v>7.976</v>
      </c>
      <c r="D128" s="1">
        <v>0.02</v>
      </c>
      <c r="E128" s="1" t="s">
        <v>34</v>
      </c>
      <c r="F128" s="1" t="s">
        <v>22</v>
      </c>
      <c r="G128" s="1" t="s">
        <v>36</v>
      </c>
      <c r="H128" s="1">
        <v>65</v>
      </c>
      <c r="I128" s="1">
        <v>94</v>
      </c>
      <c r="J128" s="1" t="s">
        <v>68</v>
      </c>
      <c r="K128" s="1"/>
      <c r="L128" s="1"/>
      <c r="M128" s="1" t="s">
        <v>40</v>
      </c>
      <c r="N128" s="1"/>
      <c r="O128" s="1">
        <v>6.4219999999999997</v>
      </c>
      <c r="P128" s="1">
        <v>9.5890000000000004</v>
      </c>
      <c r="Q128" s="1"/>
      <c r="R128" s="1"/>
      <c r="S128" s="1" t="s">
        <v>41</v>
      </c>
      <c r="T128" s="1">
        <v>1</v>
      </c>
      <c r="U128" s="1"/>
      <c r="V128" s="1"/>
      <c r="W128" s="1"/>
      <c r="X128" s="1"/>
      <c r="Y128" s="1" t="s">
        <v>42</v>
      </c>
      <c r="Z128" s="1" t="s">
        <v>43</v>
      </c>
    </row>
    <row r="129" spans="1:26" ht="30" x14ac:dyDescent="0.25">
      <c r="A129" s="1">
        <v>2457127.9259000001</v>
      </c>
      <c r="B129" s="1" t="s">
        <v>8</v>
      </c>
      <c r="C129" s="1">
        <v>7.9390000000000001</v>
      </c>
      <c r="D129" s="1">
        <v>0.02</v>
      </c>
      <c r="E129" s="1" t="s">
        <v>34</v>
      </c>
      <c r="F129" s="1" t="s">
        <v>22</v>
      </c>
      <c r="G129" s="1" t="s">
        <v>36</v>
      </c>
      <c r="H129" s="1">
        <v>65</v>
      </c>
      <c r="I129" s="1">
        <v>94</v>
      </c>
      <c r="J129" s="1" t="s">
        <v>68</v>
      </c>
      <c r="K129" s="1"/>
      <c r="L129" s="1"/>
      <c r="M129" s="1" t="s">
        <v>40</v>
      </c>
      <c r="N129" s="1"/>
      <c r="O129" s="1">
        <v>6.4219999999999997</v>
      </c>
      <c r="P129" s="1">
        <v>9.5779999999999994</v>
      </c>
      <c r="Q129" s="1"/>
      <c r="R129" s="1"/>
      <c r="S129" s="1" t="s">
        <v>41</v>
      </c>
      <c r="T129" s="1">
        <v>1</v>
      </c>
      <c r="U129" s="1"/>
      <c r="V129" s="1"/>
      <c r="W129" s="1"/>
      <c r="X129" s="1"/>
      <c r="Y129" s="1" t="s">
        <v>42</v>
      </c>
      <c r="Z129" s="1" t="s">
        <v>43</v>
      </c>
    </row>
    <row r="130" spans="1:26" ht="30" x14ac:dyDescent="0.25">
      <c r="A130" s="1">
        <v>2457127.9365699999</v>
      </c>
      <c r="B130" s="1" t="s">
        <v>8</v>
      </c>
      <c r="C130" s="1">
        <v>7.8559999999999999</v>
      </c>
      <c r="D130" s="1">
        <v>0.02</v>
      </c>
      <c r="E130" s="1" t="s">
        <v>34</v>
      </c>
      <c r="F130" s="1" t="s">
        <v>22</v>
      </c>
      <c r="G130" s="1" t="s">
        <v>36</v>
      </c>
      <c r="H130" s="1">
        <v>65</v>
      </c>
      <c r="I130" s="1">
        <v>94</v>
      </c>
      <c r="J130" s="1" t="s">
        <v>68</v>
      </c>
      <c r="K130" s="1"/>
      <c r="L130" s="1"/>
      <c r="M130" s="1" t="s">
        <v>40</v>
      </c>
      <c r="N130" s="1"/>
      <c r="O130" s="1">
        <v>6.4219999999999997</v>
      </c>
      <c r="P130" s="1">
        <v>9.5410000000000004</v>
      </c>
      <c r="Q130" s="1"/>
      <c r="R130" s="1"/>
      <c r="S130" s="1" t="s">
        <v>41</v>
      </c>
      <c r="T130" s="1">
        <v>1</v>
      </c>
      <c r="U130" s="1"/>
      <c r="V130" s="1"/>
      <c r="W130" s="1"/>
      <c r="X130" s="1"/>
      <c r="Y130" s="1" t="s">
        <v>42</v>
      </c>
      <c r="Z130" s="1" t="s">
        <v>43</v>
      </c>
    </row>
    <row r="131" spans="1:26" ht="30" x14ac:dyDescent="0.25">
      <c r="A131" s="1">
        <v>2457127.94728</v>
      </c>
      <c r="B131" s="1" t="s">
        <v>8</v>
      </c>
      <c r="C131" s="1">
        <v>7.9009999999999998</v>
      </c>
      <c r="D131" s="1">
        <v>0.02</v>
      </c>
      <c r="E131" s="1" t="s">
        <v>34</v>
      </c>
      <c r="F131" s="1" t="s">
        <v>22</v>
      </c>
      <c r="G131" s="1" t="s">
        <v>36</v>
      </c>
      <c r="H131" s="1">
        <v>65</v>
      </c>
      <c r="I131" s="1">
        <v>94</v>
      </c>
      <c r="J131" s="1" t="s">
        <v>68</v>
      </c>
      <c r="K131" s="1"/>
      <c r="L131" s="1"/>
      <c r="M131" s="1" t="s">
        <v>40</v>
      </c>
      <c r="N131" s="1"/>
      <c r="O131" s="1">
        <v>6.4219999999999997</v>
      </c>
      <c r="P131" s="1">
        <v>9.5709999999999997</v>
      </c>
      <c r="Q131" s="1"/>
      <c r="R131" s="1"/>
      <c r="S131" s="1" t="s">
        <v>41</v>
      </c>
      <c r="T131" s="1">
        <v>1</v>
      </c>
      <c r="U131" s="1"/>
      <c r="V131" s="1"/>
      <c r="W131" s="1"/>
      <c r="X131" s="1"/>
      <c r="Y131" s="1" t="s">
        <v>42</v>
      </c>
      <c r="Z131" s="1" t="s">
        <v>43</v>
      </c>
    </row>
    <row r="132" spans="1:26" ht="30" x14ac:dyDescent="0.25">
      <c r="A132" s="1">
        <v>2457127.9579500002</v>
      </c>
      <c r="B132" s="1" t="s">
        <v>8</v>
      </c>
      <c r="C132" s="1">
        <v>7.9080000000000004</v>
      </c>
      <c r="D132" s="1">
        <v>0.02</v>
      </c>
      <c r="E132" s="1" t="s">
        <v>34</v>
      </c>
      <c r="F132" s="1" t="s">
        <v>22</v>
      </c>
      <c r="G132" s="1" t="s">
        <v>36</v>
      </c>
      <c r="H132" s="1">
        <v>65</v>
      </c>
      <c r="I132" s="1">
        <v>94</v>
      </c>
      <c r="J132" s="1" t="s">
        <v>68</v>
      </c>
      <c r="K132" s="1"/>
      <c r="L132" s="1"/>
      <c r="M132" s="1" t="s">
        <v>40</v>
      </c>
      <c r="N132" s="1"/>
      <c r="O132" s="1">
        <v>6.4219999999999997</v>
      </c>
      <c r="P132" s="1">
        <v>9.5329999999999995</v>
      </c>
      <c r="Q132" s="1"/>
      <c r="R132" s="1"/>
      <c r="S132" s="1" t="s">
        <v>41</v>
      </c>
      <c r="T132" s="1">
        <v>1</v>
      </c>
      <c r="U132" s="1"/>
      <c r="V132" s="1"/>
      <c r="W132" s="1"/>
      <c r="X132" s="1"/>
      <c r="Y132" s="1" t="s">
        <v>42</v>
      </c>
      <c r="Z132" s="1" t="s">
        <v>43</v>
      </c>
    </row>
    <row r="133" spans="1:26" ht="30" x14ac:dyDescent="0.25">
      <c r="A133" s="1">
        <v>2457127.96857</v>
      </c>
      <c r="B133" s="1" t="s">
        <v>8</v>
      </c>
      <c r="C133" s="1">
        <v>7.9779999999999998</v>
      </c>
      <c r="D133" s="1">
        <v>0.02</v>
      </c>
      <c r="E133" s="1" t="s">
        <v>34</v>
      </c>
      <c r="F133" s="1" t="s">
        <v>22</v>
      </c>
      <c r="G133" s="1" t="s">
        <v>36</v>
      </c>
      <c r="H133" s="1">
        <v>65</v>
      </c>
      <c r="I133" s="1">
        <v>94</v>
      </c>
      <c r="J133" s="1" t="s">
        <v>68</v>
      </c>
      <c r="K133" s="1"/>
      <c r="L133" s="1"/>
      <c r="M133" s="1" t="s">
        <v>40</v>
      </c>
      <c r="N133" s="1"/>
      <c r="O133" s="1">
        <v>6.4219999999999997</v>
      </c>
      <c r="P133" s="1">
        <v>9.69</v>
      </c>
      <c r="Q133" s="1"/>
      <c r="R133" s="1"/>
      <c r="S133" s="1" t="s">
        <v>41</v>
      </c>
      <c r="T133" s="1">
        <v>1</v>
      </c>
      <c r="U133" s="1"/>
      <c r="V133" s="1"/>
      <c r="W133" s="1"/>
      <c r="X133" s="1"/>
      <c r="Y133" s="1" t="s">
        <v>42</v>
      </c>
      <c r="Z133" s="1" t="s">
        <v>43</v>
      </c>
    </row>
    <row r="134" spans="1:26" ht="30" x14ac:dyDescent="0.25">
      <c r="A134" s="1">
        <v>2457129.8581300001</v>
      </c>
      <c r="B134" s="1" t="s">
        <v>9</v>
      </c>
      <c r="C134" s="1">
        <v>7.673</v>
      </c>
      <c r="D134" s="1">
        <v>0.02</v>
      </c>
      <c r="E134" s="1" t="s">
        <v>34</v>
      </c>
      <c r="F134" s="1" t="s">
        <v>22</v>
      </c>
      <c r="G134" s="1" t="s">
        <v>36</v>
      </c>
      <c r="H134" s="1">
        <v>65</v>
      </c>
      <c r="I134" s="1">
        <v>94</v>
      </c>
      <c r="J134" s="1" t="s">
        <v>68</v>
      </c>
      <c r="K134" s="1"/>
      <c r="L134" s="1"/>
      <c r="M134" s="1" t="s">
        <v>40</v>
      </c>
      <c r="N134" s="1"/>
      <c r="O134" s="1">
        <v>6.4219999999999997</v>
      </c>
      <c r="P134" s="1">
        <v>9.5739999999999998</v>
      </c>
      <c r="Q134" s="1"/>
      <c r="R134" s="1"/>
      <c r="S134" s="1" t="s">
        <v>41</v>
      </c>
      <c r="T134" s="1">
        <v>1</v>
      </c>
      <c r="U134" s="1"/>
      <c r="V134" s="1"/>
      <c r="W134" s="1"/>
      <c r="X134" s="1"/>
      <c r="Y134" s="1" t="s">
        <v>42</v>
      </c>
      <c r="Z134" s="1" t="s">
        <v>43</v>
      </c>
    </row>
    <row r="135" spans="1:26" ht="30" x14ac:dyDescent="0.25">
      <c r="A135" s="1">
        <v>2457129.87488</v>
      </c>
      <c r="B135" s="1" t="s">
        <v>9</v>
      </c>
      <c r="C135" s="1">
        <v>7.5720000000000001</v>
      </c>
      <c r="D135" s="1">
        <v>0.02</v>
      </c>
      <c r="E135" s="1" t="s">
        <v>34</v>
      </c>
      <c r="F135" s="1" t="s">
        <v>22</v>
      </c>
      <c r="G135" s="1" t="s">
        <v>36</v>
      </c>
      <c r="H135" s="1">
        <v>65</v>
      </c>
      <c r="I135" s="1">
        <v>94</v>
      </c>
      <c r="J135" s="1" t="s">
        <v>68</v>
      </c>
      <c r="K135" s="1"/>
      <c r="L135" s="1"/>
      <c r="M135" s="1" t="s">
        <v>40</v>
      </c>
      <c r="N135" s="1"/>
      <c r="O135" s="1">
        <v>6.4219999999999997</v>
      </c>
      <c r="P135" s="1">
        <v>9.5579999999999998</v>
      </c>
      <c r="Q135" s="1"/>
      <c r="R135" s="1"/>
      <c r="S135" s="1" t="s">
        <v>41</v>
      </c>
      <c r="T135" s="1">
        <v>1</v>
      </c>
      <c r="U135" s="1"/>
      <c r="V135" s="1"/>
      <c r="W135" s="1"/>
      <c r="X135" s="1"/>
      <c r="Y135" s="1" t="s">
        <v>42</v>
      </c>
      <c r="Z135" s="1" t="s">
        <v>43</v>
      </c>
    </row>
    <row r="136" spans="1:26" ht="30" x14ac:dyDescent="0.25">
      <c r="A136" s="1">
        <v>2457129.8914999999</v>
      </c>
      <c r="B136" s="1" t="s">
        <v>9</v>
      </c>
      <c r="C136" s="1">
        <v>7.4619999999999997</v>
      </c>
      <c r="D136" s="1">
        <v>0.02</v>
      </c>
      <c r="E136" s="1" t="s">
        <v>34</v>
      </c>
      <c r="F136" s="1" t="s">
        <v>22</v>
      </c>
      <c r="G136" s="1" t="s">
        <v>36</v>
      </c>
      <c r="H136" s="1">
        <v>65</v>
      </c>
      <c r="I136" s="1">
        <v>94</v>
      </c>
      <c r="J136" s="1" t="s">
        <v>68</v>
      </c>
      <c r="K136" s="1"/>
      <c r="L136" s="1"/>
      <c r="M136" s="1" t="s">
        <v>40</v>
      </c>
      <c r="N136" s="1"/>
      <c r="O136" s="1">
        <v>6.4219999999999997</v>
      </c>
      <c r="P136" s="1">
        <v>9.5579999999999998</v>
      </c>
      <c r="Q136" s="1"/>
      <c r="R136" s="1"/>
      <c r="S136" s="1" t="s">
        <v>41</v>
      </c>
      <c r="T136" s="1">
        <v>1</v>
      </c>
      <c r="U136" s="1"/>
      <c r="V136" s="1"/>
      <c r="W136" s="1"/>
      <c r="X136" s="1"/>
      <c r="Y136" s="1" t="s">
        <v>42</v>
      </c>
      <c r="Z136" s="1" t="s">
        <v>43</v>
      </c>
    </row>
    <row r="137" spans="1:26" ht="30" x14ac:dyDescent="0.25">
      <c r="A137" s="1">
        <v>2457129.9092999999</v>
      </c>
      <c r="B137" s="1" t="s">
        <v>9</v>
      </c>
      <c r="C137" s="1">
        <v>7.6219999999999999</v>
      </c>
      <c r="D137" s="1">
        <v>0.02</v>
      </c>
      <c r="E137" s="1" t="s">
        <v>34</v>
      </c>
      <c r="F137" s="1" t="s">
        <v>22</v>
      </c>
      <c r="G137" s="1" t="s">
        <v>36</v>
      </c>
      <c r="H137" s="1">
        <v>65</v>
      </c>
      <c r="I137" s="1">
        <v>94</v>
      </c>
      <c r="J137" s="1" t="s">
        <v>68</v>
      </c>
      <c r="K137" s="1"/>
      <c r="L137" s="1"/>
      <c r="M137" s="1" t="s">
        <v>40</v>
      </c>
      <c r="N137" s="1"/>
      <c r="O137" s="1">
        <v>6.4219999999999997</v>
      </c>
      <c r="P137" s="1">
        <v>9.5410000000000004</v>
      </c>
      <c r="Q137" s="1"/>
      <c r="R137" s="1"/>
      <c r="S137" s="1" t="s">
        <v>41</v>
      </c>
      <c r="T137" s="1">
        <v>1</v>
      </c>
      <c r="U137" s="1"/>
      <c r="V137" s="1"/>
      <c r="W137" s="1"/>
      <c r="X137" s="1"/>
      <c r="Y137" s="1" t="s">
        <v>42</v>
      </c>
      <c r="Z137" s="1" t="s">
        <v>43</v>
      </c>
    </row>
    <row r="138" spans="1:26" ht="30" x14ac:dyDescent="0.25">
      <c r="A138" s="1">
        <v>2457129.9200800001</v>
      </c>
      <c r="B138" s="1" t="s">
        <v>9</v>
      </c>
      <c r="C138" s="1">
        <v>7.7329999999999997</v>
      </c>
      <c r="D138" s="1">
        <v>0.02</v>
      </c>
      <c r="E138" s="1" t="s">
        <v>34</v>
      </c>
      <c r="F138" s="1" t="s">
        <v>22</v>
      </c>
      <c r="G138" s="1" t="s">
        <v>36</v>
      </c>
      <c r="H138" s="1">
        <v>65</v>
      </c>
      <c r="I138" s="1">
        <v>94</v>
      </c>
      <c r="J138" s="1" t="s">
        <v>68</v>
      </c>
      <c r="K138" s="1"/>
      <c r="L138" s="1"/>
      <c r="M138" s="1" t="s">
        <v>40</v>
      </c>
      <c r="N138" s="1"/>
      <c r="O138" s="1">
        <v>6.4219999999999997</v>
      </c>
      <c r="P138" s="1">
        <v>9.5329999999999995</v>
      </c>
      <c r="Q138" s="1"/>
      <c r="R138" s="1"/>
      <c r="S138" s="1" t="s">
        <v>41</v>
      </c>
      <c r="T138" s="1">
        <v>1</v>
      </c>
      <c r="U138" s="1"/>
      <c r="V138" s="1"/>
      <c r="W138" s="1"/>
      <c r="X138" s="1"/>
      <c r="Y138" s="1" t="s">
        <v>42</v>
      </c>
      <c r="Z138" s="1" t="s">
        <v>43</v>
      </c>
    </row>
    <row r="139" spans="1:26" ht="30" x14ac:dyDescent="0.25">
      <c r="A139" s="1">
        <v>2457129.9308000002</v>
      </c>
      <c r="B139" s="1" t="s">
        <v>9</v>
      </c>
      <c r="C139" s="1">
        <v>7.8650000000000002</v>
      </c>
      <c r="D139" s="1">
        <v>0.02</v>
      </c>
      <c r="E139" s="1" t="s">
        <v>34</v>
      </c>
      <c r="F139" s="1" t="s">
        <v>22</v>
      </c>
      <c r="G139" s="1" t="s">
        <v>36</v>
      </c>
      <c r="H139" s="1">
        <v>65</v>
      </c>
      <c r="I139" s="1">
        <v>94</v>
      </c>
      <c r="J139" s="1" t="s">
        <v>68</v>
      </c>
      <c r="K139" s="1"/>
      <c r="L139" s="1"/>
      <c r="M139" s="1" t="s">
        <v>40</v>
      </c>
      <c r="N139" s="1"/>
      <c r="O139" s="1">
        <v>6.4219999999999997</v>
      </c>
      <c r="P139" s="1">
        <v>9.5470000000000006</v>
      </c>
      <c r="Q139" s="1"/>
      <c r="R139" s="1"/>
      <c r="S139" s="1" t="s">
        <v>41</v>
      </c>
      <c r="T139" s="1">
        <v>1</v>
      </c>
      <c r="U139" s="1"/>
      <c r="V139" s="1"/>
      <c r="W139" s="1"/>
      <c r="X139" s="1"/>
      <c r="Y139" s="1" t="s">
        <v>42</v>
      </c>
      <c r="Z139" s="1" t="s">
        <v>43</v>
      </c>
    </row>
    <row r="140" spans="1:26" ht="30" x14ac:dyDescent="0.25">
      <c r="A140" s="1">
        <v>2457129.94154</v>
      </c>
      <c r="B140" s="1" t="s">
        <v>9</v>
      </c>
      <c r="C140" s="1">
        <v>7.6970000000000001</v>
      </c>
      <c r="D140" s="1">
        <v>0.02</v>
      </c>
      <c r="E140" s="1" t="s">
        <v>34</v>
      </c>
      <c r="F140" s="1" t="s">
        <v>22</v>
      </c>
      <c r="G140" s="1" t="s">
        <v>36</v>
      </c>
      <c r="H140" s="1">
        <v>65</v>
      </c>
      <c r="I140" s="1">
        <v>94</v>
      </c>
      <c r="J140" s="1" t="s">
        <v>68</v>
      </c>
      <c r="K140" s="1"/>
      <c r="L140" s="1"/>
      <c r="M140" s="1" t="s">
        <v>40</v>
      </c>
      <c r="N140" s="1"/>
      <c r="O140" s="1">
        <v>6.4219999999999997</v>
      </c>
      <c r="P140" s="1">
        <v>9.5060000000000002</v>
      </c>
      <c r="Q140" s="1"/>
      <c r="R140" s="1"/>
      <c r="S140" s="1" t="s">
        <v>41</v>
      </c>
      <c r="T140" s="1">
        <v>1</v>
      </c>
      <c r="U140" s="1"/>
      <c r="V140" s="1"/>
      <c r="W140" s="1"/>
      <c r="X140" s="1"/>
      <c r="Y140" s="1" t="s">
        <v>42</v>
      </c>
      <c r="Z140" s="1" t="s">
        <v>43</v>
      </c>
    </row>
    <row r="141" spans="1:26" ht="30" x14ac:dyDescent="0.25">
      <c r="A141" s="1">
        <v>2457129.9523</v>
      </c>
      <c r="B141" s="1" t="s">
        <v>9</v>
      </c>
      <c r="C141" s="1">
        <v>7.8959999999999999</v>
      </c>
      <c r="D141" s="1">
        <v>0.02</v>
      </c>
      <c r="E141" s="1" t="s">
        <v>34</v>
      </c>
      <c r="F141" s="1" t="s">
        <v>22</v>
      </c>
      <c r="G141" s="1" t="s">
        <v>36</v>
      </c>
      <c r="H141" s="1">
        <v>65</v>
      </c>
      <c r="I141" s="1">
        <v>94</v>
      </c>
      <c r="J141" s="1" t="s">
        <v>68</v>
      </c>
      <c r="K141" s="1"/>
      <c r="L141" s="1"/>
      <c r="M141" s="1" t="s">
        <v>40</v>
      </c>
      <c r="N141" s="1"/>
      <c r="O141" s="1">
        <v>6.4219999999999997</v>
      </c>
      <c r="P141" s="1">
        <v>9.5540000000000003</v>
      </c>
      <c r="Q141" s="1"/>
      <c r="R141" s="1"/>
      <c r="S141" s="1" t="s">
        <v>41</v>
      </c>
      <c r="T141" s="1">
        <v>1</v>
      </c>
      <c r="U141" s="1"/>
      <c r="V141" s="1"/>
      <c r="W141" s="1"/>
      <c r="X141" s="1"/>
      <c r="Y141" s="1" t="s">
        <v>42</v>
      </c>
      <c r="Z141" s="1" t="s">
        <v>43</v>
      </c>
    </row>
    <row r="142" spans="1:26" ht="30" x14ac:dyDescent="0.25">
      <c r="A142" s="1">
        <v>2457129.96318</v>
      </c>
      <c r="B142" s="1" t="s">
        <v>9</v>
      </c>
      <c r="C142" s="1">
        <v>7.7430000000000003</v>
      </c>
      <c r="D142" s="1">
        <v>0.02</v>
      </c>
      <c r="E142" s="1" t="s">
        <v>34</v>
      </c>
      <c r="F142" s="1" t="s">
        <v>22</v>
      </c>
      <c r="G142" s="1" t="s">
        <v>36</v>
      </c>
      <c r="H142" s="1">
        <v>65</v>
      </c>
      <c r="I142" s="1">
        <v>94</v>
      </c>
      <c r="J142" s="1" t="s">
        <v>68</v>
      </c>
      <c r="K142" s="1"/>
      <c r="L142" s="1"/>
      <c r="M142" s="1" t="s">
        <v>40</v>
      </c>
      <c r="N142" s="1"/>
      <c r="O142" s="1">
        <v>6.4219999999999997</v>
      </c>
      <c r="P142" s="1">
        <v>9.593</v>
      </c>
      <c r="Q142" s="1"/>
      <c r="R142" s="1"/>
      <c r="S142" s="1" t="s">
        <v>41</v>
      </c>
      <c r="T142" s="1">
        <v>1</v>
      </c>
      <c r="U142" s="1"/>
      <c r="V142" s="1"/>
      <c r="W142" s="1"/>
      <c r="X142" s="1"/>
      <c r="Y142" s="1" t="s">
        <v>42</v>
      </c>
      <c r="Z142" s="1" t="s">
        <v>43</v>
      </c>
    </row>
    <row r="143" spans="1:26" ht="30" x14ac:dyDescent="0.25">
      <c r="A143" s="1">
        <v>2457130.81091</v>
      </c>
      <c r="B143" s="1" t="s">
        <v>10</v>
      </c>
      <c r="C143" s="1">
        <v>8.1329999999999991</v>
      </c>
      <c r="D143" s="1">
        <v>4.0000000000000001E-3</v>
      </c>
      <c r="E143" s="1" t="s">
        <v>34</v>
      </c>
      <c r="F143" s="1" t="s">
        <v>71</v>
      </c>
      <c r="G143" s="1" t="s">
        <v>36</v>
      </c>
      <c r="H143" s="1" t="s">
        <v>37</v>
      </c>
      <c r="I143" s="1" t="s">
        <v>72</v>
      </c>
      <c r="J143" s="1">
        <v>150509</v>
      </c>
      <c r="K143" s="1"/>
      <c r="L143" s="1"/>
      <c r="M143" s="1" t="s">
        <v>40</v>
      </c>
      <c r="N143" s="1">
        <v>1.9179999999999999</v>
      </c>
      <c r="O143" s="1"/>
      <c r="P143" s="1">
        <v>8.8390000000000004</v>
      </c>
      <c r="Q143" s="1"/>
      <c r="R143" s="1"/>
      <c r="S143" s="1" t="s">
        <v>41</v>
      </c>
      <c r="T143" s="1">
        <v>0</v>
      </c>
      <c r="U143" s="1"/>
      <c r="V143" s="1"/>
      <c r="W143" s="1"/>
      <c r="X143" s="1"/>
      <c r="Y143" s="1" t="s">
        <v>42</v>
      </c>
      <c r="Z143" s="1" t="s">
        <v>43</v>
      </c>
    </row>
    <row r="144" spans="1:26" ht="30" x14ac:dyDescent="0.25">
      <c r="A144" s="1">
        <v>2457130.8156400002</v>
      </c>
      <c r="B144" s="1" t="s">
        <v>10</v>
      </c>
      <c r="C144" s="1">
        <v>7.9720000000000004</v>
      </c>
      <c r="D144" s="1">
        <v>3.0000000000000001E-3</v>
      </c>
      <c r="E144" s="1" t="s">
        <v>34</v>
      </c>
      <c r="F144" s="1" t="s">
        <v>71</v>
      </c>
      <c r="G144" s="1" t="s">
        <v>36</v>
      </c>
      <c r="H144" s="1" t="s">
        <v>37</v>
      </c>
      <c r="I144" s="1" t="s">
        <v>72</v>
      </c>
      <c r="J144" s="1">
        <v>150509</v>
      </c>
      <c r="K144" s="1"/>
      <c r="L144" s="1"/>
      <c r="M144" s="1" t="s">
        <v>40</v>
      </c>
      <c r="N144" s="1">
        <v>1.863</v>
      </c>
      <c r="O144" s="1"/>
      <c r="P144" s="1">
        <v>8.7370000000000001</v>
      </c>
      <c r="Q144" s="1"/>
      <c r="R144" s="1"/>
      <c r="S144" s="1" t="s">
        <v>41</v>
      </c>
      <c r="T144" s="1">
        <v>0</v>
      </c>
      <c r="U144" s="1"/>
      <c r="V144" s="1"/>
      <c r="W144" s="1"/>
      <c r="X144" s="1"/>
      <c r="Y144" s="1" t="s">
        <v>42</v>
      </c>
      <c r="Z144" s="1" t="s">
        <v>43</v>
      </c>
    </row>
    <row r="145" spans="1:26" ht="30" x14ac:dyDescent="0.25">
      <c r="A145" s="1">
        <v>2457130.8205400002</v>
      </c>
      <c r="B145" s="1" t="s">
        <v>10</v>
      </c>
      <c r="C145" s="1">
        <v>8.0220000000000002</v>
      </c>
      <c r="D145" s="1">
        <v>3.0000000000000001E-3</v>
      </c>
      <c r="E145" s="1" t="s">
        <v>34</v>
      </c>
      <c r="F145" s="1" t="s">
        <v>71</v>
      </c>
      <c r="G145" s="1" t="s">
        <v>36</v>
      </c>
      <c r="H145" s="1" t="s">
        <v>37</v>
      </c>
      <c r="I145" s="1" t="s">
        <v>72</v>
      </c>
      <c r="J145" s="1">
        <v>150509</v>
      </c>
      <c r="K145" s="1"/>
      <c r="L145" s="1"/>
      <c r="M145" s="1" t="s">
        <v>40</v>
      </c>
      <c r="N145" s="1">
        <v>1.8109999999999999</v>
      </c>
      <c r="O145" s="1"/>
      <c r="P145" s="1">
        <v>8.859</v>
      </c>
      <c r="Q145" s="1"/>
      <c r="R145" s="1"/>
      <c r="S145" s="1" t="s">
        <v>41</v>
      </c>
      <c r="T145" s="1">
        <v>0</v>
      </c>
      <c r="U145" s="1"/>
      <c r="V145" s="1"/>
      <c r="W145" s="1"/>
      <c r="X145" s="1"/>
      <c r="Y145" s="1" t="s">
        <v>42</v>
      </c>
      <c r="Z145" s="1" t="s">
        <v>43</v>
      </c>
    </row>
    <row r="146" spans="1:26" ht="30" x14ac:dyDescent="0.25">
      <c r="A146" s="1">
        <v>2457130.8254200001</v>
      </c>
      <c r="B146" s="1" t="s">
        <v>10</v>
      </c>
      <c r="C146" s="1">
        <v>8.1430000000000007</v>
      </c>
      <c r="D146" s="1">
        <v>3.0000000000000001E-3</v>
      </c>
      <c r="E146" s="1" t="s">
        <v>34</v>
      </c>
      <c r="F146" s="1" t="s">
        <v>71</v>
      </c>
      <c r="G146" s="1" t="s">
        <v>36</v>
      </c>
      <c r="H146" s="1" t="s">
        <v>37</v>
      </c>
      <c r="I146" s="1" t="s">
        <v>72</v>
      </c>
      <c r="J146" s="1">
        <v>150509</v>
      </c>
      <c r="K146" s="1"/>
      <c r="L146" s="1"/>
      <c r="M146" s="1" t="s">
        <v>40</v>
      </c>
      <c r="N146" s="1">
        <v>1.76</v>
      </c>
      <c r="O146" s="1"/>
      <c r="P146" s="1">
        <v>8.8689999999999998</v>
      </c>
      <c r="Q146" s="1"/>
      <c r="R146" s="1"/>
      <c r="S146" s="1" t="s">
        <v>41</v>
      </c>
      <c r="T146" s="1">
        <v>0</v>
      </c>
      <c r="U146" s="1"/>
      <c r="V146" s="1"/>
      <c r="W146" s="1"/>
      <c r="X146" s="1"/>
      <c r="Y146" s="1" t="s">
        <v>42</v>
      </c>
      <c r="Z146" s="1" t="s">
        <v>43</v>
      </c>
    </row>
    <row r="147" spans="1:26" ht="30" x14ac:dyDescent="0.25">
      <c r="A147" s="1">
        <v>2457130.83029</v>
      </c>
      <c r="B147" s="1" t="s">
        <v>10</v>
      </c>
      <c r="C147" s="1">
        <v>8.0350000000000001</v>
      </c>
      <c r="D147" s="1">
        <v>3.0000000000000001E-3</v>
      </c>
      <c r="E147" s="1" t="s">
        <v>34</v>
      </c>
      <c r="F147" s="1" t="s">
        <v>71</v>
      </c>
      <c r="G147" s="1" t="s">
        <v>36</v>
      </c>
      <c r="H147" s="1" t="s">
        <v>37</v>
      </c>
      <c r="I147" s="1" t="s">
        <v>72</v>
      </c>
      <c r="J147" s="1">
        <v>150509</v>
      </c>
      <c r="K147" s="1"/>
      <c r="L147" s="1"/>
      <c r="M147" s="1" t="s">
        <v>40</v>
      </c>
      <c r="N147" s="1">
        <v>1.7130000000000001</v>
      </c>
      <c r="O147" s="1"/>
      <c r="P147" s="1">
        <v>8.84</v>
      </c>
      <c r="Q147" s="1"/>
      <c r="R147" s="1"/>
      <c r="S147" s="1" t="s">
        <v>41</v>
      </c>
      <c r="T147" s="1">
        <v>0</v>
      </c>
      <c r="U147" s="1"/>
      <c r="V147" s="1"/>
      <c r="W147" s="1"/>
      <c r="X147" s="1"/>
      <c r="Y147" s="1" t="s">
        <v>42</v>
      </c>
      <c r="Z147" s="1" t="s">
        <v>43</v>
      </c>
    </row>
    <row r="148" spans="1:26" ht="30" x14ac:dyDescent="0.25">
      <c r="A148" s="1">
        <v>2457130.8596000001</v>
      </c>
      <c r="B148" s="1" t="s">
        <v>10</v>
      </c>
      <c r="C148" s="1">
        <v>7.907</v>
      </c>
      <c r="D148" s="1">
        <v>0.02</v>
      </c>
      <c r="E148" s="1" t="s">
        <v>34</v>
      </c>
      <c r="F148" s="1" t="s">
        <v>22</v>
      </c>
      <c r="G148" s="1" t="s">
        <v>36</v>
      </c>
      <c r="H148" s="1">
        <v>65</v>
      </c>
      <c r="I148" s="1">
        <v>94</v>
      </c>
      <c r="J148" s="1" t="s">
        <v>68</v>
      </c>
      <c r="K148" s="1"/>
      <c r="L148" s="1"/>
      <c r="M148" s="1" t="s">
        <v>40</v>
      </c>
      <c r="N148" s="1"/>
      <c r="O148" s="1">
        <v>6.4219999999999997</v>
      </c>
      <c r="P148" s="1">
        <v>9.5359999999999996</v>
      </c>
      <c r="Q148" s="1"/>
      <c r="R148" s="1"/>
      <c r="S148" s="1" t="s">
        <v>41</v>
      </c>
      <c r="T148" s="1">
        <v>1</v>
      </c>
      <c r="U148" s="1"/>
      <c r="V148" s="1"/>
      <c r="W148" s="1"/>
      <c r="X148" s="1"/>
      <c r="Y148" s="1" t="s">
        <v>42</v>
      </c>
      <c r="Z148" s="1" t="s">
        <v>43</v>
      </c>
    </row>
    <row r="149" spans="1:26" ht="30" x14ac:dyDescent="0.25">
      <c r="A149" s="1">
        <v>2457130.8755199998</v>
      </c>
      <c r="B149" s="1" t="s">
        <v>10</v>
      </c>
      <c r="C149" s="1">
        <v>7.95</v>
      </c>
      <c r="D149" s="1">
        <v>0.02</v>
      </c>
      <c r="E149" s="1" t="s">
        <v>34</v>
      </c>
      <c r="F149" s="1" t="s">
        <v>22</v>
      </c>
      <c r="G149" s="1" t="s">
        <v>36</v>
      </c>
      <c r="H149" s="1">
        <v>65</v>
      </c>
      <c r="I149" s="1">
        <v>94</v>
      </c>
      <c r="J149" s="1" t="s">
        <v>68</v>
      </c>
      <c r="K149" s="1"/>
      <c r="L149" s="1"/>
      <c r="M149" s="1" t="s">
        <v>40</v>
      </c>
      <c r="N149" s="1"/>
      <c r="O149" s="1">
        <v>6.4219999999999997</v>
      </c>
      <c r="P149" s="1">
        <v>9.5359999999999996</v>
      </c>
      <c r="Q149" s="1"/>
      <c r="R149" s="1"/>
      <c r="S149" s="1" t="s">
        <v>41</v>
      </c>
      <c r="T149" s="1">
        <v>1</v>
      </c>
      <c r="U149" s="1"/>
      <c r="V149" s="1"/>
      <c r="W149" s="1"/>
      <c r="X149" s="1"/>
      <c r="Y149" s="1" t="s">
        <v>42</v>
      </c>
      <c r="Z149" s="1" t="s">
        <v>43</v>
      </c>
    </row>
    <row r="150" spans="1:26" ht="30" x14ac:dyDescent="0.25">
      <c r="A150" s="1">
        <v>2457130.8915300001</v>
      </c>
      <c r="B150" s="1" t="s">
        <v>10</v>
      </c>
      <c r="C150" s="1">
        <v>7.6779999999999999</v>
      </c>
      <c r="D150" s="1">
        <v>0.02</v>
      </c>
      <c r="E150" s="1" t="s">
        <v>34</v>
      </c>
      <c r="F150" s="1" t="s">
        <v>22</v>
      </c>
      <c r="G150" s="1" t="s">
        <v>36</v>
      </c>
      <c r="H150" s="1">
        <v>65</v>
      </c>
      <c r="I150" s="1">
        <v>94</v>
      </c>
      <c r="J150" s="1" t="s">
        <v>68</v>
      </c>
      <c r="K150" s="1"/>
      <c r="L150" s="1"/>
      <c r="M150" s="1" t="s">
        <v>40</v>
      </c>
      <c r="N150" s="1"/>
      <c r="O150" s="1">
        <v>6.4219999999999997</v>
      </c>
      <c r="P150" s="1">
        <v>9.5990000000000002</v>
      </c>
      <c r="Q150" s="1"/>
      <c r="R150" s="1"/>
      <c r="S150" s="1" t="s">
        <v>41</v>
      </c>
      <c r="T150" s="1">
        <v>1</v>
      </c>
      <c r="U150" s="1"/>
      <c r="V150" s="1"/>
      <c r="W150" s="1"/>
      <c r="X150" s="1"/>
      <c r="Y150" s="1" t="s">
        <v>42</v>
      </c>
      <c r="Z150" s="1" t="s">
        <v>43</v>
      </c>
    </row>
    <row r="151" spans="1:26" ht="30" x14ac:dyDescent="0.25">
      <c r="A151" s="1">
        <v>2457130.9074200001</v>
      </c>
      <c r="B151" s="1" t="s">
        <v>10</v>
      </c>
      <c r="C151" s="1">
        <v>7.8079999999999998</v>
      </c>
      <c r="D151" s="1">
        <v>0.02</v>
      </c>
      <c r="E151" s="1" t="s">
        <v>34</v>
      </c>
      <c r="F151" s="1" t="s">
        <v>22</v>
      </c>
      <c r="G151" s="1" t="s">
        <v>36</v>
      </c>
      <c r="H151" s="1">
        <v>65</v>
      </c>
      <c r="I151" s="1">
        <v>94</v>
      </c>
      <c r="J151" s="1" t="s">
        <v>68</v>
      </c>
      <c r="K151" s="1"/>
      <c r="L151" s="1"/>
      <c r="M151" s="1" t="s">
        <v>40</v>
      </c>
      <c r="N151" s="1"/>
      <c r="O151" s="1">
        <v>6.4219999999999997</v>
      </c>
      <c r="P151" s="1">
        <v>9.6069999999999993</v>
      </c>
      <c r="Q151" s="1"/>
      <c r="R151" s="1"/>
      <c r="S151" s="1" t="s">
        <v>41</v>
      </c>
      <c r="T151" s="1">
        <v>1</v>
      </c>
      <c r="U151" s="1"/>
      <c r="V151" s="1"/>
      <c r="W151" s="1"/>
      <c r="X151" s="1"/>
      <c r="Y151" s="1" t="s">
        <v>42</v>
      </c>
      <c r="Z151" s="1" t="s">
        <v>43</v>
      </c>
    </row>
    <row r="152" spans="1:26" ht="30" x14ac:dyDescent="0.25">
      <c r="A152" s="1">
        <v>2457130.9180800002</v>
      </c>
      <c r="B152" s="1" t="s">
        <v>10</v>
      </c>
      <c r="C152" s="1">
        <v>7.8780000000000001</v>
      </c>
      <c r="D152" s="1">
        <v>0.02</v>
      </c>
      <c r="E152" s="1" t="s">
        <v>34</v>
      </c>
      <c r="F152" s="1" t="s">
        <v>22</v>
      </c>
      <c r="G152" s="1" t="s">
        <v>36</v>
      </c>
      <c r="H152" s="1">
        <v>65</v>
      </c>
      <c r="I152" s="1">
        <v>94</v>
      </c>
      <c r="J152" s="1" t="s">
        <v>68</v>
      </c>
      <c r="K152" s="1"/>
      <c r="L152" s="1"/>
      <c r="M152" s="1" t="s">
        <v>40</v>
      </c>
      <c r="N152" s="1"/>
      <c r="O152" s="1">
        <v>6.4219999999999997</v>
      </c>
      <c r="P152" s="1">
        <v>9.48</v>
      </c>
      <c r="Q152" s="1"/>
      <c r="R152" s="1"/>
      <c r="S152" s="1" t="s">
        <v>41</v>
      </c>
      <c r="T152" s="1">
        <v>1</v>
      </c>
      <c r="U152" s="1"/>
      <c r="V152" s="1"/>
      <c r="W152" s="1"/>
      <c r="X152" s="1"/>
      <c r="Y152" s="1" t="s">
        <v>42</v>
      </c>
      <c r="Z152" s="1" t="s">
        <v>43</v>
      </c>
    </row>
    <row r="153" spans="1:26" ht="30" x14ac:dyDescent="0.25">
      <c r="A153" s="1">
        <v>2457130.9287100001</v>
      </c>
      <c r="B153" s="1" t="s">
        <v>10</v>
      </c>
      <c r="C153" s="1">
        <v>7.9370000000000003</v>
      </c>
      <c r="D153" s="1">
        <v>0.02</v>
      </c>
      <c r="E153" s="1" t="s">
        <v>34</v>
      </c>
      <c r="F153" s="1" t="s">
        <v>22</v>
      </c>
      <c r="G153" s="1" t="s">
        <v>36</v>
      </c>
      <c r="H153" s="1">
        <v>65</v>
      </c>
      <c r="I153" s="1">
        <v>94</v>
      </c>
      <c r="J153" s="1" t="s">
        <v>68</v>
      </c>
      <c r="K153" s="1"/>
      <c r="L153" s="1"/>
      <c r="M153" s="1" t="s">
        <v>40</v>
      </c>
      <c r="N153" s="1"/>
      <c r="O153" s="1">
        <v>6.4219999999999997</v>
      </c>
      <c r="P153" s="1">
        <v>9.5779999999999994</v>
      </c>
      <c r="Q153" s="1"/>
      <c r="R153" s="1"/>
      <c r="S153" s="1" t="s">
        <v>41</v>
      </c>
      <c r="T153" s="1">
        <v>1</v>
      </c>
      <c r="U153" s="1"/>
      <c r="V153" s="1"/>
      <c r="W153" s="1"/>
      <c r="X153" s="1"/>
      <c r="Y153" s="1" t="s">
        <v>42</v>
      </c>
      <c r="Z153" s="1" t="s">
        <v>43</v>
      </c>
    </row>
    <row r="154" spans="1:26" ht="30" x14ac:dyDescent="0.25">
      <c r="A154" s="1">
        <v>2457130.9393699998</v>
      </c>
      <c r="B154" s="1" t="s">
        <v>10</v>
      </c>
      <c r="C154" s="1">
        <v>7.79</v>
      </c>
      <c r="D154" s="1">
        <v>0.02</v>
      </c>
      <c r="E154" s="1" t="s">
        <v>34</v>
      </c>
      <c r="F154" s="1" t="s">
        <v>22</v>
      </c>
      <c r="G154" s="1" t="s">
        <v>36</v>
      </c>
      <c r="H154" s="1">
        <v>65</v>
      </c>
      <c r="I154" s="1">
        <v>94</v>
      </c>
      <c r="J154" s="1" t="s">
        <v>68</v>
      </c>
      <c r="K154" s="1"/>
      <c r="L154" s="1"/>
      <c r="M154" s="1" t="s">
        <v>40</v>
      </c>
      <c r="N154" s="1"/>
      <c r="O154" s="1">
        <v>6.4219999999999997</v>
      </c>
      <c r="P154" s="1">
        <v>9.5549999999999997</v>
      </c>
      <c r="Q154" s="1"/>
      <c r="R154" s="1"/>
      <c r="S154" s="1" t="s">
        <v>41</v>
      </c>
      <c r="T154" s="1">
        <v>1</v>
      </c>
      <c r="U154" s="1"/>
      <c r="V154" s="1"/>
      <c r="W154" s="1"/>
      <c r="X154" s="1"/>
      <c r="Y154" s="1" t="s">
        <v>42</v>
      </c>
      <c r="Z154" s="1" t="s">
        <v>43</v>
      </c>
    </row>
    <row r="155" spans="1:26" ht="30" x14ac:dyDescent="0.25">
      <c r="A155" s="1">
        <v>2457130.9500299999</v>
      </c>
      <c r="B155" s="1" t="s">
        <v>10</v>
      </c>
      <c r="C155" s="1">
        <v>7.8029999999999999</v>
      </c>
      <c r="D155" s="1">
        <v>0.02</v>
      </c>
      <c r="E155" s="1" t="s">
        <v>34</v>
      </c>
      <c r="F155" s="1" t="s">
        <v>22</v>
      </c>
      <c r="G155" s="1" t="s">
        <v>36</v>
      </c>
      <c r="H155" s="1">
        <v>65</v>
      </c>
      <c r="I155" s="1">
        <v>94</v>
      </c>
      <c r="J155" s="1" t="s">
        <v>68</v>
      </c>
      <c r="K155" s="1"/>
      <c r="L155" s="1"/>
      <c r="M155" s="1" t="s">
        <v>40</v>
      </c>
      <c r="N155" s="1"/>
      <c r="O155" s="1">
        <v>6.4219999999999997</v>
      </c>
      <c r="P155" s="1">
        <v>9.5030000000000001</v>
      </c>
      <c r="Q155" s="1"/>
      <c r="R155" s="1"/>
      <c r="S155" s="1" t="s">
        <v>41</v>
      </c>
      <c r="T155" s="1">
        <v>1</v>
      </c>
      <c r="U155" s="1"/>
      <c r="V155" s="1"/>
      <c r="W155" s="1"/>
      <c r="X155" s="1"/>
      <c r="Y155" s="1" t="s">
        <v>42</v>
      </c>
      <c r="Z155" s="1" t="s">
        <v>43</v>
      </c>
    </row>
    <row r="156" spans="1:26" ht="30" x14ac:dyDescent="0.25">
      <c r="A156" s="1">
        <v>2457130.96074</v>
      </c>
      <c r="B156" s="1" t="s">
        <v>10</v>
      </c>
      <c r="C156" s="1">
        <v>7.782</v>
      </c>
      <c r="D156" s="1">
        <v>0.02</v>
      </c>
      <c r="E156" s="1" t="s">
        <v>34</v>
      </c>
      <c r="F156" s="1" t="s">
        <v>22</v>
      </c>
      <c r="G156" s="1" t="s">
        <v>36</v>
      </c>
      <c r="H156" s="1">
        <v>65</v>
      </c>
      <c r="I156" s="1">
        <v>94</v>
      </c>
      <c r="J156" s="1" t="s">
        <v>68</v>
      </c>
      <c r="K156" s="1"/>
      <c r="L156" s="1"/>
      <c r="M156" s="1" t="s">
        <v>40</v>
      </c>
      <c r="N156" s="1"/>
      <c r="O156" s="1">
        <v>6.4219999999999997</v>
      </c>
      <c r="P156" s="1">
        <v>9.4969999999999999</v>
      </c>
      <c r="Q156" s="1"/>
      <c r="R156" s="1"/>
      <c r="S156" s="1" t="s">
        <v>41</v>
      </c>
      <c r="T156" s="1">
        <v>1</v>
      </c>
      <c r="U156" s="1"/>
      <c r="V156" s="1"/>
      <c r="W156" s="1"/>
      <c r="X156" s="1"/>
      <c r="Y156" s="1" t="s">
        <v>42</v>
      </c>
      <c r="Z156" s="1" t="s">
        <v>43</v>
      </c>
    </row>
    <row r="157" spans="1:26" ht="30" x14ac:dyDescent="0.25">
      <c r="A157" s="1">
        <v>2457131.85507</v>
      </c>
      <c r="B157" s="1" t="s">
        <v>11</v>
      </c>
      <c r="C157" s="1">
        <v>7.6369999999999996</v>
      </c>
      <c r="D157" s="1">
        <v>0.02</v>
      </c>
      <c r="E157" s="1" t="s">
        <v>34</v>
      </c>
      <c r="F157" s="1" t="s">
        <v>22</v>
      </c>
      <c r="G157" s="1" t="s">
        <v>36</v>
      </c>
      <c r="H157" s="1">
        <v>65</v>
      </c>
      <c r="I157" s="1">
        <v>94</v>
      </c>
      <c r="J157" s="1" t="s">
        <v>68</v>
      </c>
      <c r="K157" s="1"/>
      <c r="L157" s="1"/>
      <c r="M157" s="1" t="s">
        <v>40</v>
      </c>
      <c r="N157" s="1"/>
      <c r="O157" s="1">
        <v>6.4219999999999997</v>
      </c>
      <c r="P157" s="1">
        <v>9.5809999999999995</v>
      </c>
      <c r="Q157" s="1"/>
      <c r="R157" s="1"/>
      <c r="S157" s="1" t="s">
        <v>41</v>
      </c>
      <c r="T157" s="1">
        <v>1</v>
      </c>
      <c r="U157" s="1"/>
      <c r="V157" s="1"/>
      <c r="W157" s="1"/>
      <c r="X157" s="1"/>
      <c r="Y157" s="1" t="s">
        <v>42</v>
      </c>
      <c r="Z157" s="1" t="s">
        <v>43</v>
      </c>
    </row>
    <row r="158" spans="1:26" ht="30" x14ac:dyDescent="0.25">
      <c r="A158" s="1">
        <v>2457131.8716500001</v>
      </c>
      <c r="B158" s="1" t="s">
        <v>11</v>
      </c>
      <c r="C158" s="1">
        <v>7.7309999999999999</v>
      </c>
      <c r="D158" s="1">
        <v>0.02</v>
      </c>
      <c r="E158" s="1" t="s">
        <v>34</v>
      </c>
      <c r="F158" s="1" t="s">
        <v>22</v>
      </c>
      <c r="G158" s="1" t="s">
        <v>36</v>
      </c>
      <c r="H158" s="1">
        <v>65</v>
      </c>
      <c r="I158" s="1">
        <v>94</v>
      </c>
      <c r="J158" s="1" t="s">
        <v>68</v>
      </c>
      <c r="K158" s="1"/>
      <c r="L158" s="1"/>
      <c r="M158" s="1" t="s">
        <v>40</v>
      </c>
      <c r="N158" s="1"/>
      <c r="O158" s="1">
        <v>6.4219999999999997</v>
      </c>
      <c r="P158" s="1">
        <v>9.5709999999999997</v>
      </c>
      <c r="Q158" s="1"/>
      <c r="R158" s="1"/>
      <c r="S158" s="1" t="s">
        <v>41</v>
      </c>
      <c r="T158" s="1">
        <v>1</v>
      </c>
      <c r="U158" s="1"/>
      <c r="V158" s="1"/>
      <c r="W158" s="1"/>
      <c r="X158" s="1"/>
      <c r="Y158" s="1" t="s">
        <v>42</v>
      </c>
      <c r="Z158" s="1" t="s">
        <v>43</v>
      </c>
    </row>
    <row r="159" spans="1:26" ht="30" x14ac:dyDescent="0.25">
      <c r="A159" s="1">
        <v>2457131.88705</v>
      </c>
      <c r="B159" s="1" t="s">
        <v>11</v>
      </c>
      <c r="C159" s="1">
        <v>7.56</v>
      </c>
      <c r="D159" s="1">
        <v>0.02</v>
      </c>
      <c r="E159" s="1" t="s">
        <v>34</v>
      </c>
      <c r="F159" s="1" t="s">
        <v>22</v>
      </c>
      <c r="G159" s="1" t="s">
        <v>36</v>
      </c>
      <c r="H159" s="1">
        <v>65</v>
      </c>
      <c r="I159" s="1">
        <v>94</v>
      </c>
      <c r="J159" s="1" t="s">
        <v>68</v>
      </c>
      <c r="K159" s="1"/>
      <c r="L159" s="1"/>
      <c r="M159" s="1" t="s">
        <v>40</v>
      </c>
      <c r="N159" s="1"/>
      <c r="O159" s="1">
        <v>6.4219999999999997</v>
      </c>
      <c r="P159" s="1">
        <v>9.5860000000000003</v>
      </c>
      <c r="Q159" s="1"/>
      <c r="R159" s="1"/>
      <c r="S159" s="1" t="s">
        <v>41</v>
      </c>
      <c r="T159" s="1">
        <v>1</v>
      </c>
      <c r="U159" s="1"/>
      <c r="V159" s="1"/>
      <c r="W159" s="1"/>
      <c r="X159" s="1"/>
      <c r="Y159" s="1" t="s">
        <v>42</v>
      </c>
      <c r="Z159" s="1" t="s">
        <v>43</v>
      </c>
    </row>
    <row r="160" spans="1:26" ht="30" x14ac:dyDescent="0.25">
      <c r="A160" s="1">
        <v>2457131.9041400002</v>
      </c>
      <c r="B160" s="1" t="s">
        <v>11</v>
      </c>
      <c r="C160" s="1">
        <v>7.5830000000000002</v>
      </c>
      <c r="D160" s="1">
        <v>0.02</v>
      </c>
      <c r="E160" s="1" t="s">
        <v>34</v>
      </c>
      <c r="F160" s="1" t="s">
        <v>22</v>
      </c>
      <c r="G160" s="1" t="s">
        <v>36</v>
      </c>
      <c r="H160" s="1">
        <v>65</v>
      </c>
      <c r="I160" s="1">
        <v>94</v>
      </c>
      <c r="J160" s="1" t="s">
        <v>68</v>
      </c>
      <c r="K160" s="1"/>
      <c r="L160" s="1"/>
      <c r="M160" s="1" t="s">
        <v>40</v>
      </c>
      <c r="N160" s="1"/>
      <c r="O160" s="1">
        <v>6.4219999999999997</v>
      </c>
      <c r="P160" s="1">
        <v>9.5510000000000002</v>
      </c>
      <c r="Q160" s="1"/>
      <c r="R160" s="1"/>
      <c r="S160" s="1" t="s">
        <v>41</v>
      </c>
      <c r="T160" s="1">
        <v>1</v>
      </c>
      <c r="U160" s="1"/>
      <c r="V160" s="1"/>
      <c r="W160" s="1"/>
      <c r="X160" s="1"/>
      <c r="Y160" s="1" t="s">
        <v>42</v>
      </c>
      <c r="Z160" s="1" t="s">
        <v>43</v>
      </c>
    </row>
    <row r="161" spans="1:26" ht="30" x14ac:dyDescent="0.25">
      <c r="A161" s="1">
        <v>2457131.9147299998</v>
      </c>
      <c r="B161" s="1" t="s">
        <v>11</v>
      </c>
      <c r="C161" s="1">
        <v>7.6550000000000002</v>
      </c>
      <c r="D161" s="1">
        <v>0.02</v>
      </c>
      <c r="E161" s="1" t="s">
        <v>34</v>
      </c>
      <c r="F161" s="1" t="s">
        <v>22</v>
      </c>
      <c r="G161" s="1" t="s">
        <v>36</v>
      </c>
      <c r="H161" s="1">
        <v>65</v>
      </c>
      <c r="I161" s="1">
        <v>94</v>
      </c>
      <c r="J161" s="1" t="s">
        <v>68</v>
      </c>
      <c r="K161" s="1"/>
      <c r="L161" s="1"/>
      <c r="M161" s="1" t="s">
        <v>40</v>
      </c>
      <c r="N161" s="1"/>
      <c r="O161" s="1">
        <v>6.4219999999999997</v>
      </c>
      <c r="P161" s="1">
        <v>9.5969999999999995</v>
      </c>
      <c r="Q161" s="1"/>
      <c r="R161" s="1"/>
      <c r="S161" s="1" t="s">
        <v>41</v>
      </c>
      <c r="T161" s="1">
        <v>1</v>
      </c>
      <c r="U161" s="1"/>
      <c r="V161" s="1"/>
      <c r="W161" s="1"/>
      <c r="X161" s="1"/>
      <c r="Y161" s="1" t="s">
        <v>42</v>
      </c>
      <c r="Z161" s="1" t="s">
        <v>43</v>
      </c>
    </row>
    <row r="162" spans="1:26" ht="30" x14ac:dyDescent="0.25">
      <c r="A162" s="1">
        <v>2457131.9253199999</v>
      </c>
      <c r="B162" s="1" t="s">
        <v>11</v>
      </c>
      <c r="C162" s="1">
        <v>7.5579999999999998</v>
      </c>
      <c r="D162" s="1">
        <v>0.02</v>
      </c>
      <c r="E162" s="1" t="s">
        <v>34</v>
      </c>
      <c r="F162" s="1" t="s">
        <v>22</v>
      </c>
      <c r="G162" s="1" t="s">
        <v>36</v>
      </c>
      <c r="H162" s="1">
        <v>65</v>
      </c>
      <c r="I162" s="1">
        <v>94</v>
      </c>
      <c r="J162" s="1" t="s">
        <v>68</v>
      </c>
      <c r="K162" s="1"/>
      <c r="L162" s="1"/>
      <c r="M162" s="1" t="s">
        <v>40</v>
      </c>
      <c r="N162" s="1"/>
      <c r="O162" s="1">
        <v>6.4219999999999997</v>
      </c>
      <c r="P162" s="1">
        <v>9.5389999999999997</v>
      </c>
      <c r="Q162" s="1"/>
      <c r="R162" s="1"/>
      <c r="S162" s="1" t="s">
        <v>41</v>
      </c>
      <c r="T162" s="1">
        <v>1</v>
      </c>
      <c r="U162" s="1"/>
      <c r="V162" s="1"/>
      <c r="W162" s="1"/>
      <c r="X162" s="1"/>
      <c r="Y162" s="1" t="s">
        <v>42</v>
      </c>
      <c r="Z162" s="1" t="s">
        <v>43</v>
      </c>
    </row>
    <row r="163" spans="1:26" ht="30" x14ac:dyDescent="0.25">
      <c r="A163" s="1">
        <v>2457131.93591</v>
      </c>
      <c r="B163" s="1" t="s">
        <v>11</v>
      </c>
      <c r="C163" s="1">
        <v>7.3659999999999997</v>
      </c>
      <c r="D163" s="1">
        <v>0.02</v>
      </c>
      <c r="E163" s="1" t="s">
        <v>34</v>
      </c>
      <c r="F163" s="1" t="s">
        <v>22</v>
      </c>
      <c r="G163" s="1" t="s">
        <v>36</v>
      </c>
      <c r="H163" s="1">
        <v>65</v>
      </c>
      <c r="I163" s="1">
        <v>94</v>
      </c>
      <c r="J163" s="1" t="s">
        <v>68</v>
      </c>
      <c r="K163" s="1"/>
      <c r="L163" s="1"/>
      <c r="M163" s="1" t="s">
        <v>40</v>
      </c>
      <c r="N163" s="1"/>
      <c r="O163" s="1">
        <v>6.4219999999999997</v>
      </c>
      <c r="P163" s="1">
        <v>9.5370000000000008</v>
      </c>
      <c r="Q163" s="1"/>
      <c r="R163" s="1"/>
      <c r="S163" s="1" t="s">
        <v>41</v>
      </c>
      <c r="T163" s="1">
        <v>1</v>
      </c>
      <c r="U163" s="1"/>
      <c r="V163" s="1"/>
      <c r="W163" s="1"/>
      <c r="X163" s="1"/>
      <c r="Y163" s="1" t="s">
        <v>42</v>
      </c>
      <c r="Z163" s="1" t="s">
        <v>43</v>
      </c>
    </row>
    <row r="164" spans="1:26" ht="30" x14ac:dyDescent="0.25">
      <c r="A164" s="1">
        <v>2457131.9465299998</v>
      </c>
      <c r="B164" s="1" t="s">
        <v>11</v>
      </c>
      <c r="C164" s="1">
        <v>7.4489999999999998</v>
      </c>
      <c r="D164" s="1">
        <v>0.02</v>
      </c>
      <c r="E164" s="1" t="s">
        <v>34</v>
      </c>
      <c r="F164" s="1" t="s">
        <v>22</v>
      </c>
      <c r="G164" s="1" t="s">
        <v>36</v>
      </c>
      <c r="H164" s="1">
        <v>65</v>
      </c>
      <c r="I164" s="1">
        <v>94</v>
      </c>
      <c r="J164" s="1" t="s">
        <v>68</v>
      </c>
      <c r="K164" s="1"/>
      <c r="L164" s="1"/>
      <c r="M164" s="1" t="s">
        <v>40</v>
      </c>
      <c r="N164" s="1"/>
      <c r="O164" s="1">
        <v>6.4219999999999997</v>
      </c>
      <c r="P164" s="1">
        <v>9.5459999999999994</v>
      </c>
      <c r="Q164" s="1"/>
      <c r="R164" s="1"/>
      <c r="S164" s="1" t="s">
        <v>41</v>
      </c>
      <c r="T164" s="1">
        <v>1</v>
      </c>
      <c r="U164" s="1"/>
      <c r="V164" s="1"/>
      <c r="W164" s="1"/>
      <c r="X164" s="1"/>
      <c r="Y164" s="1" t="s">
        <v>42</v>
      </c>
      <c r="Z164" s="1" t="s">
        <v>43</v>
      </c>
    </row>
    <row r="165" spans="1:26" ht="30" x14ac:dyDescent="0.25">
      <c r="A165" s="1">
        <v>2457131.9571600002</v>
      </c>
      <c r="B165" s="1" t="s">
        <v>11</v>
      </c>
      <c r="C165" s="1">
        <v>7.3330000000000002</v>
      </c>
      <c r="D165" s="1">
        <v>0.02</v>
      </c>
      <c r="E165" s="1" t="s">
        <v>34</v>
      </c>
      <c r="F165" s="1" t="s">
        <v>22</v>
      </c>
      <c r="G165" s="1" t="s">
        <v>36</v>
      </c>
      <c r="H165" s="1">
        <v>65</v>
      </c>
      <c r="I165" s="1">
        <v>94</v>
      </c>
      <c r="J165" s="1" t="s">
        <v>68</v>
      </c>
      <c r="K165" s="1"/>
      <c r="L165" s="1"/>
      <c r="M165" s="1" t="s">
        <v>40</v>
      </c>
      <c r="N165" s="1"/>
      <c r="O165" s="1">
        <v>6.4219999999999997</v>
      </c>
      <c r="P165" s="1">
        <v>9.516</v>
      </c>
      <c r="Q165" s="1"/>
      <c r="R165" s="1"/>
      <c r="S165" s="1" t="s">
        <v>41</v>
      </c>
      <c r="T165" s="1">
        <v>1</v>
      </c>
      <c r="U165" s="1"/>
      <c r="V165" s="1"/>
      <c r="W165" s="1"/>
      <c r="X165" s="1"/>
      <c r="Y165" s="1" t="s">
        <v>42</v>
      </c>
      <c r="Z165" s="1" t="s">
        <v>43</v>
      </c>
    </row>
    <row r="166" spans="1:26" ht="30" x14ac:dyDescent="0.25">
      <c r="A166" s="1">
        <v>2457131.97426</v>
      </c>
      <c r="B166" s="1" t="s">
        <v>11</v>
      </c>
      <c r="C166" s="1">
        <v>7.4119999999999999</v>
      </c>
      <c r="D166" s="1">
        <v>0.02</v>
      </c>
      <c r="E166" s="1" t="s">
        <v>34</v>
      </c>
      <c r="F166" s="1" t="s">
        <v>22</v>
      </c>
      <c r="G166" s="1" t="s">
        <v>36</v>
      </c>
      <c r="H166" s="1">
        <v>65</v>
      </c>
      <c r="I166" s="1">
        <v>94</v>
      </c>
      <c r="J166" s="1" t="s">
        <v>68</v>
      </c>
      <c r="K166" s="1"/>
      <c r="L166" s="1"/>
      <c r="M166" s="1" t="s">
        <v>40</v>
      </c>
      <c r="N166" s="1"/>
      <c r="O166" s="1">
        <v>6.4219999999999997</v>
      </c>
      <c r="P166" s="1">
        <v>9.5709999999999997</v>
      </c>
      <c r="Q166" s="1"/>
      <c r="R166" s="1"/>
      <c r="S166" s="1" t="s">
        <v>41</v>
      </c>
      <c r="T166" s="1">
        <v>1</v>
      </c>
      <c r="U166" s="1"/>
      <c r="V166" s="1"/>
      <c r="W166" s="1"/>
      <c r="X166" s="1"/>
      <c r="Y166" s="1" t="s">
        <v>42</v>
      </c>
      <c r="Z166" s="1" t="s">
        <v>43</v>
      </c>
    </row>
    <row r="167" spans="1:26" ht="30" x14ac:dyDescent="0.25">
      <c r="A167" s="1">
        <v>2457132.8558899998</v>
      </c>
      <c r="B167" s="1" t="s">
        <v>12</v>
      </c>
      <c r="C167" s="1">
        <v>7.3440000000000003</v>
      </c>
      <c r="D167" s="1">
        <v>0.02</v>
      </c>
      <c r="E167" s="1" t="s">
        <v>34</v>
      </c>
      <c r="F167" s="1" t="s">
        <v>22</v>
      </c>
      <c r="G167" s="1" t="s">
        <v>36</v>
      </c>
      <c r="H167" s="1">
        <v>65</v>
      </c>
      <c r="I167" s="1">
        <v>94</v>
      </c>
      <c r="J167" s="1" t="s">
        <v>68</v>
      </c>
      <c r="K167" s="1"/>
      <c r="L167" s="1"/>
      <c r="M167" s="1" t="s">
        <v>40</v>
      </c>
      <c r="N167" s="1"/>
      <c r="O167" s="1">
        <v>6.4219999999999997</v>
      </c>
      <c r="P167" s="1">
        <v>9.5809999999999995</v>
      </c>
      <c r="Q167" s="1"/>
      <c r="R167" s="1"/>
      <c r="S167" s="1" t="s">
        <v>41</v>
      </c>
      <c r="T167" s="1">
        <v>1</v>
      </c>
      <c r="U167" s="1"/>
      <c r="V167" s="1"/>
      <c r="W167" s="1"/>
      <c r="X167" s="1"/>
      <c r="Y167" s="1" t="s">
        <v>42</v>
      </c>
      <c r="Z167" s="1" t="s">
        <v>43</v>
      </c>
    </row>
    <row r="168" spans="1:26" ht="30" x14ac:dyDescent="0.25">
      <c r="A168" s="1">
        <v>2457132.8666400001</v>
      </c>
      <c r="B168" s="1" t="s">
        <v>12</v>
      </c>
      <c r="C168" s="1">
        <v>7.5220000000000002</v>
      </c>
      <c r="D168" s="1">
        <v>0.02</v>
      </c>
      <c r="E168" s="1" t="s">
        <v>34</v>
      </c>
      <c r="F168" s="1" t="s">
        <v>22</v>
      </c>
      <c r="G168" s="1" t="s">
        <v>36</v>
      </c>
      <c r="H168" s="1">
        <v>65</v>
      </c>
      <c r="I168" s="1">
        <v>94</v>
      </c>
      <c r="J168" s="1" t="s">
        <v>68</v>
      </c>
      <c r="K168" s="1"/>
      <c r="L168" s="1"/>
      <c r="M168" s="1" t="s">
        <v>40</v>
      </c>
      <c r="N168" s="1"/>
      <c r="O168" s="1">
        <v>6.4219999999999997</v>
      </c>
      <c r="P168" s="1">
        <v>9.5709999999999997</v>
      </c>
      <c r="Q168" s="1"/>
      <c r="R168" s="1"/>
      <c r="S168" s="1" t="s">
        <v>41</v>
      </c>
      <c r="T168" s="1">
        <v>1</v>
      </c>
      <c r="U168" s="1"/>
      <c r="V168" s="1"/>
      <c r="W168" s="1"/>
      <c r="X168" s="1"/>
      <c r="Y168" s="1" t="s">
        <v>42</v>
      </c>
      <c r="Z168" s="1" t="s">
        <v>43</v>
      </c>
    </row>
    <row r="169" spans="1:26" ht="30" x14ac:dyDescent="0.25">
      <c r="A169" s="1">
        <v>2457132.8783399998</v>
      </c>
      <c r="B169" s="1" t="s">
        <v>12</v>
      </c>
      <c r="C169" s="1">
        <v>7.585</v>
      </c>
      <c r="D169" s="1">
        <v>0.02</v>
      </c>
      <c r="E169" s="1" t="s">
        <v>34</v>
      </c>
      <c r="F169" s="1" t="s">
        <v>22</v>
      </c>
      <c r="G169" s="1" t="s">
        <v>36</v>
      </c>
      <c r="H169" s="1">
        <v>65</v>
      </c>
      <c r="I169" s="1">
        <v>94</v>
      </c>
      <c r="J169" s="1" t="s">
        <v>68</v>
      </c>
      <c r="K169" s="1"/>
      <c r="L169" s="1"/>
      <c r="M169" s="1" t="s">
        <v>40</v>
      </c>
      <c r="N169" s="1"/>
      <c r="O169" s="1">
        <v>6.4219999999999997</v>
      </c>
      <c r="P169" s="1">
        <v>9.5670000000000002</v>
      </c>
      <c r="Q169" s="1"/>
      <c r="R169" s="1"/>
      <c r="S169" s="1" t="s">
        <v>41</v>
      </c>
      <c r="T169" s="1">
        <v>1</v>
      </c>
      <c r="U169" s="1"/>
      <c r="V169" s="1"/>
      <c r="W169" s="1"/>
      <c r="X169" s="1"/>
      <c r="Y169" s="1" t="s">
        <v>42</v>
      </c>
      <c r="Z169" s="1" t="s">
        <v>43</v>
      </c>
    </row>
    <row r="170" spans="1:26" ht="30" x14ac:dyDescent="0.25">
      <c r="A170" s="1">
        <v>2457132.8891400001</v>
      </c>
      <c r="B170" s="1" t="s">
        <v>12</v>
      </c>
      <c r="C170" s="1">
        <v>7.5039999999999996</v>
      </c>
      <c r="D170" s="1">
        <v>0.02</v>
      </c>
      <c r="E170" s="1" t="s">
        <v>34</v>
      </c>
      <c r="F170" s="1" t="s">
        <v>22</v>
      </c>
      <c r="G170" s="1" t="s">
        <v>36</v>
      </c>
      <c r="H170" s="1">
        <v>65</v>
      </c>
      <c r="I170" s="1">
        <v>94</v>
      </c>
      <c r="J170" s="1" t="s">
        <v>68</v>
      </c>
      <c r="K170" s="1"/>
      <c r="L170" s="1"/>
      <c r="M170" s="1" t="s">
        <v>40</v>
      </c>
      <c r="N170" s="1"/>
      <c r="O170" s="1">
        <v>6.4219999999999997</v>
      </c>
      <c r="P170" s="1">
        <v>9.5839999999999996</v>
      </c>
      <c r="Q170" s="1"/>
      <c r="R170" s="1"/>
      <c r="S170" s="1" t="s">
        <v>41</v>
      </c>
      <c r="T170" s="1">
        <v>1</v>
      </c>
      <c r="U170" s="1"/>
      <c r="V170" s="1"/>
      <c r="W170" s="1"/>
      <c r="X170" s="1"/>
      <c r="Y170" s="1" t="s">
        <v>42</v>
      </c>
      <c r="Z170" s="1" t="s">
        <v>43</v>
      </c>
    </row>
    <row r="171" spans="1:26" ht="30" x14ac:dyDescent="0.25">
      <c r="A171" s="1">
        <v>2457132.9006599998</v>
      </c>
      <c r="B171" s="1" t="s">
        <v>12</v>
      </c>
      <c r="C171" s="1">
        <v>7.5469999999999997</v>
      </c>
      <c r="D171" s="1">
        <v>0.02</v>
      </c>
      <c r="E171" s="1" t="s">
        <v>34</v>
      </c>
      <c r="F171" s="1" t="s">
        <v>22</v>
      </c>
      <c r="G171" s="1" t="s">
        <v>36</v>
      </c>
      <c r="H171" s="1">
        <v>65</v>
      </c>
      <c r="I171" s="1">
        <v>94</v>
      </c>
      <c r="J171" s="1" t="s">
        <v>68</v>
      </c>
      <c r="K171" s="1"/>
      <c r="L171" s="1"/>
      <c r="M171" s="1" t="s">
        <v>40</v>
      </c>
      <c r="N171" s="1"/>
      <c r="O171" s="1">
        <v>6.4219999999999997</v>
      </c>
      <c r="P171" s="1">
        <v>9.5649999999999995</v>
      </c>
      <c r="Q171" s="1"/>
      <c r="R171" s="1"/>
      <c r="S171" s="1" t="s">
        <v>41</v>
      </c>
      <c r="T171" s="1">
        <v>1</v>
      </c>
      <c r="U171" s="1"/>
      <c r="V171" s="1"/>
      <c r="W171" s="1"/>
      <c r="X171" s="1"/>
      <c r="Y171" s="1" t="s">
        <v>42</v>
      </c>
      <c r="Z171" s="1" t="s">
        <v>43</v>
      </c>
    </row>
    <row r="172" spans="1:26" ht="30" x14ac:dyDescent="0.25">
      <c r="A172" s="1">
        <v>2457132.91035</v>
      </c>
      <c r="B172" s="1" t="s">
        <v>12</v>
      </c>
      <c r="C172" s="1">
        <v>7.5869999999999997</v>
      </c>
      <c r="D172" s="1">
        <v>0.02</v>
      </c>
      <c r="E172" s="1" t="s">
        <v>34</v>
      </c>
      <c r="F172" s="1" t="s">
        <v>22</v>
      </c>
      <c r="G172" s="1" t="s">
        <v>36</v>
      </c>
      <c r="H172" s="1">
        <v>65</v>
      </c>
      <c r="I172" s="1">
        <v>94</v>
      </c>
      <c r="J172" s="1" t="s">
        <v>68</v>
      </c>
      <c r="K172" s="1"/>
      <c r="L172" s="1"/>
      <c r="M172" s="1" t="s">
        <v>40</v>
      </c>
      <c r="N172" s="1"/>
      <c r="O172" s="1">
        <v>6.4219999999999997</v>
      </c>
      <c r="P172" s="1">
        <v>9.5459999999999994</v>
      </c>
      <c r="Q172" s="1"/>
      <c r="R172" s="1"/>
      <c r="S172" s="1" t="s">
        <v>41</v>
      </c>
      <c r="T172" s="1">
        <v>1</v>
      </c>
      <c r="U172" s="1"/>
      <c r="V172" s="1"/>
      <c r="W172" s="1"/>
      <c r="X172" s="1"/>
      <c r="Y172" s="1" t="s">
        <v>42</v>
      </c>
      <c r="Z172" s="1" t="s">
        <v>43</v>
      </c>
    </row>
    <row r="173" spans="1:26" ht="30" x14ac:dyDescent="0.25">
      <c r="A173" s="1">
        <v>2457132.9200599999</v>
      </c>
      <c r="B173" s="1" t="s">
        <v>12</v>
      </c>
      <c r="C173" s="1">
        <v>7.58</v>
      </c>
      <c r="D173" s="1">
        <v>0.02</v>
      </c>
      <c r="E173" s="1" t="s">
        <v>34</v>
      </c>
      <c r="F173" s="1" t="s">
        <v>22</v>
      </c>
      <c r="G173" s="1" t="s">
        <v>36</v>
      </c>
      <c r="H173" s="1">
        <v>65</v>
      </c>
      <c r="I173" s="1">
        <v>94</v>
      </c>
      <c r="J173" s="1" t="s">
        <v>68</v>
      </c>
      <c r="K173" s="1"/>
      <c r="L173" s="1"/>
      <c r="M173" s="1" t="s">
        <v>40</v>
      </c>
      <c r="N173" s="1"/>
      <c r="O173" s="1">
        <v>6.4219999999999997</v>
      </c>
      <c r="P173" s="1">
        <v>9.5500000000000007</v>
      </c>
      <c r="Q173" s="1"/>
      <c r="R173" s="1"/>
      <c r="S173" s="1" t="s">
        <v>41</v>
      </c>
      <c r="T173" s="1">
        <v>1</v>
      </c>
      <c r="U173" s="1"/>
      <c r="V173" s="1"/>
      <c r="W173" s="1"/>
      <c r="X173" s="1"/>
      <c r="Y173" s="1" t="s">
        <v>42</v>
      </c>
      <c r="Z173" s="1" t="s">
        <v>43</v>
      </c>
    </row>
    <row r="174" spans="1:26" ht="30" x14ac:dyDescent="0.25">
      <c r="A174" s="1">
        <v>2457132.9297500001</v>
      </c>
      <c r="B174" s="1" t="s">
        <v>12</v>
      </c>
      <c r="C174" s="1">
        <v>7.5460000000000003</v>
      </c>
      <c r="D174" s="1">
        <v>0.02</v>
      </c>
      <c r="E174" s="1" t="s">
        <v>34</v>
      </c>
      <c r="F174" s="1" t="s">
        <v>22</v>
      </c>
      <c r="G174" s="1" t="s">
        <v>36</v>
      </c>
      <c r="H174" s="1">
        <v>65</v>
      </c>
      <c r="I174" s="1">
        <v>94</v>
      </c>
      <c r="J174" s="1" t="s">
        <v>68</v>
      </c>
      <c r="K174" s="1"/>
      <c r="L174" s="1"/>
      <c r="M174" s="1" t="s">
        <v>40</v>
      </c>
      <c r="N174" s="1"/>
      <c r="O174" s="1">
        <v>6.4219999999999997</v>
      </c>
      <c r="P174" s="1">
        <v>9.5519999999999996</v>
      </c>
      <c r="Q174" s="1"/>
      <c r="R174" s="1"/>
      <c r="S174" s="1" t="s">
        <v>41</v>
      </c>
      <c r="T174" s="1">
        <v>1</v>
      </c>
      <c r="U174" s="1"/>
      <c r="V174" s="1"/>
      <c r="W174" s="1"/>
      <c r="X174" s="1"/>
      <c r="Y174" s="1" t="s">
        <v>42</v>
      </c>
      <c r="Z174" s="1" t="s">
        <v>43</v>
      </c>
    </row>
    <row r="175" spans="1:26" ht="30" x14ac:dyDescent="0.25">
      <c r="A175" s="1">
        <v>2457132.9394399999</v>
      </c>
      <c r="B175" s="1" t="s">
        <v>12</v>
      </c>
      <c r="C175" s="1">
        <v>7.6779999999999999</v>
      </c>
      <c r="D175" s="1">
        <v>0.02</v>
      </c>
      <c r="E175" s="1" t="s">
        <v>34</v>
      </c>
      <c r="F175" s="1" t="s">
        <v>22</v>
      </c>
      <c r="G175" s="1" t="s">
        <v>36</v>
      </c>
      <c r="H175" s="1">
        <v>65</v>
      </c>
      <c r="I175" s="1">
        <v>94</v>
      </c>
      <c r="J175" s="1" t="s">
        <v>68</v>
      </c>
      <c r="K175" s="1"/>
      <c r="L175" s="1"/>
      <c r="M175" s="1" t="s">
        <v>40</v>
      </c>
      <c r="N175" s="1"/>
      <c r="O175" s="1">
        <v>6.4219999999999997</v>
      </c>
      <c r="P175" s="1">
        <v>9.5220000000000002</v>
      </c>
      <c r="Q175" s="1"/>
      <c r="R175" s="1"/>
      <c r="S175" s="1" t="s">
        <v>41</v>
      </c>
      <c r="T175" s="1">
        <v>1</v>
      </c>
      <c r="U175" s="1"/>
      <c r="V175" s="1"/>
      <c r="W175" s="1"/>
      <c r="X175" s="1"/>
      <c r="Y175" s="1" t="s">
        <v>42</v>
      </c>
      <c r="Z175" s="1" t="s">
        <v>43</v>
      </c>
    </row>
    <row r="176" spans="1:26" ht="30" x14ac:dyDescent="0.25">
      <c r="A176" s="1">
        <v>2457132.9491499998</v>
      </c>
      <c r="B176" s="1" t="s">
        <v>12</v>
      </c>
      <c r="C176" s="1">
        <v>7.7060000000000004</v>
      </c>
      <c r="D176" s="1">
        <v>0.02</v>
      </c>
      <c r="E176" s="1" t="s">
        <v>34</v>
      </c>
      <c r="F176" s="1" t="s">
        <v>22</v>
      </c>
      <c r="G176" s="1" t="s">
        <v>36</v>
      </c>
      <c r="H176" s="1">
        <v>65</v>
      </c>
      <c r="I176" s="1">
        <v>94</v>
      </c>
      <c r="J176" s="1" t="s">
        <v>68</v>
      </c>
      <c r="K176" s="1"/>
      <c r="L176" s="1"/>
      <c r="M176" s="1" t="s">
        <v>40</v>
      </c>
      <c r="N176" s="1"/>
      <c r="O176" s="1">
        <v>6.4219999999999997</v>
      </c>
      <c r="P176" s="1">
        <v>9.57</v>
      </c>
      <c r="Q176" s="1"/>
      <c r="R176" s="1"/>
      <c r="S176" s="1" t="s">
        <v>41</v>
      </c>
      <c r="T176" s="1">
        <v>1</v>
      </c>
      <c r="U176" s="1"/>
      <c r="V176" s="1"/>
      <c r="W176" s="1"/>
      <c r="X176" s="1"/>
      <c r="Y176" s="1" t="s">
        <v>42</v>
      </c>
      <c r="Z176" s="1" t="s">
        <v>43</v>
      </c>
    </row>
    <row r="177" spans="1:26" ht="30" x14ac:dyDescent="0.25">
      <c r="A177" s="1">
        <v>2457132.95884</v>
      </c>
      <c r="B177" s="1" t="s">
        <v>12</v>
      </c>
      <c r="C177" s="1">
        <v>7.4720000000000004</v>
      </c>
      <c r="D177" s="1">
        <v>0.02</v>
      </c>
      <c r="E177" s="1" t="s">
        <v>34</v>
      </c>
      <c r="F177" s="1" t="s">
        <v>22</v>
      </c>
      <c r="G177" s="1" t="s">
        <v>36</v>
      </c>
      <c r="H177" s="1">
        <v>65</v>
      </c>
      <c r="I177" s="1">
        <v>94</v>
      </c>
      <c r="J177" s="1" t="s">
        <v>68</v>
      </c>
      <c r="K177" s="1"/>
      <c r="L177" s="1"/>
      <c r="M177" s="1" t="s">
        <v>40</v>
      </c>
      <c r="N177" s="1"/>
      <c r="O177" s="1">
        <v>6.4219999999999997</v>
      </c>
      <c r="P177" s="1">
        <v>9.5540000000000003</v>
      </c>
      <c r="Q177" s="1"/>
      <c r="R177" s="1"/>
      <c r="S177" s="1" t="s">
        <v>41</v>
      </c>
      <c r="T177" s="1">
        <v>1</v>
      </c>
      <c r="U177" s="1"/>
      <c r="V177" s="1"/>
      <c r="W177" s="1"/>
      <c r="X177" s="1"/>
      <c r="Y177" s="1" t="s">
        <v>42</v>
      </c>
      <c r="Z177" s="1" t="s">
        <v>43</v>
      </c>
    </row>
    <row r="178" spans="1:26" ht="30" x14ac:dyDescent="0.25">
      <c r="A178" s="1">
        <v>2457132.9744799999</v>
      </c>
      <c r="B178" s="1" t="s">
        <v>12</v>
      </c>
      <c r="C178" s="1">
        <v>7.4859999999999998</v>
      </c>
      <c r="D178" s="1">
        <v>0.02</v>
      </c>
      <c r="E178" s="1" t="s">
        <v>34</v>
      </c>
      <c r="F178" s="1" t="s">
        <v>22</v>
      </c>
      <c r="G178" s="1" t="s">
        <v>36</v>
      </c>
      <c r="H178" s="1">
        <v>65</v>
      </c>
      <c r="I178" s="1">
        <v>94</v>
      </c>
      <c r="J178" s="1" t="s">
        <v>68</v>
      </c>
      <c r="K178" s="1"/>
      <c r="L178" s="1"/>
      <c r="M178" s="1" t="s">
        <v>40</v>
      </c>
      <c r="N178" s="1"/>
      <c r="O178" s="1">
        <v>6.4219999999999997</v>
      </c>
      <c r="P178" s="1">
        <v>9.5679999999999996</v>
      </c>
      <c r="Q178" s="1"/>
      <c r="R178" s="1"/>
      <c r="S178" s="1" t="s">
        <v>41</v>
      </c>
      <c r="T178" s="1">
        <v>1</v>
      </c>
      <c r="U178" s="1"/>
      <c r="V178" s="1"/>
      <c r="W178" s="1"/>
      <c r="X178" s="1"/>
      <c r="Y178" s="1" t="s">
        <v>42</v>
      </c>
      <c r="Z178" s="1" t="s">
        <v>43</v>
      </c>
    </row>
    <row r="179" spans="1:26" ht="30" x14ac:dyDescent="0.25">
      <c r="A179" s="1">
        <v>2457134.8105100002</v>
      </c>
      <c r="B179" s="1" t="s">
        <v>13</v>
      </c>
      <c r="C179" s="1">
        <v>7.2759999999999998</v>
      </c>
      <c r="D179" s="1">
        <v>2E-3</v>
      </c>
      <c r="E179" s="1" t="s">
        <v>34</v>
      </c>
      <c r="F179" s="1" t="s">
        <v>71</v>
      </c>
      <c r="G179" s="1" t="s">
        <v>36</v>
      </c>
      <c r="H179" s="1" t="s">
        <v>37</v>
      </c>
      <c r="I179" s="1" t="s">
        <v>72</v>
      </c>
      <c r="J179" s="1">
        <v>150509</v>
      </c>
      <c r="K179" s="1"/>
      <c r="L179" s="1"/>
      <c r="M179" s="1" t="s">
        <v>40</v>
      </c>
      <c r="N179" s="1">
        <v>1.7949999999999999</v>
      </c>
      <c r="O179" s="1"/>
      <c r="P179" s="1">
        <v>8.8390000000000004</v>
      </c>
      <c r="Q179" s="1"/>
      <c r="R179" s="1"/>
      <c r="S179" s="1" t="s">
        <v>41</v>
      </c>
      <c r="T179" s="1">
        <v>0</v>
      </c>
      <c r="U179" s="1"/>
      <c r="V179" s="1"/>
      <c r="W179" s="1"/>
      <c r="X179" s="1"/>
      <c r="Y179" s="1" t="s">
        <v>42</v>
      </c>
      <c r="Z179" s="1" t="s">
        <v>43</v>
      </c>
    </row>
    <row r="180" spans="1:26" ht="30" x14ac:dyDescent="0.25">
      <c r="A180" s="1">
        <v>2457134.8154600002</v>
      </c>
      <c r="B180" s="1" t="s">
        <v>13</v>
      </c>
      <c r="C180" s="1">
        <v>7.2590000000000003</v>
      </c>
      <c r="D180" s="1">
        <v>2E-3</v>
      </c>
      <c r="E180" s="1" t="s">
        <v>34</v>
      </c>
      <c r="F180" s="1" t="s">
        <v>71</v>
      </c>
      <c r="G180" s="1" t="s">
        <v>36</v>
      </c>
      <c r="H180" s="1" t="s">
        <v>37</v>
      </c>
      <c r="I180" s="1" t="s">
        <v>72</v>
      </c>
      <c r="J180" s="1">
        <v>150509</v>
      </c>
      <c r="K180" s="1"/>
      <c r="L180" s="1"/>
      <c r="M180" s="1" t="s">
        <v>40</v>
      </c>
      <c r="N180" s="1">
        <v>1.7450000000000001</v>
      </c>
      <c r="O180" s="1"/>
      <c r="P180" s="1">
        <v>8.8350000000000009</v>
      </c>
      <c r="Q180" s="1"/>
      <c r="R180" s="1"/>
      <c r="S180" s="1" t="s">
        <v>41</v>
      </c>
      <c r="T180" s="1">
        <v>0</v>
      </c>
      <c r="U180" s="1"/>
      <c r="V180" s="1"/>
      <c r="W180" s="1"/>
      <c r="X180" s="1"/>
      <c r="Y180" s="1" t="s">
        <v>42</v>
      </c>
      <c r="Z180" s="1" t="s">
        <v>43</v>
      </c>
    </row>
    <row r="181" spans="1:26" ht="30" x14ac:dyDescent="0.25">
      <c r="A181" s="1">
        <v>2457134.82039</v>
      </c>
      <c r="B181" s="1" t="s">
        <v>13</v>
      </c>
      <c r="C181" s="1">
        <v>7.2329999999999997</v>
      </c>
      <c r="D181" s="1">
        <v>2E-3</v>
      </c>
      <c r="E181" s="1" t="s">
        <v>34</v>
      </c>
      <c r="F181" s="1" t="s">
        <v>71</v>
      </c>
      <c r="G181" s="1" t="s">
        <v>36</v>
      </c>
      <c r="H181" s="1" t="s">
        <v>37</v>
      </c>
      <c r="I181" s="1" t="s">
        <v>72</v>
      </c>
      <c r="J181" s="1">
        <v>150509</v>
      </c>
      <c r="K181" s="1"/>
      <c r="L181" s="1"/>
      <c r="M181" s="1" t="s">
        <v>40</v>
      </c>
      <c r="N181" s="1">
        <v>1.702</v>
      </c>
      <c r="O181" s="1"/>
      <c r="P181" s="1">
        <v>8.7929999999999993</v>
      </c>
      <c r="Q181" s="1"/>
      <c r="R181" s="1"/>
      <c r="S181" s="1" t="s">
        <v>41</v>
      </c>
      <c r="T181" s="1">
        <v>0</v>
      </c>
      <c r="U181" s="1"/>
      <c r="V181" s="1"/>
      <c r="W181" s="1"/>
      <c r="X181" s="1"/>
      <c r="Y181" s="1" t="s">
        <v>42</v>
      </c>
      <c r="Z181" s="1" t="s">
        <v>43</v>
      </c>
    </row>
    <row r="182" spans="1:26" ht="30" x14ac:dyDescent="0.25">
      <c r="A182" s="1">
        <v>2457134.8252699999</v>
      </c>
      <c r="B182" s="1" t="s">
        <v>13</v>
      </c>
      <c r="C182" s="1">
        <v>7.22</v>
      </c>
      <c r="D182" s="1">
        <v>2E-3</v>
      </c>
      <c r="E182" s="1" t="s">
        <v>34</v>
      </c>
      <c r="F182" s="1" t="s">
        <v>71</v>
      </c>
      <c r="G182" s="1" t="s">
        <v>36</v>
      </c>
      <c r="H182" s="1" t="s">
        <v>37</v>
      </c>
      <c r="I182" s="1" t="s">
        <v>72</v>
      </c>
      <c r="J182" s="1">
        <v>150509</v>
      </c>
      <c r="K182" s="1"/>
      <c r="L182" s="1"/>
      <c r="M182" s="1" t="s">
        <v>40</v>
      </c>
      <c r="N182" s="1">
        <v>1.6579999999999999</v>
      </c>
      <c r="O182" s="1"/>
      <c r="P182" s="1">
        <v>8.8490000000000002</v>
      </c>
      <c r="Q182" s="1"/>
      <c r="R182" s="1"/>
      <c r="S182" s="1" t="s">
        <v>41</v>
      </c>
      <c r="T182" s="1">
        <v>0</v>
      </c>
      <c r="U182" s="1"/>
      <c r="V182" s="1"/>
      <c r="W182" s="1"/>
      <c r="X182" s="1"/>
      <c r="Y182" s="1" t="s">
        <v>42</v>
      </c>
      <c r="Z182" s="1" t="s">
        <v>43</v>
      </c>
    </row>
    <row r="183" spans="1:26" ht="30" x14ac:dyDescent="0.25">
      <c r="A183" s="1">
        <v>2457134.83024</v>
      </c>
      <c r="B183" s="1" t="s">
        <v>13</v>
      </c>
      <c r="C183" s="1">
        <v>7.234</v>
      </c>
      <c r="D183" s="1">
        <v>2E-3</v>
      </c>
      <c r="E183" s="1" t="s">
        <v>34</v>
      </c>
      <c r="F183" s="1" t="s">
        <v>71</v>
      </c>
      <c r="G183" s="1" t="s">
        <v>36</v>
      </c>
      <c r="H183" s="1" t="s">
        <v>37</v>
      </c>
      <c r="I183" s="1" t="s">
        <v>72</v>
      </c>
      <c r="J183" s="1">
        <v>150509</v>
      </c>
      <c r="K183" s="1"/>
      <c r="L183" s="1"/>
      <c r="M183" s="1" t="s">
        <v>40</v>
      </c>
      <c r="N183" s="1">
        <v>1.6160000000000001</v>
      </c>
      <c r="O183" s="1"/>
      <c r="P183" s="1">
        <v>8.8330000000000002</v>
      </c>
      <c r="Q183" s="1"/>
      <c r="R183" s="1"/>
      <c r="S183" s="1" t="s">
        <v>41</v>
      </c>
      <c r="T183" s="1">
        <v>0</v>
      </c>
      <c r="U183" s="1"/>
      <c r="V183" s="1"/>
      <c r="W183" s="1"/>
      <c r="X183" s="1"/>
      <c r="Y183" s="1" t="s">
        <v>42</v>
      </c>
      <c r="Z183" s="1" t="s">
        <v>43</v>
      </c>
    </row>
    <row r="184" spans="1:26" ht="30" x14ac:dyDescent="0.25">
      <c r="A184" s="1">
        <v>2457134.8968500001</v>
      </c>
      <c r="B184" s="1" t="s">
        <v>13</v>
      </c>
      <c r="C184" s="1">
        <v>7.0529999999999999</v>
      </c>
      <c r="D184" s="1">
        <v>0.02</v>
      </c>
      <c r="E184" s="1" t="s">
        <v>34</v>
      </c>
      <c r="F184" s="1" t="s">
        <v>22</v>
      </c>
      <c r="G184" s="1" t="s">
        <v>36</v>
      </c>
      <c r="H184" s="1">
        <v>65</v>
      </c>
      <c r="I184" s="1">
        <v>94</v>
      </c>
      <c r="J184" s="1" t="s">
        <v>68</v>
      </c>
      <c r="K184" s="1"/>
      <c r="L184" s="1"/>
      <c r="M184" s="1" t="s">
        <v>40</v>
      </c>
      <c r="N184" s="1"/>
      <c r="O184" s="1">
        <v>6.4219999999999997</v>
      </c>
      <c r="P184" s="1">
        <v>9.4589999999999996</v>
      </c>
      <c r="Q184" s="1"/>
      <c r="R184" s="1"/>
      <c r="S184" s="1" t="s">
        <v>41</v>
      </c>
      <c r="T184" s="1">
        <v>1</v>
      </c>
      <c r="U184" s="1"/>
      <c r="V184" s="1"/>
      <c r="W184" s="1"/>
      <c r="X184" s="1"/>
      <c r="Y184" s="1" t="s">
        <v>42</v>
      </c>
      <c r="Z184" s="1" t="s">
        <v>43</v>
      </c>
    </row>
    <row r="185" spans="1:26" ht="30" x14ac:dyDescent="0.25">
      <c r="A185" s="1">
        <v>2457134.9074900001</v>
      </c>
      <c r="B185" s="1" t="s">
        <v>13</v>
      </c>
      <c r="C185" s="1">
        <v>7.2409999999999997</v>
      </c>
      <c r="D185" s="1">
        <v>0.02</v>
      </c>
      <c r="E185" s="1" t="s">
        <v>34</v>
      </c>
      <c r="F185" s="1" t="s">
        <v>22</v>
      </c>
      <c r="G185" s="1" t="s">
        <v>36</v>
      </c>
      <c r="H185" s="1">
        <v>65</v>
      </c>
      <c r="I185" s="1">
        <v>94</v>
      </c>
      <c r="J185" s="1" t="s">
        <v>68</v>
      </c>
      <c r="K185" s="1"/>
      <c r="L185" s="1"/>
      <c r="M185" s="1" t="s">
        <v>40</v>
      </c>
      <c r="N185" s="1"/>
      <c r="O185" s="1">
        <v>6.4219999999999997</v>
      </c>
      <c r="P185" s="1">
        <v>9.5030000000000001</v>
      </c>
      <c r="Q185" s="1"/>
      <c r="R185" s="1"/>
      <c r="S185" s="1" t="s">
        <v>41</v>
      </c>
      <c r="T185" s="1">
        <v>1</v>
      </c>
      <c r="U185" s="1"/>
      <c r="V185" s="1"/>
      <c r="W185" s="1"/>
      <c r="X185" s="1"/>
      <c r="Y185" s="1" t="s">
        <v>42</v>
      </c>
      <c r="Z185" s="1" t="s">
        <v>43</v>
      </c>
    </row>
    <row r="186" spans="1:26" ht="30" x14ac:dyDescent="0.25">
      <c r="A186" s="1">
        <v>2457134.91811</v>
      </c>
      <c r="B186" s="1" t="s">
        <v>13</v>
      </c>
      <c r="C186" s="1">
        <v>7.3609999999999998</v>
      </c>
      <c r="D186" s="1">
        <v>0.02</v>
      </c>
      <c r="E186" s="1" t="s">
        <v>34</v>
      </c>
      <c r="F186" s="1" t="s">
        <v>22</v>
      </c>
      <c r="G186" s="1" t="s">
        <v>36</v>
      </c>
      <c r="H186" s="1">
        <v>65</v>
      </c>
      <c r="I186" s="1">
        <v>94</v>
      </c>
      <c r="J186" s="1" t="s">
        <v>68</v>
      </c>
      <c r="K186" s="1"/>
      <c r="L186" s="1"/>
      <c r="M186" s="1" t="s">
        <v>40</v>
      </c>
      <c r="N186" s="1"/>
      <c r="O186" s="1">
        <v>6.4219999999999997</v>
      </c>
      <c r="P186" s="1">
        <v>9.5749999999999993</v>
      </c>
      <c r="Q186" s="1"/>
      <c r="R186" s="1"/>
      <c r="S186" s="1" t="s">
        <v>41</v>
      </c>
      <c r="T186" s="1">
        <v>1</v>
      </c>
      <c r="U186" s="1"/>
      <c r="V186" s="1"/>
      <c r="W186" s="1"/>
      <c r="X186" s="1"/>
      <c r="Y186" s="1" t="s">
        <v>42</v>
      </c>
      <c r="Z186" s="1" t="s">
        <v>43</v>
      </c>
    </row>
    <row r="187" spans="1:26" ht="30" x14ac:dyDescent="0.25">
      <c r="A187" s="1">
        <v>2457134.92876</v>
      </c>
      <c r="B187" s="1" t="s">
        <v>13</v>
      </c>
      <c r="C187" s="1">
        <v>7.1479999999999997</v>
      </c>
      <c r="D187" s="1">
        <v>0.02</v>
      </c>
      <c r="E187" s="1" t="s">
        <v>34</v>
      </c>
      <c r="F187" s="1" t="s">
        <v>22</v>
      </c>
      <c r="G187" s="1" t="s">
        <v>36</v>
      </c>
      <c r="H187" s="1">
        <v>65</v>
      </c>
      <c r="I187" s="1">
        <v>94</v>
      </c>
      <c r="J187" s="1" t="s">
        <v>68</v>
      </c>
      <c r="K187" s="1"/>
      <c r="L187" s="1"/>
      <c r="M187" s="1" t="s">
        <v>40</v>
      </c>
      <c r="N187" s="1"/>
      <c r="O187" s="1">
        <v>6.4219999999999997</v>
      </c>
      <c r="P187" s="1">
        <v>9.5489999999999995</v>
      </c>
      <c r="Q187" s="1"/>
      <c r="R187" s="1"/>
      <c r="S187" s="1" t="s">
        <v>41</v>
      </c>
      <c r="T187" s="1">
        <v>1</v>
      </c>
      <c r="U187" s="1"/>
      <c r="V187" s="1"/>
      <c r="W187" s="1"/>
      <c r="X187" s="1"/>
      <c r="Y187" s="1" t="s">
        <v>42</v>
      </c>
      <c r="Z187" s="1" t="s">
        <v>43</v>
      </c>
    </row>
    <row r="188" spans="1:26" ht="30" x14ac:dyDescent="0.25">
      <c r="A188" s="1">
        <v>2457134.9394100001</v>
      </c>
      <c r="B188" s="1" t="s">
        <v>13</v>
      </c>
      <c r="C188" s="1">
        <v>7.1210000000000004</v>
      </c>
      <c r="D188" s="1">
        <v>0.02</v>
      </c>
      <c r="E188" s="1" t="s">
        <v>34</v>
      </c>
      <c r="F188" s="1" t="s">
        <v>22</v>
      </c>
      <c r="G188" s="1" t="s">
        <v>36</v>
      </c>
      <c r="H188" s="1">
        <v>65</v>
      </c>
      <c r="I188" s="1">
        <v>94</v>
      </c>
      <c r="J188" s="1" t="s">
        <v>68</v>
      </c>
      <c r="K188" s="1"/>
      <c r="L188" s="1"/>
      <c r="M188" s="1" t="s">
        <v>40</v>
      </c>
      <c r="N188" s="1"/>
      <c r="O188" s="1">
        <v>6.4219999999999997</v>
      </c>
      <c r="P188" s="1">
        <v>9.5630000000000006</v>
      </c>
      <c r="Q188" s="1"/>
      <c r="R188" s="1"/>
      <c r="S188" s="1" t="s">
        <v>41</v>
      </c>
      <c r="T188" s="1">
        <v>1</v>
      </c>
      <c r="U188" s="1"/>
      <c r="V188" s="1"/>
      <c r="W188" s="1"/>
      <c r="X188" s="1"/>
      <c r="Y188" s="1" t="s">
        <v>42</v>
      </c>
      <c r="Z188" s="1" t="s">
        <v>43</v>
      </c>
    </row>
    <row r="189" spans="1:26" ht="30" x14ac:dyDescent="0.25">
      <c r="A189" s="1">
        <v>2457134.95004</v>
      </c>
      <c r="B189" s="1" t="s">
        <v>13</v>
      </c>
      <c r="C189" s="1">
        <v>7.2060000000000004</v>
      </c>
      <c r="D189" s="1">
        <v>0.02</v>
      </c>
      <c r="E189" s="1" t="s">
        <v>34</v>
      </c>
      <c r="F189" s="1" t="s">
        <v>22</v>
      </c>
      <c r="G189" s="1" t="s">
        <v>36</v>
      </c>
      <c r="H189" s="1">
        <v>65</v>
      </c>
      <c r="I189" s="1">
        <v>94</v>
      </c>
      <c r="J189" s="1" t="s">
        <v>68</v>
      </c>
      <c r="K189" s="1"/>
      <c r="L189" s="1"/>
      <c r="M189" s="1" t="s">
        <v>40</v>
      </c>
      <c r="N189" s="1"/>
      <c r="O189" s="1">
        <v>6.4219999999999997</v>
      </c>
      <c r="P189" s="1">
        <v>9.5540000000000003</v>
      </c>
      <c r="Q189" s="1"/>
      <c r="R189" s="1"/>
      <c r="S189" s="1" t="s">
        <v>41</v>
      </c>
      <c r="T189" s="1">
        <v>1</v>
      </c>
      <c r="U189" s="1"/>
      <c r="V189" s="1"/>
      <c r="W189" s="1"/>
      <c r="X189" s="1"/>
      <c r="Y189" s="1" t="s">
        <v>42</v>
      </c>
      <c r="Z189" s="1" t="s">
        <v>43</v>
      </c>
    </row>
    <row r="190" spans="1:26" ht="30" x14ac:dyDescent="0.25">
      <c r="A190" s="1">
        <v>2457134.9671499999</v>
      </c>
      <c r="B190" s="1" t="s">
        <v>13</v>
      </c>
      <c r="C190" s="1">
        <v>7.2709999999999999</v>
      </c>
      <c r="D190" s="1">
        <v>0.02</v>
      </c>
      <c r="E190" s="1" t="s">
        <v>34</v>
      </c>
      <c r="F190" s="1" t="s">
        <v>22</v>
      </c>
      <c r="G190" s="1" t="s">
        <v>36</v>
      </c>
      <c r="H190" s="1">
        <v>65</v>
      </c>
      <c r="I190" s="1">
        <v>94</v>
      </c>
      <c r="J190" s="1" t="s">
        <v>68</v>
      </c>
      <c r="K190" s="1"/>
      <c r="L190" s="1"/>
      <c r="M190" s="1" t="s">
        <v>40</v>
      </c>
      <c r="N190" s="1"/>
      <c r="O190" s="1">
        <v>6.4219999999999997</v>
      </c>
      <c r="P190" s="1">
        <v>9.57</v>
      </c>
      <c r="Q190" s="1"/>
      <c r="R190" s="1"/>
      <c r="S190" s="1" t="s">
        <v>41</v>
      </c>
      <c r="T190" s="1">
        <v>1</v>
      </c>
      <c r="U190" s="1"/>
      <c r="V190" s="1"/>
      <c r="W190" s="1"/>
      <c r="X190" s="1"/>
      <c r="Y190" s="1" t="s">
        <v>42</v>
      </c>
      <c r="Z190" s="1" t="s">
        <v>43</v>
      </c>
    </row>
    <row r="191" spans="1:26" ht="30" x14ac:dyDescent="0.25">
      <c r="A191" s="1">
        <v>2457135.8425400001</v>
      </c>
      <c r="B191" s="1" t="s">
        <v>14</v>
      </c>
      <c r="C191" s="1">
        <v>7.6870000000000003</v>
      </c>
      <c r="D191" s="1">
        <v>0.02</v>
      </c>
      <c r="E191" s="1" t="s">
        <v>34</v>
      </c>
      <c r="F191" s="1" t="s">
        <v>22</v>
      </c>
      <c r="G191" s="1" t="s">
        <v>36</v>
      </c>
      <c r="H191" s="1">
        <v>65</v>
      </c>
      <c r="I191" s="1">
        <v>94</v>
      </c>
      <c r="J191" s="1" t="s">
        <v>68</v>
      </c>
      <c r="K191" s="1"/>
      <c r="L191" s="1"/>
      <c r="M191" s="1" t="s">
        <v>40</v>
      </c>
      <c r="N191" s="1"/>
      <c r="O191" s="1">
        <v>6.4219999999999997</v>
      </c>
      <c r="P191" s="1">
        <v>9.5180000000000007</v>
      </c>
      <c r="Q191" s="1"/>
      <c r="R191" s="1"/>
      <c r="S191" s="1" t="s">
        <v>41</v>
      </c>
      <c r="T191" s="1">
        <v>1</v>
      </c>
      <c r="U191" s="1"/>
      <c r="V191" s="1"/>
      <c r="W191" s="1"/>
      <c r="X191" s="1"/>
      <c r="Y191" s="1" t="s">
        <v>42</v>
      </c>
      <c r="Z191" s="1" t="s">
        <v>43</v>
      </c>
    </row>
    <row r="192" spans="1:26" ht="30" x14ac:dyDescent="0.25">
      <c r="A192" s="1">
        <v>2457135.8592900001</v>
      </c>
      <c r="B192" s="1" t="s">
        <v>14</v>
      </c>
      <c r="C192" s="1">
        <v>7.48</v>
      </c>
      <c r="D192" s="1">
        <v>0.02</v>
      </c>
      <c r="E192" s="1" t="s">
        <v>34</v>
      </c>
      <c r="F192" s="1" t="s">
        <v>22</v>
      </c>
      <c r="G192" s="1" t="s">
        <v>36</v>
      </c>
      <c r="H192" s="1">
        <v>65</v>
      </c>
      <c r="I192" s="1">
        <v>94</v>
      </c>
      <c r="J192" s="1" t="s">
        <v>68</v>
      </c>
      <c r="K192" s="1"/>
      <c r="L192" s="1"/>
      <c r="M192" s="1" t="s">
        <v>40</v>
      </c>
      <c r="N192" s="1"/>
      <c r="O192" s="1">
        <v>6.4219999999999997</v>
      </c>
      <c r="P192" s="1">
        <v>9.5419999999999998</v>
      </c>
      <c r="Q192" s="1"/>
      <c r="R192" s="1"/>
      <c r="S192" s="1" t="s">
        <v>41</v>
      </c>
      <c r="T192" s="1">
        <v>1</v>
      </c>
      <c r="U192" s="1"/>
      <c r="V192" s="1"/>
      <c r="W192" s="1"/>
      <c r="X192" s="1"/>
      <c r="Y192" s="1" t="s">
        <v>42</v>
      </c>
      <c r="Z192" s="1" t="s">
        <v>43</v>
      </c>
    </row>
    <row r="193" spans="1:26" ht="30" x14ac:dyDescent="0.25">
      <c r="A193" s="1">
        <v>2457135.8755199998</v>
      </c>
      <c r="B193" s="1" t="s">
        <v>14</v>
      </c>
      <c r="C193" s="1">
        <v>7.4969999999999999</v>
      </c>
      <c r="D193" s="1">
        <v>0.02</v>
      </c>
      <c r="E193" s="1" t="s">
        <v>34</v>
      </c>
      <c r="F193" s="1" t="s">
        <v>22</v>
      </c>
      <c r="G193" s="1" t="s">
        <v>36</v>
      </c>
      <c r="H193" s="1">
        <v>65</v>
      </c>
      <c r="I193" s="1">
        <v>94</v>
      </c>
      <c r="J193" s="1" t="s">
        <v>68</v>
      </c>
      <c r="K193" s="1"/>
      <c r="L193" s="1"/>
      <c r="M193" s="1" t="s">
        <v>40</v>
      </c>
      <c r="N193" s="1"/>
      <c r="O193" s="1">
        <v>6.4219999999999997</v>
      </c>
      <c r="P193" s="1">
        <v>9.5389999999999997</v>
      </c>
      <c r="Q193" s="1"/>
      <c r="R193" s="1"/>
      <c r="S193" s="1" t="s">
        <v>41</v>
      </c>
      <c r="T193" s="1">
        <v>1</v>
      </c>
      <c r="U193" s="1"/>
      <c r="V193" s="1"/>
      <c r="W193" s="1"/>
      <c r="X193" s="1"/>
      <c r="Y193" s="1" t="s">
        <v>42</v>
      </c>
      <c r="Z193" s="1" t="s">
        <v>43</v>
      </c>
    </row>
    <row r="194" spans="1:26" ht="30" x14ac:dyDescent="0.25">
      <c r="A194" s="1">
        <v>2457135.8930100002</v>
      </c>
      <c r="B194" s="1" t="s">
        <v>14</v>
      </c>
      <c r="C194" s="1">
        <v>7.577</v>
      </c>
      <c r="D194" s="1">
        <v>0.02</v>
      </c>
      <c r="E194" s="1" t="s">
        <v>34</v>
      </c>
      <c r="F194" s="1" t="s">
        <v>22</v>
      </c>
      <c r="G194" s="1" t="s">
        <v>36</v>
      </c>
      <c r="H194" s="1">
        <v>65</v>
      </c>
      <c r="I194" s="1">
        <v>94</v>
      </c>
      <c r="J194" s="1" t="s">
        <v>68</v>
      </c>
      <c r="K194" s="1"/>
      <c r="L194" s="1"/>
      <c r="M194" s="1" t="s">
        <v>40</v>
      </c>
      <c r="N194" s="1"/>
      <c r="O194" s="1">
        <v>6.4219999999999997</v>
      </c>
      <c r="P194" s="1">
        <v>9.5129999999999999</v>
      </c>
      <c r="Q194" s="1"/>
      <c r="R194" s="1"/>
      <c r="S194" s="1" t="s">
        <v>41</v>
      </c>
      <c r="T194" s="1">
        <v>1</v>
      </c>
      <c r="U194" s="1"/>
      <c r="V194" s="1"/>
      <c r="W194" s="1"/>
      <c r="X194" s="1"/>
      <c r="Y194" s="1" t="s">
        <v>42</v>
      </c>
      <c r="Z194" s="1" t="s">
        <v>43</v>
      </c>
    </row>
    <row r="195" spans="1:26" ht="30" x14ac:dyDescent="0.25">
      <c r="A195" s="1">
        <v>2457135.9037199998</v>
      </c>
      <c r="B195" s="1" t="s">
        <v>14</v>
      </c>
      <c r="C195" s="1">
        <v>7.593</v>
      </c>
      <c r="D195" s="1">
        <v>0.02</v>
      </c>
      <c r="E195" s="1" t="s">
        <v>34</v>
      </c>
      <c r="F195" s="1" t="s">
        <v>22</v>
      </c>
      <c r="G195" s="1" t="s">
        <v>36</v>
      </c>
      <c r="H195" s="1">
        <v>65</v>
      </c>
      <c r="I195" s="1">
        <v>94</v>
      </c>
      <c r="J195" s="1" t="s">
        <v>68</v>
      </c>
      <c r="K195" s="1"/>
      <c r="L195" s="1"/>
      <c r="M195" s="1" t="s">
        <v>40</v>
      </c>
      <c r="N195" s="1"/>
      <c r="O195" s="1">
        <v>6.4219999999999997</v>
      </c>
      <c r="P195" s="1">
        <v>9.51</v>
      </c>
      <c r="Q195" s="1"/>
      <c r="R195" s="1"/>
      <c r="S195" s="1" t="s">
        <v>41</v>
      </c>
      <c r="T195" s="1">
        <v>1</v>
      </c>
      <c r="U195" s="1"/>
      <c r="V195" s="1"/>
      <c r="W195" s="1"/>
      <c r="X195" s="1"/>
      <c r="Y195" s="1" t="s">
        <v>42</v>
      </c>
      <c r="Z195" s="1" t="s">
        <v>43</v>
      </c>
    </row>
    <row r="196" spans="1:26" ht="30" x14ac:dyDescent="0.25">
      <c r="A196" s="1">
        <v>2457135.9145200001</v>
      </c>
      <c r="B196" s="1" t="s">
        <v>14</v>
      </c>
      <c r="C196" s="1">
        <v>7.6120000000000001</v>
      </c>
      <c r="D196" s="1">
        <v>0.02</v>
      </c>
      <c r="E196" s="1" t="s">
        <v>34</v>
      </c>
      <c r="F196" s="1" t="s">
        <v>22</v>
      </c>
      <c r="G196" s="1" t="s">
        <v>36</v>
      </c>
      <c r="H196" s="1">
        <v>65</v>
      </c>
      <c r="I196" s="1">
        <v>94</v>
      </c>
      <c r="J196" s="1" t="s">
        <v>68</v>
      </c>
      <c r="K196" s="1"/>
      <c r="L196" s="1"/>
      <c r="M196" s="1" t="s">
        <v>40</v>
      </c>
      <c r="N196" s="1"/>
      <c r="O196" s="1">
        <v>6.4219999999999997</v>
      </c>
      <c r="P196" s="1">
        <v>9.5570000000000004</v>
      </c>
      <c r="Q196" s="1"/>
      <c r="R196" s="1"/>
      <c r="S196" s="1" t="s">
        <v>41</v>
      </c>
      <c r="T196" s="1">
        <v>1</v>
      </c>
      <c r="U196" s="1"/>
      <c r="V196" s="1"/>
      <c r="W196" s="1"/>
      <c r="X196" s="1"/>
      <c r="Y196" s="1" t="s">
        <v>42</v>
      </c>
      <c r="Z196" s="1" t="s">
        <v>43</v>
      </c>
    </row>
    <row r="197" spans="1:26" ht="30" x14ac:dyDescent="0.25">
      <c r="A197" s="1">
        <v>2457135.92533</v>
      </c>
      <c r="B197" s="1" t="s">
        <v>14</v>
      </c>
      <c r="C197" s="1">
        <v>7.8330000000000002</v>
      </c>
      <c r="D197" s="1">
        <v>0.02</v>
      </c>
      <c r="E197" s="1" t="s">
        <v>34</v>
      </c>
      <c r="F197" s="1" t="s">
        <v>22</v>
      </c>
      <c r="G197" s="1" t="s">
        <v>36</v>
      </c>
      <c r="H197" s="1">
        <v>65</v>
      </c>
      <c r="I197" s="1">
        <v>94</v>
      </c>
      <c r="J197" s="1" t="s">
        <v>68</v>
      </c>
      <c r="K197" s="1"/>
      <c r="L197" s="1"/>
      <c r="M197" s="1" t="s">
        <v>40</v>
      </c>
      <c r="N197" s="1"/>
      <c r="O197" s="1">
        <v>6.4219999999999997</v>
      </c>
      <c r="P197" s="1">
        <v>9.4849999999999994</v>
      </c>
      <c r="Q197" s="1"/>
      <c r="R197" s="1"/>
      <c r="S197" s="1" t="s">
        <v>41</v>
      </c>
      <c r="T197" s="1">
        <v>1</v>
      </c>
      <c r="U197" s="1"/>
      <c r="V197" s="1"/>
      <c r="W197" s="1"/>
      <c r="X197" s="1"/>
      <c r="Y197" s="1" t="s">
        <v>42</v>
      </c>
      <c r="Z197" s="1" t="s">
        <v>43</v>
      </c>
    </row>
    <row r="198" spans="1:26" ht="30" x14ac:dyDescent="0.25">
      <c r="A198" s="1">
        <v>2457135.93609</v>
      </c>
      <c r="B198" s="1" t="s">
        <v>14</v>
      </c>
      <c r="C198" s="1">
        <v>7.8360000000000003</v>
      </c>
      <c r="D198" s="1">
        <v>0.02</v>
      </c>
      <c r="E198" s="1" t="s">
        <v>34</v>
      </c>
      <c r="F198" s="1" t="s">
        <v>22</v>
      </c>
      <c r="G198" s="1" t="s">
        <v>36</v>
      </c>
      <c r="H198" s="1">
        <v>65</v>
      </c>
      <c r="I198" s="1">
        <v>94</v>
      </c>
      <c r="J198" s="1" t="s">
        <v>68</v>
      </c>
      <c r="K198" s="1"/>
      <c r="L198" s="1"/>
      <c r="M198" s="1" t="s">
        <v>40</v>
      </c>
      <c r="N198" s="1"/>
      <c r="O198" s="1">
        <v>6.4219999999999997</v>
      </c>
      <c r="P198" s="1">
        <v>9.577</v>
      </c>
      <c r="Q198" s="1"/>
      <c r="R198" s="1"/>
      <c r="S198" s="1" t="s">
        <v>41</v>
      </c>
      <c r="T198" s="1">
        <v>1</v>
      </c>
      <c r="U198" s="1"/>
      <c r="V198" s="1"/>
      <c r="W198" s="1"/>
      <c r="X198" s="1"/>
      <c r="Y198" s="1" t="s">
        <v>42</v>
      </c>
      <c r="Z198" s="1" t="s">
        <v>43</v>
      </c>
    </row>
    <row r="199" spans="1:26" ht="30" x14ac:dyDescent="0.25">
      <c r="A199" s="1">
        <v>2457135.9468299998</v>
      </c>
      <c r="B199" s="1" t="s">
        <v>14</v>
      </c>
      <c r="C199" s="1">
        <v>7.4020000000000001</v>
      </c>
      <c r="D199" s="1">
        <v>0.02</v>
      </c>
      <c r="E199" s="1" t="s">
        <v>34</v>
      </c>
      <c r="F199" s="1" t="s">
        <v>22</v>
      </c>
      <c r="G199" s="1" t="s">
        <v>36</v>
      </c>
      <c r="H199" s="1">
        <v>65</v>
      </c>
      <c r="I199" s="1">
        <v>94</v>
      </c>
      <c r="J199" s="1" t="s">
        <v>68</v>
      </c>
      <c r="K199" s="1"/>
      <c r="L199" s="1"/>
      <c r="M199" s="1" t="s">
        <v>40</v>
      </c>
      <c r="N199" s="1"/>
      <c r="O199" s="1">
        <v>6.4219999999999997</v>
      </c>
      <c r="P199" s="1">
        <v>9.6140000000000008</v>
      </c>
      <c r="Q199" s="1"/>
      <c r="R199" s="1"/>
      <c r="S199" s="1" t="s">
        <v>41</v>
      </c>
      <c r="T199" s="1">
        <v>1</v>
      </c>
      <c r="U199" s="1"/>
      <c r="V199" s="1"/>
      <c r="W199" s="1"/>
      <c r="X199" s="1"/>
      <c r="Y199" s="1" t="s">
        <v>42</v>
      </c>
      <c r="Z199" s="1" t="s">
        <v>43</v>
      </c>
    </row>
    <row r="200" spans="1:26" ht="30" x14ac:dyDescent="0.25">
      <c r="A200" s="1">
        <v>2457135.9640799998</v>
      </c>
      <c r="B200" s="1" t="s">
        <v>14</v>
      </c>
      <c r="C200" s="1">
        <v>7.3</v>
      </c>
      <c r="D200" s="1">
        <v>0.02</v>
      </c>
      <c r="E200" s="1" t="s">
        <v>34</v>
      </c>
      <c r="F200" s="1" t="s">
        <v>22</v>
      </c>
      <c r="G200" s="1" t="s">
        <v>36</v>
      </c>
      <c r="H200" s="1">
        <v>65</v>
      </c>
      <c r="I200" s="1">
        <v>94</v>
      </c>
      <c r="J200" s="1" t="s">
        <v>68</v>
      </c>
      <c r="K200" s="1"/>
      <c r="L200" s="1"/>
      <c r="M200" s="1" t="s">
        <v>40</v>
      </c>
      <c r="N200" s="1"/>
      <c r="O200" s="1">
        <v>6.4219999999999997</v>
      </c>
      <c r="P200" s="1">
        <v>9.5760000000000005</v>
      </c>
      <c r="Q200" s="1"/>
      <c r="R200" s="1"/>
      <c r="S200" s="1" t="s">
        <v>41</v>
      </c>
      <c r="T200" s="1">
        <v>1</v>
      </c>
      <c r="U200" s="1"/>
      <c r="V200" s="1"/>
      <c r="W200" s="1"/>
      <c r="X200" s="1"/>
      <c r="Y200" s="1" t="s">
        <v>42</v>
      </c>
      <c r="Z200" s="1" t="s">
        <v>43</v>
      </c>
    </row>
    <row r="201" spans="1:26" ht="30" x14ac:dyDescent="0.25">
      <c r="A201" s="1">
        <v>2457137.8375300001</v>
      </c>
      <c r="B201" s="1" t="s">
        <v>15</v>
      </c>
      <c r="C201" s="1">
        <v>8.09</v>
      </c>
      <c r="D201" s="1">
        <v>0.02</v>
      </c>
      <c r="E201" s="1" t="s">
        <v>34</v>
      </c>
      <c r="F201" s="1" t="s">
        <v>22</v>
      </c>
      <c r="G201" s="1" t="s">
        <v>36</v>
      </c>
      <c r="H201" s="1">
        <v>65</v>
      </c>
      <c r="I201" s="1">
        <v>94</v>
      </c>
      <c r="J201" s="1" t="s">
        <v>68</v>
      </c>
      <c r="K201" s="1"/>
      <c r="L201" s="1"/>
      <c r="M201" s="1" t="s">
        <v>40</v>
      </c>
      <c r="N201" s="1"/>
      <c r="O201" s="1">
        <v>6.4219999999999997</v>
      </c>
      <c r="P201" s="1">
        <v>9.51</v>
      </c>
      <c r="Q201" s="1"/>
      <c r="R201" s="1"/>
      <c r="S201" s="1" t="s">
        <v>41</v>
      </c>
      <c r="T201" s="1">
        <v>1</v>
      </c>
      <c r="U201" s="1"/>
      <c r="V201" s="1"/>
      <c r="W201" s="1"/>
      <c r="X201" s="1"/>
      <c r="Y201" s="1" t="s">
        <v>42</v>
      </c>
      <c r="Z201" s="1" t="s">
        <v>43</v>
      </c>
    </row>
    <row r="202" spans="1:26" ht="30" x14ac:dyDescent="0.25">
      <c r="A202" s="1">
        <v>2457137.8541199998</v>
      </c>
      <c r="B202" s="1" t="s">
        <v>15</v>
      </c>
      <c r="C202" s="1">
        <v>7.8440000000000003</v>
      </c>
      <c r="D202" s="1">
        <v>0.02</v>
      </c>
      <c r="E202" s="1" t="s">
        <v>34</v>
      </c>
      <c r="F202" s="1" t="s">
        <v>22</v>
      </c>
      <c r="G202" s="1" t="s">
        <v>36</v>
      </c>
      <c r="H202" s="1">
        <v>65</v>
      </c>
      <c r="I202" s="1">
        <v>94</v>
      </c>
      <c r="J202" s="1" t="s">
        <v>68</v>
      </c>
      <c r="K202" s="1"/>
      <c r="L202" s="1"/>
      <c r="M202" s="1" t="s">
        <v>40</v>
      </c>
      <c r="N202" s="1"/>
      <c r="O202" s="1">
        <v>6.4219999999999997</v>
      </c>
      <c r="P202" s="1">
        <v>9.5530000000000008</v>
      </c>
      <c r="Q202" s="1"/>
      <c r="R202" s="1"/>
      <c r="S202" s="1" t="s">
        <v>41</v>
      </c>
      <c r="T202" s="1">
        <v>1</v>
      </c>
      <c r="U202" s="1"/>
      <c r="V202" s="1"/>
      <c r="W202" s="1"/>
      <c r="X202" s="1"/>
      <c r="Y202" s="1" t="s">
        <v>42</v>
      </c>
      <c r="Z202" s="1" t="s">
        <v>43</v>
      </c>
    </row>
    <row r="203" spans="1:26" ht="30" x14ac:dyDescent="0.25">
      <c r="A203" s="1">
        <v>2457137.8695299998</v>
      </c>
      <c r="B203" s="1" t="s">
        <v>15</v>
      </c>
      <c r="C203" s="1">
        <v>7.8579999999999997</v>
      </c>
      <c r="D203" s="1">
        <v>0.02</v>
      </c>
      <c r="E203" s="1" t="s">
        <v>34</v>
      </c>
      <c r="F203" s="1" t="s">
        <v>22</v>
      </c>
      <c r="G203" s="1" t="s">
        <v>36</v>
      </c>
      <c r="H203" s="1">
        <v>65</v>
      </c>
      <c r="I203" s="1">
        <v>94</v>
      </c>
      <c r="J203" s="1" t="s">
        <v>68</v>
      </c>
      <c r="K203" s="1"/>
      <c r="L203" s="1"/>
      <c r="M203" s="1" t="s">
        <v>40</v>
      </c>
      <c r="N203" s="1"/>
      <c r="O203" s="1">
        <v>6.4219999999999997</v>
      </c>
      <c r="P203" s="1">
        <v>9.5459999999999994</v>
      </c>
      <c r="Q203" s="1"/>
      <c r="R203" s="1"/>
      <c r="S203" s="1" t="s">
        <v>41</v>
      </c>
      <c r="T203" s="1">
        <v>1</v>
      </c>
      <c r="U203" s="1"/>
      <c r="V203" s="1"/>
      <c r="W203" s="1"/>
      <c r="X203" s="1"/>
      <c r="Y203" s="1" t="s">
        <v>42</v>
      </c>
      <c r="Z203" s="1" t="s">
        <v>43</v>
      </c>
    </row>
    <row r="204" spans="1:26" ht="30" x14ac:dyDescent="0.25">
      <c r="A204" s="1">
        <v>2457137.8878299999</v>
      </c>
      <c r="B204" s="1" t="s">
        <v>15</v>
      </c>
      <c r="C204" s="1">
        <v>8.1059999999999999</v>
      </c>
      <c r="D204" s="1">
        <v>0.02</v>
      </c>
      <c r="E204" s="1" t="s">
        <v>34</v>
      </c>
      <c r="F204" s="1" t="s">
        <v>22</v>
      </c>
      <c r="G204" s="1" t="s">
        <v>36</v>
      </c>
      <c r="H204" s="1">
        <v>65</v>
      </c>
      <c r="I204" s="1">
        <v>94</v>
      </c>
      <c r="J204" s="1" t="s">
        <v>68</v>
      </c>
      <c r="K204" s="1"/>
      <c r="L204" s="1"/>
      <c r="M204" s="1" t="s">
        <v>40</v>
      </c>
      <c r="N204" s="1"/>
      <c r="O204" s="1">
        <v>6.4219999999999997</v>
      </c>
      <c r="P204" s="1">
        <v>9.6010000000000009</v>
      </c>
      <c r="Q204" s="1"/>
      <c r="R204" s="1"/>
      <c r="S204" s="1" t="s">
        <v>41</v>
      </c>
      <c r="T204" s="1">
        <v>1</v>
      </c>
      <c r="U204" s="1"/>
      <c r="V204" s="1"/>
      <c r="W204" s="1"/>
      <c r="X204" s="1"/>
      <c r="Y204" s="1" t="s">
        <v>42</v>
      </c>
      <c r="Z204" s="1" t="s">
        <v>43</v>
      </c>
    </row>
    <row r="205" spans="1:26" ht="30" x14ac:dyDescent="0.25">
      <c r="A205" s="1">
        <v>2457137.89842</v>
      </c>
      <c r="B205" s="1" t="s">
        <v>15</v>
      </c>
      <c r="C205" s="1">
        <v>7.8440000000000003</v>
      </c>
      <c r="D205" s="1">
        <v>0.02</v>
      </c>
      <c r="E205" s="1" t="s">
        <v>34</v>
      </c>
      <c r="F205" s="1" t="s">
        <v>22</v>
      </c>
      <c r="G205" s="1" t="s">
        <v>36</v>
      </c>
      <c r="H205" s="1">
        <v>65</v>
      </c>
      <c r="I205" s="1">
        <v>94</v>
      </c>
      <c r="J205" s="1" t="s">
        <v>68</v>
      </c>
      <c r="K205" s="1"/>
      <c r="L205" s="1"/>
      <c r="M205" s="1" t="s">
        <v>40</v>
      </c>
      <c r="N205" s="1"/>
      <c r="O205" s="1">
        <v>6.4219999999999997</v>
      </c>
      <c r="P205" s="1">
        <v>9.5340000000000007</v>
      </c>
      <c r="Q205" s="1"/>
      <c r="R205" s="1"/>
      <c r="S205" s="1" t="s">
        <v>41</v>
      </c>
      <c r="T205" s="1">
        <v>1</v>
      </c>
      <c r="U205" s="1"/>
      <c r="V205" s="1"/>
      <c r="W205" s="1"/>
      <c r="X205" s="1"/>
      <c r="Y205" s="1" t="s">
        <v>42</v>
      </c>
      <c r="Z205" s="1" t="s">
        <v>43</v>
      </c>
    </row>
    <row r="206" spans="1:26" ht="30" x14ac:dyDescent="0.25">
      <c r="A206" s="1">
        <v>2457137.90913</v>
      </c>
      <c r="B206" s="1" t="s">
        <v>15</v>
      </c>
      <c r="C206" s="1">
        <v>7.6909999999999998</v>
      </c>
      <c r="D206" s="1">
        <v>0.02</v>
      </c>
      <c r="E206" s="1" t="s">
        <v>34</v>
      </c>
      <c r="F206" s="1" t="s">
        <v>22</v>
      </c>
      <c r="G206" s="1" t="s">
        <v>36</v>
      </c>
      <c r="H206" s="1">
        <v>65</v>
      </c>
      <c r="I206" s="1">
        <v>94</v>
      </c>
      <c r="J206" s="1" t="s">
        <v>68</v>
      </c>
      <c r="K206" s="1"/>
      <c r="L206" s="1"/>
      <c r="M206" s="1" t="s">
        <v>40</v>
      </c>
      <c r="N206" s="1"/>
      <c r="O206" s="1">
        <v>6.4219999999999997</v>
      </c>
      <c r="P206" s="1">
        <v>9.5589999999999993</v>
      </c>
      <c r="Q206" s="1"/>
      <c r="R206" s="1"/>
      <c r="S206" s="1" t="s">
        <v>41</v>
      </c>
      <c r="T206" s="1">
        <v>1</v>
      </c>
      <c r="U206" s="1"/>
      <c r="V206" s="1"/>
      <c r="W206" s="1"/>
      <c r="X206" s="1"/>
      <c r="Y206" s="1" t="s">
        <v>42</v>
      </c>
      <c r="Z206" s="1" t="s">
        <v>43</v>
      </c>
    </row>
    <row r="207" spans="1:26" ht="30" x14ac:dyDescent="0.25">
      <c r="A207" s="1">
        <v>2457137.9197399998</v>
      </c>
      <c r="B207" s="1" t="s">
        <v>15</v>
      </c>
      <c r="C207" s="1">
        <v>7.5960000000000001</v>
      </c>
      <c r="D207" s="1">
        <v>0.02</v>
      </c>
      <c r="E207" s="1" t="s">
        <v>34</v>
      </c>
      <c r="F207" s="1" t="s">
        <v>22</v>
      </c>
      <c r="G207" s="1" t="s">
        <v>36</v>
      </c>
      <c r="H207" s="1">
        <v>65</v>
      </c>
      <c r="I207" s="1">
        <v>94</v>
      </c>
      <c r="J207" s="1" t="s">
        <v>68</v>
      </c>
      <c r="K207" s="1"/>
      <c r="L207" s="1"/>
      <c r="M207" s="1" t="s">
        <v>40</v>
      </c>
      <c r="N207" s="1"/>
      <c r="O207" s="1">
        <v>6.4219999999999997</v>
      </c>
      <c r="P207" s="1">
        <v>9.5380000000000003</v>
      </c>
      <c r="Q207" s="1"/>
      <c r="R207" s="1"/>
      <c r="S207" s="1" t="s">
        <v>41</v>
      </c>
      <c r="T207" s="1">
        <v>1</v>
      </c>
      <c r="U207" s="1"/>
      <c r="V207" s="1"/>
      <c r="W207" s="1"/>
      <c r="X207" s="1"/>
      <c r="Y207" s="1" t="s">
        <v>42</v>
      </c>
      <c r="Z207" s="1" t="s">
        <v>43</v>
      </c>
    </row>
    <row r="208" spans="1:26" ht="30" x14ac:dyDescent="0.25">
      <c r="A208" s="1">
        <v>2457137.9303799998</v>
      </c>
      <c r="B208" s="1" t="s">
        <v>15</v>
      </c>
      <c r="C208" s="1">
        <v>7.6379999999999999</v>
      </c>
      <c r="D208" s="1">
        <v>0.02</v>
      </c>
      <c r="E208" s="1" t="s">
        <v>34</v>
      </c>
      <c r="F208" s="1" t="s">
        <v>22</v>
      </c>
      <c r="G208" s="1" t="s">
        <v>36</v>
      </c>
      <c r="H208" s="1">
        <v>65</v>
      </c>
      <c r="I208" s="1">
        <v>94</v>
      </c>
      <c r="J208" s="1" t="s">
        <v>68</v>
      </c>
      <c r="K208" s="1"/>
      <c r="L208" s="1"/>
      <c r="M208" s="1" t="s">
        <v>40</v>
      </c>
      <c r="N208" s="1"/>
      <c r="O208" s="1">
        <v>6.4219999999999997</v>
      </c>
      <c r="P208" s="1">
        <v>9.5559999999999992</v>
      </c>
      <c r="Q208" s="1"/>
      <c r="R208" s="1"/>
      <c r="S208" s="1" t="s">
        <v>41</v>
      </c>
      <c r="T208" s="1">
        <v>1</v>
      </c>
      <c r="U208" s="1"/>
      <c r="V208" s="1"/>
      <c r="W208" s="1"/>
      <c r="X208" s="1"/>
      <c r="Y208" s="1" t="s">
        <v>42</v>
      </c>
      <c r="Z208" s="1" t="s">
        <v>43</v>
      </c>
    </row>
    <row r="209" spans="1:26" ht="30" x14ac:dyDescent="0.25">
      <c r="A209" s="1">
        <v>2457137.94099</v>
      </c>
      <c r="B209" s="1" t="s">
        <v>15</v>
      </c>
      <c r="C209" s="1">
        <v>7.5460000000000003</v>
      </c>
      <c r="D209" s="1">
        <v>0.02</v>
      </c>
      <c r="E209" s="1" t="s">
        <v>34</v>
      </c>
      <c r="F209" s="1" t="s">
        <v>22</v>
      </c>
      <c r="G209" s="1" t="s">
        <v>36</v>
      </c>
      <c r="H209" s="1">
        <v>65</v>
      </c>
      <c r="I209" s="1">
        <v>94</v>
      </c>
      <c r="J209" s="1" t="s">
        <v>68</v>
      </c>
      <c r="K209" s="1"/>
      <c r="L209" s="1"/>
      <c r="M209" s="1" t="s">
        <v>40</v>
      </c>
      <c r="N209" s="1"/>
      <c r="O209" s="1">
        <v>6.4219999999999997</v>
      </c>
      <c r="P209" s="1">
        <v>9.5289999999999999</v>
      </c>
      <c r="Q209" s="1"/>
      <c r="R209" s="1"/>
      <c r="S209" s="1" t="s">
        <v>41</v>
      </c>
      <c r="T209" s="1">
        <v>1</v>
      </c>
      <c r="U209" s="1"/>
      <c r="V209" s="1"/>
      <c r="W209" s="1"/>
      <c r="X209" s="1"/>
      <c r="Y209" s="1" t="s">
        <v>42</v>
      </c>
      <c r="Z209" s="1" t="s">
        <v>43</v>
      </c>
    </row>
    <row r="210" spans="1:26" ht="30" x14ac:dyDescent="0.25">
      <c r="A210" s="1">
        <v>2457137.95805</v>
      </c>
      <c r="B210" s="1" t="s">
        <v>15</v>
      </c>
      <c r="C210" s="1">
        <v>7.6929999999999996</v>
      </c>
      <c r="D210" s="1">
        <v>0.02</v>
      </c>
      <c r="E210" s="1" t="s">
        <v>34</v>
      </c>
      <c r="F210" s="1" t="s">
        <v>22</v>
      </c>
      <c r="G210" s="1" t="s">
        <v>36</v>
      </c>
      <c r="H210" s="1">
        <v>65</v>
      </c>
      <c r="I210" s="1">
        <v>94</v>
      </c>
      <c r="J210" s="1" t="s">
        <v>68</v>
      </c>
      <c r="K210" s="1"/>
      <c r="L210" s="1"/>
      <c r="M210" s="1" t="s">
        <v>40</v>
      </c>
      <c r="N210" s="1"/>
      <c r="O210" s="1">
        <v>6.4219999999999997</v>
      </c>
      <c r="P210" s="1">
        <v>9.5920000000000005</v>
      </c>
      <c r="Q210" s="1"/>
      <c r="R210" s="1"/>
      <c r="S210" s="1" t="s">
        <v>41</v>
      </c>
      <c r="T210" s="1">
        <v>1</v>
      </c>
      <c r="U210" s="1"/>
      <c r="V210" s="1"/>
      <c r="W210" s="1"/>
      <c r="X210" s="1"/>
      <c r="Y210" s="1" t="s">
        <v>42</v>
      </c>
      <c r="Z210" s="1" t="s">
        <v>43</v>
      </c>
    </row>
    <row r="211" spans="1:26" ht="30" x14ac:dyDescent="0.25">
      <c r="A211" s="1">
        <v>2457137.97511</v>
      </c>
      <c r="B211" s="1" t="s">
        <v>15</v>
      </c>
      <c r="C211" s="1">
        <v>7.4429999999999996</v>
      </c>
      <c r="D211" s="1">
        <v>0.02</v>
      </c>
      <c r="E211" s="1" t="s">
        <v>34</v>
      </c>
      <c r="F211" s="1" t="s">
        <v>22</v>
      </c>
      <c r="G211" s="1" t="s">
        <v>36</v>
      </c>
      <c r="H211" s="1">
        <v>65</v>
      </c>
      <c r="I211" s="1">
        <v>94</v>
      </c>
      <c r="J211" s="1" t="s">
        <v>68</v>
      </c>
      <c r="K211" s="1"/>
      <c r="L211" s="1"/>
      <c r="M211" s="1" t="s">
        <v>40</v>
      </c>
      <c r="N211" s="1"/>
      <c r="O211" s="1">
        <v>6.4219999999999997</v>
      </c>
      <c r="P211" s="1">
        <v>9.5180000000000007</v>
      </c>
      <c r="Q211" s="1"/>
      <c r="R211" s="1"/>
      <c r="S211" s="1" t="s">
        <v>41</v>
      </c>
      <c r="T211" s="1">
        <v>1</v>
      </c>
      <c r="U211" s="1"/>
      <c r="V211" s="1"/>
      <c r="W211" s="1"/>
      <c r="X211" s="1"/>
      <c r="Y211" s="1" t="s">
        <v>42</v>
      </c>
      <c r="Z211" s="1" t="s">
        <v>43</v>
      </c>
    </row>
    <row r="212" spans="1:26" ht="30" x14ac:dyDescent="0.25">
      <c r="A212" s="1">
        <v>2457139.8528900002</v>
      </c>
      <c r="B212" s="1" t="s">
        <v>16</v>
      </c>
      <c r="C212" s="1">
        <v>7.2350000000000003</v>
      </c>
      <c r="D212" s="1">
        <v>0.02</v>
      </c>
      <c r="E212" s="1" t="s">
        <v>34</v>
      </c>
      <c r="F212" s="1" t="s">
        <v>22</v>
      </c>
      <c r="G212" s="1" t="s">
        <v>36</v>
      </c>
      <c r="H212" s="1">
        <v>65</v>
      </c>
      <c r="I212" s="1">
        <v>94</v>
      </c>
      <c r="J212" s="1" t="s">
        <v>68</v>
      </c>
      <c r="K212" s="1"/>
      <c r="L212" s="1"/>
      <c r="M212" s="1" t="s">
        <v>40</v>
      </c>
      <c r="N212" s="1"/>
      <c r="O212" s="1">
        <v>6.4219999999999997</v>
      </c>
      <c r="P212" s="1">
        <v>9.5280000000000005</v>
      </c>
      <c r="Q212" s="1"/>
      <c r="R212" s="1"/>
      <c r="S212" s="1" t="s">
        <v>41</v>
      </c>
      <c r="T212" s="1">
        <v>1</v>
      </c>
      <c r="U212" s="1"/>
      <c r="V212" s="1"/>
      <c r="W212" s="1"/>
      <c r="X212" s="1"/>
      <c r="Y212" s="1" t="s">
        <v>42</v>
      </c>
      <c r="Z212" s="1" t="s">
        <v>43</v>
      </c>
    </row>
    <row r="213" spans="1:26" ht="30" x14ac:dyDescent="0.25">
      <c r="A213" s="1">
        <v>2457139.8694199999</v>
      </c>
      <c r="B213" s="1" t="s">
        <v>16</v>
      </c>
      <c r="C213" s="1">
        <v>7.3540000000000001</v>
      </c>
      <c r="D213" s="1">
        <v>0.02</v>
      </c>
      <c r="E213" s="1" t="s">
        <v>34</v>
      </c>
      <c r="F213" s="1" t="s">
        <v>22</v>
      </c>
      <c r="G213" s="1" t="s">
        <v>36</v>
      </c>
      <c r="H213" s="1">
        <v>65</v>
      </c>
      <c r="I213" s="1">
        <v>94</v>
      </c>
      <c r="J213" s="1" t="s">
        <v>68</v>
      </c>
      <c r="K213" s="1"/>
      <c r="L213" s="1"/>
      <c r="M213" s="1" t="s">
        <v>40</v>
      </c>
      <c r="N213" s="1"/>
      <c r="O213" s="1">
        <v>6.4219999999999997</v>
      </c>
      <c r="P213" s="1">
        <v>9.5660000000000007</v>
      </c>
      <c r="Q213" s="1"/>
      <c r="R213" s="1"/>
      <c r="S213" s="1" t="s">
        <v>41</v>
      </c>
      <c r="T213" s="1">
        <v>1</v>
      </c>
      <c r="U213" s="1"/>
      <c r="V213" s="1"/>
      <c r="W213" s="1"/>
      <c r="X213" s="1"/>
      <c r="Y213" s="1" t="s">
        <v>42</v>
      </c>
      <c r="Z213" s="1" t="s">
        <v>43</v>
      </c>
    </row>
    <row r="214" spans="1:26" ht="30" x14ac:dyDescent="0.25">
      <c r="A214" s="1">
        <v>2457139.8938899999</v>
      </c>
      <c r="B214" s="1" t="s">
        <v>16</v>
      </c>
      <c r="C214" s="1">
        <v>7.5060000000000002</v>
      </c>
      <c r="D214" s="1">
        <v>0.02</v>
      </c>
      <c r="E214" s="1" t="s">
        <v>34</v>
      </c>
      <c r="F214" s="1" t="s">
        <v>22</v>
      </c>
      <c r="G214" s="1" t="s">
        <v>36</v>
      </c>
      <c r="H214" s="1">
        <v>65</v>
      </c>
      <c r="I214" s="1">
        <v>94</v>
      </c>
      <c r="J214" s="1" t="s">
        <v>68</v>
      </c>
      <c r="K214" s="1"/>
      <c r="L214" s="1"/>
      <c r="M214" s="1" t="s">
        <v>40</v>
      </c>
      <c r="N214" s="1"/>
      <c r="O214" s="1">
        <v>6.4219999999999997</v>
      </c>
      <c r="P214" s="1">
        <v>9.56</v>
      </c>
      <c r="Q214" s="1"/>
      <c r="R214" s="1"/>
      <c r="S214" s="1" t="s">
        <v>41</v>
      </c>
      <c r="T214" s="1">
        <v>1</v>
      </c>
      <c r="U214" s="1"/>
      <c r="V214" s="1"/>
      <c r="W214" s="1"/>
      <c r="X214" s="1"/>
      <c r="Y214" s="1" t="s">
        <v>42</v>
      </c>
      <c r="Z214" s="1" t="s">
        <v>43</v>
      </c>
    </row>
    <row r="215" spans="1:26" ht="30" x14ac:dyDescent="0.25">
      <c r="A215" s="1">
        <v>2457139.9047300001</v>
      </c>
      <c r="B215" s="1" t="s">
        <v>16</v>
      </c>
      <c r="C215" s="1">
        <v>7.6210000000000004</v>
      </c>
      <c r="D215" s="1">
        <v>0.02</v>
      </c>
      <c r="E215" s="1" t="s">
        <v>34</v>
      </c>
      <c r="F215" s="1" t="s">
        <v>22</v>
      </c>
      <c r="G215" s="1" t="s">
        <v>36</v>
      </c>
      <c r="H215" s="1">
        <v>65</v>
      </c>
      <c r="I215" s="1">
        <v>94</v>
      </c>
      <c r="J215" s="1" t="s">
        <v>68</v>
      </c>
      <c r="K215" s="1"/>
      <c r="L215" s="1"/>
      <c r="M215" s="1" t="s">
        <v>40</v>
      </c>
      <c r="N215" s="1"/>
      <c r="O215" s="1">
        <v>6.4219999999999997</v>
      </c>
      <c r="P215" s="1">
        <v>9.5519999999999996</v>
      </c>
      <c r="Q215" s="1"/>
      <c r="R215" s="1"/>
      <c r="S215" s="1" t="s">
        <v>41</v>
      </c>
      <c r="T215" s="1">
        <v>1</v>
      </c>
      <c r="U215" s="1"/>
      <c r="V215" s="1"/>
      <c r="W215" s="1"/>
      <c r="X215" s="1"/>
      <c r="Y215" s="1" t="s">
        <v>42</v>
      </c>
      <c r="Z215" s="1" t="s">
        <v>43</v>
      </c>
    </row>
    <row r="216" spans="1:26" ht="30" x14ac:dyDescent="0.25">
      <c r="A216" s="1">
        <v>2457139.9155700002</v>
      </c>
      <c r="B216" s="1" t="s">
        <v>16</v>
      </c>
      <c r="C216" s="1">
        <v>7.5229999999999997</v>
      </c>
      <c r="D216" s="1">
        <v>0.02</v>
      </c>
      <c r="E216" s="1" t="s">
        <v>34</v>
      </c>
      <c r="F216" s="1" t="s">
        <v>22</v>
      </c>
      <c r="G216" s="1" t="s">
        <v>36</v>
      </c>
      <c r="H216" s="1">
        <v>65</v>
      </c>
      <c r="I216" s="1">
        <v>94</v>
      </c>
      <c r="J216" s="1" t="s">
        <v>68</v>
      </c>
      <c r="K216" s="1"/>
      <c r="L216" s="1"/>
      <c r="M216" s="1" t="s">
        <v>40</v>
      </c>
      <c r="N216" s="1"/>
      <c r="O216" s="1">
        <v>6.4219999999999997</v>
      </c>
      <c r="P216" s="1">
        <v>9.5860000000000003</v>
      </c>
      <c r="Q216" s="1"/>
      <c r="R216" s="1"/>
      <c r="S216" s="1" t="s">
        <v>41</v>
      </c>
      <c r="T216" s="1">
        <v>1</v>
      </c>
      <c r="U216" s="1"/>
      <c r="V216" s="1"/>
      <c r="W216" s="1"/>
      <c r="X216" s="1"/>
      <c r="Y216" s="1" t="s">
        <v>42</v>
      </c>
      <c r="Z216" s="1" t="s">
        <v>43</v>
      </c>
    </row>
    <row r="217" spans="1:26" ht="30" x14ac:dyDescent="0.25">
      <c r="A217" s="1">
        <v>2457139.9545300002</v>
      </c>
      <c r="B217" s="1" t="s">
        <v>16</v>
      </c>
      <c r="C217" s="1">
        <v>7.407</v>
      </c>
      <c r="D217" s="1">
        <v>0.02</v>
      </c>
      <c r="E217" s="1" t="s">
        <v>34</v>
      </c>
      <c r="F217" s="1" t="s">
        <v>22</v>
      </c>
      <c r="G217" s="1" t="s">
        <v>36</v>
      </c>
      <c r="H217" s="1">
        <v>65</v>
      </c>
      <c r="I217" s="1">
        <v>94</v>
      </c>
      <c r="J217" s="1" t="s">
        <v>68</v>
      </c>
      <c r="K217" s="1"/>
      <c r="L217" s="1"/>
      <c r="M217" s="1" t="s">
        <v>40</v>
      </c>
      <c r="N217" s="1"/>
      <c r="O217" s="1">
        <v>6.4219999999999997</v>
      </c>
      <c r="P217" s="1">
        <v>9.5890000000000004</v>
      </c>
      <c r="Q217" s="1"/>
      <c r="R217" s="1"/>
      <c r="S217" s="1" t="s">
        <v>41</v>
      </c>
      <c r="T217" s="1">
        <v>1</v>
      </c>
      <c r="U217" s="1"/>
      <c r="V217" s="1"/>
      <c r="W217" s="1"/>
      <c r="X217" s="1"/>
      <c r="Y217" s="1" t="s">
        <v>42</v>
      </c>
      <c r="Z217" s="1" t="s">
        <v>43</v>
      </c>
    </row>
    <row r="218" spans="1:26" ht="30" x14ac:dyDescent="0.25">
      <c r="A218" s="1">
        <v>2457141.8257300002</v>
      </c>
      <c r="B218" s="1" t="s">
        <v>17</v>
      </c>
      <c r="C218" s="1">
        <v>7.6589999999999998</v>
      </c>
      <c r="D218" s="1">
        <v>0.02</v>
      </c>
      <c r="E218" s="1" t="s">
        <v>34</v>
      </c>
      <c r="F218" s="1" t="s">
        <v>22</v>
      </c>
      <c r="G218" s="1" t="s">
        <v>36</v>
      </c>
      <c r="H218" s="1">
        <v>65</v>
      </c>
      <c r="I218" s="1">
        <v>94</v>
      </c>
      <c r="J218" s="1" t="s">
        <v>68</v>
      </c>
      <c r="K218" s="1"/>
      <c r="L218" s="1"/>
      <c r="M218" s="1" t="s">
        <v>40</v>
      </c>
      <c r="N218" s="1"/>
      <c r="O218" s="1">
        <v>6.4219999999999997</v>
      </c>
      <c r="P218" s="1">
        <v>9.5579999999999998</v>
      </c>
      <c r="Q218" s="1"/>
      <c r="R218" s="1"/>
      <c r="S218" s="1" t="s">
        <v>41</v>
      </c>
      <c r="T218" s="1">
        <v>1</v>
      </c>
      <c r="U218" s="1"/>
      <c r="V218" s="1"/>
      <c r="W218" s="1"/>
      <c r="X218" s="1"/>
      <c r="Y218" s="1" t="s">
        <v>42</v>
      </c>
      <c r="Z218" s="1" t="s">
        <v>43</v>
      </c>
    </row>
    <row r="219" spans="1:26" ht="30" x14ac:dyDescent="0.25">
      <c r="A219" s="1">
        <v>2457141.8577800002</v>
      </c>
      <c r="B219" s="1" t="s">
        <v>17</v>
      </c>
      <c r="C219" s="1">
        <v>7.5990000000000002</v>
      </c>
      <c r="D219" s="1">
        <v>0.02</v>
      </c>
      <c r="E219" s="1" t="s">
        <v>34</v>
      </c>
      <c r="F219" s="1" t="s">
        <v>22</v>
      </c>
      <c r="G219" s="1" t="s">
        <v>36</v>
      </c>
      <c r="H219" s="1">
        <v>65</v>
      </c>
      <c r="I219" s="1">
        <v>94</v>
      </c>
      <c r="J219" s="1" t="s">
        <v>68</v>
      </c>
      <c r="K219" s="1"/>
      <c r="L219" s="1"/>
      <c r="M219" s="1" t="s">
        <v>40</v>
      </c>
      <c r="N219" s="1"/>
      <c r="O219" s="1">
        <v>6.4219999999999997</v>
      </c>
      <c r="P219" s="1">
        <v>9.52</v>
      </c>
      <c r="Q219" s="1"/>
      <c r="R219" s="1"/>
      <c r="S219" s="1" t="s">
        <v>41</v>
      </c>
      <c r="T219" s="1">
        <v>1</v>
      </c>
      <c r="U219" s="1"/>
      <c r="V219" s="1"/>
      <c r="W219" s="1"/>
      <c r="X219" s="1"/>
      <c r="Y219" s="1" t="s">
        <v>42</v>
      </c>
      <c r="Z219" s="1" t="s">
        <v>43</v>
      </c>
    </row>
    <row r="220" spans="1:26" ht="30" x14ac:dyDescent="0.25">
      <c r="A220" s="1">
        <v>2457141.8661000002</v>
      </c>
      <c r="B220" s="1" t="s">
        <v>17</v>
      </c>
      <c r="C220" s="1">
        <v>7.5609999999999999</v>
      </c>
      <c r="D220" s="1">
        <v>0.02</v>
      </c>
      <c r="E220" s="1" t="s">
        <v>34</v>
      </c>
      <c r="F220" s="1" t="s">
        <v>22</v>
      </c>
      <c r="G220" s="1" t="s">
        <v>36</v>
      </c>
      <c r="H220" s="1">
        <v>65</v>
      </c>
      <c r="I220" s="1">
        <v>94</v>
      </c>
      <c r="J220" s="1" t="s">
        <v>68</v>
      </c>
      <c r="K220" s="1"/>
      <c r="L220" s="1"/>
      <c r="M220" s="1" t="s">
        <v>40</v>
      </c>
      <c r="N220" s="1"/>
      <c r="O220" s="1">
        <v>6.4219999999999997</v>
      </c>
      <c r="P220" s="1">
        <v>9.5640000000000001</v>
      </c>
      <c r="Q220" s="1"/>
      <c r="R220" s="1"/>
      <c r="S220" s="1" t="s">
        <v>41</v>
      </c>
      <c r="T220" s="1">
        <v>1</v>
      </c>
      <c r="U220" s="1"/>
      <c r="V220" s="1"/>
      <c r="W220" s="1"/>
      <c r="X220" s="1"/>
      <c r="Y220" s="1" t="s">
        <v>42</v>
      </c>
      <c r="Z220" s="1" t="s">
        <v>43</v>
      </c>
    </row>
    <row r="221" spans="1:26" ht="30" x14ac:dyDescent="0.25">
      <c r="A221" s="1">
        <v>2457141.8768600002</v>
      </c>
      <c r="B221" s="1" t="s">
        <v>17</v>
      </c>
      <c r="C221" s="1">
        <v>7.6859999999999999</v>
      </c>
      <c r="D221" s="1">
        <v>0.02</v>
      </c>
      <c r="E221" s="1" t="s">
        <v>34</v>
      </c>
      <c r="F221" s="1" t="s">
        <v>22</v>
      </c>
      <c r="G221" s="1" t="s">
        <v>36</v>
      </c>
      <c r="H221" s="1">
        <v>65</v>
      </c>
      <c r="I221" s="1">
        <v>94</v>
      </c>
      <c r="J221" s="1" t="s">
        <v>68</v>
      </c>
      <c r="K221" s="1"/>
      <c r="L221" s="1"/>
      <c r="M221" s="1" t="s">
        <v>40</v>
      </c>
      <c r="N221" s="1"/>
      <c r="O221" s="1">
        <v>6.4219999999999997</v>
      </c>
      <c r="P221" s="1">
        <v>9.4939999999999998</v>
      </c>
      <c r="Q221" s="1"/>
      <c r="R221" s="1"/>
      <c r="S221" s="1" t="s">
        <v>41</v>
      </c>
      <c r="T221" s="1">
        <v>1</v>
      </c>
      <c r="U221" s="1"/>
      <c r="V221" s="1"/>
      <c r="W221" s="1"/>
      <c r="X221" s="1"/>
      <c r="Y221" s="1" t="s">
        <v>42</v>
      </c>
      <c r="Z221" s="1" t="s">
        <v>43</v>
      </c>
    </row>
    <row r="222" spans="1:26" ht="30" x14ac:dyDescent="0.25">
      <c r="A222" s="1">
        <v>2457141.8876899998</v>
      </c>
      <c r="B222" s="1" t="s">
        <v>17</v>
      </c>
      <c r="C222" s="1">
        <v>7.5970000000000004</v>
      </c>
      <c r="D222" s="1">
        <v>0.02</v>
      </c>
      <c r="E222" s="1" t="s">
        <v>34</v>
      </c>
      <c r="F222" s="1" t="s">
        <v>22</v>
      </c>
      <c r="G222" s="1" t="s">
        <v>36</v>
      </c>
      <c r="H222" s="1">
        <v>65</v>
      </c>
      <c r="I222" s="1">
        <v>94</v>
      </c>
      <c r="J222" s="1" t="s">
        <v>68</v>
      </c>
      <c r="K222" s="1"/>
      <c r="L222" s="1"/>
      <c r="M222" s="1" t="s">
        <v>40</v>
      </c>
      <c r="N222" s="1"/>
      <c r="O222" s="1">
        <v>6.4219999999999997</v>
      </c>
      <c r="P222" s="1">
        <v>9.5459999999999994</v>
      </c>
      <c r="Q222" s="1"/>
      <c r="R222" s="1"/>
      <c r="S222" s="1" t="s">
        <v>41</v>
      </c>
      <c r="T222" s="1">
        <v>1</v>
      </c>
      <c r="U222" s="1"/>
      <c r="V222" s="1"/>
      <c r="W222" s="1"/>
      <c r="X222" s="1"/>
      <c r="Y222" s="1" t="s">
        <v>42</v>
      </c>
      <c r="Z222" s="1" t="s">
        <v>43</v>
      </c>
    </row>
    <row r="223" spans="1:26" ht="30" x14ac:dyDescent="0.25">
      <c r="A223" s="1">
        <v>2457141.8984500002</v>
      </c>
      <c r="B223" s="1" t="s">
        <v>17</v>
      </c>
      <c r="C223" s="1">
        <v>7.7220000000000004</v>
      </c>
      <c r="D223" s="1">
        <v>0.02</v>
      </c>
      <c r="E223" s="1" t="s">
        <v>34</v>
      </c>
      <c r="F223" s="1" t="s">
        <v>22</v>
      </c>
      <c r="G223" s="1" t="s">
        <v>36</v>
      </c>
      <c r="H223" s="1">
        <v>65</v>
      </c>
      <c r="I223" s="1">
        <v>94</v>
      </c>
      <c r="J223" s="1" t="s">
        <v>68</v>
      </c>
      <c r="K223" s="1"/>
      <c r="L223" s="1"/>
      <c r="M223" s="1" t="s">
        <v>40</v>
      </c>
      <c r="N223" s="1"/>
      <c r="O223" s="1">
        <v>6.4219999999999997</v>
      </c>
      <c r="P223" s="1">
        <v>9.5090000000000003</v>
      </c>
      <c r="Q223" s="1"/>
      <c r="R223" s="1"/>
      <c r="S223" s="1" t="s">
        <v>41</v>
      </c>
      <c r="T223" s="1">
        <v>1</v>
      </c>
      <c r="U223" s="1"/>
      <c r="V223" s="1"/>
      <c r="W223" s="1"/>
      <c r="X223" s="1"/>
      <c r="Y223" s="1" t="s">
        <v>42</v>
      </c>
      <c r="Z223" s="1" t="s">
        <v>43</v>
      </c>
    </row>
    <row r="224" spans="1:26" ht="30" x14ac:dyDescent="0.25">
      <c r="A224" s="1">
        <v>2457142.7834100001</v>
      </c>
      <c r="B224" s="1" t="s">
        <v>18</v>
      </c>
      <c r="C224" s="1">
        <v>7.4960000000000004</v>
      </c>
      <c r="D224" s="1">
        <v>3.0000000000000001E-3</v>
      </c>
      <c r="E224" s="1" t="s">
        <v>34</v>
      </c>
      <c r="F224" s="1" t="s">
        <v>71</v>
      </c>
      <c r="G224" s="1" t="s">
        <v>36</v>
      </c>
      <c r="H224" s="1" t="s">
        <v>37</v>
      </c>
      <c r="I224" s="1" t="s">
        <v>72</v>
      </c>
      <c r="J224" s="1">
        <v>150509</v>
      </c>
      <c r="K224" s="1"/>
      <c r="L224" s="1"/>
      <c r="M224" s="1" t="s">
        <v>40</v>
      </c>
      <c r="N224" s="1">
        <v>1.861</v>
      </c>
      <c r="O224" s="1"/>
      <c r="P224" s="1">
        <v>8.76</v>
      </c>
      <c r="Q224" s="1"/>
      <c r="R224" s="1"/>
      <c r="S224" s="1" t="s">
        <v>41</v>
      </c>
      <c r="T224" s="1">
        <v>0</v>
      </c>
      <c r="U224" s="1"/>
      <c r="V224" s="1"/>
      <c r="W224" s="1"/>
      <c r="X224" s="1"/>
      <c r="Y224" s="1" t="s">
        <v>42</v>
      </c>
      <c r="Z224" s="1" t="s">
        <v>43</v>
      </c>
    </row>
    <row r="225" spans="1:26" ht="30" x14ac:dyDescent="0.25">
      <c r="A225" s="1">
        <v>2457142.7883899999</v>
      </c>
      <c r="B225" s="1" t="s">
        <v>18</v>
      </c>
      <c r="C225" s="1">
        <v>7.7430000000000003</v>
      </c>
      <c r="D225" s="1">
        <v>3.0000000000000001E-3</v>
      </c>
      <c r="E225" s="1" t="s">
        <v>34</v>
      </c>
      <c r="F225" s="1" t="s">
        <v>71</v>
      </c>
      <c r="G225" s="1" t="s">
        <v>36</v>
      </c>
      <c r="H225" s="1" t="s">
        <v>37</v>
      </c>
      <c r="I225" s="1" t="s">
        <v>72</v>
      </c>
      <c r="J225" s="1">
        <v>150509</v>
      </c>
      <c r="K225" s="1"/>
      <c r="L225" s="1"/>
      <c r="M225" s="1" t="s">
        <v>40</v>
      </c>
      <c r="N225" s="1">
        <v>1.806</v>
      </c>
      <c r="O225" s="1"/>
      <c r="P225" s="1">
        <v>8.8719999999999999</v>
      </c>
      <c r="Q225" s="1"/>
      <c r="R225" s="1"/>
      <c r="S225" s="1" t="s">
        <v>41</v>
      </c>
      <c r="T225" s="1">
        <v>0</v>
      </c>
      <c r="U225" s="1"/>
      <c r="V225" s="1"/>
      <c r="W225" s="1"/>
      <c r="X225" s="1"/>
      <c r="Y225" s="1" t="s">
        <v>42</v>
      </c>
      <c r="Z225" s="1" t="s">
        <v>43</v>
      </c>
    </row>
    <row r="226" spans="1:26" ht="30" x14ac:dyDescent="0.25">
      <c r="A226" s="1">
        <v>2457142.7934400002</v>
      </c>
      <c r="B226" s="1" t="s">
        <v>18</v>
      </c>
      <c r="C226" s="1">
        <v>7.6580000000000004</v>
      </c>
      <c r="D226" s="1">
        <v>3.0000000000000001E-3</v>
      </c>
      <c r="E226" s="1" t="s">
        <v>34</v>
      </c>
      <c r="F226" s="1" t="s">
        <v>71</v>
      </c>
      <c r="G226" s="1" t="s">
        <v>36</v>
      </c>
      <c r="H226" s="1" t="s">
        <v>37</v>
      </c>
      <c r="I226" s="1" t="s">
        <v>72</v>
      </c>
      <c r="J226" s="1">
        <v>150509</v>
      </c>
      <c r="K226" s="1"/>
      <c r="L226" s="1"/>
      <c r="M226" s="1" t="s">
        <v>40</v>
      </c>
      <c r="N226" s="1">
        <v>1.7549999999999999</v>
      </c>
      <c r="O226" s="1"/>
      <c r="P226" s="1">
        <v>8.8550000000000004</v>
      </c>
      <c r="Q226" s="1"/>
      <c r="R226" s="1"/>
      <c r="S226" s="1" t="s">
        <v>41</v>
      </c>
      <c r="T226" s="1">
        <v>0</v>
      </c>
      <c r="U226" s="1"/>
      <c r="V226" s="1"/>
      <c r="W226" s="1"/>
      <c r="X226" s="1"/>
      <c r="Y226" s="1" t="s">
        <v>42</v>
      </c>
      <c r="Z226" s="1" t="s">
        <v>43</v>
      </c>
    </row>
    <row r="227" spans="1:26" ht="30" x14ac:dyDescent="0.25">
      <c r="A227" s="1">
        <v>2457142.7984699998</v>
      </c>
      <c r="B227" s="1" t="s">
        <v>18</v>
      </c>
      <c r="C227" s="1">
        <v>7.5529999999999999</v>
      </c>
      <c r="D227" s="1">
        <v>2E-3</v>
      </c>
      <c r="E227" s="1" t="s">
        <v>34</v>
      </c>
      <c r="F227" s="1" t="s">
        <v>71</v>
      </c>
      <c r="G227" s="1" t="s">
        <v>36</v>
      </c>
      <c r="H227" s="1" t="s">
        <v>37</v>
      </c>
      <c r="I227" s="1" t="s">
        <v>72</v>
      </c>
      <c r="J227" s="1">
        <v>150509</v>
      </c>
      <c r="K227" s="1"/>
      <c r="L227" s="1"/>
      <c r="M227" s="1" t="s">
        <v>40</v>
      </c>
      <c r="N227" s="1">
        <v>1.706</v>
      </c>
      <c r="O227" s="1"/>
      <c r="P227" s="1">
        <v>8.8689999999999998</v>
      </c>
      <c r="Q227" s="1"/>
      <c r="R227" s="1"/>
      <c r="S227" s="1" t="s">
        <v>41</v>
      </c>
      <c r="T227" s="1">
        <v>0</v>
      </c>
      <c r="U227" s="1"/>
      <c r="V227" s="1"/>
      <c r="W227" s="1"/>
      <c r="X227" s="1"/>
      <c r="Y227" s="1" t="s">
        <v>42</v>
      </c>
      <c r="Z227" s="1" t="s">
        <v>43</v>
      </c>
    </row>
    <row r="228" spans="1:26" ht="30" x14ac:dyDescent="0.25">
      <c r="A228" s="1">
        <v>2457142.8035800001</v>
      </c>
      <c r="B228" s="1" t="s">
        <v>18</v>
      </c>
      <c r="C228" s="1">
        <v>7.6040000000000001</v>
      </c>
      <c r="D228" s="1">
        <v>3.0000000000000001E-3</v>
      </c>
      <c r="E228" s="1" t="s">
        <v>34</v>
      </c>
      <c r="F228" s="1" t="s">
        <v>71</v>
      </c>
      <c r="G228" s="1" t="s">
        <v>36</v>
      </c>
      <c r="H228" s="1" t="s">
        <v>37</v>
      </c>
      <c r="I228" s="1" t="s">
        <v>72</v>
      </c>
      <c r="J228" s="1">
        <v>150509</v>
      </c>
      <c r="K228" s="1"/>
      <c r="L228" s="1"/>
      <c r="M228" s="1" t="s">
        <v>40</v>
      </c>
      <c r="N228" s="1">
        <v>1.66</v>
      </c>
      <c r="O228" s="1"/>
      <c r="P228" s="1">
        <v>8.7720000000000002</v>
      </c>
      <c r="Q228" s="1"/>
      <c r="R228" s="1"/>
      <c r="S228" s="1" t="s">
        <v>41</v>
      </c>
      <c r="T228" s="1">
        <v>0</v>
      </c>
      <c r="U228" s="1"/>
      <c r="V228" s="1"/>
      <c r="W228" s="1"/>
      <c r="X228" s="1"/>
      <c r="Y228" s="1" t="s">
        <v>42</v>
      </c>
      <c r="Z228" s="1" t="s">
        <v>43</v>
      </c>
    </row>
    <row r="229" spans="1:26" ht="30" x14ac:dyDescent="0.25">
      <c r="A229" s="1">
        <v>2457142.82497</v>
      </c>
      <c r="B229" s="1" t="s">
        <v>18</v>
      </c>
      <c r="C229" s="1">
        <v>7.4489999999999998</v>
      </c>
      <c r="D229" s="1">
        <v>0.02</v>
      </c>
      <c r="E229" s="1" t="s">
        <v>34</v>
      </c>
      <c r="F229" s="1" t="s">
        <v>22</v>
      </c>
      <c r="G229" s="1" t="s">
        <v>36</v>
      </c>
      <c r="H229" s="1">
        <v>65</v>
      </c>
      <c r="I229" s="1">
        <v>94</v>
      </c>
      <c r="J229" s="1" t="s">
        <v>68</v>
      </c>
      <c r="K229" s="1"/>
      <c r="L229" s="1"/>
      <c r="M229" s="1" t="s">
        <v>40</v>
      </c>
      <c r="N229" s="1"/>
      <c r="O229" s="1">
        <v>6.4219999999999997</v>
      </c>
      <c r="P229" s="1">
        <v>9.5030000000000001</v>
      </c>
      <c r="Q229" s="1"/>
      <c r="R229" s="1"/>
      <c r="S229" s="1" t="s">
        <v>41</v>
      </c>
      <c r="T229" s="1">
        <v>1</v>
      </c>
      <c r="U229" s="1"/>
      <c r="V229" s="1"/>
      <c r="W229" s="1"/>
      <c r="X229" s="1"/>
      <c r="Y229" s="1" t="s">
        <v>42</v>
      </c>
      <c r="Z229" s="1" t="s">
        <v>43</v>
      </c>
    </row>
    <row r="230" spans="1:26" ht="30" x14ac:dyDescent="0.25">
      <c r="A230" s="1">
        <v>2457142.8415999999</v>
      </c>
      <c r="B230" s="1" t="s">
        <v>18</v>
      </c>
      <c r="C230" s="1">
        <v>7.7679999999999998</v>
      </c>
      <c r="D230" s="1">
        <v>0.02</v>
      </c>
      <c r="E230" s="1" t="s">
        <v>34</v>
      </c>
      <c r="F230" s="1" t="s">
        <v>22</v>
      </c>
      <c r="G230" s="1" t="s">
        <v>36</v>
      </c>
      <c r="H230" s="1">
        <v>65</v>
      </c>
      <c r="I230" s="1">
        <v>94</v>
      </c>
      <c r="J230" s="1" t="s">
        <v>68</v>
      </c>
      <c r="K230" s="1"/>
      <c r="L230" s="1"/>
      <c r="M230" s="1" t="s">
        <v>40</v>
      </c>
      <c r="N230" s="1"/>
      <c r="O230" s="1">
        <v>6.4219999999999997</v>
      </c>
      <c r="P230" s="1">
        <v>9.6449999999999996</v>
      </c>
      <c r="Q230" s="1"/>
      <c r="R230" s="1"/>
      <c r="S230" s="1" t="s">
        <v>41</v>
      </c>
      <c r="T230" s="1">
        <v>1</v>
      </c>
      <c r="U230" s="1"/>
      <c r="V230" s="1"/>
      <c r="W230" s="1"/>
      <c r="X230" s="1"/>
      <c r="Y230" s="1" t="s">
        <v>42</v>
      </c>
      <c r="Z230" s="1" t="s">
        <v>43</v>
      </c>
    </row>
    <row r="231" spans="1:26" ht="30" x14ac:dyDescent="0.25">
      <c r="A231" s="1">
        <v>2457142.8573799999</v>
      </c>
      <c r="B231" s="1" t="s">
        <v>18</v>
      </c>
      <c r="C231" s="1">
        <v>7.6479999999999997</v>
      </c>
      <c r="D231" s="1">
        <v>0.02</v>
      </c>
      <c r="E231" s="1" t="s">
        <v>34</v>
      </c>
      <c r="F231" s="1" t="s">
        <v>22</v>
      </c>
      <c r="G231" s="1" t="s">
        <v>36</v>
      </c>
      <c r="H231" s="1">
        <v>65</v>
      </c>
      <c r="I231" s="1">
        <v>94</v>
      </c>
      <c r="J231" s="1" t="s">
        <v>68</v>
      </c>
      <c r="K231" s="1"/>
      <c r="L231" s="1"/>
      <c r="M231" s="1" t="s">
        <v>40</v>
      </c>
      <c r="N231" s="1"/>
      <c r="O231" s="1">
        <v>6.4219999999999997</v>
      </c>
      <c r="P231" s="1">
        <v>9.5719999999999992</v>
      </c>
      <c r="Q231" s="1"/>
      <c r="R231" s="1"/>
      <c r="S231" s="1" t="s">
        <v>41</v>
      </c>
      <c r="T231" s="1">
        <v>1</v>
      </c>
      <c r="U231" s="1"/>
      <c r="V231" s="1"/>
      <c r="W231" s="1"/>
      <c r="X231" s="1"/>
      <c r="Y231" s="1" t="s">
        <v>42</v>
      </c>
      <c r="Z231" s="1" t="s">
        <v>43</v>
      </c>
    </row>
    <row r="232" spans="1:26" ht="30" x14ac:dyDescent="0.25">
      <c r="A232" s="1">
        <v>2457142.8640000001</v>
      </c>
      <c r="B232" s="1" t="s">
        <v>18</v>
      </c>
      <c r="C232" s="1">
        <v>7.6950000000000003</v>
      </c>
      <c r="D232" s="1">
        <v>0.02</v>
      </c>
      <c r="E232" s="1" t="s">
        <v>34</v>
      </c>
      <c r="F232" s="1" t="s">
        <v>22</v>
      </c>
      <c r="G232" s="1" t="s">
        <v>36</v>
      </c>
      <c r="H232" s="1">
        <v>65</v>
      </c>
      <c r="I232" s="1">
        <v>94</v>
      </c>
      <c r="J232" s="1" t="s">
        <v>68</v>
      </c>
      <c r="K232" s="1"/>
      <c r="L232" s="1"/>
      <c r="M232" s="1" t="s">
        <v>40</v>
      </c>
      <c r="N232" s="1"/>
      <c r="O232" s="1">
        <v>6.4219999999999997</v>
      </c>
      <c r="P232" s="1">
        <v>9.5549999999999997</v>
      </c>
      <c r="Q232" s="1"/>
      <c r="R232" s="1"/>
      <c r="S232" s="1" t="s">
        <v>41</v>
      </c>
      <c r="T232" s="1">
        <v>1</v>
      </c>
      <c r="U232" s="1"/>
      <c r="V232" s="1"/>
      <c r="W232" s="1"/>
      <c r="X232" s="1"/>
      <c r="Y232" s="1" t="s">
        <v>42</v>
      </c>
      <c r="Z232" s="1" t="s">
        <v>43</v>
      </c>
    </row>
    <row r="233" spans="1:26" ht="30" x14ac:dyDescent="0.25">
      <c r="A233" s="1">
        <v>2457142.8746699998</v>
      </c>
      <c r="B233" s="1" t="s">
        <v>18</v>
      </c>
      <c r="C233" s="1">
        <v>7.952</v>
      </c>
      <c r="D233" s="1">
        <v>0.02</v>
      </c>
      <c r="E233" s="1" t="s">
        <v>34</v>
      </c>
      <c r="F233" s="1" t="s">
        <v>22</v>
      </c>
      <c r="G233" s="1" t="s">
        <v>36</v>
      </c>
      <c r="H233" s="1">
        <v>65</v>
      </c>
      <c r="I233" s="1">
        <v>94</v>
      </c>
      <c r="J233" s="1" t="s">
        <v>68</v>
      </c>
      <c r="K233" s="1"/>
      <c r="L233" s="1"/>
      <c r="M233" s="1" t="s">
        <v>40</v>
      </c>
      <c r="N233" s="1"/>
      <c r="O233" s="1">
        <v>6.4219999999999997</v>
      </c>
      <c r="P233" s="1">
        <v>9.5299999999999994</v>
      </c>
      <c r="Q233" s="1"/>
      <c r="R233" s="1"/>
      <c r="S233" s="1" t="s">
        <v>41</v>
      </c>
      <c r="T233" s="1">
        <v>1</v>
      </c>
      <c r="U233" s="1"/>
      <c r="V233" s="1"/>
      <c r="W233" s="1"/>
      <c r="X233" s="1"/>
      <c r="Y233" s="1" t="s">
        <v>42</v>
      </c>
      <c r="Z233" s="1" t="s">
        <v>43</v>
      </c>
    </row>
    <row r="234" spans="1:26" ht="30" x14ac:dyDescent="0.25">
      <c r="A234" s="1">
        <v>2457142.8853099998</v>
      </c>
      <c r="B234" s="1" t="s">
        <v>18</v>
      </c>
      <c r="C234" s="1">
        <v>7.7460000000000004</v>
      </c>
      <c r="D234" s="1">
        <v>0.02</v>
      </c>
      <c r="E234" s="1" t="s">
        <v>34</v>
      </c>
      <c r="F234" s="1" t="s">
        <v>22</v>
      </c>
      <c r="G234" s="1" t="s">
        <v>36</v>
      </c>
      <c r="H234" s="1">
        <v>65</v>
      </c>
      <c r="I234" s="1">
        <v>94</v>
      </c>
      <c r="J234" s="1" t="s">
        <v>68</v>
      </c>
      <c r="K234" s="1"/>
      <c r="L234" s="1"/>
      <c r="M234" s="1" t="s">
        <v>40</v>
      </c>
      <c r="N234" s="1"/>
      <c r="O234" s="1">
        <v>6.4219999999999997</v>
      </c>
      <c r="P234" s="1">
        <v>9.5760000000000005</v>
      </c>
      <c r="Q234" s="1"/>
      <c r="R234" s="1"/>
      <c r="S234" s="1" t="s">
        <v>41</v>
      </c>
      <c r="T234" s="1">
        <v>1</v>
      </c>
      <c r="U234" s="1"/>
      <c r="V234" s="1"/>
      <c r="W234" s="1"/>
      <c r="X234" s="1"/>
      <c r="Y234" s="1" t="s">
        <v>42</v>
      </c>
      <c r="Z234" s="1" t="s">
        <v>43</v>
      </c>
    </row>
    <row r="235" spans="1:26" ht="30" x14ac:dyDescent="0.25">
      <c r="A235" s="1">
        <v>2457142.8958999999</v>
      </c>
      <c r="B235" s="1" t="s">
        <v>18</v>
      </c>
      <c r="C235" s="1">
        <v>7.8029999999999999</v>
      </c>
      <c r="D235" s="1">
        <v>0.02</v>
      </c>
      <c r="E235" s="1" t="s">
        <v>34</v>
      </c>
      <c r="F235" s="1" t="s">
        <v>22</v>
      </c>
      <c r="G235" s="1" t="s">
        <v>36</v>
      </c>
      <c r="H235" s="1">
        <v>65</v>
      </c>
      <c r="I235" s="1">
        <v>94</v>
      </c>
      <c r="J235" s="1" t="s">
        <v>68</v>
      </c>
      <c r="K235" s="1"/>
      <c r="L235" s="1"/>
      <c r="M235" s="1" t="s">
        <v>40</v>
      </c>
      <c r="N235" s="1"/>
      <c r="O235" s="1">
        <v>6.4219999999999997</v>
      </c>
      <c r="P235" s="1">
        <v>9.5370000000000008</v>
      </c>
      <c r="Q235" s="1"/>
      <c r="R235" s="1"/>
      <c r="S235" s="1" t="s">
        <v>41</v>
      </c>
      <c r="T235" s="1">
        <v>1</v>
      </c>
      <c r="U235" s="1"/>
      <c r="V235" s="1"/>
      <c r="W235" s="1"/>
      <c r="X235" s="1"/>
      <c r="Y235" s="1" t="s">
        <v>42</v>
      </c>
      <c r="Z235" s="1" t="s">
        <v>43</v>
      </c>
    </row>
    <row r="236" spans="1:26" ht="30" x14ac:dyDescent="0.25">
      <c r="A236" s="1">
        <v>2457142.90649</v>
      </c>
      <c r="B236" s="1" t="s">
        <v>18</v>
      </c>
      <c r="C236" s="1">
        <v>8.0350000000000001</v>
      </c>
      <c r="D236" s="1">
        <v>0.02</v>
      </c>
      <c r="E236" s="1" t="s">
        <v>34</v>
      </c>
      <c r="F236" s="1" t="s">
        <v>22</v>
      </c>
      <c r="G236" s="1" t="s">
        <v>36</v>
      </c>
      <c r="H236" s="1">
        <v>65</v>
      </c>
      <c r="I236" s="1">
        <v>94</v>
      </c>
      <c r="J236" s="1" t="s">
        <v>68</v>
      </c>
      <c r="K236" s="1"/>
      <c r="L236" s="1"/>
      <c r="M236" s="1" t="s">
        <v>40</v>
      </c>
      <c r="N236" s="1"/>
      <c r="O236" s="1">
        <v>6.4219999999999997</v>
      </c>
      <c r="P236" s="1">
        <v>9.5570000000000004</v>
      </c>
      <c r="Q236" s="1"/>
      <c r="R236" s="1"/>
      <c r="S236" s="1" t="s">
        <v>41</v>
      </c>
      <c r="T236" s="1">
        <v>1</v>
      </c>
      <c r="U236" s="1"/>
      <c r="V236" s="1"/>
      <c r="W236" s="1"/>
      <c r="X236" s="1"/>
      <c r="Y236" s="1" t="s">
        <v>42</v>
      </c>
      <c r="Z236" s="1" t="s">
        <v>43</v>
      </c>
    </row>
    <row r="237" spans="1:26" ht="30" x14ac:dyDescent="0.25">
      <c r="A237" s="1">
        <v>2457142.9170900001</v>
      </c>
      <c r="B237" s="1" t="s">
        <v>18</v>
      </c>
      <c r="C237" s="1">
        <v>7.9669999999999996</v>
      </c>
      <c r="D237" s="1">
        <v>0.02</v>
      </c>
      <c r="E237" s="1" t="s">
        <v>34</v>
      </c>
      <c r="F237" s="1" t="s">
        <v>22</v>
      </c>
      <c r="G237" s="1" t="s">
        <v>36</v>
      </c>
      <c r="H237" s="1">
        <v>65</v>
      </c>
      <c r="I237" s="1">
        <v>94</v>
      </c>
      <c r="J237" s="1" t="s">
        <v>68</v>
      </c>
      <c r="K237" s="1"/>
      <c r="L237" s="1"/>
      <c r="M237" s="1" t="s">
        <v>40</v>
      </c>
      <c r="N237" s="1"/>
      <c r="O237" s="1">
        <v>6.4219999999999997</v>
      </c>
      <c r="P237" s="1">
        <v>9.5510000000000002</v>
      </c>
      <c r="Q237" s="1"/>
      <c r="R237" s="1"/>
      <c r="S237" s="1" t="s">
        <v>41</v>
      </c>
      <c r="T237" s="1">
        <v>1</v>
      </c>
      <c r="U237" s="1"/>
      <c r="V237" s="1"/>
      <c r="W237" s="1"/>
      <c r="X237" s="1"/>
      <c r="Y237" s="1" t="s">
        <v>42</v>
      </c>
      <c r="Z237" s="1" t="s">
        <v>43</v>
      </c>
    </row>
    <row r="238" spans="1:26" ht="30" x14ac:dyDescent="0.25">
      <c r="A238" s="1">
        <v>2457142.92772</v>
      </c>
      <c r="B238" s="1" t="s">
        <v>18</v>
      </c>
      <c r="C238" s="1">
        <v>7.7450000000000001</v>
      </c>
      <c r="D238" s="1">
        <v>0.02</v>
      </c>
      <c r="E238" s="1" t="s">
        <v>34</v>
      </c>
      <c r="F238" s="1" t="s">
        <v>22</v>
      </c>
      <c r="G238" s="1" t="s">
        <v>36</v>
      </c>
      <c r="H238" s="1">
        <v>65</v>
      </c>
      <c r="I238" s="1">
        <v>94</v>
      </c>
      <c r="J238" s="1" t="s">
        <v>68</v>
      </c>
      <c r="K238" s="1"/>
      <c r="L238" s="1"/>
      <c r="M238" s="1" t="s">
        <v>40</v>
      </c>
      <c r="N238" s="1"/>
      <c r="O238" s="1">
        <v>6.4219999999999997</v>
      </c>
      <c r="P238" s="1">
        <v>9.5660000000000007</v>
      </c>
      <c r="Q238" s="1"/>
      <c r="R238" s="1"/>
      <c r="S238" s="1" t="s">
        <v>41</v>
      </c>
      <c r="T238" s="1">
        <v>1</v>
      </c>
      <c r="U238" s="1"/>
      <c r="V238" s="1"/>
      <c r="W238" s="1"/>
      <c r="X238" s="1"/>
      <c r="Y238" s="1" t="s">
        <v>42</v>
      </c>
      <c r="Z238" s="1" t="s">
        <v>43</v>
      </c>
    </row>
    <row r="239" spans="1:26" ht="30" x14ac:dyDescent="0.25">
      <c r="A239" s="1">
        <v>2457142.9448500001</v>
      </c>
      <c r="B239" s="1" t="s">
        <v>18</v>
      </c>
      <c r="C239" s="1">
        <v>7.6580000000000004</v>
      </c>
      <c r="D239" s="1">
        <v>0.02</v>
      </c>
      <c r="E239" s="1" t="s">
        <v>34</v>
      </c>
      <c r="F239" s="1" t="s">
        <v>22</v>
      </c>
      <c r="G239" s="1" t="s">
        <v>36</v>
      </c>
      <c r="H239" s="1">
        <v>65</v>
      </c>
      <c r="I239" s="1">
        <v>94</v>
      </c>
      <c r="J239" s="1" t="s">
        <v>68</v>
      </c>
      <c r="K239" s="1"/>
      <c r="L239" s="1"/>
      <c r="M239" s="1" t="s">
        <v>40</v>
      </c>
      <c r="N239" s="1"/>
      <c r="O239" s="1">
        <v>6.4219999999999997</v>
      </c>
      <c r="P239" s="1">
        <v>9.5790000000000006</v>
      </c>
      <c r="Q239" s="1"/>
      <c r="R239" s="1"/>
      <c r="S239" s="1" t="s">
        <v>41</v>
      </c>
      <c r="T239" s="1">
        <v>1</v>
      </c>
      <c r="U239" s="1"/>
      <c r="V239" s="1"/>
      <c r="W239" s="1"/>
      <c r="X239" s="1"/>
      <c r="Y239" s="1" t="s">
        <v>42</v>
      </c>
      <c r="Z239" s="1" t="s">
        <v>43</v>
      </c>
    </row>
    <row r="240" spans="1:26" ht="30" x14ac:dyDescent="0.25">
      <c r="A240" s="1">
        <v>2457143.7860400002</v>
      </c>
      <c r="B240" s="1" t="s">
        <v>76</v>
      </c>
      <c r="C240" s="1">
        <v>7.726</v>
      </c>
      <c r="D240" s="1">
        <v>3.0000000000000001E-3</v>
      </c>
      <c r="E240" s="1" t="s">
        <v>34</v>
      </c>
      <c r="F240" s="1" t="s">
        <v>71</v>
      </c>
      <c r="G240" s="1" t="s">
        <v>36</v>
      </c>
      <c r="H240" s="1" t="s">
        <v>37</v>
      </c>
      <c r="I240" s="1" t="s">
        <v>72</v>
      </c>
      <c r="J240" s="1">
        <v>150509</v>
      </c>
      <c r="K240" s="1"/>
      <c r="L240" s="1"/>
      <c r="M240" s="1" t="s">
        <v>40</v>
      </c>
      <c r="N240" s="1">
        <v>1.7949999999999999</v>
      </c>
      <c r="O240" s="1"/>
      <c r="P240" s="1">
        <v>8.7829999999999995</v>
      </c>
      <c r="Q240" s="1"/>
      <c r="R240" s="1"/>
      <c r="S240" s="1" t="s">
        <v>41</v>
      </c>
      <c r="T240" s="1">
        <v>0</v>
      </c>
      <c r="U240" s="1"/>
      <c r="V240" s="1"/>
      <c r="W240" s="1"/>
      <c r="X240" s="1"/>
      <c r="Y240" s="1" t="s">
        <v>42</v>
      </c>
      <c r="Z240" s="1" t="s">
        <v>43</v>
      </c>
    </row>
    <row r="241" spans="1:26" ht="30" x14ac:dyDescent="0.25">
      <c r="A241" s="1">
        <v>2457143.7909400002</v>
      </c>
      <c r="B241" s="1" t="s">
        <v>76</v>
      </c>
      <c r="C241" s="1">
        <v>7.7320000000000002</v>
      </c>
      <c r="D241" s="1">
        <v>3.0000000000000001E-3</v>
      </c>
      <c r="E241" s="1" t="s">
        <v>34</v>
      </c>
      <c r="F241" s="1" t="s">
        <v>71</v>
      </c>
      <c r="G241" s="1" t="s">
        <v>36</v>
      </c>
      <c r="H241" s="1" t="s">
        <v>37</v>
      </c>
      <c r="I241" s="1" t="s">
        <v>72</v>
      </c>
      <c r="J241" s="1">
        <v>150509</v>
      </c>
      <c r="K241" s="1"/>
      <c r="L241" s="1"/>
      <c r="M241" s="1" t="s">
        <v>40</v>
      </c>
      <c r="N241" s="1">
        <v>1.7450000000000001</v>
      </c>
      <c r="O241" s="1"/>
      <c r="P241" s="1">
        <v>8.7989999999999995</v>
      </c>
      <c r="Q241" s="1"/>
      <c r="R241" s="1"/>
      <c r="S241" s="1" t="s">
        <v>41</v>
      </c>
      <c r="T241" s="1">
        <v>0</v>
      </c>
      <c r="U241" s="1"/>
      <c r="V241" s="1"/>
      <c r="W241" s="1"/>
      <c r="X241" s="1"/>
      <c r="Y241" s="1" t="s">
        <v>42</v>
      </c>
      <c r="Z241" s="1" t="s">
        <v>43</v>
      </c>
    </row>
    <row r="242" spans="1:26" ht="30" x14ac:dyDescent="0.25">
      <c r="A242" s="1">
        <v>2457143.7957600001</v>
      </c>
      <c r="B242" s="1" t="s">
        <v>76</v>
      </c>
      <c r="C242" s="1">
        <v>7.7359999999999998</v>
      </c>
      <c r="D242" s="1">
        <v>3.0000000000000001E-3</v>
      </c>
      <c r="E242" s="1" t="s">
        <v>34</v>
      </c>
      <c r="F242" s="1" t="s">
        <v>71</v>
      </c>
      <c r="G242" s="1" t="s">
        <v>36</v>
      </c>
      <c r="H242" s="1" t="s">
        <v>37</v>
      </c>
      <c r="I242" s="1" t="s">
        <v>72</v>
      </c>
      <c r="J242" s="1">
        <v>150509</v>
      </c>
      <c r="K242" s="1"/>
      <c r="L242" s="1"/>
      <c r="M242" s="1" t="s">
        <v>40</v>
      </c>
      <c r="N242" s="1">
        <v>1.702</v>
      </c>
      <c r="O242" s="1"/>
      <c r="P242" s="1">
        <v>8.8190000000000008</v>
      </c>
      <c r="Q242" s="1"/>
      <c r="R242" s="1"/>
      <c r="S242" s="1" t="s">
        <v>41</v>
      </c>
      <c r="T242" s="1">
        <v>0</v>
      </c>
      <c r="U242" s="1"/>
      <c r="V242" s="1"/>
      <c r="W242" s="1"/>
      <c r="X242" s="1"/>
      <c r="Y242" s="1" t="s">
        <v>42</v>
      </c>
      <c r="Z242" s="1" t="s">
        <v>43</v>
      </c>
    </row>
    <row r="243" spans="1:26" ht="30" x14ac:dyDescent="0.25">
      <c r="A243" s="1">
        <v>2457143.8008400002</v>
      </c>
      <c r="B243" s="1" t="s">
        <v>76</v>
      </c>
      <c r="C243" s="1">
        <v>7.7949999999999999</v>
      </c>
      <c r="D243" s="1">
        <v>3.0000000000000001E-3</v>
      </c>
      <c r="E243" s="1" t="s">
        <v>34</v>
      </c>
      <c r="F243" s="1" t="s">
        <v>71</v>
      </c>
      <c r="G243" s="1" t="s">
        <v>36</v>
      </c>
      <c r="H243" s="1" t="s">
        <v>37</v>
      </c>
      <c r="I243" s="1" t="s">
        <v>72</v>
      </c>
      <c r="J243" s="1">
        <v>150509</v>
      </c>
      <c r="K243" s="1"/>
      <c r="L243" s="1"/>
      <c r="M243" s="1" t="s">
        <v>40</v>
      </c>
      <c r="N243" s="1">
        <v>1.6559999999999999</v>
      </c>
      <c r="O243" s="1"/>
      <c r="P243" s="1">
        <v>8.7840000000000007</v>
      </c>
      <c r="Q243" s="1"/>
      <c r="R243" s="1"/>
      <c r="S243" s="1" t="s">
        <v>41</v>
      </c>
      <c r="T243" s="1">
        <v>0</v>
      </c>
      <c r="U243" s="1"/>
      <c r="V243" s="1"/>
      <c r="W243" s="1"/>
      <c r="X243" s="1"/>
      <c r="Y243" s="1" t="s">
        <v>42</v>
      </c>
      <c r="Z243" s="1" t="s">
        <v>43</v>
      </c>
    </row>
    <row r="244" spans="1:26" ht="30" x14ac:dyDescent="0.25">
      <c r="A244" s="1">
        <v>2457143.8056899998</v>
      </c>
      <c r="B244" s="1" t="s">
        <v>76</v>
      </c>
      <c r="C244" s="1">
        <v>7.8470000000000004</v>
      </c>
      <c r="D244" s="1">
        <v>3.0000000000000001E-3</v>
      </c>
      <c r="E244" s="1" t="s">
        <v>34</v>
      </c>
      <c r="F244" s="1" t="s">
        <v>71</v>
      </c>
      <c r="G244" s="1" t="s">
        <v>36</v>
      </c>
      <c r="H244" s="1" t="s">
        <v>37</v>
      </c>
      <c r="I244" s="1" t="s">
        <v>72</v>
      </c>
      <c r="J244" s="1">
        <v>150509</v>
      </c>
      <c r="K244" s="1"/>
      <c r="L244" s="1"/>
      <c r="M244" s="1" t="s">
        <v>40</v>
      </c>
      <c r="N244" s="1">
        <v>1.615</v>
      </c>
      <c r="O244" s="1"/>
      <c r="P244" s="1">
        <v>8.7449999999999992</v>
      </c>
      <c r="Q244" s="1"/>
      <c r="R244" s="1"/>
      <c r="S244" s="1" t="s">
        <v>41</v>
      </c>
      <c r="T244" s="1">
        <v>0</v>
      </c>
      <c r="U244" s="1"/>
      <c r="V244" s="1"/>
      <c r="W244" s="1"/>
      <c r="X244" s="1"/>
      <c r="Y244" s="1" t="s">
        <v>42</v>
      </c>
      <c r="Z244" s="1" t="s">
        <v>43</v>
      </c>
    </row>
    <row r="245" spans="1:26" ht="30" x14ac:dyDescent="0.25">
      <c r="A245" s="1">
        <v>2457143.8261199999</v>
      </c>
      <c r="B245" s="1" t="s">
        <v>76</v>
      </c>
      <c r="C245" s="1">
        <v>7.8780000000000001</v>
      </c>
      <c r="D245" s="1">
        <v>0.02</v>
      </c>
      <c r="E245" s="1" t="s">
        <v>34</v>
      </c>
      <c r="F245" s="1" t="s">
        <v>22</v>
      </c>
      <c r="G245" s="1" t="s">
        <v>36</v>
      </c>
      <c r="H245" s="1">
        <v>65</v>
      </c>
      <c r="I245" s="1">
        <v>94</v>
      </c>
      <c r="J245" s="1" t="s">
        <v>68</v>
      </c>
      <c r="K245" s="1"/>
      <c r="L245" s="1"/>
      <c r="M245" s="1" t="s">
        <v>40</v>
      </c>
      <c r="N245" s="1"/>
      <c r="O245" s="1">
        <v>6.4219999999999997</v>
      </c>
      <c r="P245" s="1">
        <v>9.5500000000000007</v>
      </c>
      <c r="Q245" s="1"/>
      <c r="R245" s="1"/>
      <c r="S245" s="1" t="s">
        <v>41</v>
      </c>
      <c r="T245" s="1">
        <v>1</v>
      </c>
      <c r="U245" s="1"/>
      <c r="V245" s="1"/>
      <c r="W245" s="1"/>
      <c r="X245" s="1"/>
      <c r="Y245" s="1" t="s">
        <v>42</v>
      </c>
      <c r="Z245" s="1" t="s">
        <v>43</v>
      </c>
    </row>
    <row r="246" spans="1:26" ht="30" x14ac:dyDescent="0.25">
      <c r="A246" s="1">
        <v>2457143.8470600001</v>
      </c>
      <c r="B246" s="1" t="s">
        <v>76</v>
      </c>
      <c r="C246" s="1">
        <v>7.6660000000000004</v>
      </c>
      <c r="D246" s="1">
        <v>0.02</v>
      </c>
      <c r="E246" s="1" t="s">
        <v>34</v>
      </c>
      <c r="F246" s="1" t="s">
        <v>22</v>
      </c>
      <c r="G246" s="1" t="s">
        <v>36</v>
      </c>
      <c r="H246" s="1">
        <v>65</v>
      </c>
      <c r="I246" s="1">
        <v>94</v>
      </c>
      <c r="J246" s="1" t="s">
        <v>68</v>
      </c>
      <c r="K246" s="1"/>
      <c r="L246" s="1"/>
      <c r="M246" s="1" t="s">
        <v>40</v>
      </c>
      <c r="N246" s="1"/>
      <c r="O246" s="1">
        <v>6.4219999999999997</v>
      </c>
      <c r="P246" s="1">
        <v>9.5239999999999991</v>
      </c>
      <c r="Q246" s="1"/>
      <c r="R246" s="1"/>
      <c r="S246" s="1" t="s">
        <v>41</v>
      </c>
      <c r="T246" s="1">
        <v>1</v>
      </c>
      <c r="U246" s="1"/>
      <c r="V246" s="1"/>
      <c r="W246" s="1"/>
      <c r="X246" s="1"/>
      <c r="Y246" s="1" t="s">
        <v>42</v>
      </c>
      <c r="Z246" s="1" t="s">
        <v>43</v>
      </c>
    </row>
    <row r="247" spans="1:26" ht="30" x14ac:dyDescent="0.25">
      <c r="A247" s="1">
        <v>2457143.86106</v>
      </c>
      <c r="B247" s="1" t="s">
        <v>76</v>
      </c>
      <c r="C247" s="1">
        <v>7.9269999999999996</v>
      </c>
      <c r="D247" s="1">
        <v>0.02</v>
      </c>
      <c r="E247" s="1" t="s">
        <v>34</v>
      </c>
      <c r="F247" s="1" t="s">
        <v>22</v>
      </c>
      <c r="G247" s="1" t="s">
        <v>36</v>
      </c>
      <c r="H247" s="1">
        <v>65</v>
      </c>
      <c r="I247" s="1">
        <v>94</v>
      </c>
      <c r="J247" s="1" t="s">
        <v>68</v>
      </c>
      <c r="K247" s="1"/>
      <c r="L247" s="1"/>
      <c r="M247" s="1" t="s">
        <v>40</v>
      </c>
      <c r="N247" s="1"/>
      <c r="O247" s="1">
        <v>6.4219999999999997</v>
      </c>
      <c r="P247" s="1">
        <v>9.5559999999999992</v>
      </c>
      <c r="Q247" s="1"/>
      <c r="R247" s="1"/>
      <c r="S247" s="1" t="s">
        <v>41</v>
      </c>
      <c r="T247" s="1">
        <v>1</v>
      </c>
      <c r="U247" s="1"/>
      <c r="V247" s="1"/>
      <c r="W247" s="1"/>
      <c r="X247" s="1"/>
      <c r="Y247" s="1" t="s">
        <v>42</v>
      </c>
      <c r="Z247" s="1" t="s">
        <v>43</v>
      </c>
    </row>
    <row r="248" spans="1:26" ht="30" x14ac:dyDescent="0.25">
      <c r="A248" s="1">
        <v>2457143.87267</v>
      </c>
      <c r="B248" s="1" t="s">
        <v>76</v>
      </c>
      <c r="C248" s="1">
        <v>7.6219999999999999</v>
      </c>
      <c r="D248" s="1">
        <v>0.02</v>
      </c>
      <c r="E248" s="1" t="s">
        <v>34</v>
      </c>
      <c r="F248" s="1" t="s">
        <v>22</v>
      </c>
      <c r="G248" s="1" t="s">
        <v>36</v>
      </c>
      <c r="H248" s="1">
        <v>65</v>
      </c>
      <c r="I248" s="1">
        <v>94</v>
      </c>
      <c r="J248" s="1" t="s">
        <v>68</v>
      </c>
      <c r="K248" s="1"/>
      <c r="L248" s="1"/>
      <c r="M248" s="1" t="s">
        <v>40</v>
      </c>
      <c r="N248" s="1"/>
      <c r="O248" s="1">
        <v>6.4219999999999997</v>
      </c>
      <c r="P248" s="1">
        <v>9.5749999999999993</v>
      </c>
      <c r="Q248" s="1"/>
      <c r="R248" s="1"/>
      <c r="S248" s="1" t="s">
        <v>41</v>
      </c>
      <c r="T248" s="1">
        <v>1</v>
      </c>
      <c r="U248" s="1"/>
      <c r="V248" s="1"/>
      <c r="W248" s="1"/>
      <c r="X248" s="1"/>
      <c r="Y248" s="1" t="s">
        <v>42</v>
      </c>
      <c r="Z248" s="1" t="s">
        <v>43</v>
      </c>
    </row>
    <row r="249" spans="1:26" ht="30" x14ac:dyDescent="0.25">
      <c r="A249" s="1">
        <v>2457143.8842600002</v>
      </c>
      <c r="B249" s="1" t="s">
        <v>76</v>
      </c>
      <c r="C249" s="1">
        <v>7.7350000000000003</v>
      </c>
      <c r="D249" s="1">
        <v>0.02</v>
      </c>
      <c r="E249" s="1" t="s">
        <v>34</v>
      </c>
      <c r="F249" s="1" t="s">
        <v>22</v>
      </c>
      <c r="G249" s="1" t="s">
        <v>36</v>
      </c>
      <c r="H249" s="1">
        <v>65</v>
      </c>
      <c r="I249" s="1">
        <v>94</v>
      </c>
      <c r="J249" s="1" t="s">
        <v>68</v>
      </c>
      <c r="K249" s="1"/>
      <c r="L249" s="1"/>
      <c r="M249" s="1" t="s">
        <v>40</v>
      </c>
      <c r="N249" s="1"/>
      <c r="O249" s="1">
        <v>6.4219999999999997</v>
      </c>
      <c r="P249" s="1">
        <v>9.5459999999999994</v>
      </c>
      <c r="Q249" s="1"/>
      <c r="R249" s="1"/>
      <c r="S249" s="1" t="s">
        <v>41</v>
      </c>
      <c r="T249" s="1">
        <v>1</v>
      </c>
      <c r="U249" s="1"/>
      <c r="V249" s="1"/>
      <c r="W249" s="1"/>
      <c r="X249" s="1"/>
      <c r="Y249" s="1" t="s">
        <v>42</v>
      </c>
      <c r="Z249" s="1" t="s">
        <v>43</v>
      </c>
    </row>
    <row r="250" spans="1:26" ht="30" x14ac:dyDescent="0.25">
      <c r="A250" s="1">
        <v>2457143.8958299998</v>
      </c>
      <c r="B250" s="1" t="s">
        <v>76</v>
      </c>
      <c r="C250" s="1">
        <v>7.798</v>
      </c>
      <c r="D250" s="1">
        <v>0.02</v>
      </c>
      <c r="E250" s="1" t="s">
        <v>34</v>
      </c>
      <c r="F250" s="1" t="s">
        <v>22</v>
      </c>
      <c r="G250" s="1" t="s">
        <v>36</v>
      </c>
      <c r="H250" s="1">
        <v>65</v>
      </c>
      <c r="I250" s="1">
        <v>94</v>
      </c>
      <c r="J250" s="1" t="s">
        <v>68</v>
      </c>
      <c r="K250" s="1"/>
      <c r="L250" s="1"/>
      <c r="M250" s="1" t="s">
        <v>40</v>
      </c>
      <c r="N250" s="1"/>
      <c r="O250" s="1">
        <v>6.4219999999999997</v>
      </c>
      <c r="P250" s="1">
        <v>9.5429999999999993</v>
      </c>
      <c r="Q250" s="1"/>
      <c r="R250" s="1"/>
      <c r="S250" s="1" t="s">
        <v>41</v>
      </c>
      <c r="T250" s="1">
        <v>1</v>
      </c>
      <c r="U250" s="1"/>
      <c r="V250" s="1"/>
      <c r="W250" s="1"/>
      <c r="X250" s="1"/>
      <c r="Y250" s="1" t="s">
        <v>42</v>
      </c>
      <c r="Z250" s="1" t="s">
        <v>43</v>
      </c>
    </row>
    <row r="251" spans="1:26" ht="30" x14ac:dyDescent="0.25">
      <c r="A251" s="1">
        <v>2457143.9073800002</v>
      </c>
      <c r="B251" s="1" t="s">
        <v>76</v>
      </c>
      <c r="C251" s="1">
        <v>7.7430000000000003</v>
      </c>
      <c r="D251" s="1">
        <v>0.02</v>
      </c>
      <c r="E251" s="1" t="s">
        <v>34</v>
      </c>
      <c r="F251" s="1" t="s">
        <v>22</v>
      </c>
      <c r="G251" s="1" t="s">
        <v>36</v>
      </c>
      <c r="H251" s="1">
        <v>65</v>
      </c>
      <c r="I251" s="1">
        <v>94</v>
      </c>
      <c r="J251" s="1" t="s">
        <v>68</v>
      </c>
      <c r="K251" s="1"/>
      <c r="L251" s="1"/>
      <c r="M251" s="1" t="s">
        <v>40</v>
      </c>
      <c r="N251" s="1"/>
      <c r="O251" s="1">
        <v>6.4219999999999997</v>
      </c>
      <c r="P251" s="1">
        <v>9.4979999999999993</v>
      </c>
      <c r="Q251" s="1"/>
      <c r="R251" s="1"/>
      <c r="S251" s="1" t="s">
        <v>41</v>
      </c>
      <c r="T251" s="1">
        <v>1</v>
      </c>
      <c r="U251" s="1"/>
      <c r="V251" s="1"/>
      <c r="W251" s="1"/>
      <c r="X251" s="1"/>
      <c r="Y251" s="1" t="s">
        <v>42</v>
      </c>
      <c r="Z251" s="1" t="s">
        <v>43</v>
      </c>
    </row>
    <row r="252" spans="1:26" ht="30" x14ac:dyDescent="0.25">
      <c r="A252" s="1">
        <v>2457143.9189399998</v>
      </c>
      <c r="B252" s="1" t="s">
        <v>76</v>
      </c>
      <c r="C252" s="1">
        <v>7.9630000000000001</v>
      </c>
      <c r="D252" s="1">
        <v>0.02</v>
      </c>
      <c r="E252" s="1" t="s">
        <v>34</v>
      </c>
      <c r="F252" s="1" t="s">
        <v>22</v>
      </c>
      <c r="G252" s="1" t="s">
        <v>36</v>
      </c>
      <c r="H252" s="1">
        <v>65</v>
      </c>
      <c r="I252" s="1">
        <v>94</v>
      </c>
      <c r="J252" s="1" t="s">
        <v>68</v>
      </c>
      <c r="K252" s="1"/>
      <c r="L252" s="1"/>
      <c r="M252" s="1" t="s">
        <v>40</v>
      </c>
      <c r="N252" s="1"/>
      <c r="O252" s="1">
        <v>6.4219999999999997</v>
      </c>
      <c r="P252" s="1">
        <v>9.5440000000000005</v>
      </c>
      <c r="Q252" s="1"/>
      <c r="R252" s="1"/>
      <c r="S252" s="1" t="s">
        <v>41</v>
      </c>
      <c r="T252" s="1">
        <v>1</v>
      </c>
      <c r="U252" s="1"/>
      <c r="V252" s="1"/>
      <c r="W252" s="1"/>
      <c r="X252" s="1"/>
      <c r="Y252" s="1" t="s">
        <v>42</v>
      </c>
      <c r="Z252" s="1" t="s">
        <v>43</v>
      </c>
    </row>
    <row r="253" spans="1:26" ht="30" x14ac:dyDescent="0.25">
      <c r="A253" s="1">
        <v>2457143.9376300001</v>
      </c>
      <c r="B253" s="1" t="s">
        <v>76</v>
      </c>
      <c r="C253" s="1">
        <v>7.9009999999999998</v>
      </c>
      <c r="D253" s="1">
        <v>0.02</v>
      </c>
      <c r="E253" s="1" t="s">
        <v>34</v>
      </c>
      <c r="F253" s="1" t="s">
        <v>22</v>
      </c>
      <c r="G253" s="1" t="s">
        <v>36</v>
      </c>
      <c r="H253" s="1">
        <v>65</v>
      </c>
      <c r="I253" s="1">
        <v>94</v>
      </c>
      <c r="J253" s="1" t="s">
        <v>68</v>
      </c>
      <c r="K253" s="1"/>
      <c r="L253" s="1"/>
      <c r="M253" s="1" t="s">
        <v>40</v>
      </c>
      <c r="N253" s="1"/>
      <c r="O253" s="1">
        <v>6.4219999999999997</v>
      </c>
      <c r="P253" s="1">
        <v>9.5510000000000002</v>
      </c>
      <c r="Q253" s="1"/>
      <c r="R253" s="1"/>
      <c r="S253" s="1" t="s">
        <v>41</v>
      </c>
      <c r="T253" s="1">
        <v>1</v>
      </c>
      <c r="U253" s="1"/>
      <c r="V253" s="1"/>
      <c r="W253" s="1"/>
      <c r="X253" s="1"/>
      <c r="Y253" s="1" t="s">
        <v>42</v>
      </c>
      <c r="Z253" s="1" t="s">
        <v>43</v>
      </c>
    </row>
    <row r="254" spans="1:26" ht="30" x14ac:dyDescent="0.25">
      <c r="A254" s="1">
        <v>2457144.8234000001</v>
      </c>
      <c r="B254" s="1" t="s">
        <v>77</v>
      </c>
      <c r="C254" s="1">
        <v>7.9889999999999999</v>
      </c>
      <c r="D254" s="1">
        <v>0.02</v>
      </c>
      <c r="E254" s="1" t="s">
        <v>34</v>
      </c>
      <c r="F254" s="1" t="s">
        <v>22</v>
      </c>
      <c r="G254" s="1" t="s">
        <v>36</v>
      </c>
      <c r="H254" s="1">
        <v>65</v>
      </c>
      <c r="I254" s="1">
        <v>94</v>
      </c>
      <c r="J254" s="1" t="s">
        <v>68</v>
      </c>
      <c r="K254" s="1"/>
      <c r="L254" s="1"/>
      <c r="M254" s="1" t="s">
        <v>40</v>
      </c>
      <c r="N254" s="1"/>
      <c r="O254" s="1">
        <v>6.4219999999999997</v>
      </c>
      <c r="P254" s="1">
        <v>9.6270000000000007</v>
      </c>
      <c r="Q254" s="1"/>
      <c r="R254" s="1"/>
      <c r="S254" s="1" t="s">
        <v>41</v>
      </c>
      <c r="T254" s="1">
        <v>1</v>
      </c>
      <c r="U254" s="1"/>
      <c r="V254" s="1"/>
      <c r="W254" s="1"/>
      <c r="X254" s="1"/>
      <c r="Y254" s="1" t="s">
        <v>42</v>
      </c>
      <c r="Z254" s="1" t="s">
        <v>43</v>
      </c>
    </row>
    <row r="255" spans="1:26" ht="30" x14ac:dyDescent="0.25">
      <c r="A255" s="1">
        <v>2457144.8315499998</v>
      </c>
      <c r="B255" s="1" t="s">
        <v>77</v>
      </c>
      <c r="C255" s="1">
        <v>7.9690000000000003</v>
      </c>
      <c r="D255" s="1">
        <v>0.02</v>
      </c>
      <c r="E255" s="1" t="s">
        <v>34</v>
      </c>
      <c r="F255" s="1" t="s">
        <v>22</v>
      </c>
      <c r="G255" s="1" t="s">
        <v>36</v>
      </c>
      <c r="H255" s="1">
        <v>65</v>
      </c>
      <c r="I255" s="1">
        <v>94</v>
      </c>
      <c r="J255" s="1" t="s">
        <v>68</v>
      </c>
      <c r="K255" s="1"/>
      <c r="L255" s="1"/>
      <c r="M255" s="1" t="s">
        <v>40</v>
      </c>
      <c r="N255" s="1"/>
      <c r="O255" s="1">
        <v>6.4219999999999997</v>
      </c>
      <c r="P255" s="1">
        <v>9.4819999999999993</v>
      </c>
      <c r="Q255" s="1"/>
      <c r="R255" s="1"/>
      <c r="S255" s="1" t="s">
        <v>41</v>
      </c>
      <c r="T255" s="1">
        <v>1</v>
      </c>
      <c r="U255" s="1"/>
      <c r="V255" s="1"/>
      <c r="W255" s="1"/>
      <c r="X255" s="1"/>
      <c r="Y255" s="1" t="s">
        <v>42</v>
      </c>
      <c r="Z255" s="1" t="s">
        <v>43</v>
      </c>
    </row>
    <row r="256" spans="1:26" ht="30" x14ac:dyDescent="0.25">
      <c r="A256" s="1">
        <v>2457144.88589</v>
      </c>
      <c r="B256" s="1" t="s">
        <v>77</v>
      </c>
      <c r="C256" s="1">
        <v>7.9429999999999996</v>
      </c>
      <c r="D256" s="1">
        <v>0.02</v>
      </c>
      <c r="E256" s="1" t="s">
        <v>34</v>
      </c>
      <c r="F256" s="1" t="s">
        <v>22</v>
      </c>
      <c r="G256" s="1" t="s">
        <v>36</v>
      </c>
      <c r="H256" s="1">
        <v>65</v>
      </c>
      <c r="I256" s="1">
        <v>94</v>
      </c>
      <c r="J256" s="1" t="s">
        <v>68</v>
      </c>
      <c r="K256" s="1"/>
      <c r="L256" s="1"/>
      <c r="M256" s="1" t="s">
        <v>40</v>
      </c>
      <c r="N256" s="1"/>
      <c r="O256" s="1">
        <v>6.4219999999999997</v>
      </c>
      <c r="P256" s="1">
        <v>9.5670000000000002</v>
      </c>
      <c r="Q256" s="1"/>
      <c r="R256" s="1"/>
      <c r="S256" s="1" t="s">
        <v>41</v>
      </c>
      <c r="T256" s="1">
        <v>1</v>
      </c>
      <c r="U256" s="1"/>
      <c r="V256" s="1"/>
      <c r="W256" s="1"/>
      <c r="X256" s="1"/>
      <c r="Y256" s="1" t="s">
        <v>42</v>
      </c>
      <c r="Z256" s="1" t="s">
        <v>43</v>
      </c>
    </row>
    <row r="257" spans="1:26" ht="30" x14ac:dyDescent="0.25">
      <c r="A257" s="1">
        <v>2457144.8966799998</v>
      </c>
      <c r="B257" s="1" t="s">
        <v>77</v>
      </c>
      <c r="C257" s="1">
        <v>7.9119999999999999</v>
      </c>
      <c r="D257" s="1">
        <v>0.02</v>
      </c>
      <c r="E257" s="1" t="s">
        <v>34</v>
      </c>
      <c r="F257" s="1" t="s">
        <v>22</v>
      </c>
      <c r="G257" s="1" t="s">
        <v>36</v>
      </c>
      <c r="H257" s="1">
        <v>65</v>
      </c>
      <c r="I257" s="1">
        <v>94</v>
      </c>
      <c r="J257" s="1" t="s">
        <v>68</v>
      </c>
      <c r="K257" s="1"/>
      <c r="L257" s="1"/>
      <c r="M257" s="1" t="s">
        <v>40</v>
      </c>
      <c r="N257" s="1"/>
      <c r="O257" s="1">
        <v>6.4219999999999997</v>
      </c>
      <c r="P257" s="1">
        <v>9.5540000000000003</v>
      </c>
      <c r="Q257" s="1"/>
      <c r="R257" s="1"/>
      <c r="S257" s="1" t="s">
        <v>41</v>
      </c>
      <c r="T257" s="1">
        <v>1</v>
      </c>
      <c r="U257" s="1"/>
      <c r="V257" s="1"/>
      <c r="W257" s="1"/>
      <c r="X257" s="1"/>
      <c r="Y257" s="1" t="s">
        <v>42</v>
      </c>
      <c r="Z257" s="1" t="s">
        <v>43</v>
      </c>
    </row>
    <row r="258" spans="1:26" ht="30" x14ac:dyDescent="0.25">
      <c r="A258" s="1">
        <v>2457144.9074599999</v>
      </c>
      <c r="B258" s="1" t="s">
        <v>77</v>
      </c>
      <c r="C258" s="1">
        <v>7.8739999999999997</v>
      </c>
      <c r="D258" s="1">
        <v>0.02</v>
      </c>
      <c r="E258" s="1" t="s">
        <v>34</v>
      </c>
      <c r="F258" s="1" t="s">
        <v>22</v>
      </c>
      <c r="G258" s="1" t="s">
        <v>36</v>
      </c>
      <c r="H258" s="1">
        <v>65</v>
      </c>
      <c r="I258" s="1">
        <v>94</v>
      </c>
      <c r="J258" s="1" t="s">
        <v>68</v>
      </c>
      <c r="K258" s="1"/>
      <c r="L258" s="1"/>
      <c r="M258" s="1" t="s">
        <v>40</v>
      </c>
      <c r="N258" s="1"/>
      <c r="O258" s="1">
        <v>6.4219999999999997</v>
      </c>
      <c r="P258" s="1">
        <v>9.5670000000000002</v>
      </c>
      <c r="Q258" s="1"/>
      <c r="R258" s="1"/>
      <c r="S258" s="1" t="s">
        <v>41</v>
      </c>
      <c r="T258" s="1">
        <v>1</v>
      </c>
      <c r="U258" s="1"/>
      <c r="V258" s="1"/>
      <c r="W258" s="1"/>
      <c r="X258" s="1"/>
      <c r="Y258" s="1" t="s">
        <v>42</v>
      </c>
      <c r="Z258" s="1" t="s">
        <v>43</v>
      </c>
    </row>
    <row r="259" spans="1:26" ht="60" x14ac:dyDescent="0.25">
      <c r="A259" s="1">
        <v>2457144.9104599999</v>
      </c>
      <c r="B259" s="1" t="s">
        <v>77</v>
      </c>
      <c r="C259" s="1">
        <v>7.85</v>
      </c>
      <c r="D259" s="1">
        <v>0.01</v>
      </c>
      <c r="E259" s="1" t="s">
        <v>34</v>
      </c>
      <c r="F259" s="1" t="s">
        <v>20</v>
      </c>
      <c r="G259" s="1" t="s">
        <v>36</v>
      </c>
      <c r="H259" s="1" t="s">
        <v>59</v>
      </c>
      <c r="I259" s="1" t="s">
        <v>38</v>
      </c>
      <c r="J259" s="1" t="s">
        <v>78</v>
      </c>
      <c r="K259" s="1"/>
      <c r="L259" s="1" t="s">
        <v>62</v>
      </c>
      <c r="M259" s="1" t="s">
        <v>47</v>
      </c>
      <c r="N259" s="1">
        <v>1.079</v>
      </c>
      <c r="O259" s="1">
        <v>11.015000000000001</v>
      </c>
      <c r="P259" s="1">
        <v>12.234</v>
      </c>
      <c r="Q259" s="1"/>
      <c r="R259" s="1"/>
      <c r="S259" s="1" t="s">
        <v>41</v>
      </c>
      <c r="T259" s="1"/>
      <c r="U259" s="1"/>
      <c r="V259" s="1"/>
      <c r="W259" s="1"/>
      <c r="X259" s="1"/>
      <c r="Y259" s="1" t="s">
        <v>42</v>
      </c>
      <c r="Z259" s="1" t="s">
        <v>43</v>
      </c>
    </row>
    <row r="260" spans="1:26" ht="30" x14ac:dyDescent="0.25">
      <c r="A260" s="1">
        <v>2457144.9355100002</v>
      </c>
      <c r="B260" s="1" t="s">
        <v>77</v>
      </c>
      <c r="C260" s="1">
        <v>7.899</v>
      </c>
      <c r="D260" s="1">
        <v>0.02</v>
      </c>
      <c r="E260" s="1" t="s">
        <v>34</v>
      </c>
      <c r="F260" s="1" t="s">
        <v>22</v>
      </c>
      <c r="G260" s="1" t="s">
        <v>36</v>
      </c>
      <c r="H260" s="1">
        <v>65</v>
      </c>
      <c r="I260" s="1">
        <v>94</v>
      </c>
      <c r="J260" s="1" t="s">
        <v>68</v>
      </c>
      <c r="K260" s="1"/>
      <c r="L260" s="1"/>
      <c r="M260" s="1" t="s">
        <v>40</v>
      </c>
      <c r="N260" s="1"/>
      <c r="O260" s="1">
        <v>6.4219999999999997</v>
      </c>
      <c r="P260" s="1">
        <v>9.58</v>
      </c>
      <c r="Q260" s="1"/>
      <c r="R260" s="1"/>
      <c r="S260" s="1" t="s">
        <v>41</v>
      </c>
      <c r="T260" s="1">
        <v>1</v>
      </c>
      <c r="U260" s="1"/>
      <c r="V260" s="1"/>
      <c r="W260" s="1"/>
      <c r="X260" s="1"/>
      <c r="Y260" s="1" t="s">
        <v>42</v>
      </c>
      <c r="Z260" s="1" t="s">
        <v>43</v>
      </c>
    </row>
    <row r="261" spans="1:26" ht="30" x14ac:dyDescent="0.25">
      <c r="A261" s="1">
        <v>2457148.8128999998</v>
      </c>
      <c r="B261" s="1" t="s">
        <v>79</v>
      </c>
      <c r="C261" s="1">
        <v>7.7050000000000001</v>
      </c>
      <c r="D261" s="1">
        <v>0.02</v>
      </c>
      <c r="E261" s="1" t="s">
        <v>34</v>
      </c>
      <c r="F261" s="1" t="s">
        <v>22</v>
      </c>
      <c r="G261" s="1" t="s">
        <v>36</v>
      </c>
      <c r="H261" s="1">
        <v>65</v>
      </c>
      <c r="I261" s="1">
        <v>94</v>
      </c>
      <c r="J261" s="1" t="s">
        <v>68</v>
      </c>
      <c r="K261" s="1"/>
      <c r="L261" s="1"/>
      <c r="M261" s="1" t="s">
        <v>40</v>
      </c>
      <c r="N261" s="1"/>
      <c r="O261" s="1">
        <v>6.4219999999999997</v>
      </c>
      <c r="P261" s="1">
        <v>9.5220000000000002</v>
      </c>
      <c r="Q261" s="1"/>
      <c r="R261" s="1"/>
      <c r="S261" s="1" t="s">
        <v>41</v>
      </c>
      <c r="T261" s="1">
        <v>1</v>
      </c>
      <c r="U261" s="1"/>
      <c r="V261" s="1"/>
      <c r="W261" s="1"/>
      <c r="X261" s="1"/>
      <c r="Y261" s="1" t="s">
        <v>42</v>
      </c>
      <c r="Z261" s="1" t="s">
        <v>43</v>
      </c>
    </row>
    <row r="262" spans="1:26" ht="30" x14ac:dyDescent="0.25">
      <c r="A262" s="1">
        <v>2457148.8294000002</v>
      </c>
      <c r="B262" s="1" t="s">
        <v>79</v>
      </c>
      <c r="C262" s="1">
        <v>7.6689999999999996</v>
      </c>
      <c r="D262" s="1">
        <v>0.02</v>
      </c>
      <c r="E262" s="1" t="s">
        <v>34</v>
      </c>
      <c r="F262" s="1" t="s">
        <v>22</v>
      </c>
      <c r="G262" s="1" t="s">
        <v>36</v>
      </c>
      <c r="H262" s="1">
        <v>65</v>
      </c>
      <c r="I262" s="1">
        <v>94</v>
      </c>
      <c r="J262" s="1" t="s">
        <v>68</v>
      </c>
      <c r="K262" s="1"/>
      <c r="L262" s="1"/>
      <c r="M262" s="1" t="s">
        <v>40</v>
      </c>
      <c r="N262" s="1"/>
      <c r="O262" s="1">
        <v>6.4219999999999997</v>
      </c>
      <c r="P262" s="1">
        <v>9.5619999999999994</v>
      </c>
      <c r="Q262" s="1"/>
      <c r="R262" s="1"/>
      <c r="S262" s="1" t="s">
        <v>41</v>
      </c>
      <c r="T262" s="1">
        <v>1</v>
      </c>
      <c r="U262" s="1"/>
      <c r="V262" s="1"/>
      <c r="W262" s="1"/>
      <c r="X262" s="1"/>
      <c r="Y262" s="1" t="s">
        <v>42</v>
      </c>
      <c r="Z262" s="1" t="s">
        <v>43</v>
      </c>
    </row>
    <row r="263" spans="1:26" ht="30" x14ac:dyDescent="0.25">
      <c r="A263" s="1">
        <v>2457148.8459700001</v>
      </c>
      <c r="B263" s="1" t="s">
        <v>79</v>
      </c>
      <c r="C263" s="1">
        <v>7.5030000000000001</v>
      </c>
      <c r="D263" s="1">
        <v>0.02</v>
      </c>
      <c r="E263" s="1" t="s">
        <v>34</v>
      </c>
      <c r="F263" s="1" t="s">
        <v>22</v>
      </c>
      <c r="G263" s="1" t="s">
        <v>36</v>
      </c>
      <c r="H263" s="1">
        <v>65</v>
      </c>
      <c r="I263" s="1">
        <v>94</v>
      </c>
      <c r="J263" s="1" t="s">
        <v>68</v>
      </c>
      <c r="K263" s="1"/>
      <c r="L263" s="1"/>
      <c r="M263" s="1" t="s">
        <v>40</v>
      </c>
      <c r="N263" s="1"/>
      <c r="O263" s="1">
        <v>6.4219999999999997</v>
      </c>
      <c r="P263" s="1">
        <v>9.5570000000000004</v>
      </c>
      <c r="Q263" s="1"/>
      <c r="R263" s="1"/>
      <c r="S263" s="1" t="s">
        <v>41</v>
      </c>
      <c r="T263" s="1">
        <v>1</v>
      </c>
      <c r="U263" s="1"/>
      <c r="V263" s="1"/>
      <c r="W263" s="1"/>
      <c r="X263" s="1"/>
      <c r="Y263" s="1" t="s">
        <v>42</v>
      </c>
      <c r="Z263" s="1" t="s">
        <v>43</v>
      </c>
    </row>
    <row r="264" spans="1:26" ht="30" x14ac:dyDescent="0.25">
      <c r="A264" s="1">
        <v>2457148.85818</v>
      </c>
      <c r="B264" s="1" t="s">
        <v>79</v>
      </c>
      <c r="C264" s="1">
        <v>7.383</v>
      </c>
      <c r="D264" s="1">
        <v>0.02</v>
      </c>
      <c r="E264" s="1" t="s">
        <v>34</v>
      </c>
      <c r="F264" s="1" t="s">
        <v>22</v>
      </c>
      <c r="G264" s="1" t="s">
        <v>36</v>
      </c>
      <c r="H264" s="1">
        <v>65</v>
      </c>
      <c r="I264" s="1">
        <v>94</v>
      </c>
      <c r="J264" s="1" t="s">
        <v>68</v>
      </c>
      <c r="K264" s="1"/>
      <c r="L264" s="1"/>
      <c r="M264" s="1" t="s">
        <v>40</v>
      </c>
      <c r="N264" s="1"/>
      <c r="O264" s="1">
        <v>6.4219999999999997</v>
      </c>
      <c r="P264" s="1">
        <v>9.5920000000000005</v>
      </c>
      <c r="Q264" s="1"/>
      <c r="R264" s="1"/>
      <c r="S264" s="1" t="s">
        <v>41</v>
      </c>
      <c r="T264" s="1">
        <v>1</v>
      </c>
      <c r="U264" s="1"/>
      <c r="V264" s="1"/>
      <c r="W264" s="1"/>
      <c r="X264" s="1"/>
      <c r="Y264" s="1" t="s">
        <v>42</v>
      </c>
      <c r="Z264" s="1" t="s">
        <v>43</v>
      </c>
    </row>
    <row r="265" spans="1:26" ht="30" x14ac:dyDescent="0.25">
      <c r="A265" s="1">
        <v>2457148.8690999998</v>
      </c>
      <c r="B265" s="1" t="s">
        <v>79</v>
      </c>
      <c r="C265" s="1">
        <v>7.4470000000000001</v>
      </c>
      <c r="D265" s="1">
        <v>0.02</v>
      </c>
      <c r="E265" s="1" t="s">
        <v>34</v>
      </c>
      <c r="F265" s="1" t="s">
        <v>22</v>
      </c>
      <c r="G265" s="1" t="s">
        <v>36</v>
      </c>
      <c r="H265" s="1">
        <v>65</v>
      </c>
      <c r="I265" s="1">
        <v>94</v>
      </c>
      <c r="J265" s="1" t="s">
        <v>68</v>
      </c>
      <c r="K265" s="1"/>
      <c r="L265" s="1"/>
      <c r="M265" s="1" t="s">
        <v>40</v>
      </c>
      <c r="N265" s="1"/>
      <c r="O265" s="1">
        <v>6.4219999999999997</v>
      </c>
      <c r="P265" s="1">
        <v>9.4559999999999995</v>
      </c>
      <c r="Q265" s="1"/>
      <c r="R265" s="1"/>
      <c r="S265" s="1" t="s">
        <v>41</v>
      </c>
      <c r="T265" s="1">
        <v>1</v>
      </c>
      <c r="U265" s="1"/>
      <c r="V265" s="1"/>
      <c r="W265" s="1"/>
      <c r="X265" s="1"/>
      <c r="Y265" s="1" t="s">
        <v>42</v>
      </c>
      <c r="Z265" s="1" t="s">
        <v>43</v>
      </c>
    </row>
    <row r="266" spans="1:26" ht="30" x14ac:dyDescent="0.25">
      <c r="A266" s="1">
        <v>2457148.8799100001</v>
      </c>
      <c r="B266" s="1" t="s">
        <v>79</v>
      </c>
      <c r="C266" s="1">
        <v>7.5490000000000004</v>
      </c>
      <c r="D266" s="1">
        <v>0.02</v>
      </c>
      <c r="E266" s="1" t="s">
        <v>34</v>
      </c>
      <c r="F266" s="1" t="s">
        <v>22</v>
      </c>
      <c r="G266" s="1" t="s">
        <v>36</v>
      </c>
      <c r="H266" s="1">
        <v>65</v>
      </c>
      <c r="I266" s="1">
        <v>94</v>
      </c>
      <c r="J266" s="1" t="s">
        <v>68</v>
      </c>
      <c r="K266" s="1"/>
      <c r="L266" s="1"/>
      <c r="M266" s="1" t="s">
        <v>40</v>
      </c>
      <c r="N266" s="1"/>
      <c r="O266" s="1">
        <v>6.4219999999999997</v>
      </c>
      <c r="P266" s="1">
        <v>9.5570000000000004</v>
      </c>
      <c r="Q266" s="1"/>
      <c r="R266" s="1"/>
      <c r="S266" s="1" t="s">
        <v>41</v>
      </c>
      <c r="T266" s="1">
        <v>1</v>
      </c>
      <c r="U266" s="1"/>
      <c r="V266" s="1"/>
      <c r="W266" s="1"/>
      <c r="X266" s="1"/>
      <c r="Y266" s="1" t="s">
        <v>42</v>
      </c>
      <c r="Z266" s="1" t="s">
        <v>43</v>
      </c>
    </row>
    <row r="267" spans="1:26" ht="30" x14ac:dyDescent="0.25">
      <c r="A267" s="1">
        <v>2457148.8907300001</v>
      </c>
      <c r="B267" s="1" t="s">
        <v>79</v>
      </c>
      <c r="C267" s="1">
        <v>7.5570000000000004</v>
      </c>
      <c r="D267" s="1">
        <v>0.02</v>
      </c>
      <c r="E267" s="1" t="s">
        <v>34</v>
      </c>
      <c r="F267" s="1" t="s">
        <v>22</v>
      </c>
      <c r="G267" s="1" t="s">
        <v>36</v>
      </c>
      <c r="H267" s="1">
        <v>65</v>
      </c>
      <c r="I267" s="1">
        <v>94</v>
      </c>
      <c r="J267" s="1" t="s">
        <v>68</v>
      </c>
      <c r="K267" s="1"/>
      <c r="L267" s="1"/>
      <c r="M267" s="1" t="s">
        <v>40</v>
      </c>
      <c r="N267" s="1"/>
      <c r="O267" s="1">
        <v>6.4219999999999997</v>
      </c>
      <c r="P267" s="1">
        <v>9.5429999999999993</v>
      </c>
      <c r="Q267" s="1"/>
      <c r="R267" s="1"/>
      <c r="S267" s="1" t="s">
        <v>41</v>
      </c>
      <c r="T267" s="1">
        <v>1</v>
      </c>
      <c r="U267" s="1"/>
      <c r="V267" s="1"/>
      <c r="W267" s="1"/>
      <c r="X267" s="1"/>
      <c r="Y267" s="1" t="s">
        <v>42</v>
      </c>
      <c r="Z267" s="1" t="s">
        <v>43</v>
      </c>
    </row>
    <row r="268" spans="1:26" ht="30" x14ac:dyDescent="0.25">
      <c r="A268" s="1">
        <v>2457148.9014599998</v>
      </c>
      <c r="B268" s="1" t="s">
        <v>79</v>
      </c>
      <c r="C268" s="1">
        <v>7.46</v>
      </c>
      <c r="D268" s="1">
        <v>0.02</v>
      </c>
      <c r="E268" s="1" t="s">
        <v>34</v>
      </c>
      <c r="F268" s="1" t="s">
        <v>22</v>
      </c>
      <c r="G268" s="1" t="s">
        <v>36</v>
      </c>
      <c r="H268" s="1">
        <v>65</v>
      </c>
      <c r="I268" s="1">
        <v>94</v>
      </c>
      <c r="J268" s="1" t="s">
        <v>68</v>
      </c>
      <c r="K268" s="1"/>
      <c r="L268" s="1"/>
      <c r="M268" s="1" t="s">
        <v>40</v>
      </c>
      <c r="N268" s="1"/>
      <c r="O268" s="1">
        <v>6.4219999999999997</v>
      </c>
      <c r="P268" s="1">
        <v>9.5790000000000006</v>
      </c>
      <c r="Q268" s="1"/>
      <c r="R268" s="1"/>
      <c r="S268" s="1" t="s">
        <v>41</v>
      </c>
      <c r="T268" s="1">
        <v>1</v>
      </c>
      <c r="U268" s="1"/>
      <c r="V268" s="1"/>
      <c r="W268" s="1"/>
      <c r="X268" s="1"/>
      <c r="Y268" s="1" t="s">
        <v>42</v>
      </c>
      <c r="Z268" s="1" t="s">
        <v>43</v>
      </c>
    </row>
    <row r="269" spans="1:26" ht="30" x14ac:dyDescent="0.25">
      <c r="A269" s="1">
        <v>2457148.9122500001</v>
      </c>
      <c r="B269" s="1" t="s">
        <v>79</v>
      </c>
      <c r="C269" s="1">
        <v>7.5750000000000002</v>
      </c>
      <c r="D269" s="1">
        <v>0.02</v>
      </c>
      <c r="E269" s="1" t="s">
        <v>34</v>
      </c>
      <c r="F269" s="1" t="s">
        <v>22</v>
      </c>
      <c r="G269" s="1" t="s">
        <v>36</v>
      </c>
      <c r="H269" s="1">
        <v>65</v>
      </c>
      <c r="I269" s="1">
        <v>94</v>
      </c>
      <c r="J269" s="1" t="s">
        <v>68</v>
      </c>
      <c r="K269" s="1"/>
      <c r="L269" s="1"/>
      <c r="M269" s="1" t="s">
        <v>40</v>
      </c>
      <c r="N269" s="1"/>
      <c r="O269" s="1">
        <v>6.4219999999999997</v>
      </c>
      <c r="P269" s="1">
        <v>9.5749999999999993</v>
      </c>
      <c r="Q269" s="1"/>
      <c r="R269" s="1"/>
      <c r="S269" s="1" t="s">
        <v>41</v>
      </c>
      <c r="T269" s="1">
        <v>1</v>
      </c>
      <c r="U269" s="1"/>
      <c r="V269" s="1"/>
      <c r="W269" s="1"/>
      <c r="X269" s="1"/>
      <c r="Y269" s="1" t="s">
        <v>42</v>
      </c>
      <c r="Z269" s="1" t="s">
        <v>43</v>
      </c>
    </row>
    <row r="270" spans="1:26" ht="30" x14ac:dyDescent="0.25">
      <c r="A270" s="1">
        <v>2457148.9295800002</v>
      </c>
      <c r="B270" s="1" t="s">
        <v>79</v>
      </c>
      <c r="C270" s="1">
        <v>7.516</v>
      </c>
      <c r="D270" s="1">
        <v>0.02</v>
      </c>
      <c r="E270" s="1" t="s">
        <v>34</v>
      </c>
      <c r="F270" s="1" t="s">
        <v>22</v>
      </c>
      <c r="G270" s="1" t="s">
        <v>36</v>
      </c>
      <c r="H270" s="1">
        <v>65</v>
      </c>
      <c r="I270" s="1">
        <v>94</v>
      </c>
      <c r="J270" s="1" t="s">
        <v>68</v>
      </c>
      <c r="K270" s="1"/>
      <c r="L270" s="1"/>
      <c r="M270" s="1" t="s">
        <v>40</v>
      </c>
      <c r="N270" s="1"/>
      <c r="O270" s="1">
        <v>6.4219999999999997</v>
      </c>
      <c r="P270" s="1">
        <v>9.5530000000000008</v>
      </c>
      <c r="Q270" s="1"/>
      <c r="R270" s="1"/>
      <c r="S270" s="1" t="s">
        <v>41</v>
      </c>
      <c r="T270" s="1">
        <v>1</v>
      </c>
      <c r="U270" s="1"/>
      <c r="V270" s="1"/>
      <c r="W270" s="1"/>
      <c r="X270" s="1"/>
      <c r="Y270" s="1" t="s">
        <v>42</v>
      </c>
      <c r="Z270" s="1" t="s">
        <v>43</v>
      </c>
    </row>
    <row r="271" spans="1:26" ht="30" x14ac:dyDescent="0.25">
      <c r="A271" s="1">
        <v>2457149.8033400001</v>
      </c>
      <c r="B271" s="1" t="s">
        <v>80</v>
      </c>
      <c r="C271" s="1">
        <v>7.6870000000000003</v>
      </c>
      <c r="D271" s="1">
        <v>0.02</v>
      </c>
      <c r="E271" s="1" t="s">
        <v>34</v>
      </c>
      <c r="F271" s="1" t="s">
        <v>22</v>
      </c>
      <c r="G271" s="1" t="s">
        <v>36</v>
      </c>
      <c r="H271" s="1">
        <v>65</v>
      </c>
      <c r="I271" s="1">
        <v>94</v>
      </c>
      <c r="J271" s="1" t="s">
        <v>68</v>
      </c>
      <c r="K271" s="1"/>
      <c r="L271" s="1"/>
      <c r="M271" s="1" t="s">
        <v>40</v>
      </c>
      <c r="N271" s="1"/>
      <c r="O271" s="1">
        <v>6.4219999999999997</v>
      </c>
      <c r="P271" s="1">
        <v>9.5269999999999992</v>
      </c>
      <c r="Q271" s="1"/>
      <c r="R271" s="1"/>
      <c r="S271" s="1" t="s">
        <v>41</v>
      </c>
      <c r="T271" s="1">
        <v>1</v>
      </c>
      <c r="U271" s="1"/>
      <c r="V271" s="1"/>
      <c r="W271" s="1"/>
      <c r="X271" s="1"/>
      <c r="Y271" s="1" t="s">
        <v>42</v>
      </c>
      <c r="Z271" s="1" t="s">
        <v>43</v>
      </c>
    </row>
    <row r="272" spans="1:26" ht="30" x14ac:dyDescent="0.25">
      <c r="A272" s="1">
        <v>2457149.82002</v>
      </c>
      <c r="B272" s="1" t="s">
        <v>80</v>
      </c>
      <c r="C272" s="1">
        <v>7.6379999999999999</v>
      </c>
      <c r="D272" s="1">
        <v>0.02</v>
      </c>
      <c r="E272" s="1" t="s">
        <v>34</v>
      </c>
      <c r="F272" s="1" t="s">
        <v>22</v>
      </c>
      <c r="G272" s="1" t="s">
        <v>36</v>
      </c>
      <c r="H272" s="1">
        <v>65</v>
      </c>
      <c r="I272" s="1">
        <v>94</v>
      </c>
      <c r="J272" s="1" t="s">
        <v>68</v>
      </c>
      <c r="K272" s="1"/>
      <c r="L272" s="1"/>
      <c r="M272" s="1" t="s">
        <v>40</v>
      </c>
      <c r="N272" s="1"/>
      <c r="O272" s="1">
        <v>6.4219999999999997</v>
      </c>
      <c r="P272" s="1">
        <v>9.5060000000000002</v>
      </c>
      <c r="Q272" s="1"/>
      <c r="R272" s="1"/>
      <c r="S272" s="1" t="s">
        <v>41</v>
      </c>
      <c r="T272" s="1">
        <v>1</v>
      </c>
      <c r="U272" s="1"/>
      <c r="V272" s="1"/>
      <c r="W272" s="1"/>
      <c r="X272" s="1"/>
      <c r="Y272" s="1" t="s">
        <v>42</v>
      </c>
      <c r="Z272" s="1" t="s">
        <v>43</v>
      </c>
    </row>
    <row r="273" spans="1:26" ht="30" x14ac:dyDescent="0.25">
      <c r="A273" s="1">
        <v>2457149.8358800001</v>
      </c>
      <c r="B273" s="1" t="s">
        <v>80</v>
      </c>
      <c r="C273" s="1">
        <v>7.702</v>
      </c>
      <c r="D273" s="1">
        <v>0.02</v>
      </c>
      <c r="E273" s="1" t="s">
        <v>34</v>
      </c>
      <c r="F273" s="1" t="s">
        <v>22</v>
      </c>
      <c r="G273" s="1" t="s">
        <v>36</v>
      </c>
      <c r="H273" s="1">
        <v>65</v>
      </c>
      <c r="I273" s="1">
        <v>94</v>
      </c>
      <c r="J273" s="1" t="s">
        <v>68</v>
      </c>
      <c r="K273" s="1"/>
      <c r="L273" s="1"/>
      <c r="M273" s="1" t="s">
        <v>40</v>
      </c>
      <c r="N273" s="1"/>
      <c r="O273" s="1">
        <v>6.4219999999999997</v>
      </c>
      <c r="P273" s="1">
        <v>9.5440000000000005</v>
      </c>
      <c r="Q273" s="1"/>
      <c r="R273" s="1"/>
      <c r="S273" s="1" t="s">
        <v>41</v>
      </c>
      <c r="T273" s="1">
        <v>1</v>
      </c>
      <c r="U273" s="1"/>
      <c r="V273" s="1"/>
      <c r="W273" s="1"/>
      <c r="X273" s="1"/>
      <c r="Y273" s="1" t="s">
        <v>42</v>
      </c>
      <c r="Z273" s="1" t="s">
        <v>43</v>
      </c>
    </row>
    <row r="274" spans="1:26" ht="30" x14ac:dyDescent="0.25">
      <c r="A274" s="1">
        <v>2457149.8450699998</v>
      </c>
      <c r="B274" s="1" t="s">
        <v>80</v>
      </c>
      <c r="C274" s="1">
        <v>7.67</v>
      </c>
      <c r="D274" s="1">
        <v>0.02</v>
      </c>
      <c r="E274" s="1" t="s">
        <v>34</v>
      </c>
      <c r="F274" s="1" t="s">
        <v>22</v>
      </c>
      <c r="G274" s="1" t="s">
        <v>36</v>
      </c>
      <c r="H274" s="1">
        <v>65</v>
      </c>
      <c r="I274" s="1">
        <v>94</v>
      </c>
      <c r="J274" s="1" t="s">
        <v>68</v>
      </c>
      <c r="K274" s="1"/>
      <c r="L274" s="1"/>
      <c r="M274" s="1" t="s">
        <v>40</v>
      </c>
      <c r="N274" s="1"/>
      <c r="O274" s="1">
        <v>6.4219999999999997</v>
      </c>
      <c r="P274" s="1">
        <v>9.6069999999999993</v>
      </c>
      <c r="Q274" s="1"/>
      <c r="R274" s="1"/>
      <c r="S274" s="1" t="s">
        <v>41</v>
      </c>
      <c r="T274" s="1">
        <v>1</v>
      </c>
      <c r="U274" s="1"/>
      <c r="V274" s="1"/>
      <c r="W274" s="1"/>
      <c r="X274" s="1"/>
      <c r="Y274" s="1" t="s">
        <v>42</v>
      </c>
      <c r="Z274" s="1" t="s">
        <v>43</v>
      </c>
    </row>
    <row r="275" spans="1:26" ht="30" x14ac:dyDescent="0.25">
      <c r="A275" s="1">
        <v>2457149.8557699998</v>
      </c>
      <c r="B275" s="1" t="s">
        <v>80</v>
      </c>
      <c r="C275" s="1">
        <v>7.6479999999999997</v>
      </c>
      <c r="D275" s="1">
        <v>0.02</v>
      </c>
      <c r="E275" s="1" t="s">
        <v>34</v>
      </c>
      <c r="F275" s="1" t="s">
        <v>22</v>
      </c>
      <c r="G275" s="1" t="s">
        <v>36</v>
      </c>
      <c r="H275" s="1">
        <v>65</v>
      </c>
      <c r="I275" s="1">
        <v>94</v>
      </c>
      <c r="J275" s="1" t="s">
        <v>68</v>
      </c>
      <c r="K275" s="1"/>
      <c r="L275" s="1"/>
      <c r="M275" s="1" t="s">
        <v>40</v>
      </c>
      <c r="N275" s="1"/>
      <c r="O275" s="1">
        <v>6.4219999999999997</v>
      </c>
      <c r="P275" s="1">
        <v>9.5299999999999994</v>
      </c>
      <c r="Q275" s="1"/>
      <c r="R275" s="1"/>
      <c r="S275" s="1" t="s">
        <v>41</v>
      </c>
      <c r="T275" s="1">
        <v>1</v>
      </c>
      <c r="U275" s="1"/>
      <c r="V275" s="1"/>
      <c r="W275" s="1"/>
      <c r="X275" s="1"/>
      <c r="Y275" s="1" t="s">
        <v>42</v>
      </c>
      <c r="Z275" s="1" t="s">
        <v>43</v>
      </c>
    </row>
    <row r="276" spans="1:26" ht="30" x14ac:dyDescent="0.25">
      <c r="A276" s="1">
        <v>2457149.86644</v>
      </c>
      <c r="B276" s="1" t="s">
        <v>80</v>
      </c>
      <c r="C276" s="1">
        <v>7.5309999999999997</v>
      </c>
      <c r="D276" s="1">
        <v>0.02</v>
      </c>
      <c r="E276" s="1" t="s">
        <v>34</v>
      </c>
      <c r="F276" s="1" t="s">
        <v>22</v>
      </c>
      <c r="G276" s="1" t="s">
        <v>36</v>
      </c>
      <c r="H276" s="1">
        <v>65</v>
      </c>
      <c r="I276" s="1">
        <v>94</v>
      </c>
      <c r="J276" s="1" t="s">
        <v>68</v>
      </c>
      <c r="K276" s="1"/>
      <c r="L276" s="1"/>
      <c r="M276" s="1" t="s">
        <v>40</v>
      </c>
      <c r="N276" s="1"/>
      <c r="O276" s="1">
        <v>6.4219999999999997</v>
      </c>
      <c r="P276" s="1">
        <v>9.5299999999999994</v>
      </c>
      <c r="Q276" s="1"/>
      <c r="R276" s="1"/>
      <c r="S276" s="1" t="s">
        <v>41</v>
      </c>
      <c r="T276" s="1">
        <v>1</v>
      </c>
      <c r="U276" s="1"/>
      <c r="V276" s="1"/>
      <c r="W276" s="1"/>
      <c r="X276" s="1"/>
      <c r="Y276" s="1" t="s">
        <v>42</v>
      </c>
      <c r="Z276" s="1" t="s">
        <v>43</v>
      </c>
    </row>
    <row r="277" spans="1:26" ht="30" x14ac:dyDescent="0.25">
      <c r="A277" s="1">
        <v>2457149.8770499998</v>
      </c>
      <c r="B277" s="1" t="s">
        <v>80</v>
      </c>
      <c r="C277" s="1">
        <v>7.4020000000000001</v>
      </c>
      <c r="D277" s="1">
        <v>0.02</v>
      </c>
      <c r="E277" s="1" t="s">
        <v>34</v>
      </c>
      <c r="F277" s="1" t="s">
        <v>22</v>
      </c>
      <c r="G277" s="1" t="s">
        <v>36</v>
      </c>
      <c r="H277" s="1">
        <v>65</v>
      </c>
      <c r="I277" s="1">
        <v>94</v>
      </c>
      <c r="J277" s="1" t="s">
        <v>68</v>
      </c>
      <c r="K277" s="1"/>
      <c r="L277" s="1"/>
      <c r="M277" s="1" t="s">
        <v>40</v>
      </c>
      <c r="N277" s="1"/>
      <c r="O277" s="1">
        <v>6.4219999999999997</v>
      </c>
      <c r="P277" s="1">
        <v>9.5690000000000008</v>
      </c>
      <c r="Q277" s="1"/>
      <c r="R277" s="1"/>
      <c r="S277" s="1" t="s">
        <v>41</v>
      </c>
      <c r="T277" s="1">
        <v>1</v>
      </c>
      <c r="U277" s="1"/>
      <c r="V277" s="1"/>
      <c r="W277" s="1"/>
      <c r="X277" s="1"/>
      <c r="Y277" s="1" t="s">
        <v>42</v>
      </c>
      <c r="Z277" s="1" t="s">
        <v>43</v>
      </c>
    </row>
    <row r="278" spans="1:26" ht="30" x14ac:dyDescent="0.25">
      <c r="A278" s="1">
        <v>2457149.88778</v>
      </c>
      <c r="B278" s="1" t="s">
        <v>80</v>
      </c>
      <c r="C278" s="1">
        <v>7.5049999999999999</v>
      </c>
      <c r="D278" s="1">
        <v>0.02</v>
      </c>
      <c r="E278" s="1" t="s">
        <v>34</v>
      </c>
      <c r="F278" s="1" t="s">
        <v>22</v>
      </c>
      <c r="G278" s="1" t="s">
        <v>36</v>
      </c>
      <c r="H278" s="1">
        <v>65</v>
      </c>
      <c r="I278" s="1">
        <v>94</v>
      </c>
      <c r="J278" s="1" t="s">
        <v>68</v>
      </c>
      <c r="K278" s="1"/>
      <c r="L278" s="1"/>
      <c r="M278" s="1" t="s">
        <v>40</v>
      </c>
      <c r="N278" s="1"/>
      <c r="O278" s="1">
        <v>6.4219999999999997</v>
      </c>
      <c r="P278" s="1">
        <v>9.5760000000000005</v>
      </c>
      <c r="Q278" s="1"/>
      <c r="R278" s="1"/>
      <c r="S278" s="1" t="s">
        <v>41</v>
      </c>
      <c r="T278" s="1">
        <v>1</v>
      </c>
      <c r="U278" s="1"/>
      <c r="V278" s="1"/>
      <c r="W278" s="1"/>
      <c r="X278" s="1"/>
      <c r="Y278" s="1" t="s">
        <v>42</v>
      </c>
      <c r="Z278" s="1" t="s">
        <v>43</v>
      </c>
    </row>
    <row r="279" spans="1:26" ht="30" x14ac:dyDescent="0.25">
      <c r="A279" s="1">
        <v>2457149.8983800001</v>
      </c>
      <c r="B279" s="1" t="s">
        <v>80</v>
      </c>
      <c r="C279" s="1">
        <v>7.4420000000000002</v>
      </c>
      <c r="D279" s="1">
        <v>0.02</v>
      </c>
      <c r="E279" s="1" t="s">
        <v>34</v>
      </c>
      <c r="F279" s="1" t="s">
        <v>22</v>
      </c>
      <c r="G279" s="1" t="s">
        <v>36</v>
      </c>
      <c r="H279" s="1">
        <v>65</v>
      </c>
      <c r="I279" s="1">
        <v>94</v>
      </c>
      <c r="J279" s="1" t="s">
        <v>68</v>
      </c>
      <c r="K279" s="1"/>
      <c r="L279" s="1"/>
      <c r="M279" s="1" t="s">
        <v>40</v>
      </c>
      <c r="N279" s="1"/>
      <c r="O279" s="1">
        <v>6.4219999999999997</v>
      </c>
      <c r="P279" s="1">
        <v>9.5570000000000004</v>
      </c>
      <c r="Q279" s="1"/>
      <c r="R279" s="1"/>
      <c r="S279" s="1" t="s">
        <v>41</v>
      </c>
      <c r="T279" s="1">
        <v>1</v>
      </c>
      <c r="U279" s="1"/>
      <c r="V279" s="1"/>
      <c r="W279" s="1"/>
      <c r="X279" s="1"/>
      <c r="Y279" s="1" t="s">
        <v>42</v>
      </c>
      <c r="Z279" s="1" t="s">
        <v>43</v>
      </c>
    </row>
    <row r="280" spans="1:26" ht="30" x14ac:dyDescent="0.25">
      <c r="A280" s="1">
        <v>2457149.9090499999</v>
      </c>
      <c r="B280" s="1" t="s">
        <v>80</v>
      </c>
      <c r="C280" s="1">
        <v>7.1420000000000003</v>
      </c>
      <c r="D280" s="1">
        <v>0.02</v>
      </c>
      <c r="E280" s="1" t="s">
        <v>34</v>
      </c>
      <c r="F280" s="1" t="s">
        <v>22</v>
      </c>
      <c r="G280" s="1" t="s">
        <v>36</v>
      </c>
      <c r="H280" s="1">
        <v>65</v>
      </c>
      <c r="I280" s="1">
        <v>94</v>
      </c>
      <c r="J280" s="1" t="s">
        <v>68</v>
      </c>
      <c r="K280" s="1"/>
      <c r="L280" s="1"/>
      <c r="M280" s="1" t="s">
        <v>40</v>
      </c>
      <c r="N280" s="1"/>
      <c r="O280" s="1">
        <v>6.4219999999999997</v>
      </c>
      <c r="P280" s="1">
        <v>9.532</v>
      </c>
      <c r="Q280" s="1"/>
      <c r="R280" s="1"/>
      <c r="S280" s="1" t="s">
        <v>41</v>
      </c>
      <c r="T280" s="1">
        <v>1</v>
      </c>
      <c r="U280" s="1"/>
      <c r="V280" s="1"/>
      <c r="W280" s="1"/>
      <c r="X280" s="1"/>
      <c r="Y280" s="1" t="s">
        <v>42</v>
      </c>
      <c r="Z280" s="1" t="s">
        <v>43</v>
      </c>
    </row>
    <row r="281" spans="1:26" ht="30" x14ac:dyDescent="0.25">
      <c r="A281" s="1">
        <v>2457149.9262100002</v>
      </c>
      <c r="B281" s="1" t="s">
        <v>80</v>
      </c>
      <c r="C281" s="1">
        <v>7.42</v>
      </c>
      <c r="D281" s="1">
        <v>0.02</v>
      </c>
      <c r="E281" s="1" t="s">
        <v>34</v>
      </c>
      <c r="F281" s="1" t="s">
        <v>22</v>
      </c>
      <c r="G281" s="1" t="s">
        <v>36</v>
      </c>
      <c r="H281" s="1">
        <v>65</v>
      </c>
      <c r="I281" s="1">
        <v>94</v>
      </c>
      <c r="J281" s="1" t="s">
        <v>68</v>
      </c>
      <c r="K281" s="1"/>
      <c r="L281" s="1"/>
      <c r="M281" s="1" t="s">
        <v>40</v>
      </c>
      <c r="N281" s="1"/>
      <c r="O281" s="1">
        <v>6.4219999999999997</v>
      </c>
      <c r="P281" s="1">
        <v>9.4689999999999994</v>
      </c>
      <c r="Q281" s="1"/>
      <c r="R281" s="1"/>
      <c r="S281" s="1" t="s">
        <v>41</v>
      </c>
      <c r="T281" s="1">
        <v>1</v>
      </c>
      <c r="U281" s="1"/>
      <c r="V281" s="1"/>
      <c r="W281" s="1"/>
      <c r="X281" s="1"/>
      <c r="Y281" s="1" t="s">
        <v>42</v>
      </c>
      <c r="Z281" s="1" t="s">
        <v>43</v>
      </c>
    </row>
    <row r="282" spans="1:26" ht="30" x14ac:dyDescent="0.25">
      <c r="A282" s="1">
        <v>2457150.80418</v>
      </c>
      <c r="B282" s="1" t="s">
        <v>81</v>
      </c>
      <c r="C282" s="1">
        <v>7.8259999999999996</v>
      </c>
      <c r="D282" s="1">
        <v>0.02</v>
      </c>
      <c r="E282" s="1" t="s">
        <v>34</v>
      </c>
      <c r="F282" s="1" t="s">
        <v>22</v>
      </c>
      <c r="G282" s="1" t="s">
        <v>36</v>
      </c>
      <c r="H282" s="1">
        <v>65</v>
      </c>
      <c r="I282" s="1">
        <v>94</v>
      </c>
      <c r="J282" s="1" t="s">
        <v>68</v>
      </c>
      <c r="K282" s="1"/>
      <c r="L282" s="1"/>
      <c r="M282" s="1" t="s">
        <v>40</v>
      </c>
      <c r="N282" s="1"/>
      <c r="O282" s="1">
        <v>6.4219999999999997</v>
      </c>
      <c r="P282" s="1">
        <v>9.5670000000000002</v>
      </c>
      <c r="Q282" s="1"/>
      <c r="R282" s="1"/>
      <c r="S282" s="1" t="s">
        <v>41</v>
      </c>
      <c r="T282" s="1">
        <v>1</v>
      </c>
      <c r="U282" s="1"/>
      <c r="V282" s="1"/>
      <c r="W282" s="1"/>
      <c r="X282" s="1"/>
      <c r="Y282" s="1" t="s">
        <v>42</v>
      </c>
      <c r="Z282" s="1" t="s">
        <v>43</v>
      </c>
    </row>
    <row r="283" spans="1:26" ht="30" x14ac:dyDescent="0.25">
      <c r="A283" s="1">
        <v>2457150.81929</v>
      </c>
      <c r="B283" s="1" t="s">
        <v>81</v>
      </c>
      <c r="C283" s="1">
        <v>7.8170000000000002</v>
      </c>
      <c r="D283" s="1">
        <v>0.02</v>
      </c>
      <c r="E283" s="1" t="s">
        <v>34</v>
      </c>
      <c r="F283" s="1" t="s">
        <v>22</v>
      </c>
      <c r="G283" s="1" t="s">
        <v>36</v>
      </c>
      <c r="H283" s="1">
        <v>65</v>
      </c>
      <c r="I283" s="1">
        <v>94</v>
      </c>
      <c r="J283" s="1" t="s">
        <v>68</v>
      </c>
      <c r="K283" s="1"/>
      <c r="L283" s="1"/>
      <c r="M283" s="1" t="s">
        <v>40</v>
      </c>
      <c r="N283" s="1"/>
      <c r="O283" s="1">
        <v>6.4219999999999997</v>
      </c>
      <c r="P283" s="1">
        <v>9.4949999999999992</v>
      </c>
      <c r="Q283" s="1"/>
      <c r="R283" s="1"/>
      <c r="S283" s="1" t="s">
        <v>41</v>
      </c>
      <c r="T283" s="1">
        <v>1</v>
      </c>
      <c r="U283" s="1"/>
      <c r="V283" s="1"/>
      <c r="W283" s="1"/>
      <c r="X283" s="1"/>
      <c r="Y283" s="1" t="s">
        <v>42</v>
      </c>
      <c r="Z283" s="1" t="s">
        <v>43</v>
      </c>
    </row>
    <row r="284" spans="1:26" ht="30" x14ac:dyDescent="0.25">
      <c r="A284" s="1">
        <v>2457150.8358200002</v>
      </c>
      <c r="B284" s="1" t="s">
        <v>81</v>
      </c>
      <c r="C284" s="1">
        <v>7.8019999999999996</v>
      </c>
      <c r="D284" s="1">
        <v>0.02</v>
      </c>
      <c r="E284" s="1" t="s">
        <v>34</v>
      </c>
      <c r="F284" s="1" t="s">
        <v>22</v>
      </c>
      <c r="G284" s="1" t="s">
        <v>36</v>
      </c>
      <c r="H284" s="1">
        <v>65</v>
      </c>
      <c r="I284" s="1">
        <v>94</v>
      </c>
      <c r="J284" s="1" t="s">
        <v>68</v>
      </c>
      <c r="K284" s="1"/>
      <c r="L284" s="1"/>
      <c r="M284" s="1" t="s">
        <v>40</v>
      </c>
      <c r="N284" s="1"/>
      <c r="O284" s="1">
        <v>6.4219999999999997</v>
      </c>
      <c r="P284" s="1">
        <v>9.57</v>
      </c>
      <c r="Q284" s="1"/>
      <c r="R284" s="1"/>
      <c r="S284" s="1" t="s">
        <v>41</v>
      </c>
      <c r="T284" s="1">
        <v>1</v>
      </c>
      <c r="U284" s="1"/>
      <c r="V284" s="1"/>
      <c r="W284" s="1"/>
      <c r="X284" s="1"/>
      <c r="Y284" s="1" t="s">
        <v>42</v>
      </c>
      <c r="Z284" s="1" t="s">
        <v>43</v>
      </c>
    </row>
    <row r="285" spans="1:26" ht="30" x14ac:dyDescent="0.25">
      <c r="A285" s="1">
        <v>2457150.8413999998</v>
      </c>
      <c r="B285" s="1" t="s">
        <v>81</v>
      </c>
      <c r="C285" s="1">
        <v>7.7549999999999999</v>
      </c>
      <c r="D285" s="1">
        <v>0.02</v>
      </c>
      <c r="E285" s="1" t="s">
        <v>34</v>
      </c>
      <c r="F285" s="1" t="s">
        <v>22</v>
      </c>
      <c r="G285" s="1" t="s">
        <v>36</v>
      </c>
      <c r="H285" s="1">
        <v>65</v>
      </c>
      <c r="I285" s="1">
        <v>94</v>
      </c>
      <c r="J285" s="1" t="s">
        <v>68</v>
      </c>
      <c r="K285" s="1"/>
      <c r="L285" s="1"/>
      <c r="M285" s="1" t="s">
        <v>40</v>
      </c>
      <c r="N285" s="1"/>
      <c r="O285" s="1">
        <v>6.4219999999999997</v>
      </c>
      <c r="P285" s="1">
        <v>9.5440000000000005</v>
      </c>
      <c r="Q285" s="1"/>
      <c r="R285" s="1"/>
      <c r="S285" s="1" t="s">
        <v>41</v>
      </c>
      <c r="T285" s="1">
        <v>1</v>
      </c>
      <c r="U285" s="1"/>
      <c r="V285" s="1"/>
      <c r="W285" s="1"/>
      <c r="X285" s="1"/>
      <c r="Y285" s="1" t="s">
        <v>42</v>
      </c>
      <c r="Z285" s="1" t="s">
        <v>43</v>
      </c>
    </row>
    <row r="286" spans="1:26" ht="30" x14ac:dyDescent="0.25">
      <c r="A286" s="1">
        <v>2457150.85225</v>
      </c>
      <c r="B286" s="1" t="s">
        <v>81</v>
      </c>
      <c r="C286" s="1">
        <v>7.694</v>
      </c>
      <c r="D286" s="1">
        <v>0.02</v>
      </c>
      <c r="E286" s="1" t="s">
        <v>34</v>
      </c>
      <c r="F286" s="1" t="s">
        <v>22</v>
      </c>
      <c r="G286" s="1" t="s">
        <v>36</v>
      </c>
      <c r="H286" s="1">
        <v>65</v>
      </c>
      <c r="I286" s="1">
        <v>94</v>
      </c>
      <c r="J286" s="1" t="s">
        <v>68</v>
      </c>
      <c r="K286" s="1"/>
      <c r="L286" s="1"/>
      <c r="M286" s="1" t="s">
        <v>40</v>
      </c>
      <c r="N286" s="1"/>
      <c r="O286" s="1">
        <v>6.4219999999999997</v>
      </c>
      <c r="P286" s="1">
        <v>9.5500000000000007</v>
      </c>
      <c r="Q286" s="1"/>
      <c r="R286" s="1"/>
      <c r="S286" s="1" t="s">
        <v>41</v>
      </c>
      <c r="T286" s="1">
        <v>1</v>
      </c>
      <c r="U286" s="1"/>
      <c r="V286" s="1"/>
      <c r="W286" s="1"/>
      <c r="X286" s="1"/>
      <c r="Y286" s="1" t="s">
        <v>42</v>
      </c>
      <c r="Z286" s="1" t="s">
        <v>43</v>
      </c>
    </row>
    <row r="287" spans="1:26" ht="30" x14ac:dyDescent="0.25">
      <c r="A287" s="1">
        <v>2457150.86308</v>
      </c>
      <c r="B287" s="1" t="s">
        <v>81</v>
      </c>
      <c r="C287" s="1">
        <v>7.5289999999999999</v>
      </c>
      <c r="D287" s="1">
        <v>0.02</v>
      </c>
      <c r="E287" s="1" t="s">
        <v>34</v>
      </c>
      <c r="F287" s="1" t="s">
        <v>22</v>
      </c>
      <c r="G287" s="1" t="s">
        <v>36</v>
      </c>
      <c r="H287" s="1">
        <v>65</v>
      </c>
      <c r="I287" s="1">
        <v>94</v>
      </c>
      <c r="J287" s="1" t="s">
        <v>68</v>
      </c>
      <c r="K287" s="1"/>
      <c r="L287" s="1"/>
      <c r="M287" s="1" t="s">
        <v>40</v>
      </c>
      <c r="N287" s="1"/>
      <c r="O287" s="1">
        <v>6.4219999999999997</v>
      </c>
      <c r="P287" s="1">
        <v>9.5229999999999997</v>
      </c>
      <c r="Q287" s="1"/>
      <c r="R287" s="1"/>
      <c r="S287" s="1" t="s">
        <v>41</v>
      </c>
      <c r="T287" s="1">
        <v>1</v>
      </c>
      <c r="U287" s="1"/>
      <c r="V287" s="1"/>
      <c r="W287" s="1"/>
      <c r="X287" s="1"/>
      <c r="Y287" s="1" t="s">
        <v>42</v>
      </c>
      <c r="Z287" s="1" t="s">
        <v>43</v>
      </c>
    </row>
    <row r="288" spans="1:26" ht="30" x14ac:dyDescent="0.25">
      <c r="A288" s="1">
        <v>2457150.8739100001</v>
      </c>
      <c r="B288" s="1" t="s">
        <v>81</v>
      </c>
      <c r="C288" s="1">
        <v>7.7030000000000003</v>
      </c>
      <c r="D288" s="1">
        <v>0.02</v>
      </c>
      <c r="E288" s="1" t="s">
        <v>34</v>
      </c>
      <c r="F288" s="1" t="s">
        <v>22</v>
      </c>
      <c r="G288" s="1" t="s">
        <v>36</v>
      </c>
      <c r="H288" s="1">
        <v>65</v>
      </c>
      <c r="I288" s="1">
        <v>94</v>
      </c>
      <c r="J288" s="1" t="s">
        <v>68</v>
      </c>
      <c r="K288" s="1"/>
      <c r="L288" s="1"/>
      <c r="M288" s="1" t="s">
        <v>40</v>
      </c>
      <c r="N288" s="1"/>
      <c r="O288" s="1">
        <v>6.4219999999999997</v>
      </c>
      <c r="P288" s="1">
        <v>9.5579999999999998</v>
      </c>
      <c r="Q288" s="1"/>
      <c r="R288" s="1"/>
      <c r="S288" s="1" t="s">
        <v>41</v>
      </c>
      <c r="T288" s="1">
        <v>1</v>
      </c>
      <c r="U288" s="1"/>
      <c r="V288" s="1"/>
      <c r="W288" s="1"/>
      <c r="X288" s="1"/>
      <c r="Y288" s="1" t="s">
        <v>42</v>
      </c>
      <c r="Z288" s="1" t="s">
        <v>43</v>
      </c>
    </row>
    <row r="289" spans="1:26" ht="30" x14ac:dyDescent="0.25">
      <c r="A289" s="1">
        <v>2457150.8846700001</v>
      </c>
      <c r="B289" s="1" t="s">
        <v>81</v>
      </c>
      <c r="C289" s="1">
        <v>7.8470000000000004</v>
      </c>
      <c r="D289" s="1">
        <v>0.02</v>
      </c>
      <c r="E289" s="1" t="s">
        <v>34</v>
      </c>
      <c r="F289" s="1" t="s">
        <v>22</v>
      </c>
      <c r="G289" s="1" t="s">
        <v>36</v>
      </c>
      <c r="H289" s="1">
        <v>65</v>
      </c>
      <c r="I289" s="1">
        <v>94</v>
      </c>
      <c r="J289" s="1" t="s">
        <v>68</v>
      </c>
      <c r="K289" s="1"/>
      <c r="L289" s="1"/>
      <c r="M289" s="1" t="s">
        <v>40</v>
      </c>
      <c r="N289" s="1"/>
      <c r="O289" s="1">
        <v>6.4219999999999997</v>
      </c>
      <c r="P289" s="1">
        <v>9.5250000000000004</v>
      </c>
      <c r="Q289" s="1"/>
      <c r="R289" s="1"/>
      <c r="S289" s="1" t="s">
        <v>41</v>
      </c>
      <c r="T289" s="1">
        <v>1</v>
      </c>
      <c r="U289" s="1"/>
      <c r="V289" s="1"/>
      <c r="W289" s="1"/>
      <c r="X289" s="1"/>
      <c r="Y289" s="1" t="s">
        <v>42</v>
      </c>
      <c r="Z289" s="1" t="s">
        <v>43</v>
      </c>
    </row>
    <row r="290" spans="1:26" ht="30" x14ac:dyDescent="0.25">
      <c r="A290" s="1">
        <v>2457150.89543</v>
      </c>
      <c r="B290" s="1" t="s">
        <v>81</v>
      </c>
      <c r="C290" s="1">
        <v>7.9969999999999999</v>
      </c>
      <c r="D290" s="1">
        <v>0.02</v>
      </c>
      <c r="E290" s="1" t="s">
        <v>34</v>
      </c>
      <c r="F290" s="1" t="s">
        <v>22</v>
      </c>
      <c r="G290" s="1" t="s">
        <v>36</v>
      </c>
      <c r="H290" s="1">
        <v>65</v>
      </c>
      <c r="I290" s="1">
        <v>94</v>
      </c>
      <c r="J290" s="1" t="s">
        <v>68</v>
      </c>
      <c r="K290" s="1"/>
      <c r="L290" s="1"/>
      <c r="M290" s="1" t="s">
        <v>40</v>
      </c>
      <c r="N290" s="1"/>
      <c r="O290" s="1">
        <v>6.4219999999999997</v>
      </c>
      <c r="P290" s="1">
        <v>9.5980000000000008</v>
      </c>
      <c r="Q290" s="1"/>
      <c r="R290" s="1"/>
      <c r="S290" s="1" t="s">
        <v>41</v>
      </c>
      <c r="T290" s="1">
        <v>1</v>
      </c>
      <c r="U290" s="1"/>
      <c r="V290" s="1"/>
      <c r="W290" s="1"/>
      <c r="X290" s="1"/>
      <c r="Y290" s="1" t="s">
        <v>42</v>
      </c>
      <c r="Z290" s="1" t="s">
        <v>43</v>
      </c>
    </row>
    <row r="291" spans="1:26" ht="30" x14ac:dyDescent="0.25">
      <c r="A291" s="1">
        <v>2457150.9062100002</v>
      </c>
      <c r="B291" s="1" t="s">
        <v>81</v>
      </c>
      <c r="C291" s="1">
        <v>7.76</v>
      </c>
      <c r="D291" s="1">
        <v>0.02</v>
      </c>
      <c r="E291" s="1" t="s">
        <v>34</v>
      </c>
      <c r="F291" s="1" t="s">
        <v>22</v>
      </c>
      <c r="G291" s="1" t="s">
        <v>36</v>
      </c>
      <c r="H291" s="1">
        <v>65</v>
      </c>
      <c r="I291" s="1">
        <v>94</v>
      </c>
      <c r="J291" s="1" t="s">
        <v>68</v>
      </c>
      <c r="K291" s="1"/>
      <c r="L291" s="1"/>
      <c r="M291" s="1" t="s">
        <v>40</v>
      </c>
      <c r="N291" s="1"/>
      <c r="O291" s="1">
        <v>6.4219999999999997</v>
      </c>
      <c r="P291" s="1">
        <v>9.5410000000000004</v>
      </c>
      <c r="Q291" s="1"/>
      <c r="R291" s="1"/>
      <c r="S291" s="1" t="s">
        <v>41</v>
      </c>
      <c r="T291" s="1">
        <v>1</v>
      </c>
      <c r="U291" s="1"/>
      <c r="V291" s="1"/>
      <c r="W291" s="1"/>
      <c r="X291" s="1"/>
      <c r="Y291" s="1" t="s">
        <v>42</v>
      </c>
      <c r="Z291" s="1" t="s">
        <v>43</v>
      </c>
    </row>
    <row r="292" spans="1:26" ht="30" x14ac:dyDescent="0.25">
      <c r="A292" s="1">
        <v>2457150.9235499999</v>
      </c>
      <c r="B292" s="1" t="s">
        <v>81</v>
      </c>
      <c r="C292" s="1">
        <v>7.8150000000000004</v>
      </c>
      <c r="D292" s="1">
        <v>0.02</v>
      </c>
      <c r="E292" s="1" t="s">
        <v>34</v>
      </c>
      <c r="F292" s="1" t="s">
        <v>22</v>
      </c>
      <c r="G292" s="1" t="s">
        <v>36</v>
      </c>
      <c r="H292" s="1">
        <v>65</v>
      </c>
      <c r="I292" s="1">
        <v>94</v>
      </c>
      <c r="J292" s="1" t="s">
        <v>68</v>
      </c>
      <c r="K292" s="1"/>
      <c r="L292" s="1"/>
      <c r="M292" s="1" t="s">
        <v>40</v>
      </c>
      <c r="N292" s="1"/>
      <c r="O292" s="1">
        <v>6.4219999999999997</v>
      </c>
      <c r="P292" s="1">
        <v>9.5380000000000003</v>
      </c>
      <c r="Q292" s="1"/>
      <c r="R292" s="1"/>
      <c r="S292" s="1" t="s">
        <v>41</v>
      </c>
      <c r="T292" s="1">
        <v>1</v>
      </c>
      <c r="U292" s="1"/>
      <c r="V292" s="1"/>
      <c r="W292" s="1"/>
      <c r="X292" s="1"/>
      <c r="Y292" s="1" t="s">
        <v>42</v>
      </c>
      <c r="Z292" s="1" t="s">
        <v>43</v>
      </c>
    </row>
    <row r="293" spans="1:26" ht="30" x14ac:dyDescent="0.25">
      <c r="A293" s="1">
        <v>2457151.8043300002</v>
      </c>
      <c r="B293" s="1" t="s">
        <v>82</v>
      </c>
      <c r="C293" s="1">
        <v>7.7519999999999998</v>
      </c>
      <c r="D293" s="1">
        <v>0.02</v>
      </c>
      <c r="E293" s="1" t="s">
        <v>34</v>
      </c>
      <c r="F293" s="1" t="s">
        <v>22</v>
      </c>
      <c r="G293" s="1" t="s">
        <v>36</v>
      </c>
      <c r="H293" s="1">
        <v>65</v>
      </c>
      <c r="I293" s="1">
        <v>94</v>
      </c>
      <c r="J293" s="1" t="s">
        <v>68</v>
      </c>
      <c r="K293" s="1"/>
      <c r="L293" s="1"/>
      <c r="M293" s="1" t="s">
        <v>40</v>
      </c>
      <c r="N293" s="1"/>
      <c r="O293" s="1">
        <v>6.4219999999999997</v>
      </c>
      <c r="P293" s="1">
        <v>9.5489999999999995</v>
      </c>
      <c r="Q293" s="1"/>
      <c r="R293" s="1"/>
      <c r="S293" s="1" t="s">
        <v>41</v>
      </c>
      <c r="T293" s="1">
        <v>1</v>
      </c>
      <c r="U293" s="1"/>
      <c r="V293" s="1"/>
      <c r="W293" s="1"/>
      <c r="X293" s="1"/>
      <c r="Y293" s="1" t="s">
        <v>42</v>
      </c>
      <c r="Z293" s="1" t="s">
        <v>43</v>
      </c>
    </row>
    <row r="294" spans="1:26" ht="30" x14ac:dyDescent="0.25">
      <c r="A294" s="1">
        <v>2457151.8207200002</v>
      </c>
      <c r="B294" s="1" t="s">
        <v>82</v>
      </c>
      <c r="C294" s="1">
        <v>7.6719999999999997</v>
      </c>
      <c r="D294" s="1">
        <v>0.02</v>
      </c>
      <c r="E294" s="1" t="s">
        <v>34</v>
      </c>
      <c r="F294" s="1" t="s">
        <v>22</v>
      </c>
      <c r="G294" s="1" t="s">
        <v>36</v>
      </c>
      <c r="H294" s="1">
        <v>65</v>
      </c>
      <c r="I294" s="1">
        <v>94</v>
      </c>
      <c r="J294" s="1" t="s">
        <v>68</v>
      </c>
      <c r="K294" s="1"/>
      <c r="L294" s="1"/>
      <c r="M294" s="1" t="s">
        <v>40</v>
      </c>
      <c r="N294" s="1"/>
      <c r="O294" s="1">
        <v>6.4219999999999997</v>
      </c>
      <c r="P294" s="1">
        <v>9.5619999999999994</v>
      </c>
      <c r="Q294" s="1"/>
      <c r="R294" s="1"/>
      <c r="S294" s="1" t="s">
        <v>41</v>
      </c>
      <c r="T294" s="1">
        <v>1</v>
      </c>
      <c r="U294" s="1"/>
      <c r="V294" s="1"/>
      <c r="W294" s="1"/>
      <c r="X294" s="1"/>
      <c r="Y294" s="1" t="s">
        <v>42</v>
      </c>
      <c r="Z294" s="1" t="s">
        <v>43</v>
      </c>
    </row>
    <row r="295" spans="1:26" ht="30" x14ac:dyDescent="0.25">
      <c r="A295" s="1">
        <v>2457151.8371199998</v>
      </c>
      <c r="B295" s="1" t="s">
        <v>82</v>
      </c>
      <c r="C295" s="1">
        <v>7.6360000000000001</v>
      </c>
      <c r="D295" s="1">
        <v>0.02</v>
      </c>
      <c r="E295" s="1" t="s">
        <v>34</v>
      </c>
      <c r="F295" s="1" t="s">
        <v>22</v>
      </c>
      <c r="G295" s="1" t="s">
        <v>36</v>
      </c>
      <c r="H295" s="1">
        <v>65</v>
      </c>
      <c r="I295" s="1">
        <v>94</v>
      </c>
      <c r="J295" s="1" t="s">
        <v>68</v>
      </c>
      <c r="K295" s="1"/>
      <c r="L295" s="1"/>
      <c r="M295" s="1" t="s">
        <v>40</v>
      </c>
      <c r="N295" s="1"/>
      <c r="O295" s="1">
        <v>6.4219999999999997</v>
      </c>
      <c r="P295" s="1">
        <v>9.5649999999999995</v>
      </c>
      <c r="Q295" s="1"/>
      <c r="R295" s="1"/>
      <c r="S295" s="1" t="s">
        <v>41</v>
      </c>
      <c r="T295" s="1">
        <v>1</v>
      </c>
      <c r="U295" s="1"/>
      <c r="V295" s="1"/>
      <c r="W295" s="1"/>
      <c r="X295" s="1"/>
      <c r="Y295" s="1" t="s">
        <v>42</v>
      </c>
      <c r="Z295" s="1" t="s">
        <v>43</v>
      </c>
    </row>
    <row r="296" spans="1:26" ht="30" x14ac:dyDescent="0.25">
      <c r="A296" s="1">
        <v>2457151.8506100001</v>
      </c>
      <c r="B296" s="1" t="s">
        <v>82</v>
      </c>
      <c r="C296" s="1">
        <v>7.7530000000000001</v>
      </c>
      <c r="D296" s="1">
        <v>0.02</v>
      </c>
      <c r="E296" s="1" t="s">
        <v>34</v>
      </c>
      <c r="F296" s="1" t="s">
        <v>22</v>
      </c>
      <c r="G296" s="1" t="s">
        <v>36</v>
      </c>
      <c r="H296" s="1">
        <v>65</v>
      </c>
      <c r="I296" s="1">
        <v>94</v>
      </c>
      <c r="J296" s="1" t="s">
        <v>68</v>
      </c>
      <c r="K296" s="1"/>
      <c r="L296" s="1"/>
      <c r="M296" s="1" t="s">
        <v>40</v>
      </c>
      <c r="N296" s="1"/>
      <c r="O296" s="1">
        <v>6.4219999999999997</v>
      </c>
      <c r="P296" s="1">
        <v>9.5419999999999998</v>
      </c>
      <c r="Q296" s="1"/>
      <c r="R296" s="1"/>
      <c r="S296" s="1" t="s">
        <v>41</v>
      </c>
      <c r="T296" s="1">
        <v>1</v>
      </c>
      <c r="U296" s="1"/>
      <c r="V296" s="1"/>
      <c r="W296" s="1"/>
      <c r="X296" s="1"/>
      <c r="Y296" s="1" t="s">
        <v>42</v>
      </c>
      <c r="Z296" s="1" t="s">
        <v>43</v>
      </c>
    </row>
    <row r="297" spans="1:26" ht="30" x14ac:dyDescent="0.25">
      <c r="A297" s="1">
        <v>2457151.8613999998</v>
      </c>
      <c r="B297" s="1" t="s">
        <v>82</v>
      </c>
      <c r="C297" s="1">
        <v>7.7329999999999997</v>
      </c>
      <c r="D297" s="1">
        <v>0.02</v>
      </c>
      <c r="E297" s="1" t="s">
        <v>34</v>
      </c>
      <c r="F297" s="1" t="s">
        <v>22</v>
      </c>
      <c r="G297" s="1" t="s">
        <v>36</v>
      </c>
      <c r="H297" s="1">
        <v>65</v>
      </c>
      <c r="I297" s="1">
        <v>94</v>
      </c>
      <c r="J297" s="1" t="s">
        <v>68</v>
      </c>
      <c r="K297" s="1"/>
      <c r="L297" s="1"/>
      <c r="M297" s="1" t="s">
        <v>40</v>
      </c>
      <c r="N297" s="1"/>
      <c r="O297" s="1">
        <v>6.4219999999999997</v>
      </c>
      <c r="P297" s="1">
        <v>9.5519999999999996</v>
      </c>
      <c r="Q297" s="1"/>
      <c r="R297" s="1"/>
      <c r="S297" s="1" t="s">
        <v>41</v>
      </c>
      <c r="T297" s="1">
        <v>1</v>
      </c>
      <c r="U297" s="1"/>
      <c r="V297" s="1"/>
      <c r="W297" s="1"/>
      <c r="X297" s="1"/>
      <c r="Y297" s="1" t="s">
        <v>42</v>
      </c>
      <c r="Z297" s="1" t="s">
        <v>43</v>
      </c>
    </row>
    <row r="298" spans="1:26" ht="30" x14ac:dyDescent="0.25">
      <c r="A298" s="1">
        <v>2457151.8721699999</v>
      </c>
      <c r="B298" s="1" t="s">
        <v>82</v>
      </c>
      <c r="C298" s="1">
        <v>7.7160000000000002</v>
      </c>
      <c r="D298" s="1">
        <v>0.02</v>
      </c>
      <c r="E298" s="1" t="s">
        <v>34</v>
      </c>
      <c r="F298" s="1" t="s">
        <v>22</v>
      </c>
      <c r="G298" s="1" t="s">
        <v>36</v>
      </c>
      <c r="H298" s="1">
        <v>65</v>
      </c>
      <c r="I298" s="1">
        <v>94</v>
      </c>
      <c r="J298" s="1" t="s">
        <v>68</v>
      </c>
      <c r="K298" s="1"/>
      <c r="L298" s="1"/>
      <c r="M298" s="1" t="s">
        <v>40</v>
      </c>
      <c r="N298" s="1"/>
      <c r="O298" s="1">
        <v>6.4219999999999997</v>
      </c>
      <c r="P298" s="1">
        <v>9.5519999999999996</v>
      </c>
      <c r="Q298" s="1"/>
      <c r="R298" s="1"/>
      <c r="S298" s="1" t="s">
        <v>41</v>
      </c>
      <c r="T298" s="1">
        <v>1</v>
      </c>
      <c r="U298" s="1"/>
      <c r="V298" s="1"/>
      <c r="W298" s="1"/>
      <c r="X298" s="1"/>
      <c r="Y298" s="1" t="s">
        <v>42</v>
      </c>
      <c r="Z298" s="1" t="s">
        <v>43</v>
      </c>
    </row>
    <row r="299" spans="1:26" ht="30" x14ac:dyDescent="0.25">
      <c r="A299" s="1">
        <v>2457151.8829700002</v>
      </c>
      <c r="B299" s="1" t="s">
        <v>82</v>
      </c>
      <c r="C299" s="1">
        <v>7.7050000000000001</v>
      </c>
      <c r="D299" s="1">
        <v>0.02</v>
      </c>
      <c r="E299" s="1" t="s">
        <v>34</v>
      </c>
      <c r="F299" s="1" t="s">
        <v>22</v>
      </c>
      <c r="G299" s="1" t="s">
        <v>36</v>
      </c>
      <c r="H299" s="1">
        <v>65</v>
      </c>
      <c r="I299" s="1">
        <v>94</v>
      </c>
      <c r="J299" s="1" t="s">
        <v>68</v>
      </c>
      <c r="K299" s="1"/>
      <c r="L299" s="1"/>
      <c r="M299" s="1" t="s">
        <v>40</v>
      </c>
      <c r="N299" s="1"/>
      <c r="O299" s="1">
        <v>6.4219999999999997</v>
      </c>
      <c r="P299" s="1">
        <v>9.5370000000000008</v>
      </c>
      <c r="Q299" s="1"/>
      <c r="R299" s="1"/>
      <c r="S299" s="1" t="s">
        <v>41</v>
      </c>
      <c r="T299" s="1">
        <v>1</v>
      </c>
      <c r="U299" s="1"/>
      <c r="V299" s="1"/>
      <c r="W299" s="1"/>
      <c r="X299" s="1"/>
      <c r="Y299" s="1" t="s">
        <v>42</v>
      </c>
      <c r="Z299" s="1" t="s">
        <v>43</v>
      </c>
    </row>
    <row r="300" spans="1:26" ht="30" x14ac:dyDescent="0.25">
      <c r="A300" s="1">
        <v>2457151.8938099998</v>
      </c>
      <c r="B300" s="1" t="s">
        <v>82</v>
      </c>
      <c r="C300" s="1">
        <v>7.4770000000000003</v>
      </c>
      <c r="D300" s="1">
        <v>0.02</v>
      </c>
      <c r="E300" s="1" t="s">
        <v>34</v>
      </c>
      <c r="F300" s="1" t="s">
        <v>22</v>
      </c>
      <c r="G300" s="1" t="s">
        <v>36</v>
      </c>
      <c r="H300" s="1">
        <v>65</v>
      </c>
      <c r="I300" s="1">
        <v>94</v>
      </c>
      <c r="J300" s="1" t="s">
        <v>68</v>
      </c>
      <c r="K300" s="1"/>
      <c r="L300" s="1"/>
      <c r="M300" s="1" t="s">
        <v>40</v>
      </c>
      <c r="N300" s="1"/>
      <c r="O300" s="1">
        <v>6.4219999999999997</v>
      </c>
      <c r="P300" s="1">
        <v>9.5679999999999996</v>
      </c>
      <c r="Q300" s="1"/>
      <c r="R300" s="1"/>
      <c r="S300" s="1" t="s">
        <v>41</v>
      </c>
      <c r="T300" s="1">
        <v>1</v>
      </c>
      <c r="U300" s="1"/>
      <c r="V300" s="1"/>
      <c r="W300" s="1"/>
      <c r="X300" s="1"/>
      <c r="Y300" s="1" t="s">
        <v>42</v>
      </c>
      <c r="Z300" s="1" t="s">
        <v>43</v>
      </c>
    </row>
    <row r="301" spans="1:26" ht="30" x14ac:dyDescent="0.25">
      <c r="A301" s="1">
        <v>2457151.9046200002</v>
      </c>
      <c r="B301" s="1" t="s">
        <v>82</v>
      </c>
      <c r="C301" s="1">
        <v>7.6390000000000002</v>
      </c>
      <c r="D301" s="1">
        <v>0.02</v>
      </c>
      <c r="E301" s="1" t="s">
        <v>34</v>
      </c>
      <c r="F301" s="1" t="s">
        <v>22</v>
      </c>
      <c r="G301" s="1" t="s">
        <v>36</v>
      </c>
      <c r="H301" s="1">
        <v>65</v>
      </c>
      <c r="I301" s="1">
        <v>94</v>
      </c>
      <c r="J301" s="1" t="s">
        <v>68</v>
      </c>
      <c r="K301" s="1"/>
      <c r="L301" s="1"/>
      <c r="M301" s="1" t="s">
        <v>40</v>
      </c>
      <c r="N301" s="1"/>
      <c r="O301" s="1">
        <v>6.4219999999999997</v>
      </c>
      <c r="P301" s="1">
        <v>9.5470000000000006</v>
      </c>
      <c r="Q301" s="1"/>
      <c r="R301" s="1"/>
      <c r="S301" s="1" t="s">
        <v>41</v>
      </c>
      <c r="T301" s="1">
        <v>1</v>
      </c>
      <c r="U301" s="1"/>
      <c r="V301" s="1"/>
      <c r="W301" s="1"/>
      <c r="X301" s="1"/>
      <c r="Y301" s="1" t="s">
        <v>42</v>
      </c>
      <c r="Z301" s="1" t="s">
        <v>43</v>
      </c>
    </row>
    <row r="302" spans="1:26" ht="30" x14ac:dyDescent="0.25">
      <c r="A302" s="1">
        <v>2457151.92197</v>
      </c>
      <c r="B302" s="1" t="s">
        <v>82</v>
      </c>
      <c r="C302" s="1">
        <v>7.5510000000000002</v>
      </c>
      <c r="D302" s="1">
        <v>0.02</v>
      </c>
      <c r="E302" s="1" t="s">
        <v>34</v>
      </c>
      <c r="F302" s="1" t="s">
        <v>22</v>
      </c>
      <c r="G302" s="1" t="s">
        <v>36</v>
      </c>
      <c r="H302" s="1">
        <v>65</v>
      </c>
      <c r="I302" s="1">
        <v>94</v>
      </c>
      <c r="J302" s="1" t="s">
        <v>68</v>
      </c>
      <c r="K302" s="1"/>
      <c r="L302" s="1"/>
      <c r="M302" s="1" t="s">
        <v>40</v>
      </c>
      <c r="N302" s="1"/>
      <c r="O302" s="1">
        <v>6.4219999999999997</v>
      </c>
      <c r="P302" s="1">
        <v>9.5359999999999996</v>
      </c>
      <c r="Q302" s="1"/>
      <c r="R302" s="1"/>
      <c r="S302" s="1" t="s">
        <v>41</v>
      </c>
      <c r="T302" s="1">
        <v>1</v>
      </c>
      <c r="U302" s="1"/>
      <c r="V302" s="1"/>
      <c r="W302" s="1"/>
      <c r="X302" s="1"/>
      <c r="Y302" s="1" t="s">
        <v>42</v>
      </c>
      <c r="Z302" s="1" t="s">
        <v>43</v>
      </c>
    </row>
    <row r="303" spans="1:26" ht="30" x14ac:dyDescent="0.25">
      <c r="A303" s="1">
        <v>2457151.9393199999</v>
      </c>
      <c r="B303" s="1" t="s">
        <v>82</v>
      </c>
      <c r="C303" s="1">
        <v>7.673</v>
      </c>
      <c r="D303" s="1">
        <v>0.02</v>
      </c>
      <c r="E303" s="1" t="s">
        <v>34</v>
      </c>
      <c r="F303" s="1" t="s">
        <v>22</v>
      </c>
      <c r="G303" s="1" t="s">
        <v>36</v>
      </c>
      <c r="H303" s="1">
        <v>65</v>
      </c>
      <c r="I303" s="1">
        <v>94</v>
      </c>
      <c r="J303" s="1" t="s">
        <v>68</v>
      </c>
      <c r="K303" s="1"/>
      <c r="L303" s="1"/>
      <c r="M303" s="1" t="s">
        <v>40</v>
      </c>
      <c r="N303" s="1"/>
      <c r="O303" s="1">
        <v>6.4219999999999997</v>
      </c>
      <c r="P303" s="1">
        <v>9.5660000000000007</v>
      </c>
      <c r="Q303" s="1"/>
      <c r="R303" s="1"/>
      <c r="S303" s="1" t="s">
        <v>41</v>
      </c>
      <c r="T303" s="1">
        <v>1</v>
      </c>
      <c r="U303" s="1"/>
      <c r="V303" s="1"/>
      <c r="W303" s="1"/>
      <c r="X303" s="1"/>
      <c r="Y303" s="1" t="s">
        <v>42</v>
      </c>
      <c r="Z303" s="1" t="s">
        <v>43</v>
      </c>
    </row>
    <row r="304" spans="1:26" ht="30" x14ac:dyDescent="0.25">
      <c r="A304" s="1">
        <v>2457152.7951799999</v>
      </c>
      <c r="B304" s="1" t="s">
        <v>83</v>
      </c>
      <c r="C304" s="1">
        <v>7.8940000000000001</v>
      </c>
      <c r="D304" s="1">
        <v>0.02</v>
      </c>
      <c r="E304" s="1" t="s">
        <v>34</v>
      </c>
      <c r="F304" s="1" t="s">
        <v>22</v>
      </c>
      <c r="G304" s="1" t="s">
        <v>36</v>
      </c>
      <c r="H304" s="1">
        <v>65</v>
      </c>
      <c r="I304" s="1">
        <v>94</v>
      </c>
      <c r="J304" s="1" t="s">
        <v>68</v>
      </c>
      <c r="K304" s="1"/>
      <c r="L304" s="1"/>
      <c r="M304" s="1" t="s">
        <v>40</v>
      </c>
      <c r="N304" s="1"/>
      <c r="O304" s="1">
        <v>6.4219999999999997</v>
      </c>
      <c r="P304" s="1">
        <v>9.5259999999999998</v>
      </c>
      <c r="Q304" s="1"/>
      <c r="R304" s="1"/>
      <c r="S304" s="1" t="s">
        <v>41</v>
      </c>
      <c r="T304" s="1">
        <v>1</v>
      </c>
      <c r="U304" s="1"/>
      <c r="V304" s="1"/>
      <c r="W304" s="1"/>
      <c r="X304" s="1"/>
      <c r="Y304" s="1" t="s">
        <v>42</v>
      </c>
      <c r="Z304" s="1" t="s">
        <v>43</v>
      </c>
    </row>
    <row r="305" spans="1:26" ht="30" x14ac:dyDescent="0.25">
      <c r="A305" s="1">
        <v>2457152.8119299999</v>
      </c>
      <c r="B305" s="1" t="s">
        <v>83</v>
      </c>
      <c r="C305" s="1">
        <v>7.91</v>
      </c>
      <c r="D305" s="1">
        <v>0.02</v>
      </c>
      <c r="E305" s="1" t="s">
        <v>34</v>
      </c>
      <c r="F305" s="1" t="s">
        <v>22</v>
      </c>
      <c r="G305" s="1" t="s">
        <v>36</v>
      </c>
      <c r="H305" s="1">
        <v>65</v>
      </c>
      <c r="I305" s="1">
        <v>94</v>
      </c>
      <c r="J305" s="1" t="s">
        <v>68</v>
      </c>
      <c r="K305" s="1"/>
      <c r="L305" s="1"/>
      <c r="M305" s="1" t="s">
        <v>40</v>
      </c>
      <c r="N305" s="1"/>
      <c r="O305" s="1">
        <v>6.4219999999999997</v>
      </c>
      <c r="P305" s="1">
        <v>9.5589999999999993</v>
      </c>
      <c r="Q305" s="1"/>
      <c r="R305" s="1"/>
      <c r="S305" s="1" t="s">
        <v>41</v>
      </c>
      <c r="T305" s="1">
        <v>1</v>
      </c>
      <c r="U305" s="1"/>
      <c r="V305" s="1"/>
      <c r="W305" s="1"/>
      <c r="X305" s="1"/>
      <c r="Y305" s="1" t="s">
        <v>42</v>
      </c>
      <c r="Z305" s="1" t="s">
        <v>43</v>
      </c>
    </row>
    <row r="306" spans="1:26" ht="30" x14ac:dyDescent="0.25">
      <c r="A306" s="1">
        <v>2457152.8283199999</v>
      </c>
      <c r="B306" s="1" t="s">
        <v>83</v>
      </c>
      <c r="C306" s="1">
        <v>7.7549999999999999</v>
      </c>
      <c r="D306" s="1">
        <v>0.02</v>
      </c>
      <c r="E306" s="1" t="s">
        <v>34</v>
      </c>
      <c r="F306" s="1" t="s">
        <v>22</v>
      </c>
      <c r="G306" s="1" t="s">
        <v>36</v>
      </c>
      <c r="H306" s="1">
        <v>65</v>
      </c>
      <c r="I306" s="1">
        <v>94</v>
      </c>
      <c r="J306" s="1" t="s">
        <v>68</v>
      </c>
      <c r="K306" s="1"/>
      <c r="L306" s="1"/>
      <c r="M306" s="1" t="s">
        <v>40</v>
      </c>
      <c r="N306" s="1"/>
      <c r="O306" s="1">
        <v>6.4219999999999997</v>
      </c>
      <c r="P306" s="1">
        <v>9.548</v>
      </c>
      <c r="Q306" s="1"/>
      <c r="R306" s="1"/>
      <c r="S306" s="1" t="s">
        <v>41</v>
      </c>
      <c r="T306" s="1">
        <v>1</v>
      </c>
      <c r="U306" s="1"/>
      <c r="V306" s="1"/>
      <c r="W306" s="1"/>
      <c r="X306" s="1"/>
      <c r="Y306" s="1" t="s">
        <v>42</v>
      </c>
      <c r="Z306" s="1" t="s">
        <v>43</v>
      </c>
    </row>
    <row r="307" spans="1:26" ht="30" x14ac:dyDescent="0.25">
      <c r="A307" s="1">
        <v>2457152.8365699998</v>
      </c>
      <c r="B307" s="1" t="s">
        <v>83</v>
      </c>
      <c r="C307" s="1">
        <v>7.8630000000000004</v>
      </c>
      <c r="D307" s="1">
        <v>0.02</v>
      </c>
      <c r="E307" s="1" t="s">
        <v>34</v>
      </c>
      <c r="F307" s="1" t="s">
        <v>22</v>
      </c>
      <c r="G307" s="1" t="s">
        <v>36</v>
      </c>
      <c r="H307" s="1">
        <v>65</v>
      </c>
      <c r="I307" s="1">
        <v>94</v>
      </c>
      <c r="J307" s="1" t="s">
        <v>68</v>
      </c>
      <c r="K307" s="1"/>
      <c r="L307" s="1"/>
      <c r="M307" s="1" t="s">
        <v>40</v>
      </c>
      <c r="N307" s="1"/>
      <c r="O307" s="1">
        <v>6.4219999999999997</v>
      </c>
      <c r="P307" s="1">
        <v>9.5269999999999992</v>
      </c>
      <c r="Q307" s="1"/>
      <c r="R307" s="1"/>
      <c r="S307" s="1" t="s">
        <v>41</v>
      </c>
      <c r="T307" s="1">
        <v>1</v>
      </c>
      <c r="U307" s="1"/>
      <c r="V307" s="1"/>
      <c r="W307" s="1"/>
      <c r="X307" s="1"/>
      <c r="Y307" s="1" t="s">
        <v>42</v>
      </c>
      <c r="Z307" s="1" t="s">
        <v>43</v>
      </c>
    </row>
    <row r="308" spans="1:26" ht="30" x14ac:dyDescent="0.25">
      <c r="A308" s="1">
        <v>2457152.8473399999</v>
      </c>
      <c r="B308" s="1" t="s">
        <v>83</v>
      </c>
      <c r="C308" s="1">
        <v>7.742</v>
      </c>
      <c r="D308" s="1">
        <v>0.02</v>
      </c>
      <c r="E308" s="1" t="s">
        <v>34</v>
      </c>
      <c r="F308" s="1" t="s">
        <v>22</v>
      </c>
      <c r="G308" s="1" t="s">
        <v>36</v>
      </c>
      <c r="H308" s="1">
        <v>65</v>
      </c>
      <c r="I308" s="1">
        <v>94</v>
      </c>
      <c r="J308" s="1" t="s">
        <v>68</v>
      </c>
      <c r="K308" s="1"/>
      <c r="L308" s="1"/>
      <c r="M308" s="1" t="s">
        <v>40</v>
      </c>
      <c r="N308" s="1"/>
      <c r="O308" s="1">
        <v>6.4219999999999997</v>
      </c>
      <c r="P308" s="1">
        <v>9.5359999999999996</v>
      </c>
      <c r="Q308" s="1"/>
      <c r="R308" s="1"/>
      <c r="S308" s="1" t="s">
        <v>41</v>
      </c>
      <c r="T308" s="1">
        <v>1</v>
      </c>
      <c r="U308" s="1"/>
      <c r="V308" s="1"/>
      <c r="W308" s="1"/>
      <c r="X308" s="1"/>
      <c r="Y308" s="1" t="s">
        <v>42</v>
      </c>
      <c r="Z308" s="1" t="s">
        <v>43</v>
      </c>
    </row>
    <row r="309" spans="1:26" ht="30" x14ac:dyDescent="0.25">
      <c r="A309" s="1">
        <v>2457152.8581500002</v>
      </c>
      <c r="B309" s="1" t="s">
        <v>83</v>
      </c>
      <c r="C309" s="1">
        <v>7.8979999999999997</v>
      </c>
      <c r="D309" s="1">
        <v>0.02</v>
      </c>
      <c r="E309" s="1" t="s">
        <v>34</v>
      </c>
      <c r="F309" s="1" t="s">
        <v>22</v>
      </c>
      <c r="G309" s="1" t="s">
        <v>36</v>
      </c>
      <c r="H309" s="1">
        <v>65</v>
      </c>
      <c r="I309" s="1">
        <v>94</v>
      </c>
      <c r="J309" s="1" t="s">
        <v>68</v>
      </c>
      <c r="K309" s="1"/>
      <c r="L309" s="1"/>
      <c r="M309" s="1" t="s">
        <v>40</v>
      </c>
      <c r="N309" s="1"/>
      <c r="O309" s="1">
        <v>6.4219999999999997</v>
      </c>
      <c r="P309" s="1">
        <v>9.5489999999999995</v>
      </c>
      <c r="Q309" s="1"/>
      <c r="R309" s="1"/>
      <c r="S309" s="1" t="s">
        <v>41</v>
      </c>
      <c r="T309" s="1">
        <v>1</v>
      </c>
      <c r="U309" s="1"/>
      <c r="V309" s="1"/>
      <c r="W309" s="1"/>
      <c r="X309" s="1"/>
      <c r="Y309" s="1" t="s">
        <v>42</v>
      </c>
      <c r="Z309" s="1" t="s">
        <v>43</v>
      </c>
    </row>
    <row r="310" spans="1:26" ht="30" x14ac:dyDescent="0.25">
      <c r="A310" s="1">
        <v>2457152.8689199998</v>
      </c>
      <c r="B310" s="1" t="s">
        <v>83</v>
      </c>
      <c r="C310" s="1">
        <v>7.9589999999999996</v>
      </c>
      <c r="D310" s="1">
        <v>0.02</v>
      </c>
      <c r="E310" s="1" t="s">
        <v>34</v>
      </c>
      <c r="F310" s="1" t="s">
        <v>22</v>
      </c>
      <c r="G310" s="1" t="s">
        <v>36</v>
      </c>
      <c r="H310" s="1">
        <v>65</v>
      </c>
      <c r="I310" s="1">
        <v>94</v>
      </c>
      <c r="J310" s="1" t="s">
        <v>68</v>
      </c>
      <c r="K310" s="1"/>
      <c r="L310" s="1"/>
      <c r="M310" s="1" t="s">
        <v>40</v>
      </c>
      <c r="N310" s="1"/>
      <c r="O310" s="1">
        <v>6.4219999999999997</v>
      </c>
      <c r="P310" s="1">
        <v>9.5649999999999995</v>
      </c>
      <c r="Q310" s="1"/>
      <c r="R310" s="1"/>
      <c r="S310" s="1" t="s">
        <v>41</v>
      </c>
      <c r="T310" s="1">
        <v>1</v>
      </c>
      <c r="U310" s="1"/>
      <c r="V310" s="1"/>
      <c r="W310" s="1"/>
      <c r="X310" s="1"/>
      <c r="Y310" s="1" t="s">
        <v>42</v>
      </c>
      <c r="Z310" s="1" t="s">
        <v>43</v>
      </c>
    </row>
    <row r="311" spans="1:26" ht="30" x14ac:dyDescent="0.25">
      <c r="A311" s="1">
        <v>2457152.8796299999</v>
      </c>
      <c r="B311" s="1" t="s">
        <v>83</v>
      </c>
      <c r="C311" s="1">
        <v>7.6719999999999997</v>
      </c>
      <c r="D311" s="1">
        <v>0.02</v>
      </c>
      <c r="E311" s="1" t="s">
        <v>34</v>
      </c>
      <c r="F311" s="1" t="s">
        <v>22</v>
      </c>
      <c r="G311" s="1" t="s">
        <v>36</v>
      </c>
      <c r="H311" s="1">
        <v>65</v>
      </c>
      <c r="I311" s="1">
        <v>94</v>
      </c>
      <c r="J311" s="1" t="s">
        <v>68</v>
      </c>
      <c r="K311" s="1"/>
      <c r="L311" s="1"/>
      <c r="M311" s="1" t="s">
        <v>40</v>
      </c>
      <c r="N311" s="1"/>
      <c r="O311" s="1">
        <v>6.4219999999999997</v>
      </c>
      <c r="P311" s="1">
        <v>9.5470000000000006</v>
      </c>
      <c r="Q311" s="1"/>
      <c r="R311" s="1"/>
      <c r="S311" s="1" t="s">
        <v>41</v>
      </c>
      <c r="T311" s="1">
        <v>1</v>
      </c>
      <c r="U311" s="1"/>
      <c r="V311" s="1"/>
      <c r="W311" s="1"/>
      <c r="X311" s="1"/>
      <c r="Y311" s="1" t="s">
        <v>42</v>
      </c>
      <c r="Z311" s="1" t="s">
        <v>43</v>
      </c>
    </row>
    <row r="312" spans="1:26" ht="30" x14ac:dyDescent="0.25">
      <c r="A312" s="1">
        <v>2457152.89041</v>
      </c>
      <c r="B312" s="1" t="s">
        <v>83</v>
      </c>
      <c r="C312" s="1">
        <v>7.5919999999999996</v>
      </c>
      <c r="D312" s="1">
        <v>0.02</v>
      </c>
      <c r="E312" s="1" t="s">
        <v>34</v>
      </c>
      <c r="F312" s="1" t="s">
        <v>22</v>
      </c>
      <c r="G312" s="1" t="s">
        <v>36</v>
      </c>
      <c r="H312" s="1">
        <v>65</v>
      </c>
      <c r="I312" s="1">
        <v>94</v>
      </c>
      <c r="J312" s="1" t="s">
        <v>68</v>
      </c>
      <c r="K312" s="1"/>
      <c r="L312" s="1"/>
      <c r="M312" s="1" t="s">
        <v>40</v>
      </c>
      <c r="N312" s="1"/>
      <c r="O312" s="1">
        <v>6.4219999999999997</v>
      </c>
      <c r="P312" s="1">
        <v>9.5690000000000008</v>
      </c>
      <c r="Q312" s="1"/>
      <c r="R312" s="1"/>
      <c r="S312" s="1" t="s">
        <v>41</v>
      </c>
      <c r="T312" s="1">
        <v>1</v>
      </c>
      <c r="U312" s="1"/>
      <c r="V312" s="1"/>
      <c r="W312" s="1"/>
      <c r="X312" s="1"/>
      <c r="Y312" s="1" t="s">
        <v>42</v>
      </c>
      <c r="Z312" s="1" t="s">
        <v>43</v>
      </c>
    </row>
    <row r="313" spans="1:26" ht="30" x14ac:dyDescent="0.25">
      <c r="A313" s="1">
        <v>2457152.90117</v>
      </c>
      <c r="B313" s="1" t="s">
        <v>83</v>
      </c>
      <c r="C313" s="1">
        <v>7.6630000000000003</v>
      </c>
      <c r="D313" s="1">
        <v>0.02</v>
      </c>
      <c r="E313" s="1" t="s">
        <v>34</v>
      </c>
      <c r="F313" s="1" t="s">
        <v>22</v>
      </c>
      <c r="G313" s="1" t="s">
        <v>36</v>
      </c>
      <c r="H313" s="1">
        <v>65</v>
      </c>
      <c r="I313" s="1">
        <v>94</v>
      </c>
      <c r="J313" s="1" t="s">
        <v>68</v>
      </c>
      <c r="K313" s="1"/>
      <c r="L313" s="1"/>
      <c r="M313" s="1" t="s">
        <v>40</v>
      </c>
      <c r="N313" s="1"/>
      <c r="O313" s="1">
        <v>6.4219999999999997</v>
      </c>
      <c r="P313" s="1">
        <v>9.5549999999999997</v>
      </c>
      <c r="Q313" s="1"/>
      <c r="R313" s="1"/>
      <c r="S313" s="1" t="s">
        <v>41</v>
      </c>
      <c r="T313" s="1">
        <v>1</v>
      </c>
      <c r="U313" s="1"/>
      <c r="V313" s="1"/>
      <c r="W313" s="1"/>
      <c r="X313" s="1"/>
      <c r="Y313" s="1" t="s">
        <v>42</v>
      </c>
      <c r="Z313" s="1" t="s">
        <v>43</v>
      </c>
    </row>
    <row r="314" spans="1:26" ht="30" x14ac:dyDescent="0.25">
      <c r="A314" s="1">
        <v>2457152.91848</v>
      </c>
      <c r="B314" s="1" t="s">
        <v>83</v>
      </c>
      <c r="C314" s="1">
        <v>7.7140000000000004</v>
      </c>
      <c r="D314" s="1">
        <v>0.02</v>
      </c>
      <c r="E314" s="1" t="s">
        <v>34</v>
      </c>
      <c r="F314" s="1" t="s">
        <v>22</v>
      </c>
      <c r="G314" s="1" t="s">
        <v>36</v>
      </c>
      <c r="H314" s="1">
        <v>65</v>
      </c>
      <c r="I314" s="1">
        <v>94</v>
      </c>
      <c r="J314" s="1" t="s">
        <v>68</v>
      </c>
      <c r="K314" s="1"/>
      <c r="L314" s="1"/>
      <c r="M314" s="1" t="s">
        <v>40</v>
      </c>
      <c r="N314" s="1"/>
      <c r="O314" s="1">
        <v>6.4219999999999997</v>
      </c>
      <c r="P314" s="1">
        <v>9.5660000000000007</v>
      </c>
      <c r="Q314" s="1"/>
      <c r="R314" s="1"/>
      <c r="S314" s="1" t="s">
        <v>41</v>
      </c>
      <c r="T314" s="1">
        <v>1</v>
      </c>
      <c r="U314" s="1"/>
      <c r="V314" s="1"/>
      <c r="W314" s="1"/>
      <c r="X314" s="1"/>
      <c r="Y314" s="1" t="s">
        <v>42</v>
      </c>
      <c r="Z314" s="1" t="s">
        <v>43</v>
      </c>
    </row>
    <row r="315" spans="1:26" ht="30" x14ac:dyDescent="0.25">
      <c r="A315" s="1">
        <v>2457153.7949700002</v>
      </c>
      <c r="B315" s="1" t="s">
        <v>84</v>
      </c>
      <c r="C315" s="1">
        <v>7.593</v>
      </c>
      <c r="D315" s="1">
        <v>0.02</v>
      </c>
      <c r="E315" s="1" t="s">
        <v>34</v>
      </c>
      <c r="F315" s="1" t="s">
        <v>22</v>
      </c>
      <c r="G315" s="1" t="s">
        <v>36</v>
      </c>
      <c r="H315" s="1">
        <v>65</v>
      </c>
      <c r="I315" s="1">
        <v>94</v>
      </c>
      <c r="J315" s="1" t="s">
        <v>68</v>
      </c>
      <c r="K315" s="1"/>
      <c r="L315" s="1"/>
      <c r="M315" s="1" t="s">
        <v>40</v>
      </c>
      <c r="N315" s="1"/>
      <c r="O315" s="1">
        <v>6.4219999999999997</v>
      </c>
      <c r="P315" s="1">
        <v>9.5350000000000001</v>
      </c>
      <c r="Q315" s="1"/>
      <c r="R315" s="1"/>
      <c r="S315" s="1" t="s">
        <v>41</v>
      </c>
      <c r="T315" s="1">
        <v>1</v>
      </c>
      <c r="U315" s="1"/>
      <c r="V315" s="1"/>
      <c r="W315" s="1"/>
      <c r="X315" s="1"/>
      <c r="Y315" s="1" t="s">
        <v>42</v>
      </c>
      <c r="Z315" s="1" t="s">
        <v>43</v>
      </c>
    </row>
    <row r="316" spans="1:26" ht="30" x14ac:dyDescent="0.25">
      <c r="A316" s="1">
        <v>2457153.81176</v>
      </c>
      <c r="B316" s="1" t="s">
        <v>84</v>
      </c>
      <c r="C316" s="1">
        <v>7.5590000000000002</v>
      </c>
      <c r="D316" s="1">
        <v>0.02</v>
      </c>
      <c r="E316" s="1" t="s">
        <v>34</v>
      </c>
      <c r="F316" s="1" t="s">
        <v>22</v>
      </c>
      <c r="G316" s="1" t="s">
        <v>36</v>
      </c>
      <c r="H316" s="1">
        <v>65</v>
      </c>
      <c r="I316" s="1">
        <v>94</v>
      </c>
      <c r="J316" s="1" t="s">
        <v>68</v>
      </c>
      <c r="K316" s="1"/>
      <c r="L316" s="1"/>
      <c r="M316" s="1" t="s">
        <v>40</v>
      </c>
      <c r="N316" s="1"/>
      <c r="O316" s="1">
        <v>6.4219999999999997</v>
      </c>
      <c r="P316" s="1">
        <v>9.5259999999999998</v>
      </c>
      <c r="Q316" s="1"/>
      <c r="R316" s="1"/>
      <c r="S316" s="1" t="s">
        <v>41</v>
      </c>
      <c r="T316" s="1">
        <v>1</v>
      </c>
      <c r="U316" s="1"/>
      <c r="V316" s="1"/>
      <c r="W316" s="1"/>
      <c r="X316" s="1"/>
      <c r="Y316" s="1" t="s">
        <v>42</v>
      </c>
      <c r="Z316" s="1" t="s">
        <v>43</v>
      </c>
    </row>
    <row r="317" spans="1:26" ht="30" x14ac:dyDescent="0.25">
      <c r="A317" s="1">
        <v>2457153.83335</v>
      </c>
      <c r="B317" s="1" t="s">
        <v>84</v>
      </c>
      <c r="C317" s="1">
        <v>7.4080000000000004</v>
      </c>
      <c r="D317" s="1">
        <v>0.02</v>
      </c>
      <c r="E317" s="1" t="s">
        <v>34</v>
      </c>
      <c r="F317" s="1" t="s">
        <v>22</v>
      </c>
      <c r="G317" s="1" t="s">
        <v>36</v>
      </c>
      <c r="H317" s="1">
        <v>65</v>
      </c>
      <c r="I317" s="1">
        <v>94</v>
      </c>
      <c r="J317" s="1" t="s">
        <v>68</v>
      </c>
      <c r="K317" s="1"/>
      <c r="L317" s="1"/>
      <c r="M317" s="1" t="s">
        <v>40</v>
      </c>
      <c r="N317" s="1"/>
      <c r="O317" s="1">
        <v>6.4219999999999997</v>
      </c>
      <c r="P317" s="1">
        <v>9.5299999999999994</v>
      </c>
      <c r="Q317" s="1"/>
      <c r="R317" s="1"/>
      <c r="S317" s="1" t="s">
        <v>41</v>
      </c>
      <c r="T317" s="1">
        <v>1</v>
      </c>
      <c r="U317" s="1"/>
      <c r="V317" s="1"/>
      <c r="W317" s="1"/>
      <c r="X317" s="1"/>
      <c r="Y317" s="1" t="s">
        <v>42</v>
      </c>
      <c r="Z317" s="1" t="s">
        <v>43</v>
      </c>
    </row>
    <row r="318" spans="1:26" ht="30" x14ac:dyDescent="0.25">
      <c r="A318" s="1">
        <v>2457153.8442000002</v>
      </c>
      <c r="B318" s="1" t="s">
        <v>84</v>
      </c>
      <c r="C318" s="1">
        <v>7.5730000000000004</v>
      </c>
      <c r="D318" s="1">
        <v>0.02</v>
      </c>
      <c r="E318" s="1" t="s">
        <v>34</v>
      </c>
      <c r="F318" s="1" t="s">
        <v>22</v>
      </c>
      <c r="G318" s="1" t="s">
        <v>36</v>
      </c>
      <c r="H318" s="1">
        <v>65</v>
      </c>
      <c r="I318" s="1">
        <v>94</v>
      </c>
      <c r="J318" s="1" t="s">
        <v>68</v>
      </c>
      <c r="K318" s="1"/>
      <c r="L318" s="1"/>
      <c r="M318" s="1" t="s">
        <v>40</v>
      </c>
      <c r="N318" s="1"/>
      <c r="O318" s="1">
        <v>6.4219999999999997</v>
      </c>
      <c r="P318" s="1">
        <v>9.5419999999999998</v>
      </c>
      <c r="Q318" s="1"/>
      <c r="R318" s="1"/>
      <c r="S318" s="1" t="s">
        <v>41</v>
      </c>
      <c r="T318" s="1">
        <v>1</v>
      </c>
      <c r="U318" s="1"/>
      <c r="V318" s="1"/>
      <c r="W318" s="1"/>
      <c r="X318" s="1"/>
      <c r="Y318" s="1" t="s">
        <v>42</v>
      </c>
      <c r="Z318" s="1" t="s">
        <v>43</v>
      </c>
    </row>
    <row r="319" spans="1:26" ht="30" x14ac:dyDescent="0.25">
      <c r="A319" s="1">
        <v>2457153.85494</v>
      </c>
      <c r="B319" s="1" t="s">
        <v>84</v>
      </c>
      <c r="C319" s="1">
        <v>7.4290000000000003</v>
      </c>
      <c r="D319" s="1">
        <v>0.02</v>
      </c>
      <c r="E319" s="1" t="s">
        <v>34</v>
      </c>
      <c r="F319" s="1" t="s">
        <v>22</v>
      </c>
      <c r="G319" s="1" t="s">
        <v>36</v>
      </c>
      <c r="H319" s="1">
        <v>65</v>
      </c>
      <c r="I319" s="1">
        <v>94</v>
      </c>
      <c r="J319" s="1" t="s">
        <v>68</v>
      </c>
      <c r="K319" s="1"/>
      <c r="L319" s="1"/>
      <c r="M319" s="1" t="s">
        <v>40</v>
      </c>
      <c r="N319" s="1"/>
      <c r="O319" s="1">
        <v>6.4219999999999997</v>
      </c>
      <c r="P319" s="1">
        <v>9.5150000000000006</v>
      </c>
      <c r="Q319" s="1"/>
      <c r="R319" s="1"/>
      <c r="S319" s="1" t="s">
        <v>41</v>
      </c>
      <c r="T319" s="1">
        <v>1</v>
      </c>
      <c r="U319" s="1"/>
      <c r="V319" s="1"/>
      <c r="W319" s="1"/>
      <c r="X319" s="1"/>
      <c r="Y319" s="1" t="s">
        <v>42</v>
      </c>
      <c r="Z319" s="1" t="s">
        <v>43</v>
      </c>
    </row>
    <row r="320" spans="1:26" ht="30" x14ac:dyDescent="0.25">
      <c r="A320" s="1">
        <v>2457153.8657</v>
      </c>
      <c r="B320" s="1" t="s">
        <v>84</v>
      </c>
      <c r="C320" s="1">
        <v>7.67</v>
      </c>
      <c r="D320" s="1">
        <v>0.02</v>
      </c>
      <c r="E320" s="1" t="s">
        <v>34</v>
      </c>
      <c r="F320" s="1" t="s">
        <v>22</v>
      </c>
      <c r="G320" s="1" t="s">
        <v>36</v>
      </c>
      <c r="H320" s="1">
        <v>65</v>
      </c>
      <c r="I320" s="1">
        <v>94</v>
      </c>
      <c r="J320" s="1" t="s">
        <v>68</v>
      </c>
      <c r="K320" s="1"/>
      <c r="L320" s="1"/>
      <c r="M320" s="1" t="s">
        <v>40</v>
      </c>
      <c r="N320" s="1"/>
      <c r="O320" s="1">
        <v>6.4219999999999997</v>
      </c>
      <c r="P320" s="1">
        <v>9.5839999999999996</v>
      </c>
      <c r="Q320" s="1"/>
      <c r="R320" s="1"/>
      <c r="S320" s="1" t="s">
        <v>41</v>
      </c>
      <c r="T320" s="1">
        <v>1</v>
      </c>
      <c r="U320" s="1"/>
      <c r="V320" s="1"/>
      <c r="W320" s="1"/>
      <c r="X320" s="1"/>
      <c r="Y320" s="1" t="s">
        <v>42</v>
      </c>
      <c r="Z320" s="1" t="s">
        <v>43</v>
      </c>
    </row>
    <row r="321" spans="1:26" ht="30" x14ac:dyDescent="0.25">
      <c r="A321" s="1">
        <v>2457153.9015100002</v>
      </c>
      <c r="B321" s="1" t="s">
        <v>84</v>
      </c>
      <c r="C321" s="1">
        <v>7.9130000000000003</v>
      </c>
      <c r="D321" s="1">
        <v>0.02</v>
      </c>
      <c r="E321" s="1" t="s">
        <v>34</v>
      </c>
      <c r="F321" s="1" t="s">
        <v>22</v>
      </c>
      <c r="G321" s="1" t="s">
        <v>36</v>
      </c>
      <c r="H321" s="1">
        <v>65</v>
      </c>
      <c r="I321" s="1">
        <v>94</v>
      </c>
      <c r="J321" s="1" t="s">
        <v>68</v>
      </c>
      <c r="K321" s="1"/>
      <c r="L321" s="1"/>
      <c r="M321" s="1" t="s">
        <v>40</v>
      </c>
      <c r="N321" s="1"/>
      <c r="O321" s="1">
        <v>6.4219999999999997</v>
      </c>
      <c r="P321" s="1">
        <v>9.5749999999999993</v>
      </c>
      <c r="Q321" s="1"/>
      <c r="R321" s="1"/>
      <c r="S321" s="1" t="s">
        <v>41</v>
      </c>
      <c r="T321" s="1">
        <v>1</v>
      </c>
      <c r="U321" s="1"/>
      <c r="V321" s="1"/>
      <c r="W321" s="1"/>
      <c r="X321" s="1"/>
      <c r="Y321" s="1" t="s">
        <v>42</v>
      </c>
      <c r="Z321" s="1" t="s">
        <v>43</v>
      </c>
    </row>
    <row r="322" spans="1:26" ht="30" x14ac:dyDescent="0.25">
      <c r="A322" s="1">
        <v>2457153.9187799999</v>
      </c>
      <c r="B322" s="1" t="s">
        <v>84</v>
      </c>
      <c r="C322" s="1">
        <v>7.4930000000000003</v>
      </c>
      <c r="D322" s="1">
        <v>0.02</v>
      </c>
      <c r="E322" s="1" t="s">
        <v>34</v>
      </c>
      <c r="F322" s="1" t="s">
        <v>22</v>
      </c>
      <c r="G322" s="1" t="s">
        <v>36</v>
      </c>
      <c r="H322" s="1">
        <v>65</v>
      </c>
      <c r="I322" s="1">
        <v>94</v>
      </c>
      <c r="J322" s="1" t="s">
        <v>68</v>
      </c>
      <c r="K322" s="1"/>
      <c r="L322" s="1"/>
      <c r="M322" s="1" t="s">
        <v>40</v>
      </c>
      <c r="N322" s="1"/>
      <c r="O322" s="1">
        <v>6.4219999999999997</v>
      </c>
      <c r="P322" s="1">
        <v>9.548</v>
      </c>
      <c r="Q322" s="1"/>
      <c r="R322" s="1"/>
      <c r="S322" s="1" t="s">
        <v>41</v>
      </c>
      <c r="T322" s="1">
        <v>1</v>
      </c>
      <c r="U322" s="1"/>
      <c r="V322" s="1"/>
      <c r="W322" s="1"/>
      <c r="X322" s="1"/>
      <c r="Y322" s="1" t="s">
        <v>42</v>
      </c>
      <c r="Z322" s="1" t="s">
        <v>43</v>
      </c>
    </row>
    <row r="323" spans="1:26" ht="30" x14ac:dyDescent="0.25">
      <c r="A323" s="1">
        <v>2457159.7773099998</v>
      </c>
      <c r="B323" s="1" t="s">
        <v>85</v>
      </c>
      <c r="C323" s="1">
        <v>8.1189999999999998</v>
      </c>
      <c r="D323" s="1">
        <v>0.02</v>
      </c>
      <c r="E323" s="1" t="s">
        <v>34</v>
      </c>
      <c r="F323" s="1" t="s">
        <v>22</v>
      </c>
      <c r="G323" s="1" t="s">
        <v>36</v>
      </c>
      <c r="H323" s="1">
        <v>65</v>
      </c>
      <c r="I323" s="1">
        <v>94</v>
      </c>
      <c r="J323" s="1" t="s">
        <v>68</v>
      </c>
      <c r="K323" s="1"/>
      <c r="L323" s="1"/>
      <c r="M323" s="1" t="s">
        <v>40</v>
      </c>
      <c r="N323" s="1"/>
      <c r="O323" s="1">
        <v>6.4219999999999997</v>
      </c>
      <c r="P323" s="1">
        <v>9.548</v>
      </c>
      <c r="Q323" s="1"/>
      <c r="R323" s="1"/>
      <c r="S323" s="1" t="s">
        <v>41</v>
      </c>
      <c r="T323" s="1">
        <v>1</v>
      </c>
      <c r="U323" s="1"/>
      <c r="V323" s="1"/>
      <c r="W323" s="1"/>
      <c r="X323" s="1"/>
      <c r="Y323" s="1" t="s">
        <v>42</v>
      </c>
      <c r="Z323" s="1" t="s">
        <v>43</v>
      </c>
    </row>
    <row r="324" spans="1:26" ht="30" x14ac:dyDescent="0.25">
      <c r="A324" s="1">
        <v>2457159.7940400001</v>
      </c>
      <c r="B324" s="1" t="s">
        <v>85</v>
      </c>
      <c r="C324" s="1">
        <v>8.24</v>
      </c>
      <c r="D324" s="1">
        <v>0.02</v>
      </c>
      <c r="E324" s="1" t="s">
        <v>34</v>
      </c>
      <c r="F324" s="1" t="s">
        <v>22</v>
      </c>
      <c r="G324" s="1" t="s">
        <v>36</v>
      </c>
      <c r="H324" s="1">
        <v>65</v>
      </c>
      <c r="I324" s="1">
        <v>94</v>
      </c>
      <c r="J324" s="1" t="s">
        <v>68</v>
      </c>
      <c r="K324" s="1"/>
      <c r="L324" s="1"/>
      <c r="M324" s="1" t="s">
        <v>40</v>
      </c>
      <c r="N324" s="1"/>
      <c r="O324" s="1">
        <v>6.4219999999999997</v>
      </c>
      <c r="P324" s="1">
        <v>9.4920000000000009</v>
      </c>
      <c r="Q324" s="1"/>
      <c r="R324" s="1"/>
      <c r="S324" s="1" t="s">
        <v>41</v>
      </c>
      <c r="T324" s="1">
        <v>1</v>
      </c>
      <c r="U324" s="1"/>
      <c r="V324" s="1"/>
      <c r="W324" s="1"/>
      <c r="X324" s="1"/>
      <c r="Y324" s="1" t="s">
        <v>42</v>
      </c>
      <c r="Z324" s="1" t="s">
        <v>43</v>
      </c>
    </row>
    <row r="325" spans="1:26" ht="30" x14ac:dyDescent="0.25">
      <c r="A325" s="1">
        <v>2457159.8101599999</v>
      </c>
      <c r="B325" s="1" t="s">
        <v>85</v>
      </c>
      <c r="C325" s="1">
        <v>8.266</v>
      </c>
      <c r="D325" s="1">
        <v>0.02</v>
      </c>
      <c r="E325" s="1" t="s">
        <v>34</v>
      </c>
      <c r="F325" s="1" t="s">
        <v>22</v>
      </c>
      <c r="G325" s="1" t="s">
        <v>36</v>
      </c>
      <c r="H325" s="1">
        <v>65</v>
      </c>
      <c r="I325" s="1">
        <v>94</v>
      </c>
      <c r="J325" s="1" t="s">
        <v>68</v>
      </c>
      <c r="K325" s="1"/>
      <c r="L325" s="1"/>
      <c r="M325" s="1" t="s">
        <v>40</v>
      </c>
      <c r="N325" s="1"/>
      <c r="O325" s="1">
        <v>6.4219999999999997</v>
      </c>
      <c r="P325" s="1">
        <v>9.5310000000000006</v>
      </c>
      <c r="Q325" s="1"/>
      <c r="R325" s="1"/>
      <c r="S325" s="1" t="s">
        <v>41</v>
      </c>
      <c r="T325" s="1">
        <v>1</v>
      </c>
      <c r="U325" s="1"/>
      <c r="V325" s="1"/>
      <c r="W325" s="1"/>
      <c r="X325" s="1"/>
      <c r="Y325" s="1" t="s">
        <v>42</v>
      </c>
      <c r="Z325" s="1" t="s">
        <v>43</v>
      </c>
    </row>
    <row r="326" spans="1:26" ht="30" x14ac:dyDescent="0.25">
      <c r="A326" s="1">
        <v>2457159.8275799998</v>
      </c>
      <c r="B326" s="1" t="s">
        <v>85</v>
      </c>
      <c r="C326" s="1">
        <v>8.2970000000000006</v>
      </c>
      <c r="D326" s="1">
        <v>0.02</v>
      </c>
      <c r="E326" s="1" t="s">
        <v>34</v>
      </c>
      <c r="F326" s="1" t="s">
        <v>22</v>
      </c>
      <c r="G326" s="1" t="s">
        <v>36</v>
      </c>
      <c r="H326" s="1">
        <v>65</v>
      </c>
      <c r="I326" s="1">
        <v>94</v>
      </c>
      <c r="J326" s="1" t="s">
        <v>68</v>
      </c>
      <c r="K326" s="1"/>
      <c r="L326" s="1"/>
      <c r="M326" s="1" t="s">
        <v>40</v>
      </c>
      <c r="N326" s="1"/>
      <c r="O326" s="1">
        <v>6.4219999999999997</v>
      </c>
      <c r="P326" s="1">
        <v>9.5060000000000002</v>
      </c>
      <c r="Q326" s="1"/>
      <c r="R326" s="1"/>
      <c r="S326" s="1" t="s">
        <v>41</v>
      </c>
      <c r="T326" s="1">
        <v>1</v>
      </c>
      <c r="U326" s="1"/>
      <c r="V326" s="1"/>
      <c r="W326" s="1"/>
      <c r="X326" s="1"/>
      <c r="Y326" s="1" t="s">
        <v>42</v>
      </c>
      <c r="Z326" s="1" t="s">
        <v>43</v>
      </c>
    </row>
    <row r="327" spans="1:26" ht="30" x14ac:dyDescent="0.25">
      <c r="A327" s="1">
        <v>2457159.8598799999</v>
      </c>
      <c r="B327" s="1" t="s">
        <v>85</v>
      </c>
      <c r="C327" s="1">
        <v>8.4550000000000001</v>
      </c>
      <c r="D327" s="1">
        <v>0.02</v>
      </c>
      <c r="E327" s="1" t="s">
        <v>34</v>
      </c>
      <c r="F327" s="1" t="s">
        <v>22</v>
      </c>
      <c r="G327" s="1" t="s">
        <v>36</v>
      </c>
      <c r="H327" s="1">
        <v>65</v>
      </c>
      <c r="I327" s="1">
        <v>94</v>
      </c>
      <c r="J327" s="1" t="s">
        <v>68</v>
      </c>
      <c r="K327" s="1"/>
      <c r="L327" s="1"/>
      <c r="M327" s="1" t="s">
        <v>40</v>
      </c>
      <c r="N327" s="1"/>
      <c r="O327" s="1">
        <v>6.4219999999999997</v>
      </c>
      <c r="P327" s="1">
        <v>9.6690000000000005</v>
      </c>
      <c r="Q327" s="1"/>
      <c r="R327" s="1"/>
      <c r="S327" s="1" t="s">
        <v>41</v>
      </c>
      <c r="T327" s="1">
        <v>1</v>
      </c>
      <c r="U327" s="1"/>
      <c r="V327" s="1"/>
      <c r="W327" s="1"/>
      <c r="X327" s="1"/>
      <c r="Y327" s="1" t="s">
        <v>42</v>
      </c>
      <c r="Z327" s="1" t="s">
        <v>43</v>
      </c>
    </row>
    <row r="328" spans="1:26" ht="30" x14ac:dyDescent="0.25">
      <c r="A328" s="1">
        <v>2457159.8706999999</v>
      </c>
      <c r="B328" s="1" t="s">
        <v>85</v>
      </c>
      <c r="C328" s="1">
        <v>8.2720000000000002</v>
      </c>
      <c r="D328" s="1">
        <v>0.02</v>
      </c>
      <c r="E328" s="1" t="s">
        <v>34</v>
      </c>
      <c r="F328" s="1" t="s">
        <v>22</v>
      </c>
      <c r="G328" s="1" t="s">
        <v>36</v>
      </c>
      <c r="H328" s="1">
        <v>65</v>
      </c>
      <c r="I328" s="1">
        <v>94</v>
      </c>
      <c r="J328" s="1" t="s">
        <v>68</v>
      </c>
      <c r="K328" s="1"/>
      <c r="L328" s="1"/>
      <c r="M328" s="1" t="s">
        <v>40</v>
      </c>
      <c r="N328" s="1"/>
      <c r="O328" s="1">
        <v>6.4219999999999997</v>
      </c>
      <c r="P328" s="1">
        <v>9.5470000000000006</v>
      </c>
      <c r="Q328" s="1"/>
      <c r="R328" s="1"/>
      <c r="S328" s="1" t="s">
        <v>41</v>
      </c>
      <c r="T328" s="1">
        <v>1</v>
      </c>
      <c r="U328" s="1"/>
      <c r="V328" s="1"/>
      <c r="W328" s="1"/>
      <c r="X328" s="1"/>
      <c r="Y328" s="1" t="s">
        <v>42</v>
      </c>
      <c r="Z328" s="1" t="s">
        <v>43</v>
      </c>
    </row>
    <row r="329" spans="1:26" ht="30" x14ac:dyDescent="0.25">
      <c r="A329" s="1">
        <v>2457159.88142</v>
      </c>
      <c r="B329" s="1" t="s">
        <v>85</v>
      </c>
      <c r="C329" s="1">
        <v>8.218</v>
      </c>
      <c r="D329" s="1">
        <v>0.02</v>
      </c>
      <c r="E329" s="1" t="s">
        <v>34</v>
      </c>
      <c r="F329" s="1" t="s">
        <v>22</v>
      </c>
      <c r="G329" s="1" t="s">
        <v>36</v>
      </c>
      <c r="H329" s="1">
        <v>65</v>
      </c>
      <c r="I329" s="1">
        <v>94</v>
      </c>
      <c r="J329" s="1" t="s">
        <v>68</v>
      </c>
      <c r="K329" s="1"/>
      <c r="L329" s="1"/>
      <c r="M329" s="1" t="s">
        <v>40</v>
      </c>
      <c r="N329" s="1"/>
      <c r="O329" s="1">
        <v>6.4219999999999997</v>
      </c>
      <c r="P329" s="1">
        <v>9.52</v>
      </c>
      <c r="Q329" s="1"/>
      <c r="R329" s="1"/>
      <c r="S329" s="1" t="s">
        <v>41</v>
      </c>
      <c r="T329" s="1">
        <v>1</v>
      </c>
      <c r="U329" s="1"/>
      <c r="V329" s="1"/>
      <c r="W329" s="1"/>
      <c r="X329" s="1"/>
      <c r="Y329" s="1" t="s">
        <v>42</v>
      </c>
      <c r="Z329" s="1" t="s">
        <v>43</v>
      </c>
    </row>
    <row r="330" spans="1:26" ht="30" x14ac:dyDescent="0.25">
      <c r="A330" s="1">
        <v>2457159.8987400001</v>
      </c>
      <c r="B330" s="1" t="s">
        <v>85</v>
      </c>
      <c r="C330" s="1">
        <v>8.2530000000000001</v>
      </c>
      <c r="D330" s="1">
        <v>0.02</v>
      </c>
      <c r="E330" s="1" t="s">
        <v>34</v>
      </c>
      <c r="F330" s="1" t="s">
        <v>22</v>
      </c>
      <c r="G330" s="1" t="s">
        <v>36</v>
      </c>
      <c r="H330" s="1">
        <v>65</v>
      </c>
      <c r="I330" s="1">
        <v>94</v>
      </c>
      <c r="J330" s="1" t="s">
        <v>68</v>
      </c>
      <c r="K330" s="1"/>
      <c r="L330" s="1"/>
      <c r="M330" s="1" t="s">
        <v>40</v>
      </c>
      <c r="N330" s="1"/>
      <c r="O330" s="1">
        <v>6.4219999999999997</v>
      </c>
      <c r="P330" s="1">
        <v>9.5399999999999991</v>
      </c>
      <c r="Q330" s="1"/>
      <c r="R330" s="1"/>
      <c r="S330" s="1" t="s">
        <v>41</v>
      </c>
      <c r="T330" s="1">
        <v>1</v>
      </c>
      <c r="U330" s="1"/>
      <c r="V330" s="1"/>
      <c r="W330" s="1"/>
      <c r="X330" s="1"/>
      <c r="Y330" s="1" t="s">
        <v>42</v>
      </c>
      <c r="Z330" s="1" t="s">
        <v>43</v>
      </c>
    </row>
    <row r="331" spans="1:26" ht="30" x14ac:dyDescent="0.25">
      <c r="A331" s="1">
        <v>2457160.77636</v>
      </c>
      <c r="B331" s="1" t="s">
        <v>86</v>
      </c>
      <c r="C331" s="1">
        <v>8.3330000000000002</v>
      </c>
      <c r="D331" s="1">
        <v>0.02</v>
      </c>
      <c r="E331" s="1" t="s">
        <v>34</v>
      </c>
      <c r="F331" s="1" t="s">
        <v>22</v>
      </c>
      <c r="G331" s="1" t="s">
        <v>36</v>
      </c>
      <c r="H331" s="1">
        <v>65</v>
      </c>
      <c r="I331" s="1">
        <v>94</v>
      </c>
      <c r="J331" s="1" t="s">
        <v>68</v>
      </c>
      <c r="K331" s="1"/>
      <c r="L331" s="1"/>
      <c r="M331" s="1" t="s">
        <v>40</v>
      </c>
      <c r="N331" s="1"/>
      <c r="O331" s="1">
        <v>6.4219999999999997</v>
      </c>
      <c r="P331" s="1">
        <v>9.5649999999999995</v>
      </c>
      <c r="Q331" s="1"/>
      <c r="R331" s="1"/>
      <c r="S331" s="1" t="s">
        <v>41</v>
      </c>
      <c r="T331" s="1">
        <v>1</v>
      </c>
      <c r="U331" s="1"/>
      <c r="V331" s="1"/>
      <c r="W331" s="1"/>
      <c r="X331" s="1"/>
      <c r="Y331" s="1" t="s">
        <v>42</v>
      </c>
      <c r="Z331" s="1" t="s">
        <v>43</v>
      </c>
    </row>
    <row r="332" spans="1:26" ht="30" x14ac:dyDescent="0.25">
      <c r="A332" s="1">
        <v>2457160.7922700001</v>
      </c>
      <c r="B332" s="1" t="s">
        <v>86</v>
      </c>
      <c r="C332" s="1">
        <v>8.2210000000000001</v>
      </c>
      <c r="D332" s="1">
        <v>0.02</v>
      </c>
      <c r="E332" s="1" t="s">
        <v>34</v>
      </c>
      <c r="F332" s="1" t="s">
        <v>22</v>
      </c>
      <c r="G332" s="1" t="s">
        <v>36</v>
      </c>
      <c r="H332" s="1">
        <v>65</v>
      </c>
      <c r="I332" s="1">
        <v>94</v>
      </c>
      <c r="J332" s="1" t="s">
        <v>68</v>
      </c>
      <c r="K332" s="1"/>
      <c r="L332" s="1"/>
      <c r="M332" s="1" t="s">
        <v>40</v>
      </c>
      <c r="N332" s="1"/>
      <c r="O332" s="1">
        <v>6.4219999999999997</v>
      </c>
      <c r="P332" s="1">
        <v>9.5489999999999995</v>
      </c>
      <c r="Q332" s="1"/>
      <c r="R332" s="1"/>
      <c r="S332" s="1" t="s">
        <v>41</v>
      </c>
      <c r="T332" s="1">
        <v>1</v>
      </c>
      <c r="U332" s="1"/>
      <c r="V332" s="1"/>
      <c r="W332" s="1"/>
      <c r="X332" s="1"/>
      <c r="Y332" s="1" t="s">
        <v>42</v>
      </c>
      <c r="Z332" s="1" t="s">
        <v>43</v>
      </c>
    </row>
    <row r="333" spans="1:26" ht="30" x14ac:dyDescent="0.25">
      <c r="A333" s="1">
        <v>2457160.8081700001</v>
      </c>
      <c r="B333" s="1" t="s">
        <v>86</v>
      </c>
      <c r="C333" s="1">
        <v>8.0820000000000007</v>
      </c>
      <c r="D333" s="1">
        <v>0.02</v>
      </c>
      <c r="E333" s="1" t="s">
        <v>34</v>
      </c>
      <c r="F333" s="1" t="s">
        <v>22</v>
      </c>
      <c r="G333" s="1" t="s">
        <v>36</v>
      </c>
      <c r="H333" s="1">
        <v>65</v>
      </c>
      <c r="I333" s="1">
        <v>94</v>
      </c>
      <c r="J333" s="1" t="s">
        <v>68</v>
      </c>
      <c r="K333" s="1"/>
      <c r="L333" s="1"/>
      <c r="M333" s="1" t="s">
        <v>40</v>
      </c>
      <c r="N333" s="1"/>
      <c r="O333" s="1">
        <v>6.4219999999999997</v>
      </c>
      <c r="P333" s="1">
        <v>9.5730000000000004</v>
      </c>
      <c r="Q333" s="1"/>
      <c r="R333" s="1"/>
      <c r="S333" s="1" t="s">
        <v>41</v>
      </c>
      <c r="T333" s="1">
        <v>1</v>
      </c>
      <c r="U333" s="1"/>
      <c r="V333" s="1"/>
      <c r="W333" s="1"/>
      <c r="X333" s="1"/>
      <c r="Y333" s="1" t="s">
        <v>42</v>
      </c>
      <c r="Z333" s="1" t="s">
        <v>43</v>
      </c>
    </row>
    <row r="334" spans="1:26" ht="30" x14ac:dyDescent="0.25">
      <c r="A334" s="1">
        <v>2457160.82546</v>
      </c>
      <c r="B334" s="1" t="s">
        <v>86</v>
      </c>
      <c r="C334" s="1">
        <v>8.1180000000000003</v>
      </c>
      <c r="D334" s="1">
        <v>0.02</v>
      </c>
      <c r="E334" s="1" t="s">
        <v>34</v>
      </c>
      <c r="F334" s="1" t="s">
        <v>22</v>
      </c>
      <c r="G334" s="1" t="s">
        <v>36</v>
      </c>
      <c r="H334" s="1">
        <v>65</v>
      </c>
      <c r="I334" s="1">
        <v>94</v>
      </c>
      <c r="J334" s="1" t="s">
        <v>68</v>
      </c>
      <c r="K334" s="1"/>
      <c r="L334" s="1"/>
      <c r="M334" s="1" t="s">
        <v>40</v>
      </c>
      <c r="N334" s="1"/>
      <c r="O334" s="1">
        <v>6.4219999999999997</v>
      </c>
      <c r="P334" s="1">
        <v>9.5549999999999997</v>
      </c>
      <c r="Q334" s="1"/>
      <c r="R334" s="1"/>
      <c r="S334" s="1" t="s">
        <v>41</v>
      </c>
      <c r="T334" s="1">
        <v>1</v>
      </c>
      <c r="U334" s="1"/>
      <c r="V334" s="1"/>
      <c r="W334" s="1"/>
      <c r="X334" s="1"/>
      <c r="Y334" s="1" t="s">
        <v>42</v>
      </c>
      <c r="Z334" s="1" t="s">
        <v>43</v>
      </c>
    </row>
    <row r="335" spans="1:26" ht="30" x14ac:dyDescent="0.25">
      <c r="A335" s="1">
        <v>2457160.8361599999</v>
      </c>
      <c r="B335" s="1" t="s">
        <v>86</v>
      </c>
      <c r="C335" s="1">
        <v>8.1340000000000003</v>
      </c>
      <c r="D335" s="1">
        <v>0.02</v>
      </c>
      <c r="E335" s="1" t="s">
        <v>34</v>
      </c>
      <c r="F335" s="1" t="s">
        <v>22</v>
      </c>
      <c r="G335" s="1" t="s">
        <v>36</v>
      </c>
      <c r="H335" s="1">
        <v>65</v>
      </c>
      <c r="I335" s="1">
        <v>94</v>
      </c>
      <c r="J335" s="1" t="s">
        <v>68</v>
      </c>
      <c r="K335" s="1"/>
      <c r="L335" s="1"/>
      <c r="M335" s="1" t="s">
        <v>40</v>
      </c>
      <c r="N335" s="1"/>
      <c r="O335" s="1">
        <v>6.4219999999999997</v>
      </c>
      <c r="P335" s="1">
        <v>9.5150000000000006</v>
      </c>
      <c r="Q335" s="1"/>
      <c r="R335" s="1"/>
      <c r="S335" s="1" t="s">
        <v>41</v>
      </c>
      <c r="T335" s="1">
        <v>1</v>
      </c>
      <c r="U335" s="1"/>
      <c r="V335" s="1"/>
      <c r="W335" s="1"/>
      <c r="X335" s="1"/>
      <c r="Y335" s="1" t="s">
        <v>42</v>
      </c>
      <c r="Z335" s="1" t="s">
        <v>43</v>
      </c>
    </row>
    <row r="336" spans="1:26" ht="30" x14ac:dyDescent="0.25">
      <c r="A336" s="1">
        <v>2457160.8468399998</v>
      </c>
      <c r="B336" s="1" t="s">
        <v>86</v>
      </c>
      <c r="C336" s="1">
        <v>8.1180000000000003</v>
      </c>
      <c r="D336" s="1">
        <v>0.02</v>
      </c>
      <c r="E336" s="1" t="s">
        <v>34</v>
      </c>
      <c r="F336" s="1" t="s">
        <v>22</v>
      </c>
      <c r="G336" s="1" t="s">
        <v>36</v>
      </c>
      <c r="H336" s="1">
        <v>65</v>
      </c>
      <c r="I336" s="1">
        <v>94</v>
      </c>
      <c r="J336" s="1" t="s">
        <v>68</v>
      </c>
      <c r="K336" s="1"/>
      <c r="L336" s="1"/>
      <c r="M336" s="1" t="s">
        <v>40</v>
      </c>
      <c r="N336" s="1"/>
      <c r="O336" s="1">
        <v>6.4219999999999997</v>
      </c>
      <c r="P336" s="1">
        <v>9.5719999999999992</v>
      </c>
      <c r="Q336" s="1"/>
      <c r="R336" s="1"/>
      <c r="S336" s="1" t="s">
        <v>41</v>
      </c>
      <c r="T336" s="1">
        <v>1</v>
      </c>
      <c r="U336" s="1"/>
      <c r="V336" s="1"/>
      <c r="W336" s="1"/>
      <c r="X336" s="1"/>
      <c r="Y336" s="1" t="s">
        <v>42</v>
      </c>
      <c r="Z336" s="1" t="s">
        <v>43</v>
      </c>
    </row>
    <row r="337" spans="1:26" ht="30" x14ac:dyDescent="0.25">
      <c r="A337" s="1">
        <v>2457160.8574999999</v>
      </c>
      <c r="B337" s="1" t="s">
        <v>86</v>
      </c>
      <c r="C337" s="1">
        <v>8.0980000000000008</v>
      </c>
      <c r="D337" s="1">
        <v>0.02</v>
      </c>
      <c r="E337" s="1" t="s">
        <v>34</v>
      </c>
      <c r="F337" s="1" t="s">
        <v>22</v>
      </c>
      <c r="G337" s="1" t="s">
        <v>36</v>
      </c>
      <c r="H337" s="1">
        <v>65</v>
      </c>
      <c r="I337" s="1">
        <v>94</v>
      </c>
      <c r="J337" s="1" t="s">
        <v>68</v>
      </c>
      <c r="K337" s="1"/>
      <c r="L337" s="1"/>
      <c r="M337" s="1" t="s">
        <v>40</v>
      </c>
      <c r="N337" s="1"/>
      <c r="O337" s="1">
        <v>6.4219999999999997</v>
      </c>
      <c r="P337" s="1">
        <v>9.5519999999999996</v>
      </c>
      <c r="Q337" s="1"/>
      <c r="R337" s="1"/>
      <c r="S337" s="1" t="s">
        <v>41</v>
      </c>
      <c r="T337" s="1">
        <v>1</v>
      </c>
      <c r="U337" s="1"/>
      <c r="V337" s="1"/>
      <c r="W337" s="1"/>
      <c r="X337" s="1"/>
      <c r="Y337" s="1" t="s">
        <v>42</v>
      </c>
      <c r="Z337" s="1" t="s">
        <v>43</v>
      </c>
    </row>
    <row r="338" spans="1:26" ht="30" x14ac:dyDescent="0.25">
      <c r="A338" s="1">
        <v>2457160.86815</v>
      </c>
      <c r="B338" s="1" t="s">
        <v>86</v>
      </c>
      <c r="C338" s="1">
        <v>8.0749999999999993</v>
      </c>
      <c r="D338" s="1">
        <v>0.02</v>
      </c>
      <c r="E338" s="1" t="s">
        <v>34</v>
      </c>
      <c r="F338" s="1" t="s">
        <v>22</v>
      </c>
      <c r="G338" s="1" t="s">
        <v>36</v>
      </c>
      <c r="H338" s="1">
        <v>65</v>
      </c>
      <c r="I338" s="1">
        <v>94</v>
      </c>
      <c r="J338" s="1" t="s">
        <v>68</v>
      </c>
      <c r="K338" s="1"/>
      <c r="L338" s="1"/>
      <c r="M338" s="1" t="s">
        <v>40</v>
      </c>
      <c r="N338" s="1"/>
      <c r="O338" s="1">
        <v>6.4219999999999997</v>
      </c>
      <c r="P338" s="1">
        <v>9.5440000000000005</v>
      </c>
      <c r="Q338" s="1"/>
      <c r="R338" s="1"/>
      <c r="S338" s="1" t="s">
        <v>41</v>
      </c>
      <c r="T338" s="1">
        <v>1</v>
      </c>
      <c r="U338" s="1"/>
      <c r="V338" s="1"/>
      <c r="W338" s="1"/>
      <c r="X338" s="1"/>
      <c r="Y338" s="1" t="s">
        <v>42</v>
      </c>
      <c r="Z338" s="1" t="s">
        <v>43</v>
      </c>
    </row>
    <row r="339" spans="1:26" ht="30" x14ac:dyDescent="0.25">
      <c r="A339" s="1">
        <v>2457160.8787799999</v>
      </c>
      <c r="B339" s="1" t="s">
        <v>86</v>
      </c>
      <c r="C339" s="1">
        <v>8.0679999999999996</v>
      </c>
      <c r="D339" s="1">
        <v>0.02</v>
      </c>
      <c r="E339" s="1" t="s">
        <v>34</v>
      </c>
      <c r="F339" s="1" t="s">
        <v>22</v>
      </c>
      <c r="G339" s="1" t="s">
        <v>36</v>
      </c>
      <c r="H339" s="1">
        <v>65</v>
      </c>
      <c r="I339" s="1">
        <v>94</v>
      </c>
      <c r="J339" s="1" t="s">
        <v>68</v>
      </c>
      <c r="K339" s="1"/>
      <c r="L339" s="1"/>
      <c r="M339" s="1" t="s">
        <v>40</v>
      </c>
      <c r="N339" s="1"/>
      <c r="O339" s="1">
        <v>6.4219999999999997</v>
      </c>
      <c r="P339" s="1">
        <v>9.5229999999999997</v>
      </c>
      <c r="Q339" s="1"/>
      <c r="R339" s="1"/>
      <c r="S339" s="1" t="s">
        <v>41</v>
      </c>
      <c r="T339" s="1">
        <v>1</v>
      </c>
      <c r="U339" s="1"/>
      <c r="V339" s="1"/>
      <c r="W339" s="1"/>
      <c r="X339" s="1"/>
      <c r="Y339" s="1" t="s">
        <v>42</v>
      </c>
      <c r="Z339" s="1" t="s">
        <v>43</v>
      </c>
    </row>
    <row r="340" spans="1:26" ht="30" x14ac:dyDescent="0.25">
      <c r="A340" s="1">
        <v>2457160.8959499998</v>
      </c>
      <c r="B340" s="1" t="s">
        <v>86</v>
      </c>
      <c r="C340" s="1">
        <v>8.1129999999999995</v>
      </c>
      <c r="D340" s="1">
        <v>0.02</v>
      </c>
      <c r="E340" s="1" t="s">
        <v>34</v>
      </c>
      <c r="F340" s="1" t="s">
        <v>22</v>
      </c>
      <c r="G340" s="1" t="s">
        <v>36</v>
      </c>
      <c r="H340" s="1">
        <v>65</v>
      </c>
      <c r="I340" s="1">
        <v>94</v>
      </c>
      <c r="J340" s="1" t="s">
        <v>68</v>
      </c>
      <c r="K340" s="1"/>
      <c r="L340" s="1"/>
      <c r="M340" s="1" t="s">
        <v>40</v>
      </c>
      <c r="N340" s="1"/>
      <c r="O340" s="1">
        <v>6.4219999999999997</v>
      </c>
      <c r="P340" s="1">
        <v>9.548</v>
      </c>
      <c r="Q340" s="1"/>
      <c r="R340" s="1"/>
      <c r="S340" s="1" t="s">
        <v>41</v>
      </c>
      <c r="T340" s="1">
        <v>1</v>
      </c>
      <c r="U340" s="1"/>
      <c r="V340" s="1"/>
      <c r="W340" s="1"/>
      <c r="X340" s="1"/>
      <c r="Y340" s="1" t="s">
        <v>42</v>
      </c>
      <c r="Z340" s="1" t="s">
        <v>43</v>
      </c>
    </row>
    <row r="341" spans="1:26" ht="30" x14ac:dyDescent="0.25">
      <c r="A341" s="1">
        <v>2457160.9131299998</v>
      </c>
      <c r="B341" s="1" t="s">
        <v>86</v>
      </c>
      <c r="C341" s="1">
        <v>8.0269999999999992</v>
      </c>
      <c r="D341" s="1">
        <v>0.02</v>
      </c>
      <c r="E341" s="1" t="s">
        <v>34</v>
      </c>
      <c r="F341" s="1" t="s">
        <v>22</v>
      </c>
      <c r="G341" s="1" t="s">
        <v>36</v>
      </c>
      <c r="H341" s="1">
        <v>65</v>
      </c>
      <c r="I341" s="1">
        <v>94</v>
      </c>
      <c r="J341" s="1" t="s">
        <v>68</v>
      </c>
      <c r="K341" s="1"/>
      <c r="L341" s="1"/>
      <c r="M341" s="1" t="s">
        <v>40</v>
      </c>
      <c r="N341" s="1"/>
      <c r="O341" s="1">
        <v>6.4219999999999997</v>
      </c>
      <c r="P341" s="1">
        <v>9.5830000000000002</v>
      </c>
      <c r="Q341" s="1"/>
      <c r="R341" s="1"/>
      <c r="S341" s="1" t="s">
        <v>41</v>
      </c>
      <c r="T341" s="1">
        <v>1</v>
      </c>
      <c r="U341" s="1"/>
      <c r="V341" s="1"/>
      <c r="W341" s="1"/>
      <c r="X341" s="1"/>
      <c r="Y341" s="1" t="s">
        <v>42</v>
      </c>
      <c r="Z341" s="1" t="s">
        <v>43</v>
      </c>
    </row>
    <row r="342" spans="1:26" ht="30" x14ac:dyDescent="0.25">
      <c r="A342" s="1">
        <v>2457160.9303000001</v>
      </c>
      <c r="B342" s="1" t="s">
        <v>86</v>
      </c>
      <c r="C342" s="1">
        <v>8.1259999999999994</v>
      </c>
      <c r="D342" s="1">
        <v>0.02</v>
      </c>
      <c r="E342" s="1" t="s">
        <v>34</v>
      </c>
      <c r="F342" s="1" t="s">
        <v>22</v>
      </c>
      <c r="G342" s="1" t="s">
        <v>36</v>
      </c>
      <c r="H342" s="1">
        <v>65</v>
      </c>
      <c r="I342" s="1">
        <v>94</v>
      </c>
      <c r="J342" s="1" t="s">
        <v>68</v>
      </c>
      <c r="K342" s="1"/>
      <c r="L342" s="1"/>
      <c r="M342" s="1" t="s">
        <v>40</v>
      </c>
      <c r="N342" s="1"/>
      <c r="O342" s="1">
        <v>6.4219999999999997</v>
      </c>
      <c r="P342" s="1">
        <v>9.5289999999999999</v>
      </c>
      <c r="Q342" s="1"/>
      <c r="R342" s="1"/>
      <c r="S342" s="1" t="s">
        <v>41</v>
      </c>
      <c r="T342" s="1">
        <v>1</v>
      </c>
      <c r="U342" s="1"/>
      <c r="V342" s="1"/>
      <c r="W342" s="1"/>
      <c r="X342" s="1"/>
      <c r="Y342" s="1" t="s">
        <v>42</v>
      </c>
      <c r="Z342" s="1" t="s">
        <v>43</v>
      </c>
    </row>
    <row r="343" spans="1:26" ht="30" x14ac:dyDescent="0.25">
      <c r="A343" s="1">
        <v>2457162.76847</v>
      </c>
      <c r="B343" s="1" t="s">
        <v>87</v>
      </c>
      <c r="C343" s="1">
        <v>7.891</v>
      </c>
      <c r="D343" s="1">
        <v>0.02</v>
      </c>
      <c r="E343" s="1" t="s">
        <v>34</v>
      </c>
      <c r="F343" s="1" t="s">
        <v>22</v>
      </c>
      <c r="G343" s="1" t="s">
        <v>36</v>
      </c>
      <c r="H343" s="1">
        <v>65</v>
      </c>
      <c r="I343" s="1">
        <v>94</v>
      </c>
      <c r="J343" s="1" t="s">
        <v>68</v>
      </c>
      <c r="K343" s="1"/>
      <c r="L343" s="1"/>
      <c r="M343" s="1" t="s">
        <v>40</v>
      </c>
      <c r="N343" s="1"/>
      <c r="O343" s="1">
        <v>6.4219999999999997</v>
      </c>
      <c r="P343" s="1">
        <v>9.5229999999999997</v>
      </c>
      <c r="Q343" s="1"/>
      <c r="R343" s="1"/>
      <c r="S343" s="1" t="s">
        <v>41</v>
      </c>
      <c r="T343" s="1">
        <v>1</v>
      </c>
      <c r="U343" s="1"/>
      <c r="V343" s="1"/>
      <c r="W343" s="1"/>
      <c r="X343" s="1"/>
      <c r="Y343" s="1" t="s">
        <v>42</v>
      </c>
      <c r="Z343" s="1" t="s">
        <v>43</v>
      </c>
    </row>
    <row r="344" spans="1:26" ht="30" x14ac:dyDescent="0.25">
      <c r="A344" s="1">
        <v>2457162.7852400001</v>
      </c>
      <c r="B344" s="1" t="s">
        <v>87</v>
      </c>
      <c r="C344" s="1">
        <v>7.968</v>
      </c>
      <c r="D344" s="1">
        <v>0.02</v>
      </c>
      <c r="E344" s="1" t="s">
        <v>34</v>
      </c>
      <c r="F344" s="1" t="s">
        <v>22</v>
      </c>
      <c r="G344" s="1" t="s">
        <v>36</v>
      </c>
      <c r="H344" s="1">
        <v>65</v>
      </c>
      <c r="I344" s="1">
        <v>94</v>
      </c>
      <c r="J344" s="1" t="s">
        <v>68</v>
      </c>
      <c r="K344" s="1"/>
      <c r="L344" s="1"/>
      <c r="M344" s="1" t="s">
        <v>40</v>
      </c>
      <c r="N344" s="1"/>
      <c r="O344" s="1">
        <v>6.4219999999999997</v>
      </c>
      <c r="P344" s="1">
        <v>9.5969999999999995</v>
      </c>
      <c r="Q344" s="1"/>
      <c r="R344" s="1"/>
      <c r="S344" s="1" t="s">
        <v>41</v>
      </c>
      <c r="T344" s="1">
        <v>1</v>
      </c>
      <c r="U344" s="1"/>
      <c r="V344" s="1"/>
      <c r="W344" s="1"/>
      <c r="X344" s="1"/>
      <c r="Y344" s="1" t="s">
        <v>42</v>
      </c>
      <c r="Z344" s="1" t="s">
        <v>43</v>
      </c>
    </row>
    <row r="345" spans="1:26" ht="30" x14ac:dyDescent="0.25">
      <c r="A345" s="1">
        <v>2457162.7934699999</v>
      </c>
      <c r="B345" s="1" t="s">
        <v>87</v>
      </c>
      <c r="C345" s="1">
        <v>7.8280000000000003</v>
      </c>
      <c r="D345" s="1">
        <v>0.02</v>
      </c>
      <c r="E345" s="1" t="s">
        <v>34</v>
      </c>
      <c r="F345" s="1" t="s">
        <v>22</v>
      </c>
      <c r="G345" s="1" t="s">
        <v>36</v>
      </c>
      <c r="H345" s="1">
        <v>65</v>
      </c>
      <c r="I345" s="1">
        <v>94</v>
      </c>
      <c r="J345" s="1" t="s">
        <v>68</v>
      </c>
      <c r="K345" s="1"/>
      <c r="L345" s="1"/>
      <c r="M345" s="1" t="s">
        <v>40</v>
      </c>
      <c r="N345" s="1"/>
      <c r="O345" s="1">
        <v>6.4219999999999997</v>
      </c>
      <c r="P345" s="1">
        <v>9.5969999999999995</v>
      </c>
      <c r="Q345" s="1"/>
      <c r="R345" s="1"/>
      <c r="S345" s="1" t="s">
        <v>41</v>
      </c>
      <c r="T345" s="1">
        <v>1</v>
      </c>
      <c r="U345" s="1"/>
      <c r="V345" s="1"/>
      <c r="W345" s="1"/>
      <c r="X345" s="1"/>
      <c r="Y345" s="1" t="s">
        <v>42</v>
      </c>
      <c r="Z345" s="1" t="s">
        <v>43</v>
      </c>
    </row>
    <row r="346" spans="1:26" ht="30" x14ac:dyDescent="0.25">
      <c r="A346" s="1">
        <v>2457162.8003699998</v>
      </c>
      <c r="B346" s="1" t="s">
        <v>87</v>
      </c>
      <c r="C346" s="1">
        <v>7.8070000000000004</v>
      </c>
      <c r="D346" s="1">
        <v>0.02</v>
      </c>
      <c r="E346" s="1" t="s">
        <v>34</v>
      </c>
      <c r="F346" s="1" t="s">
        <v>22</v>
      </c>
      <c r="G346" s="1" t="s">
        <v>36</v>
      </c>
      <c r="H346" s="1">
        <v>65</v>
      </c>
      <c r="I346" s="1">
        <v>94</v>
      </c>
      <c r="J346" s="1" t="s">
        <v>68</v>
      </c>
      <c r="K346" s="1"/>
      <c r="L346" s="1"/>
      <c r="M346" s="1" t="s">
        <v>40</v>
      </c>
      <c r="N346" s="1"/>
      <c r="O346" s="1">
        <v>6.4219999999999997</v>
      </c>
      <c r="P346" s="1">
        <v>9.532</v>
      </c>
      <c r="Q346" s="1"/>
      <c r="R346" s="1"/>
      <c r="S346" s="1" t="s">
        <v>41</v>
      </c>
      <c r="T346" s="1">
        <v>1</v>
      </c>
      <c r="U346" s="1"/>
      <c r="V346" s="1"/>
      <c r="W346" s="1"/>
      <c r="X346" s="1"/>
      <c r="Y346" s="1" t="s">
        <v>42</v>
      </c>
      <c r="Z346" s="1" t="s">
        <v>43</v>
      </c>
    </row>
    <row r="347" spans="1:26" ht="60" x14ac:dyDescent="0.25">
      <c r="A347" s="1">
        <v>2457164.46912</v>
      </c>
      <c r="B347" s="1" t="s">
        <v>88</v>
      </c>
      <c r="C347" s="1">
        <v>7.7140000000000004</v>
      </c>
      <c r="D347" s="1">
        <v>0.06</v>
      </c>
      <c r="E347" s="1" t="s">
        <v>34</v>
      </c>
      <c r="F347" s="1" t="s">
        <v>89</v>
      </c>
      <c r="G347" s="1" t="s">
        <v>36</v>
      </c>
      <c r="H347" s="1">
        <v>107</v>
      </c>
      <c r="I347" s="1">
        <v>109</v>
      </c>
      <c r="J347" s="1" t="s">
        <v>90</v>
      </c>
      <c r="K347" s="1"/>
      <c r="L347" s="1" t="s">
        <v>105</v>
      </c>
      <c r="M347" s="1" t="s">
        <v>47</v>
      </c>
      <c r="N347" s="1">
        <v>1.292</v>
      </c>
      <c r="O347" s="1">
        <v>-10.439</v>
      </c>
      <c r="P347" s="1">
        <v>-9.3610000000000007</v>
      </c>
      <c r="Q347" s="1"/>
      <c r="R347" s="1"/>
      <c r="S347" s="1" t="s">
        <v>41</v>
      </c>
      <c r="T347" s="1">
        <v>1</v>
      </c>
      <c r="U347" s="1"/>
      <c r="V347" s="1"/>
      <c r="W347" s="1"/>
      <c r="X347" s="1"/>
      <c r="Y347" s="1" t="s">
        <v>42</v>
      </c>
      <c r="Z347" s="1" t="s">
        <v>43</v>
      </c>
    </row>
    <row r="348" spans="1:26" ht="30" x14ac:dyDescent="0.25">
      <c r="A348" s="1">
        <v>2457166.7584199999</v>
      </c>
      <c r="B348" s="1" t="s">
        <v>91</v>
      </c>
      <c r="C348" s="1">
        <v>7.548</v>
      </c>
      <c r="D348" s="1">
        <v>0.02</v>
      </c>
      <c r="E348" s="1" t="s">
        <v>34</v>
      </c>
      <c r="F348" s="1" t="s">
        <v>22</v>
      </c>
      <c r="G348" s="1" t="s">
        <v>36</v>
      </c>
      <c r="H348" s="1">
        <v>65</v>
      </c>
      <c r="I348" s="1">
        <v>94</v>
      </c>
      <c r="J348" s="1" t="s">
        <v>68</v>
      </c>
      <c r="K348" s="1"/>
      <c r="L348" s="1"/>
      <c r="M348" s="1" t="s">
        <v>40</v>
      </c>
      <c r="N348" s="1"/>
      <c r="O348" s="1">
        <v>6.4219999999999997</v>
      </c>
      <c r="P348" s="1">
        <v>9.5220000000000002</v>
      </c>
      <c r="Q348" s="1"/>
      <c r="R348" s="1"/>
      <c r="S348" s="1" t="s">
        <v>41</v>
      </c>
      <c r="T348" s="1">
        <v>1</v>
      </c>
      <c r="U348" s="1"/>
      <c r="V348" s="1"/>
      <c r="W348" s="1"/>
      <c r="X348" s="1"/>
      <c r="Y348" s="1" t="s">
        <v>42</v>
      </c>
      <c r="Z348" s="1" t="s">
        <v>43</v>
      </c>
    </row>
    <row r="349" spans="1:26" ht="30" x14ac:dyDescent="0.25">
      <c r="A349" s="1">
        <v>2457166.7751500001</v>
      </c>
      <c r="B349" s="1" t="s">
        <v>91</v>
      </c>
      <c r="C349" s="1">
        <v>7.2949999999999999</v>
      </c>
      <c r="D349" s="1">
        <v>0.02</v>
      </c>
      <c r="E349" s="1" t="s">
        <v>34</v>
      </c>
      <c r="F349" s="1" t="s">
        <v>22</v>
      </c>
      <c r="G349" s="1" t="s">
        <v>36</v>
      </c>
      <c r="H349" s="1">
        <v>65</v>
      </c>
      <c r="I349" s="1">
        <v>94</v>
      </c>
      <c r="J349" s="1" t="s">
        <v>68</v>
      </c>
      <c r="K349" s="1"/>
      <c r="L349" s="1"/>
      <c r="M349" s="1" t="s">
        <v>40</v>
      </c>
      <c r="N349" s="1"/>
      <c r="O349" s="1">
        <v>6.4219999999999997</v>
      </c>
      <c r="P349" s="1">
        <v>9.5039999999999996</v>
      </c>
      <c r="Q349" s="1"/>
      <c r="R349" s="1"/>
      <c r="S349" s="1" t="s">
        <v>41</v>
      </c>
      <c r="T349" s="1">
        <v>1</v>
      </c>
      <c r="U349" s="1"/>
      <c r="V349" s="1"/>
      <c r="W349" s="1"/>
      <c r="X349" s="1"/>
      <c r="Y349" s="1" t="s">
        <v>42</v>
      </c>
      <c r="Z349" s="1" t="s">
        <v>43</v>
      </c>
    </row>
    <row r="350" spans="1:26" ht="30" x14ac:dyDescent="0.25">
      <c r="A350" s="1">
        <v>2457166.7913199998</v>
      </c>
      <c r="B350" s="1" t="s">
        <v>91</v>
      </c>
      <c r="C350" s="1">
        <v>7.444</v>
      </c>
      <c r="D350" s="1">
        <v>0.02</v>
      </c>
      <c r="E350" s="1" t="s">
        <v>34</v>
      </c>
      <c r="F350" s="1" t="s">
        <v>22</v>
      </c>
      <c r="G350" s="1" t="s">
        <v>36</v>
      </c>
      <c r="H350" s="1">
        <v>65</v>
      </c>
      <c r="I350" s="1">
        <v>94</v>
      </c>
      <c r="J350" s="1" t="s">
        <v>68</v>
      </c>
      <c r="K350" s="1"/>
      <c r="L350" s="1"/>
      <c r="M350" s="1" t="s">
        <v>40</v>
      </c>
      <c r="N350" s="1"/>
      <c r="O350" s="1">
        <v>6.4219999999999997</v>
      </c>
      <c r="P350" s="1">
        <v>9.5549999999999997</v>
      </c>
      <c r="Q350" s="1"/>
      <c r="R350" s="1"/>
      <c r="S350" s="1" t="s">
        <v>41</v>
      </c>
      <c r="T350" s="1">
        <v>1</v>
      </c>
      <c r="U350" s="1"/>
      <c r="V350" s="1"/>
      <c r="W350" s="1"/>
      <c r="X350" s="1"/>
      <c r="Y350" s="1" t="s">
        <v>42</v>
      </c>
      <c r="Z350" s="1" t="s">
        <v>43</v>
      </c>
    </row>
    <row r="351" spans="1:26" ht="30" x14ac:dyDescent="0.25">
      <c r="A351" s="1">
        <v>2457166.8407700001</v>
      </c>
      <c r="B351" s="1" t="s">
        <v>91</v>
      </c>
      <c r="C351" s="1">
        <v>7.5039999999999996</v>
      </c>
      <c r="D351" s="1">
        <v>0.02</v>
      </c>
      <c r="E351" s="1" t="s">
        <v>34</v>
      </c>
      <c r="F351" s="1" t="s">
        <v>22</v>
      </c>
      <c r="G351" s="1" t="s">
        <v>36</v>
      </c>
      <c r="H351" s="1">
        <v>65</v>
      </c>
      <c r="I351" s="1">
        <v>94</v>
      </c>
      <c r="J351" s="1" t="s">
        <v>68</v>
      </c>
      <c r="K351" s="1"/>
      <c r="L351" s="1"/>
      <c r="M351" s="1" t="s">
        <v>40</v>
      </c>
      <c r="N351" s="1"/>
      <c r="O351" s="1">
        <v>6.4219999999999997</v>
      </c>
      <c r="P351" s="1">
        <v>9.5020000000000007</v>
      </c>
      <c r="Q351" s="1"/>
      <c r="R351" s="1"/>
      <c r="S351" s="1" t="s">
        <v>41</v>
      </c>
      <c r="T351" s="1">
        <v>1</v>
      </c>
      <c r="U351" s="1"/>
      <c r="V351" s="1"/>
      <c r="W351" s="1"/>
      <c r="X351" s="1"/>
      <c r="Y351" s="1" t="s">
        <v>42</v>
      </c>
      <c r="Z351" s="1" t="s">
        <v>43</v>
      </c>
    </row>
    <row r="352" spans="1:26" ht="30" x14ac:dyDescent="0.25">
      <c r="A352" s="1">
        <v>2457166.8515099999</v>
      </c>
      <c r="B352" s="1" t="s">
        <v>91</v>
      </c>
      <c r="C352" s="1">
        <v>7.6319999999999997</v>
      </c>
      <c r="D352" s="1">
        <v>0.02</v>
      </c>
      <c r="E352" s="1" t="s">
        <v>34</v>
      </c>
      <c r="F352" s="1" t="s">
        <v>22</v>
      </c>
      <c r="G352" s="1" t="s">
        <v>36</v>
      </c>
      <c r="H352" s="1">
        <v>65</v>
      </c>
      <c r="I352" s="1">
        <v>94</v>
      </c>
      <c r="J352" s="1" t="s">
        <v>68</v>
      </c>
      <c r="K352" s="1"/>
      <c r="L352" s="1"/>
      <c r="M352" s="1" t="s">
        <v>40</v>
      </c>
      <c r="N352" s="1"/>
      <c r="O352" s="1">
        <v>6.4219999999999997</v>
      </c>
      <c r="P352" s="1">
        <v>9.5809999999999995</v>
      </c>
      <c r="Q352" s="1"/>
      <c r="R352" s="1"/>
      <c r="S352" s="1" t="s">
        <v>41</v>
      </c>
      <c r="T352" s="1">
        <v>1</v>
      </c>
      <c r="U352" s="1"/>
      <c r="V352" s="1"/>
      <c r="W352" s="1"/>
      <c r="X352" s="1"/>
      <c r="Y352" s="1" t="s">
        <v>42</v>
      </c>
      <c r="Z352" s="1" t="s">
        <v>43</v>
      </c>
    </row>
    <row r="353" spans="1:26" ht="30" x14ac:dyDescent="0.25">
      <c r="A353" s="1">
        <v>2457166.8623899999</v>
      </c>
      <c r="B353" s="1" t="s">
        <v>91</v>
      </c>
      <c r="C353" s="1">
        <v>7.4130000000000003</v>
      </c>
      <c r="D353" s="1">
        <v>0.02</v>
      </c>
      <c r="E353" s="1" t="s">
        <v>34</v>
      </c>
      <c r="F353" s="1" t="s">
        <v>22</v>
      </c>
      <c r="G353" s="1" t="s">
        <v>36</v>
      </c>
      <c r="H353" s="1">
        <v>65</v>
      </c>
      <c r="I353" s="1">
        <v>94</v>
      </c>
      <c r="J353" s="1" t="s">
        <v>68</v>
      </c>
      <c r="K353" s="1"/>
      <c r="L353" s="1"/>
      <c r="M353" s="1" t="s">
        <v>40</v>
      </c>
      <c r="N353" s="1"/>
      <c r="O353" s="1">
        <v>6.4219999999999997</v>
      </c>
      <c r="P353" s="1">
        <v>9.5340000000000007</v>
      </c>
      <c r="Q353" s="1"/>
      <c r="R353" s="1"/>
      <c r="S353" s="1" t="s">
        <v>41</v>
      </c>
      <c r="T353" s="1">
        <v>1</v>
      </c>
      <c r="U353" s="1"/>
      <c r="V353" s="1"/>
      <c r="W353" s="1"/>
      <c r="X353" s="1"/>
      <c r="Y353" s="1" t="s">
        <v>42</v>
      </c>
      <c r="Z353" s="1" t="s">
        <v>43</v>
      </c>
    </row>
    <row r="354" spans="1:26" ht="30" x14ac:dyDescent="0.25">
      <c r="A354" s="1">
        <v>2457166.8795799999</v>
      </c>
      <c r="B354" s="1" t="s">
        <v>91</v>
      </c>
      <c r="C354" s="1">
        <v>7.508</v>
      </c>
      <c r="D354" s="1">
        <v>0.02</v>
      </c>
      <c r="E354" s="1" t="s">
        <v>34</v>
      </c>
      <c r="F354" s="1" t="s">
        <v>22</v>
      </c>
      <c r="G354" s="1" t="s">
        <v>36</v>
      </c>
      <c r="H354" s="1">
        <v>65</v>
      </c>
      <c r="I354" s="1">
        <v>94</v>
      </c>
      <c r="J354" s="1" t="s">
        <v>68</v>
      </c>
      <c r="K354" s="1"/>
      <c r="L354" s="1"/>
      <c r="M354" s="1" t="s">
        <v>40</v>
      </c>
      <c r="N354" s="1"/>
      <c r="O354" s="1">
        <v>6.4219999999999997</v>
      </c>
      <c r="P354" s="1">
        <v>9.5730000000000004</v>
      </c>
      <c r="Q354" s="1"/>
      <c r="R354" s="1"/>
      <c r="S354" s="1" t="s">
        <v>41</v>
      </c>
      <c r="T354" s="1">
        <v>1</v>
      </c>
      <c r="U354" s="1"/>
      <c r="V354" s="1"/>
      <c r="W354" s="1"/>
      <c r="X354" s="1"/>
      <c r="Y354" s="1" t="s">
        <v>42</v>
      </c>
      <c r="Z354" s="1" t="s">
        <v>43</v>
      </c>
    </row>
    <row r="355" spans="1:26" ht="30" x14ac:dyDescent="0.25">
      <c r="A355" s="1">
        <v>2457166.8968000002</v>
      </c>
      <c r="B355" s="1" t="s">
        <v>91</v>
      </c>
      <c r="C355" s="1">
        <v>7.29</v>
      </c>
      <c r="D355" s="1">
        <v>0.02</v>
      </c>
      <c r="E355" s="1" t="s">
        <v>34</v>
      </c>
      <c r="F355" s="1" t="s">
        <v>22</v>
      </c>
      <c r="G355" s="1" t="s">
        <v>36</v>
      </c>
      <c r="H355" s="1">
        <v>65</v>
      </c>
      <c r="I355" s="1">
        <v>94</v>
      </c>
      <c r="J355" s="1" t="s">
        <v>68</v>
      </c>
      <c r="K355" s="1"/>
      <c r="L355" s="1"/>
      <c r="M355" s="1" t="s">
        <v>40</v>
      </c>
      <c r="N355" s="1"/>
      <c r="O355" s="1">
        <v>6.4219999999999997</v>
      </c>
      <c r="P355" s="1">
        <v>9.5410000000000004</v>
      </c>
      <c r="Q355" s="1"/>
      <c r="R355" s="1"/>
      <c r="S355" s="1" t="s">
        <v>41</v>
      </c>
      <c r="T355" s="1">
        <v>1</v>
      </c>
      <c r="U355" s="1"/>
      <c r="V355" s="1"/>
      <c r="W355" s="1"/>
      <c r="X355" s="1"/>
      <c r="Y355" s="1" t="s">
        <v>42</v>
      </c>
      <c r="Z355" s="1" t="s">
        <v>43</v>
      </c>
    </row>
    <row r="356" spans="1:26" ht="30" x14ac:dyDescent="0.25">
      <c r="A356" s="1">
        <v>2457166.9139800002</v>
      </c>
      <c r="B356" s="1" t="s">
        <v>91</v>
      </c>
      <c r="C356" s="1">
        <v>7.1760000000000002</v>
      </c>
      <c r="D356" s="1">
        <v>0.02</v>
      </c>
      <c r="E356" s="1" t="s">
        <v>34</v>
      </c>
      <c r="F356" s="1" t="s">
        <v>22</v>
      </c>
      <c r="G356" s="1" t="s">
        <v>36</v>
      </c>
      <c r="H356" s="1">
        <v>65</v>
      </c>
      <c r="I356" s="1">
        <v>94</v>
      </c>
      <c r="J356" s="1" t="s">
        <v>68</v>
      </c>
      <c r="K356" s="1"/>
      <c r="L356" s="1"/>
      <c r="M356" s="1" t="s">
        <v>40</v>
      </c>
      <c r="N356" s="1"/>
      <c r="O356" s="1">
        <v>6.4219999999999997</v>
      </c>
      <c r="P356" s="1">
        <v>9.5190000000000001</v>
      </c>
      <c r="Q356" s="1"/>
      <c r="R356" s="1"/>
      <c r="S356" s="1" t="s">
        <v>41</v>
      </c>
      <c r="T356" s="1">
        <v>1</v>
      </c>
      <c r="U356" s="1"/>
      <c r="V356" s="1"/>
      <c r="W356" s="1"/>
      <c r="X356" s="1"/>
      <c r="Y356" s="1" t="s">
        <v>42</v>
      </c>
      <c r="Z356" s="1" t="s">
        <v>43</v>
      </c>
    </row>
    <row r="357" spans="1:26" ht="30" x14ac:dyDescent="0.25">
      <c r="A357" s="1">
        <v>2457166.9311299999</v>
      </c>
      <c r="B357" s="1" t="s">
        <v>91</v>
      </c>
      <c r="C357" s="1">
        <v>7.22</v>
      </c>
      <c r="D357" s="1">
        <v>0.02</v>
      </c>
      <c r="E357" s="1" t="s">
        <v>34</v>
      </c>
      <c r="F357" s="1" t="s">
        <v>22</v>
      </c>
      <c r="G357" s="1" t="s">
        <v>36</v>
      </c>
      <c r="H357" s="1">
        <v>65</v>
      </c>
      <c r="I357" s="1">
        <v>94</v>
      </c>
      <c r="J357" s="1" t="s">
        <v>68</v>
      </c>
      <c r="K357" s="1"/>
      <c r="L357" s="1"/>
      <c r="M357" s="1" t="s">
        <v>40</v>
      </c>
      <c r="N357" s="1"/>
      <c r="O357" s="1">
        <v>6.4219999999999997</v>
      </c>
      <c r="P357" s="1">
        <v>9.5790000000000006</v>
      </c>
      <c r="Q357" s="1"/>
      <c r="R357" s="1"/>
      <c r="S357" s="1" t="s">
        <v>41</v>
      </c>
      <c r="T357" s="1">
        <v>1</v>
      </c>
      <c r="U357" s="1"/>
      <c r="V357" s="1"/>
      <c r="W357" s="1"/>
      <c r="X357" s="1"/>
      <c r="Y357" s="1" t="s">
        <v>42</v>
      </c>
      <c r="Z357" s="1" t="s">
        <v>43</v>
      </c>
    </row>
    <row r="358" spans="1:26" ht="30" x14ac:dyDescent="0.25">
      <c r="A358" s="1">
        <v>2457167.75984</v>
      </c>
      <c r="B358" s="1" t="s">
        <v>92</v>
      </c>
      <c r="C358" s="1">
        <v>7.62</v>
      </c>
      <c r="D358" s="1">
        <v>0.02</v>
      </c>
      <c r="E358" s="1" t="s">
        <v>34</v>
      </c>
      <c r="F358" s="1" t="s">
        <v>22</v>
      </c>
      <c r="G358" s="1" t="s">
        <v>36</v>
      </c>
      <c r="H358" s="1">
        <v>65</v>
      </c>
      <c r="I358" s="1">
        <v>94</v>
      </c>
      <c r="J358" s="1" t="s">
        <v>68</v>
      </c>
      <c r="K358" s="1"/>
      <c r="L358" s="1"/>
      <c r="M358" s="1" t="s">
        <v>40</v>
      </c>
      <c r="N358" s="1"/>
      <c r="O358" s="1">
        <v>6.4219999999999997</v>
      </c>
      <c r="P358" s="1">
        <v>9.5109999999999992</v>
      </c>
      <c r="Q358" s="1"/>
      <c r="R358" s="1"/>
      <c r="S358" s="1" t="s">
        <v>41</v>
      </c>
      <c r="T358" s="1">
        <v>1</v>
      </c>
      <c r="U358" s="1"/>
      <c r="V358" s="1"/>
      <c r="W358" s="1"/>
      <c r="X358" s="1"/>
      <c r="Y358" s="1" t="s">
        <v>42</v>
      </c>
      <c r="Z358" s="1" t="s">
        <v>43</v>
      </c>
    </row>
    <row r="359" spans="1:26" ht="30" x14ac:dyDescent="0.25">
      <c r="A359" s="1">
        <v>2457167.7694399999</v>
      </c>
      <c r="B359" s="1" t="s">
        <v>92</v>
      </c>
      <c r="C359" s="1">
        <v>7.7510000000000003</v>
      </c>
      <c r="D359" s="1">
        <v>0.02</v>
      </c>
      <c r="E359" s="1" t="s">
        <v>34</v>
      </c>
      <c r="F359" s="1" t="s">
        <v>22</v>
      </c>
      <c r="G359" s="1" t="s">
        <v>36</v>
      </c>
      <c r="H359" s="1">
        <v>65</v>
      </c>
      <c r="I359" s="1">
        <v>94</v>
      </c>
      <c r="J359" s="1" t="s">
        <v>68</v>
      </c>
      <c r="K359" s="1"/>
      <c r="L359" s="1"/>
      <c r="M359" s="1" t="s">
        <v>40</v>
      </c>
      <c r="N359" s="1"/>
      <c r="O359" s="1">
        <v>6.4219999999999997</v>
      </c>
      <c r="P359" s="1">
        <v>9.5809999999999995</v>
      </c>
      <c r="Q359" s="1"/>
      <c r="R359" s="1"/>
      <c r="S359" s="1" t="s">
        <v>41</v>
      </c>
      <c r="T359" s="1">
        <v>1</v>
      </c>
      <c r="U359" s="1"/>
      <c r="V359" s="1"/>
      <c r="W359" s="1"/>
      <c r="X359" s="1"/>
      <c r="Y359" s="1" t="s">
        <v>42</v>
      </c>
      <c r="Z359" s="1" t="s">
        <v>43</v>
      </c>
    </row>
    <row r="360" spans="1:26" ht="30" x14ac:dyDescent="0.25">
      <c r="A360" s="1">
        <v>2457167.7790700002</v>
      </c>
      <c r="B360" s="1" t="s">
        <v>92</v>
      </c>
      <c r="C360" s="1">
        <v>7.6959999999999997</v>
      </c>
      <c r="D360" s="1">
        <v>0.02</v>
      </c>
      <c r="E360" s="1" t="s">
        <v>34</v>
      </c>
      <c r="F360" s="1" t="s">
        <v>22</v>
      </c>
      <c r="G360" s="1" t="s">
        <v>36</v>
      </c>
      <c r="H360" s="1">
        <v>65</v>
      </c>
      <c r="I360" s="1">
        <v>94</v>
      </c>
      <c r="J360" s="1" t="s">
        <v>68</v>
      </c>
      <c r="K360" s="1"/>
      <c r="L360" s="1"/>
      <c r="M360" s="1" t="s">
        <v>40</v>
      </c>
      <c r="N360" s="1"/>
      <c r="O360" s="1">
        <v>6.4219999999999997</v>
      </c>
      <c r="P360" s="1">
        <v>9.5879999999999992</v>
      </c>
      <c r="Q360" s="1"/>
      <c r="R360" s="1"/>
      <c r="S360" s="1" t="s">
        <v>41</v>
      </c>
      <c r="T360" s="1">
        <v>1</v>
      </c>
      <c r="U360" s="1"/>
      <c r="V360" s="1"/>
      <c r="W360" s="1"/>
      <c r="X360" s="1"/>
      <c r="Y360" s="1" t="s">
        <v>42</v>
      </c>
      <c r="Z360" s="1" t="s">
        <v>43</v>
      </c>
    </row>
    <row r="361" spans="1:26" ht="30" x14ac:dyDescent="0.25">
      <c r="A361" s="1">
        <v>2457168.7508299998</v>
      </c>
      <c r="B361" s="1" t="s">
        <v>93</v>
      </c>
      <c r="C361" s="1">
        <v>7.3280000000000003</v>
      </c>
      <c r="D361" s="1">
        <v>0.02</v>
      </c>
      <c r="E361" s="1" t="s">
        <v>34</v>
      </c>
      <c r="F361" s="1" t="s">
        <v>22</v>
      </c>
      <c r="G361" s="1" t="s">
        <v>36</v>
      </c>
      <c r="H361" s="1">
        <v>65</v>
      </c>
      <c r="I361" s="1">
        <v>94</v>
      </c>
      <c r="J361" s="1" t="s">
        <v>68</v>
      </c>
      <c r="K361" s="1"/>
      <c r="L361" s="1"/>
      <c r="M361" s="1" t="s">
        <v>40</v>
      </c>
      <c r="N361" s="1"/>
      <c r="O361" s="1">
        <v>6.4219999999999997</v>
      </c>
      <c r="P361" s="1">
        <v>9.5690000000000008</v>
      </c>
      <c r="Q361" s="1"/>
      <c r="R361" s="1"/>
      <c r="S361" s="1" t="s">
        <v>41</v>
      </c>
      <c r="T361" s="1">
        <v>1</v>
      </c>
      <c r="U361" s="1"/>
      <c r="V361" s="1"/>
      <c r="W361" s="1"/>
      <c r="X361" s="1"/>
      <c r="Y361" s="1" t="s">
        <v>42</v>
      </c>
      <c r="Z361" s="1" t="s">
        <v>43</v>
      </c>
    </row>
    <row r="362" spans="1:26" ht="30" x14ac:dyDescent="0.25">
      <c r="A362" s="1">
        <v>2457168.7676400002</v>
      </c>
      <c r="B362" s="1" t="s">
        <v>93</v>
      </c>
      <c r="C362" s="1">
        <v>7.6429999999999998</v>
      </c>
      <c r="D362" s="1">
        <v>0.02</v>
      </c>
      <c r="E362" s="1" t="s">
        <v>34</v>
      </c>
      <c r="F362" s="1" t="s">
        <v>22</v>
      </c>
      <c r="G362" s="1" t="s">
        <v>36</v>
      </c>
      <c r="H362" s="1">
        <v>65</v>
      </c>
      <c r="I362" s="1">
        <v>94</v>
      </c>
      <c r="J362" s="1" t="s">
        <v>68</v>
      </c>
      <c r="K362" s="1"/>
      <c r="L362" s="1"/>
      <c r="M362" s="1" t="s">
        <v>40</v>
      </c>
      <c r="N362" s="1"/>
      <c r="O362" s="1">
        <v>6.4219999999999997</v>
      </c>
      <c r="P362" s="1">
        <v>9.5679999999999996</v>
      </c>
      <c r="Q362" s="1"/>
      <c r="R362" s="1"/>
      <c r="S362" s="1" t="s">
        <v>41</v>
      </c>
      <c r="T362" s="1">
        <v>1</v>
      </c>
      <c r="U362" s="1"/>
      <c r="V362" s="1"/>
      <c r="W362" s="1"/>
      <c r="X362" s="1"/>
      <c r="Y362" s="1" t="s">
        <v>42</v>
      </c>
      <c r="Z362" s="1" t="s">
        <v>43</v>
      </c>
    </row>
    <row r="363" spans="1:26" ht="30" x14ac:dyDescent="0.25">
      <c r="A363" s="1">
        <v>2457168.7843300002</v>
      </c>
      <c r="B363" s="1" t="s">
        <v>93</v>
      </c>
      <c r="C363" s="1">
        <v>7.4489999999999998</v>
      </c>
      <c r="D363" s="1">
        <v>0.02</v>
      </c>
      <c r="E363" s="1" t="s">
        <v>34</v>
      </c>
      <c r="F363" s="1" t="s">
        <v>22</v>
      </c>
      <c r="G363" s="1" t="s">
        <v>36</v>
      </c>
      <c r="H363" s="1">
        <v>65</v>
      </c>
      <c r="I363" s="1">
        <v>94</v>
      </c>
      <c r="J363" s="1" t="s">
        <v>68</v>
      </c>
      <c r="K363" s="1"/>
      <c r="L363" s="1"/>
      <c r="M363" s="1" t="s">
        <v>40</v>
      </c>
      <c r="N363" s="1"/>
      <c r="O363" s="1">
        <v>6.4219999999999997</v>
      </c>
      <c r="P363" s="1">
        <v>9.5640000000000001</v>
      </c>
      <c r="Q363" s="1"/>
      <c r="R363" s="1"/>
      <c r="S363" s="1" t="s">
        <v>41</v>
      </c>
      <c r="T363" s="1">
        <v>1</v>
      </c>
      <c r="U363" s="1"/>
      <c r="V363" s="1"/>
      <c r="W363" s="1"/>
      <c r="X363" s="1"/>
      <c r="Y363" s="1" t="s">
        <v>42</v>
      </c>
      <c r="Z363" s="1" t="s">
        <v>43</v>
      </c>
    </row>
    <row r="364" spans="1:26" ht="30" x14ac:dyDescent="0.25">
      <c r="A364" s="1">
        <v>2457168.7926500002</v>
      </c>
      <c r="B364" s="1" t="s">
        <v>93</v>
      </c>
      <c r="C364" s="1">
        <v>7.5090000000000003</v>
      </c>
      <c r="D364" s="1">
        <v>0.02</v>
      </c>
      <c r="E364" s="1" t="s">
        <v>34</v>
      </c>
      <c r="F364" s="1" t="s">
        <v>22</v>
      </c>
      <c r="G364" s="1" t="s">
        <v>36</v>
      </c>
      <c r="H364" s="1">
        <v>65</v>
      </c>
      <c r="I364" s="1">
        <v>94</v>
      </c>
      <c r="J364" s="1" t="s">
        <v>68</v>
      </c>
      <c r="K364" s="1"/>
      <c r="L364" s="1"/>
      <c r="M364" s="1" t="s">
        <v>40</v>
      </c>
      <c r="N364" s="1"/>
      <c r="O364" s="1">
        <v>6.4219999999999997</v>
      </c>
      <c r="P364" s="1">
        <v>9.5329999999999995</v>
      </c>
      <c r="Q364" s="1"/>
      <c r="R364" s="1"/>
      <c r="S364" s="1" t="s">
        <v>41</v>
      </c>
      <c r="T364" s="1">
        <v>1</v>
      </c>
      <c r="U364" s="1"/>
      <c r="V364" s="1"/>
      <c r="W364" s="1"/>
      <c r="X364" s="1"/>
      <c r="Y364" s="1" t="s">
        <v>42</v>
      </c>
      <c r="Z364" s="1" t="s">
        <v>43</v>
      </c>
    </row>
    <row r="365" spans="1:26" ht="30" x14ac:dyDescent="0.25">
      <c r="A365" s="1">
        <v>2457168.8034700002</v>
      </c>
      <c r="B365" s="1" t="s">
        <v>93</v>
      </c>
      <c r="C365" s="1">
        <v>7.4770000000000003</v>
      </c>
      <c r="D365" s="1">
        <v>0.02</v>
      </c>
      <c r="E365" s="1" t="s">
        <v>34</v>
      </c>
      <c r="F365" s="1" t="s">
        <v>22</v>
      </c>
      <c r="G365" s="1" t="s">
        <v>36</v>
      </c>
      <c r="H365" s="1">
        <v>65</v>
      </c>
      <c r="I365" s="1">
        <v>94</v>
      </c>
      <c r="J365" s="1" t="s">
        <v>68</v>
      </c>
      <c r="K365" s="1"/>
      <c r="L365" s="1"/>
      <c r="M365" s="1" t="s">
        <v>40</v>
      </c>
      <c r="N365" s="1"/>
      <c r="O365" s="1">
        <v>6.4219999999999997</v>
      </c>
      <c r="P365" s="1">
        <v>9.5719999999999992</v>
      </c>
      <c r="Q365" s="1"/>
      <c r="R365" s="1"/>
      <c r="S365" s="1" t="s">
        <v>41</v>
      </c>
      <c r="T365" s="1">
        <v>1</v>
      </c>
      <c r="U365" s="1"/>
      <c r="V365" s="1"/>
      <c r="W365" s="1"/>
      <c r="X365" s="1"/>
      <c r="Y365" s="1" t="s">
        <v>42</v>
      </c>
      <c r="Z365" s="1" t="s">
        <v>43</v>
      </c>
    </row>
    <row r="366" spans="1:26" ht="30" x14ac:dyDescent="0.25">
      <c r="A366" s="1">
        <v>2457168.81427</v>
      </c>
      <c r="B366" s="1" t="s">
        <v>93</v>
      </c>
      <c r="C366" s="1">
        <v>7.3689999999999998</v>
      </c>
      <c r="D366" s="1">
        <v>0.02</v>
      </c>
      <c r="E366" s="1" t="s">
        <v>34</v>
      </c>
      <c r="F366" s="1" t="s">
        <v>22</v>
      </c>
      <c r="G366" s="1" t="s">
        <v>36</v>
      </c>
      <c r="H366" s="1">
        <v>65</v>
      </c>
      <c r="I366" s="1">
        <v>94</v>
      </c>
      <c r="J366" s="1" t="s">
        <v>68</v>
      </c>
      <c r="K366" s="1"/>
      <c r="L366" s="1"/>
      <c r="M366" s="1" t="s">
        <v>40</v>
      </c>
      <c r="N366" s="1"/>
      <c r="O366" s="1">
        <v>6.4219999999999997</v>
      </c>
      <c r="P366" s="1">
        <v>9.5410000000000004</v>
      </c>
      <c r="Q366" s="1"/>
      <c r="R366" s="1"/>
      <c r="S366" s="1" t="s">
        <v>41</v>
      </c>
      <c r="T366" s="1">
        <v>1</v>
      </c>
      <c r="U366" s="1"/>
      <c r="V366" s="1"/>
      <c r="W366" s="1"/>
      <c r="X366" s="1"/>
      <c r="Y366" s="1" t="s">
        <v>42</v>
      </c>
      <c r="Z366" s="1" t="s">
        <v>43</v>
      </c>
    </row>
    <row r="367" spans="1:26" ht="30" x14ac:dyDescent="0.25">
      <c r="A367" s="1">
        <v>2457168.8251499999</v>
      </c>
      <c r="B367" s="1" t="s">
        <v>93</v>
      </c>
      <c r="C367" s="1">
        <v>7.3230000000000004</v>
      </c>
      <c r="D367" s="1">
        <v>0.02</v>
      </c>
      <c r="E367" s="1" t="s">
        <v>34</v>
      </c>
      <c r="F367" s="1" t="s">
        <v>22</v>
      </c>
      <c r="G367" s="1" t="s">
        <v>36</v>
      </c>
      <c r="H367" s="1">
        <v>65</v>
      </c>
      <c r="I367" s="1">
        <v>94</v>
      </c>
      <c r="J367" s="1" t="s">
        <v>68</v>
      </c>
      <c r="K367" s="1"/>
      <c r="L367" s="1"/>
      <c r="M367" s="1" t="s">
        <v>40</v>
      </c>
      <c r="N367" s="1"/>
      <c r="O367" s="1">
        <v>6.4219999999999997</v>
      </c>
      <c r="P367" s="1">
        <v>9.5020000000000007</v>
      </c>
      <c r="Q367" s="1"/>
      <c r="R367" s="1"/>
      <c r="S367" s="1" t="s">
        <v>41</v>
      </c>
      <c r="T367" s="1">
        <v>1</v>
      </c>
      <c r="U367" s="1"/>
      <c r="V367" s="1"/>
      <c r="W367" s="1"/>
      <c r="X367" s="1"/>
      <c r="Y367" s="1" t="s">
        <v>42</v>
      </c>
      <c r="Z367" s="1" t="s">
        <v>43</v>
      </c>
    </row>
    <row r="368" spans="1:26" ht="30" x14ac:dyDescent="0.25">
      <c r="A368" s="1">
        <v>2457168.8360000001</v>
      </c>
      <c r="B368" s="1" t="s">
        <v>93</v>
      </c>
      <c r="C368" s="1">
        <v>7.4029999999999996</v>
      </c>
      <c r="D368" s="1">
        <v>0.02</v>
      </c>
      <c r="E368" s="1" t="s">
        <v>34</v>
      </c>
      <c r="F368" s="1" t="s">
        <v>22</v>
      </c>
      <c r="G368" s="1" t="s">
        <v>36</v>
      </c>
      <c r="H368" s="1">
        <v>65</v>
      </c>
      <c r="I368" s="1">
        <v>94</v>
      </c>
      <c r="J368" s="1" t="s">
        <v>68</v>
      </c>
      <c r="K368" s="1"/>
      <c r="L368" s="1"/>
      <c r="M368" s="1" t="s">
        <v>40</v>
      </c>
      <c r="N368" s="1"/>
      <c r="O368" s="1">
        <v>6.4219999999999997</v>
      </c>
      <c r="P368" s="1">
        <v>9.5570000000000004</v>
      </c>
      <c r="Q368" s="1"/>
      <c r="R368" s="1"/>
      <c r="S368" s="1" t="s">
        <v>41</v>
      </c>
      <c r="T368" s="1">
        <v>1</v>
      </c>
      <c r="U368" s="1"/>
      <c r="V368" s="1"/>
      <c r="W368" s="1"/>
      <c r="X368" s="1"/>
      <c r="Y368" s="1" t="s">
        <v>42</v>
      </c>
      <c r="Z368" s="1" t="s">
        <v>43</v>
      </c>
    </row>
    <row r="369" spans="1:26" ht="30" x14ac:dyDescent="0.25">
      <c r="A369" s="1">
        <v>2457168.8469099998</v>
      </c>
      <c r="B369" s="1" t="s">
        <v>93</v>
      </c>
      <c r="C369" s="1">
        <v>7.3369999999999997</v>
      </c>
      <c r="D369" s="1">
        <v>0.02</v>
      </c>
      <c r="E369" s="1" t="s">
        <v>34</v>
      </c>
      <c r="F369" s="1" t="s">
        <v>22</v>
      </c>
      <c r="G369" s="1" t="s">
        <v>36</v>
      </c>
      <c r="H369" s="1">
        <v>65</v>
      </c>
      <c r="I369" s="1">
        <v>94</v>
      </c>
      <c r="J369" s="1" t="s">
        <v>68</v>
      </c>
      <c r="K369" s="1"/>
      <c r="L369" s="1"/>
      <c r="M369" s="1" t="s">
        <v>40</v>
      </c>
      <c r="N369" s="1"/>
      <c r="O369" s="1">
        <v>6.4219999999999997</v>
      </c>
      <c r="P369" s="1">
        <v>9.5470000000000006</v>
      </c>
      <c r="Q369" s="1"/>
      <c r="R369" s="1"/>
      <c r="S369" s="1" t="s">
        <v>41</v>
      </c>
      <c r="T369" s="1">
        <v>1</v>
      </c>
      <c r="U369" s="1"/>
      <c r="V369" s="1"/>
      <c r="W369" s="1"/>
      <c r="X369" s="1"/>
      <c r="Y369" s="1" t="s">
        <v>42</v>
      </c>
      <c r="Z369" s="1" t="s">
        <v>43</v>
      </c>
    </row>
    <row r="370" spans="1:26" ht="30" x14ac:dyDescent="0.25">
      <c r="A370" s="1">
        <v>2457168.8577299998</v>
      </c>
      <c r="B370" s="1" t="s">
        <v>93</v>
      </c>
      <c r="C370" s="1">
        <v>7.2409999999999997</v>
      </c>
      <c r="D370" s="1">
        <v>0.02</v>
      </c>
      <c r="E370" s="1" t="s">
        <v>34</v>
      </c>
      <c r="F370" s="1" t="s">
        <v>22</v>
      </c>
      <c r="G370" s="1" t="s">
        <v>36</v>
      </c>
      <c r="H370" s="1">
        <v>65</v>
      </c>
      <c r="I370" s="1">
        <v>94</v>
      </c>
      <c r="J370" s="1" t="s">
        <v>68</v>
      </c>
      <c r="K370" s="1"/>
      <c r="L370" s="1"/>
      <c r="M370" s="1" t="s">
        <v>40</v>
      </c>
      <c r="N370" s="1"/>
      <c r="O370" s="1">
        <v>6.4219999999999997</v>
      </c>
      <c r="P370" s="1">
        <v>9.5500000000000007</v>
      </c>
      <c r="Q370" s="1"/>
      <c r="R370" s="1"/>
      <c r="S370" s="1" t="s">
        <v>41</v>
      </c>
      <c r="T370" s="1">
        <v>1</v>
      </c>
      <c r="U370" s="1"/>
      <c r="V370" s="1"/>
      <c r="W370" s="1"/>
      <c r="X370" s="1"/>
      <c r="Y370" s="1" t="s">
        <v>42</v>
      </c>
      <c r="Z370" s="1" t="s">
        <v>43</v>
      </c>
    </row>
    <row r="371" spans="1:26" ht="30" x14ac:dyDescent="0.25">
      <c r="A371" s="1">
        <v>2457168.8751699999</v>
      </c>
      <c r="B371" s="1" t="s">
        <v>93</v>
      </c>
      <c r="C371" s="1">
        <v>7.4029999999999996</v>
      </c>
      <c r="D371" s="1">
        <v>0.02</v>
      </c>
      <c r="E371" s="1" t="s">
        <v>34</v>
      </c>
      <c r="F371" s="1" t="s">
        <v>22</v>
      </c>
      <c r="G371" s="1" t="s">
        <v>36</v>
      </c>
      <c r="H371" s="1">
        <v>65</v>
      </c>
      <c r="I371" s="1">
        <v>94</v>
      </c>
      <c r="J371" s="1" t="s">
        <v>68</v>
      </c>
      <c r="K371" s="1"/>
      <c r="L371" s="1"/>
      <c r="M371" s="1" t="s">
        <v>40</v>
      </c>
      <c r="N371" s="1"/>
      <c r="O371" s="1">
        <v>6.4219999999999997</v>
      </c>
      <c r="P371" s="1">
        <v>9.5660000000000007</v>
      </c>
      <c r="Q371" s="1"/>
      <c r="R371" s="1"/>
      <c r="S371" s="1" t="s">
        <v>41</v>
      </c>
      <c r="T371" s="1">
        <v>1</v>
      </c>
      <c r="U371" s="1"/>
      <c r="V371" s="1"/>
      <c r="W371" s="1"/>
      <c r="X371" s="1"/>
      <c r="Y371" s="1" t="s">
        <v>42</v>
      </c>
      <c r="Z371" s="1" t="s">
        <v>43</v>
      </c>
    </row>
    <row r="372" spans="1:26" ht="30" x14ac:dyDescent="0.25">
      <c r="A372" s="1">
        <v>2457168.8925899998</v>
      </c>
      <c r="B372" s="1" t="s">
        <v>93</v>
      </c>
      <c r="C372" s="1">
        <v>7.6349999999999998</v>
      </c>
      <c r="D372" s="1">
        <v>0.02</v>
      </c>
      <c r="E372" s="1" t="s">
        <v>34</v>
      </c>
      <c r="F372" s="1" t="s">
        <v>22</v>
      </c>
      <c r="G372" s="1" t="s">
        <v>36</v>
      </c>
      <c r="H372" s="1">
        <v>65</v>
      </c>
      <c r="I372" s="1">
        <v>94</v>
      </c>
      <c r="J372" s="1" t="s">
        <v>68</v>
      </c>
      <c r="K372" s="1"/>
      <c r="L372" s="1"/>
      <c r="M372" s="1" t="s">
        <v>40</v>
      </c>
      <c r="N372" s="1"/>
      <c r="O372" s="1">
        <v>6.4219999999999997</v>
      </c>
      <c r="P372" s="1">
        <v>9.5640000000000001</v>
      </c>
      <c r="Q372" s="1"/>
      <c r="R372" s="1"/>
      <c r="S372" s="1" t="s">
        <v>41</v>
      </c>
      <c r="T372" s="1">
        <v>1</v>
      </c>
      <c r="U372" s="1"/>
      <c r="V372" s="1"/>
      <c r="W372" s="1"/>
      <c r="X372" s="1"/>
      <c r="Y372" s="1" t="s">
        <v>42</v>
      </c>
      <c r="Z372" s="1" t="s">
        <v>43</v>
      </c>
    </row>
    <row r="373" spans="1:26" ht="30" x14ac:dyDescent="0.25">
      <c r="A373" s="1">
        <v>2457168.9099400002</v>
      </c>
      <c r="B373" s="1" t="s">
        <v>93</v>
      </c>
      <c r="C373" s="1">
        <v>7.5490000000000004</v>
      </c>
      <c r="D373" s="1">
        <v>0.02</v>
      </c>
      <c r="E373" s="1" t="s">
        <v>34</v>
      </c>
      <c r="F373" s="1" t="s">
        <v>22</v>
      </c>
      <c r="G373" s="1" t="s">
        <v>36</v>
      </c>
      <c r="H373" s="1">
        <v>65</v>
      </c>
      <c r="I373" s="1">
        <v>94</v>
      </c>
      <c r="J373" s="1" t="s">
        <v>68</v>
      </c>
      <c r="K373" s="1"/>
      <c r="L373" s="1"/>
      <c r="M373" s="1" t="s">
        <v>40</v>
      </c>
      <c r="N373" s="1"/>
      <c r="O373" s="1">
        <v>6.4219999999999997</v>
      </c>
      <c r="P373" s="1">
        <v>9.5500000000000007</v>
      </c>
      <c r="Q373" s="1"/>
      <c r="R373" s="1"/>
      <c r="S373" s="1" t="s">
        <v>41</v>
      </c>
      <c r="T373" s="1">
        <v>1</v>
      </c>
      <c r="U373" s="1"/>
      <c r="V373" s="1"/>
      <c r="W373" s="1"/>
      <c r="X373" s="1"/>
      <c r="Y373" s="1" t="s">
        <v>42</v>
      </c>
      <c r="Z373" s="1" t="s">
        <v>43</v>
      </c>
    </row>
    <row r="374" spans="1:26" ht="30" x14ac:dyDescent="0.25">
      <c r="A374" s="1">
        <v>2457168.9273600001</v>
      </c>
      <c r="B374" s="1" t="s">
        <v>93</v>
      </c>
      <c r="C374" s="1">
        <v>7.3540000000000001</v>
      </c>
      <c r="D374" s="1">
        <v>0.02</v>
      </c>
      <c r="E374" s="1" t="s">
        <v>34</v>
      </c>
      <c r="F374" s="1" t="s">
        <v>22</v>
      </c>
      <c r="G374" s="1" t="s">
        <v>36</v>
      </c>
      <c r="H374" s="1">
        <v>65</v>
      </c>
      <c r="I374" s="1">
        <v>94</v>
      </c>
      <c r="J374" s="1" t="s">
        <v>68</v>
      </c>
      <c r="K374" s="1"/>
      <c r="L374" s="1"/>
      <c r="M374" s="1" t="s">
        <v>40</v>
      </c>
      <c r="N374" s="1"/>
      <c r="O374" s="1">
        <v>6.4219999999999997</v>
      </c>
      <c r="P374" s="1">
        <v>9.5280000000000005</v>
      </c>
      <c r="Q374" s="1"/>
      <c r="R374" s="1"/>
      <c r="S374" s="1" t="s">
        <v>41</v>
      </c>
      <c r="T374" s="1">
        <v>1</v>
      </c>
      <c r="U374" s="1"/>
      <c r="V374" s="1"/>
      <c r="W374" s="1"/>
      <c r="X374" s="1"/>
      <c r="Y374" s="1" t="s">
        <v>42</v>
      </c>
      <c r="Z374" s="1" t="s">
        <v>43</v>
      </c>
    </row>
    <row r="375" spans="1:26" ht="30" x14ac:dyDescent="0.25">
      <c r="A375" s="1">
        <v>2457170.7633500001</v>
      </c>
      <c r="B375" s="1" t="s">
        <v>94</v>
      </c>
      <c r="C375" s="1">
        <v>7.7169999999999996</v>
      </c>
      <c r="D375" s="1">
        <v>0.02</v>
      </c>
      <c r="E375" s="1" t="s">
        <v>34</v>
      </c>
      <c r="F375" s="1" t="s">
        <v>22</v>
      </c>
      <c r="G375" s="1" t="s">
        <v>36</v>
      </c>
      <c r="H375" s="1">
        <v>65</v>
      </c>
      <c r="I375" s="1">
        <v>94</v>
      </c>
      <c r="J375" s="1" t="s">
        <v>68</v>
      </c>
      <c r="K375" s="1"/>
      <c r="L375" s="1"/>
      <c r="M375" s="1" t="s">
        <v>40</v>
      </c>
      <c r="N375" s="1"/>
      <c r="O375" s="1">
        <v>6.4219999999999997</v>
      </c>
      <c r="P375" s="1">
        <v>9.7029999999999994</v>
      </c>
      <c r="Q375" s="1"/>
      <c r="R375" s="1"/>
      <c r="S375" s="1" t="s">
        <v>41</v>
      </c>
      <c r="T375" s="1">
        <v>1</v>
      </c>
      <c r="U375" s="1"/>
      <c r="V375" s="1"/>
      <c r="W375" s="1"/>
      <c r="X375" s="1"/>
      <c r="Y375" s="1" t="s">
        <v>42</v>
      </c>
      <c r="Z375" s="1" t="s">
        <v>43</v>
      </c>
    </row>
    <row r="376" spans="1:26" ht="30" x14ac:dyDescent="0.25">
      <c r="A376" s="1">
        <v>2457170.7976099998</v>
      </c>
      <c r="B376" s="1" t="s">
        <v>94</v>
      </c>
      <c r="C376" s="1">
        <v>7.593</v>
      </c>
      <c r="D376" s="1">
        <v>0.02</v>
      </c>
      <c r="E376" s="1" t="s">
        <v>34</v>
      </c>
      <c r="F376" s="1" t="s">
        <v>22</v>
      </c>
      <c r="G376" s="1" t="s">
        <v>36</v>
      </c>
      <c r="H376" s="1">
        <v>65</v>
      </c>
      <c r="I376" s="1">
        <v>94</v>
      </c>
      <c r="J376" s="1" t="s">
        <v>68</v>
      </c>
      <c r="K376" s="1"/>
      <c r="L376" s="1"/>
      <c r="M376" s="1" t="s">
        <v>40</v>
      </c>
      <c r="N376" s="1"/>
      <c r="O376" s="1">
        <v>6.4219999999999997</v>
      </c>
      <c r="P376" s="1">
        <v>9.4410000000000007</v>
      </c>
      <c r="Q376" s="1"/>
      <c r="R376" s="1"/>
      <c r="S376" s="1" t="s">
        <v>41</v>
      </c>
      <c r="T376" s="1">
        <v>1</v>
      </c>
      <c r="U376" s="1"/>
      <c r="V376" s="1"/>
      <c r="W376" s="1"/>
      <c r="X376" s="1"/>
      <c r="Y376" s="1" t="s">
        <v>42</v>
      </c>
      <c r="Z376" s="1" t="s">
        <v>43</v>
      </c>
    </row>
    <row r="377" spans="1:26" ht="30" x14ac:dyDescent="0.25">
      <c r="A377" s="1">
        <v>2457170.8189099999</v>
      </c>
      <c r="B377" s="1" t="s">
        <v>94</v>
      </c>
      <c r="C377" s="1">
        <v>7.46</v>
      </c>
      <c r="D377" s="1">
        <v>0.02</v>
      </c>
      <c r="E377" s="1" t="s">
        <v>34</v>
      </c>
      <c r="F377" s="1" t="s">
        <v>22</v>
      </c>
      <c r="G377" s="1" t="s">
        <v>36</v>
      </c>
      <c r="H377" s="1">
        <v>65</v>
      </c>
      <c r="I377" s="1">
        <v>94</v>
      </c>
      <c r="J377" s="1" t="s">
        <v>68</v>
      </c>
      <c r="K377" s="1"/>
      <c r="L377" s="1"/>
      <c r="M377" s="1" t="s">
        <v>40</v>
      </c>
      <c r="N377" s="1"/>
      <c r="O377" s="1">
        <v>6.4219999999999997</v>
      </c>
      <c r="P377" s="1">
        <v>9.5640000000000001</v>
      </c>
      <c r="Q377" s="1"/>
      <c r="R377" s="1"/>
      <c r="S377" s="1" t="s">
        <v>41</v>
      </c>
      <c r="T377" s="1">
        <v>1</v>
      </c>
      <c r="U377" s="1"/>
      <c r="V377" s="1"/>
      <c r="W377" s="1"/>
      <c r="X377" s="1"/>
      <c r="Y377" s="1" t="s">
        <v>42</v>
      </c>
      <c r="Z377" s="1" t="s">
        <v>43</v>
      </c>
    </row>
    <row r="378" spans="1:26" ht="30" x14ac:dyDescent="0.25">
      <c r="A378" s="1">
        <v>2457170.82956</v>
      </c>
      <c r="B378" s="1" t="s">
        <v>94</v>
      </c>
      <c r="C378" s="1">
        <v>7.806</v>
      </c>
      <c r="D378" s="1">
        <v>0.02</v>
      </c>
      <c r="E378" s="1" t="s">
        <v>34</v>
      </c>
      <c r="F378" s="1" t="s">
        <v>22</v>
      </c>
      <c r="G378" s="1" t="s">
        <v>36</v>
      </c>
      <c r="H378" s="1">
        <v>65</v>
      </c>
      <c r="I378" s="1">
        <v>94</v>
      </c>
      <c r="J378" s="1" t="s">
        <v>68</v>
      </c>
      <c r="K378" s="1"/>
      <c r="L378" s="1"/>
      <c r="M378" s="1" t="s">
        <v>40</v>
      </c>
      <c r="N378" s="1"/>
      <c r="O378" s="1">
        <v>6.4219999999999997</v>
      </c>
      <c r="P378" s="1">
        <v>9.6519999999999992</v>
      </c>
      <c r="Q378" s="1"/>
      <c r="R378" s="1"/>
      <c r="S378" s="1" t="s">
        <v>41</v>
      </c>
      <c r="T378" s="1">
        <v>1</v>
      </c>
      <c r="U378" s="1"/>
      <c r="V378" s="1"/>
      <c r="W378" s="1"/>
      <c r="X378" s="1"/>
      <c r="Y378" s="1" t="s">
        <v>42</v>
      </c>
      <c r="Z378" s="1" t="s">
        <v>43</v>
      </c>
    </row>
    <row r="379" spans="1:26" ht="30" x14ac:dyDescent="0.25">
      <c r="A379" s="1">
        <v>2457170.8402499999</v>
      </c>
      <c r="B379" s="1" t="s">
        <v>94</v>
      </c>
      <c r="C379" s="1">
        <v>7.5540000000000003</v>
      </c>
      <c r="D379" s="1">
        <v>0.02</v>
      </c>
      <c r="E379" s="1" t="s">
        <v>34</v>
      </c>
      <c r="F379" s="1" t="s">
        <v>22</v>
      </c>
      <c r="G379" s="1" t="s">
        <v>36</v>
      </c>
      <c r="H379" s="1">
        <v>65</v>
      </c>
      <c r="I379" s="1">
        <v>94</v>
      </c>
      <c r="J379" s="1" t="s">
        <v>68</v>
      </c>
      <c r="K379" s="1"/>
      <c r="L379" s="1"/>
      <c r="M379" s="1" t="s">
        <v>40</v>
      </c>
      <c r="N379" s="1"/>
      <c r="O379" s="1">
        <v>6.4219999999999997</v>
      </c>
      <c r="P379" s="1">
        <v>9.6020000000000003</v>
      </c>
      <c r="Q379" s="1"/>
      <c r="R379" s="1"/>
      <c r="S379" s="1" t="s">
        <v>41</v>
      </c>
      <c r="T379" s="1">
        <v>1</v>
      </c>
      <c r="U379" s="1"/>
      <c r="V379" s="1"/>
      <c r="W379" s="1"/>
      <c r="X379" s="1"/>
      <c r="Y379" s="1" t="s">
        <v>42</v>
      </c>
      <c r="Z379" s="1" t="s">
        <v>43</v>
      </c>
    </row>
    <row r="380" spans="1:26" ht="30" x14ac:dyDescent="0.25">
      <c r="A380" s="1">
        <v>2457170.8509499999</v>
      </c>
      <c r="B380" s="1" t="s">
        <v>94</v>
      </c>
      <c r="C380" s="1">
        <v>7.3140000000000001</v>
      </c>
      <c r="D380" s="1">
        <v>0.02</v>
      </c>
      <c r="E380" s="1" t="s">
        <v>34</v>
      </c>
      <c r="F380" s="1" t="s">
        <v>22</v>
      </c>
      <c r="G380" s="1" t="s">
        <v>36</v>
      </c>
      <c r="H380" s="1">
        <v>65</v>
      </c>
      <c r="I380" s="1">
        <v>94</v>
      </c>
      <c r="J380" s="1" t="s">
        <v>68</v>
      </c>
      <c r="K380" s="1"/>
      <c r="L380" s="1"/>
      <c r="M380" s="1" t="s">
        <v>40</v>
      </c>
      <c r="N380" s="1"/>
      <c r="O380" s="1">
        <v>6.4219999999999997</v>
      </c>
      <c r="P380" s="1">
        <v>9.5879999999999992</v>
      </c>
      <c r="Q380" s="1"/>
      <c r="R380" s="1"/>
      <c r="S380" s="1" t="s">
        <v>41</v>
      </c>
      <c r="T380" s="1">
        <v>1</v>
      </c>
      <c r="U380" s="1"/>
      <c r="V380" s="1"/>
      <c r="W380" s="1"/>
      <c r="X380" s="1"/>
      <c r="Y380" s="1" t="s">
        <v>42</v>
      </c>
      <c r="Z380" s="1" t="s">
        <v>43</v>
      </c>
    </row>
    <row r="381" spans="1:26" ht="30" x14ac:dyDescent="0.25">
      <c r="A381" s="1">
        <v>2457170.8680799999</v>
      </c>
      <c r="B381" s="1" t="s">
        <v>94</v>
      </c>
      <c r="C381" s="1">
        <v>7.492</v>
      </c>
      <c r="D381" s="1">
        <v>0.02</v>
      </c>
      <c r="E381" s="1" t="s">
        <v>34</v>
      </c>
      <c r="F381" s="1" t="s">
        <v>22</v>
      </c>
      <c r="G381" s="1" t="s">
        <v>36</v>
      </c>
      <c r="H381" s="1">
        <v>65</v>
      </c>
      <c r="I381" s="1">
        <v>94</v>
      </c>
      <c r="J381" s="1" t="s">
        <v>68</v>
      </c>
      <c r="K381" s="1"/>
      <c r="L381" s="1"/>
      <c r="M381" s="1" t="s">
        <v>40</v>
      </c>
      <c r="N381" s="1"/>
      <c r="O381" s="1">
        <v>6.4219999999999997</v>
      </c>
      <c r="P381" s="1">
        <v>9.8320000000000007</v>
      </c>
      <c r="Q381" s="1"/>
      <c r="R381" s="1"/>
      <c r="S381" s="1" t="s">
        <v>41</v>
      </c>
      <c r="T381" s="1">
        <v>1</v>
      </c>
      <c r="U381" s="1"/>
      <c r="V381" s="1"/>
      <c r="W381" s="1"/>
      <c r="X381" s="1"/>
      <c r="Y381" s="1" t="s">
        <v>42</v>
      </c>
      <c r="Z381" s="1" t="s">
        <v>43</v>
      </c>
    </row>
    <row r="382" spans="1:26" ht="30" x14ac:dyDescent="0.25">
      <c r="A382" s="1">
        <v>2457170.8852200001</v>
      </c>
      <c r="B382" s="1" t="s">
        <v>94</v>
      </c>
      <c r="C382" s="1">
        <v>7.4089999999999998</v>
      </c>
      <c r="D382" s="1">
        <v>0.02</v>
      </c>
      <c r="E382" s="1" t="s">
        <v>34</v>
      </c>
      <c r="F382" s="1" t="s">
        <v>22</v>
      </c>
      <c r="G382" s="1" t="s">
        <v>36</v>
      </c>
      <c r="H382" s="1">
        <v>65</v>
      </c>
      <c r="I382" s="1">
        <v>94</v>
      </c>
      <c r="J382" s="1" t="s">
        <v>68</v>
      </c>
      <c r="K382" s="1"/>
      <c r="L382" s="1"/>
      <c r="M382" s="1" t="s">
        <v>40</v>
      </c>
      <c r="N382" s="1"/>
      <c r="O382" s="1">
        <v>6.4219999999999997</v>
      </c>
      <c r="P382" s="1">
        <v>9.8179999999999996</v>
      </c>
      <c r="Q382" s="1"/>
      <c r="R382" s="1"/>
      <c r="S382" s="1" t="s">
        <v>41</v>
      </c>
      <c r="T382" s="1">
        <v>1</v>
      </c>
      <c r="U382" s="1"/>
      <c r="V382" s="1"/>
      <c r="W382" s="1"/>
      <c r="X382" s="1"/>
      <c r="Y382" s="1" t="s">
        <v>42</v>
      </c>
      <c r="Z382" s="1" t="s">
        <v>43</v>
      </c>
    </row>
    <row r="383" spans="1:26" ht="30" x14ac:dyDescent="0.25">
      <c r="A383" s="1">
        <v>2457170.9023199999</v>
      </c>
      <c r="B383" s="1" t="s">
        <v>94</v>
      </c>
      <c r="C383" s="1">
        <v>7.274</v>
      </c>
      <c r="D383" s="1">
        <v>0.02</v>
      </c>
      <c r="E383" s="1" t="s">
        <v>34</v>
      </c>
      <c r="F383" s="1" t="s">
        <v>22</v>
      </c>
      <c r="G383" s="1" t="s">
        <v>36</v>
      </c>
      <c r="H383" s="1">
        <v>65</v>
      </c>
      <c r="I383" s="1">
        <v>94</v>
      </c>
      <c r="J383" s="1" t="s">
        <v>68</v>
      </c>
      <c r="K383" s="1"/>
      <c r="L383" s="1"/>
      <c r="M383" s="1" t="s">
        <v>40</v>
      </c>
      <c r="N383" s="1"/>
      <c r="O383" s="1">
        <v>6.4219999999999997</v>
      </c>
      <c r="P383" s="1">
        <v>9.8030000000000008</v>
      </c>
      <c r="Q383" s="1"/>
      <c r="R383" s="1"/>
      <c r="S383" s="1" t="s">
        <v>41</v>
      </c>
      <c r="T383" s="1">
        <v>1</v>
      </c>
      <c r="U383" s="1"/>
      <c r="V383" s="1"/>
      <c r="W383" s="1"/>
      <c r="X383" s="1"/>
      <c r="Y383" s="1" t="s">
        <v>42</v>
      </c>
      <c r="Z383" s="1" t="s">
        <v>43</v>
      </c>
    </row>
    <row r="384" spans="1:26" ht="30" x14ac:dyDescent="0.25">
      <c r="A384" s="1">
        <v>2457170.9194399999</v>
      </c>
      <c r="B384" s="1" t="s">
        <v>94</v>
      </c>
      <c r="C384" s="1">
        <v>7.3540000000000001</v>
      </c>
      <c r="D384" s="1">
        <v>0.02</v>
      </c>
      <c r="E384" s="1" t="s">
        <v>34</v>
      </c>
      <c r="F384" s="1" t="s">
        <v>22</v>
      </c>
      <c r="G384" s="1" t="s">
        <v>36</v>
      </c>
      <c r="H384" s="1">
        <v>65</v>
      </c>
      <c r="I384" s="1">
        <v>94</v>
      </c>
      <c r="J384" s="1" t="s">
        <v>68</v>
      </c>
      <c r="K384" s="1"/>
      <c r="L384" s="1"/>
      <c r="M384" s="1" t="s">
        <v>40</v>
      </c>
      <c r="N384" s="1"/>
      <c r="O384" s="1">
        <v>6.4219999999999997</v>
      </c>
      <c r="P384" s="1">
        <v>9.7889999999999997</v>
      </c>
      <c r="Q384" s="1"/>
      <c r="R384" s="1"/>
      <c r="S384" s="1" t="s">
        <v>41</v>
      </c>
      <c r="T384" s="1">
        <v>1</v>
      </c>
      <c r="U384" s="1"/>
      <c r="V384" s="1"/>
      <c r="W384" s="1"/>
      <c r="X384" s="1"/>
      <c r="Y384" s="1" t="s">
        <v>42</v>
      </c>
      <c r="Z384" s="1" t="s">
        <v>43</v>
      </c>
    </row>
    <row r="385" spans="1:26" ht="30" x14ac:dyDescent="0.25">
      <c r="A385" s="1">
        <v>2457170.9365400001</v>
      </c>
      <c r="B385" s="1" t="s">
        <v>94</v>
      </c>
      <c r="C385" s="1">
        <v>7.3049999999999997</v>
      </c>
      <c r="D385" s="1">
        <v>0.02</v>
      </c>
      <c r="E385" s="1" t="s">
        <v>34</v>
      </c>
      <c r="F385" s="1" t="s">
        <v>22</v>
      </c>
      <c r="G385" s="1" t="s">
        <v>36</v>
      </c>
      <c r="H385" s="1">
        <v>65</v>
      </c>
      <c r="I385" s="1">
        <v>94</v>
      </c>
      <c r="J385" s="1" t="s">
        <v>68</v>
      </c>
      <c r="K385" s="1"/>
      <c r="L385" s="1"/>
      <c r="M385" s="1" t="s">
        <v>40</v>
      </c>
      <c r="N385" s="1"/>
      <c r="O385" s="1">
        <v>6.4219999999999997</v>
      </c>
      <c r="P385" s="1">
        <v>9.8219999999999992</v>
      </c>
      <c r="Q385" s="1"/>
      <c r="R385" s="1"/>
      <c r="S385" s="1" t="s">
        <v>41</v>
      </c>
      <c r="T385" s="1">
        <v>1</v>
      </c>
      <c r="U385" s="1"/>
      <c r="V385" s="1"/>
      <c r="W385" s="1"/>
      <c r="X385" s="1"/>
      <c r="Y385" s="1" t="s">
        <v>42</v>
      </c>
      <c r="Z385" s="1" t="s">
        <v>43</v>
      </c>
    </row>
    <row r="386" spans="1:26" ht="30" x14ac:dyDescent="0.25">
      <c r="A386" s="1">
        <v>2457171.7431000001</v>
      </c>
      <c r="B386" s="1" t="s">
        <v>95</v>
      </c>
      <c r="C386" s="1">
        <v>7.6470000000000002</v>
      </c>
      <c r="D386" s="1">
        <v>0.02</v>
      </c>
      <c r="E386" s="1" t="s">
        <v>34</v>
      </c>
      <c r="F386" s="1" t="s">
        <v>22</v>
      </c>
      <c r="G386" s="1" t="s">
        <v>36</v>
      </c>
      <c r="H386" s="1">
        <v>65</v>
      </c>
      <c r="I386" s="1">
        <v>94</v>
      </c>
      <c r="J386" s="1" t="s">
        <v>68</v>
      </c>
      <c r="K386" s="1"/>
      <c r="L386" s="1"/>
      <c r="M386" s="1" t="s">
        <v>40</v>
      </c>
      <c r="N386" s="1"/>
      <c r="O386" s="1">
        <v>6.4219999999999997</v>
      </c>
      <c r="P386" s="1">
        <v>9.5679999999999996</v>
      </c>
      <c r="Q386" s="1"/>
      <c r="R386" s="1"/>
      <c r="S386" s="1" t="s">
        <v>41</v>
      </c>
      <c r="T386" s="1">
        <v>1</v>
      </c>
      <c r="U386" s="1"/>
      <c r="V386" s="1"/>
      <c r="W386" s="1"/>
      <c r="X386" s="1"/>
      <c r="Y386" s="1" t="s">
        <v>42</v>
      </c>
      <c r="Z386" s="1" t="s">
        <v>43</v>
      </c>
    </row>
    <row r="387" spans="1:26" ht="30" x14ac:dyDescent="0.25">
      <c r="A387" s="1">
        <v>2457171.7598000001</v>
      </c>
      <c r="B387" s="1" t="s">
        <v>95</v>
      </c>
      <c r="C387" s="1">
        <v>7.6210000000000004</v>
      </c>
      <c r="D387" s="1">
        <v>0.02</v>
      </c>
      <c r="E387" s="1" t="s">
        <v>34</v>
      </c>
      <c r="F387" s="1" t="s">
        <v>22</v>
      </c>
      <c r="G387" s="1" t="s">
        <v>36</v>
      </c>
      <c r="H387" s="1">
        <v>65</v>
      </c>
      <c r="I387" s="1">
        <v>94</v>
      </c>
      <c r="J387" s="1" t="s">
        <v>68</v>
      </c>
      <c r="K387" s="1"/>
      <c r="L387" s="1"/>
      <c r="M387" s="1" t="s">
        <v>40</v>
      </c>
      <c r="N387" s="1"/>
      <c r="O387" s="1">
        <v>6.4219999999999997</v>
      </c>
      <c r="P387" s="1">
        <v>9.5779999999999994</v>
      </c>
      <c r="Q387" s="1"/>
      <c r="R387" s="1"/>
      <c r="S387" s="1" t="s">
        <v>41</v>
      </c>
      <c r="T387" s="1">
        <v>1</v>
      </c>
      <c r="U387" s="1"/>
      <c r="V387" s="1"/>
      <c r="W387" s="1"/>
      <c r="X387" s="1"/>
      <c r="Y387" s="1" t="s">
        <v>42</v>
      </c>
      <c r="Z387" s="1" t="s">
        <v>43</v>
      </c>
    </row>
    <row r="388" spans="1:26" ht="30" x14ac:dyDescent="0.25">
      <c r="A388" s="1">
        <v>2457171.7758399998</v>
      </c>
      <c r="B388" s="1" t="s">
        <v>95</v>
      </c>
      <c r="C388" s="1">
        <v>7.5810000000000004</v>
      </c>
      <c r="D388" s="1">
        <v>0.02</v>
      </c>
      <c r="E388" s="1" t="s">
        <v>34</v>
      </c>
      <c r="F388" s="1" t="s">
        <v>22</v>
      </c>
      <c r="G388" s="1" t="s">
        <v>36</v>
      </c>
      <c r="H388" s="1">
        <v>65</v>
      </c>
      <c r="I388" s="1">
        <v>94</v>
      </c>
      <c r="J388" s="1" t="s">
        <v>68</v>
      </c>
      <c r="K388" s="1"/>
      <c r="L388" s="1"/>
      <c r="M388" s="1" t="s">
        <v>40</v>
      </c>
      <c r="N388" s="1"/>
      <c r="O388" s="1">
        <v>6.4219999999999997</v>
      </c>
      <c r="P388" s="1">
        <v>9.5679999999999996</v>
      </c>
      <c r="Q388" s="1"/>
      <c r="R388" s="1"/>
      <c r="S388" s="1" t="s">
        <v>41</v>
      </c>
      <c r="T388" s="1">
        <v>1</v>
      </c>
      <c r="U388" s="1"/>
      <c r="V388" s="1"/>
      <c r="W388" s="1"/>
      <c r="X388" s="1"/>
      <c r="Y388" s="1" t="s">
        <v>42</v>
      </c>
      <c r="Z388" s="1" t="s">
        <v>43</v>
      </c>
    </row>
    <row r="389" spans="1:26" ht="30" x14ac:dyDescent="0.25">
      <c r="A389" s="1">
        <v>2457171.7853100002</v>
      </c>
      <c r="B389" s="1" t="s">
        <v>95</v>
      </c>
      <c r="C389" s="1">
        <v>7.61</v>
      </c>
      <c r="D389" s="1">
        <v>0.02</v>
      </c>
      <c r="E389" s="1" t="s">
        <v>34</v>
      </c>
      <c r="F389" s="1" t="s">
        <v>22</v>
      </c>
      <c r="G389" s="1" t="s">
        <v>36</v>
      </c>
      <c r="H389" s="1">
        <v>65</v>
      </c>
      <c r="I389" s="1">
        <v>94</v>
      </c>
      <c r="J389" s="1" t="s">
        <v>68</v>
      </c>
      <c r="K389" s="1"/>
      <c r="L389" s="1"/>
      <c r="M389" s="1" t="s">
        <v>40</v>
      </c>
      <c r="N389" s="1"/>
      <c r="O389" s="1">
        <v>6.4219999999999997</v>
      </c>
      <c r="P389" s="1">
        <v>9.4930000000000003</v>
      </c>
      <c r="Q389" s="1"/>
      <c r="R389" s="1"/>
      <c r="S389" s="1" t="s">
        <v>41</v>
      </c>
      <c r="T389" s="1">
        <v>1</v>
      </c>
      <c r="U389" s="1"/>
      <c r="V389" s="1"/>
      <c r="W389" s="1"/>
      <c r="X389" s="1"/>
      <c r="Y389" s="1" t="s">
        <v>42</v>
      </c>
      <c r="Z389" s="1" t="s">
        <v>43</v>
      </c>
    </row>
    <row r="390" spans="1:26" ht="30" x14ac:dyDescent="0.25">
      <c r="A390" s="1">
        <v>2457171.7959699999</v>
      </c>
      <c r="B390" s="1" t="s">
        <v>95</v>
      </c>
      <c r="C390" s="1">
        <v>7.6760000000000002</v>
      </c>
      <c r="D390" s="1">
        <v>0.02</v>
      </c>
      <c r="E390" s="1" t="s">
        <v>34</v>
      </c>
      <c r="F390" s="1" t="s">
        <v>22</v>
      </c>
      <c r="G390" s="1" t="s">
        <v>36</v>
      </c>
      <c r="H390" s="1">
        <v>65</v>
      </c>
      <c r="I390" s="1">
        <v>94</v>
      </c>
      <c r="J390" s="1" t="s">
        <v>68</v>
      </c>
      <c r="K390" s="1"/>
      <c r="L390" s="1"/>
      <c r="M390" s="1" t="s">
        <v>40</v>
      </c>
      <c r="N390" s="1"/>
      <c r="O390" s="1">
        <v>6.4219999999999997</v>
      </c>
      <c r="P390" s="1">
        <v>9.5470000000000006</v>
      </c>
      <c r="Q390" s="1"/>
      <c r="R390" s="1"/>
      <c r="S390" s="1" t="s">
        <v>41</v>
      </c>
      <c r="T390" s="1">
        <v>1</v>
      </c>
      <c r="U390" s="1"/>
      <c r="V390" s="1"/>
      <c r="W390" s="1"/>
      <c r="X390" s="1"/>
      <c r="Y390" s="1" t="s">
        <v>42</v>
      </c>
      <c r="Z390" s="1" t="s">
        <v>43</v>
      </c>
    </row>
    <row r="391" spans="1:26" ht="30" x14ac:dyDescent="0.25">
      <c r="A391" s="1">
        <v>2457171.8066599998</v>
      </c>
      <c r="B391" s="1" t="s">
        <v>95</v>
      </c>
      <c r="C391" s="1">
        <v>7.5439999999999996</v>
      </c>
      <c r="D391" s="1">
        <v>0.02</v>
      </c>
      <c r="E391" s="1" t="s">
        <v>34</v>
      </c>
      <c r="F391" s="1" t="s">
        <v>22</v>
      </c>
      <c r="G391" s="1" t="s">
        <v>36</v>
      </c>
      <c r="H391" s="1">
        <v>65</v>
      </c>
      <c r="I391" s="1">
        <v>94</v>
      </c>
      <c r="J391" s="1" t="s">
        <v>68</v>
      </c>
      <c r="K391" s="1"/>
      <c r="L391" s="1"/>
      <c r="M391" s="1" t="s">
        <v>40</v>
      </c>
      <c r="N391" s="1"/>
      <c r="O391" s="1">
        <v>6.4219999999999997</v>
      </c>
      <c r="P391" s="1">
        <v>9.5389999999999997</v>
      </c>
      <c r="Q391" s="1"/>
      <c r="R391" s="1"/>
      <c r="S391" s="1" t="s">
        <v>41</v>
      </c>
      <c r="T391" s="1">
        <v>1</v>
      </c>
      <c r="U391" s="1"/>
      <c r="V391" s="1"/>
      <c r="W391" s="1"/>
      <c r="X391" s="1"/>
      <c r="Y391" s="1" t="s">
        <v>42</v>
      </c>
      <c r="Z391" s="1" t="s">
        <v>43</v>
      </c>
    </row>
    <row r="392" spans="1:26" ht="30" x14ac:dyDescent="0.25">
      <c r="A392" s="1">
        <v>2457171.8173099998</v>
      </c>
      <c r="B392" s="1" t="s">
        <v>95</v>
      </c>
      <c r="C392" s="1">
        <v>7.5780000000000003</v>
      </c>
      <c r="D392" s="1">
        <v>0.02</v>
      </c>
      <c r="E392" s="1" t="s">
        <v>34</v>
      </c>
      <c r="F392" s="1" t="s">
        <v>22</v>
      </c>
      <c r="G392" s="1" t="s">
        <v>36</v>
      </c>
      <c r="H392" s="1">
        <v>65</v>
      </c>
      <c r="I392" s="1">
        <v>94</v>
      </c>
      <c r="J392" s="1" t="s">
        <v>68</v>
      </c>
      <c r="K392" s="1"/>
      <c r="L392" s="1"/>
      <c r="M392" s="1" t="s">
        <v>40</v>
      </c>
      <c r="N392" s="1"/>
      <c r="O392" s="1">
        <v>6.4219999999999997</v>
      </c>
      <c r="P392" s="1">
        <v>9.4939999999999998</v>
      </c>
      <c r="Q392" s="1"/>
      <c r="R392" s="1"/>
      <c r="S392" s="1" t="s">
        <v>41</v>
      </c>
      <c r="T392" s="1">
        <v>1</v>
      </c>
      <c r="U392" s="1"/>
      <c r="V392" s="1"/>
      <c r="W392" s="1"/>
      <c r="X392" s="1"/>
      <c r="Y392" s="1" t="s">
        <v>42</v>
      </c>
      <c r="Z392" s="1" t="s">
        <v>43</v>
      </c>
    </row>
    <row r="393" spans="1:26" ht="30" x14ac:dyDescent="0.25">
      <c r="A393" s="1">
        <v>2457171.82797</v>
      </c>
      <c r="B393" s="1" t="s">
        <v>95</v>
      </c>
      <c r="C393" s="1">
        <v>7.8070000000000004</v>
      </c>
      <c r="D393" s="1">
        <v>0.02</v>
      </c>
      <c r="E393" s="1" t="s">
        <v>34</v>
      </c>
      <c r="F393" s="1" t="s">
        <v>22</v>
      </c>
      <c r="G393" s="1" t="s">
        <v>36</v>
      </c>
      <c r="H393" s="1">
        <v>65</v>
      </c>
      <c r="I393" s="1">
        <v>94</v>
      </c>
      <c r="J393" s="1" t="s">
        <v>68</v>
      </c>
      <c r="K393" s="1"/>
      <c r="L393" s="1"/>
      <c r="M393" s="1" t="s">
        <v>40</v>
      </c>
      <c r="N393" s="1"/>
      <c r="O393" s="1">
        <v>6.4219999999999997</v>
      </c>
      <c r="P393" s="1">
        <v>9.5670000000000002</v>
      </c>
      <c r="Q393" s="1"/>
      <c r="R393" s="1"/>
      <c r="S393" s="1" t="s">
        <v>41</v>
      </c>
      <c r="T393" s="1">
        <v>1</v>
      </c>
      <c r="U393" s="1"/>
      <c r="V393" s="1"/>
      <c r="W393" s="1"/>
      <c r="X393" s="1"/>
      <c r="Y393" s="1" t="s">
        <v>42</v>
      </c>
      <c r="Z393" s="1" t="s">
        <v>43</v>
      </c>
    </row>
    <row r="394" spans="1:26" ht="30" x14ac:dyDescent="0.25">
      <c r="A394" s="1">
        <v>2457171.8386300001</v>
      </c>
      <c r="B394" s="1" t="s">
        <v>95</v>
      </c>
      <c r="C394" s="1">
        <v>7.8780000000000001</v>
      </c>
      <c r="D394" s="1">
        <v>0.02</v>
      </c>
      <c r="E394" s="1" t="s">
        <v>34</v>
      </c>
      <c r="F394" s="1" t="s">
        <v>22</v>
      </c>
      <c r="G394" s="1" t="s">
        <v>36</v>
      </c>
      <c r="H394" s="1">
        <v>65</v>
      </c>
      <c r="I394" s="1">
        <v>94</v>
      </c>
      <c r="J394" s="1" t="s">
        <v>68</v>
      </c>
      <c r="K394" s="1"/>
      <c r="L394" s="1"/>
      <c r="M394" s="1" t="s">
        <v>40</v>
      </c>
      <c r="N394" s="1"/>
      <c r="O394" s="1">
        <v>6.4219999999999997</v>
      </c>
      <c r="P394" s="1">
        <v>9.5579999999999998</v>
      </c>
      <c r="Q394" s="1"/>
      <c r="R394" s="1"/>
      <c r="S394" s="1" t="s">
        <v>41</v>
      </c>
      <c r="T394" s="1">
        <v>1</v>
      </c>
      <c r="U394" s="1"/>
      <c r="V394" s="1"/>
      <c r="W394" s="1"/>
      <c r="X394" s="1"/>
      <c r="Y394" s="1" t="s">
        <v>42</v>
      </c>
      <c r="Z394" s="1" t="s">
        <v>43</v>
      </c>
    </row>
    <row r="395" spans="1:26" ht="30" x14ac:dyDescent="0.25">
      <c r="A395" s="1">
        <v>2457171.8492999999</v>
      </c>
      <c r="B395" s="1" t="s">
        <v>95</v>
      </c>
      <c r="C395" s="1">
        <v>7.78</v>
      </c>
      <c r="D395" s="1">
        <v>0.02</v>
      </c>
      <c r="E395" s="1" t="s">
        <v>34</v>
      </c>
      <c r="F395" s="1" t="s">
        <v>22</v>
      </c>
      <c r="G395" s="1" t="s">
        <v>36</v>
      </c>
      <c r="H395" s="1">
        <v>65</v>
      </c>
      <c r="I395" s="1">
        <v>94</v>
      </c>
      <c r="J395" s="1" t="s">
        <v>68</v>
      </c>
      <c r="K395" s="1"/>
      <c r="L395" s="1"/>
      <c r="M395" s="1" t="s">
        <v>40</v>
      </c>
      <c r="N395" s="1"/>
      <c r="O395" s="1">
        <v>6.4219999999999997</v>
      </c>
      <c r="P395" s="1">
        <v>9.5570000000000004</v>
      </c>
      <c r="Q395" s="1"/>
      <c r="R395" s="1"/>
      <c r="S395" s="1" t="s">
        <v>41</v>
      </c>
      <c r="T395" s="1">
        <v>1</v>
      </c>
      <c r="U395" s="1"/>
      <c r="V395" s="1"/>
      <c r="W395" s="1"/>
      <c r="X395" s="1"/>
      <c r="Y395" s="1" t="s">
        <v>42</v>
      </c>
      <c r="Z395" s="1" t="s">
        <v>43</v>
      </c>
    </row>
    <row r="396" spans="1:26" ht="30" x14ac:dyDescent="0.25">
      <c r="A396" s="1">
        <v>2457171.8664699998</v>
      </c>
      <c r="B396" s="1" t="s">
        <v>95</v>
      </c>
      <c r="C396" s="1">
        <v>7.6740000000000004</v>
      </c>
      <c r="D396" s="1">
        <v>0.02</v>
      </c>
      <c r="E396" s="1" t="s">
        <v>34</v>
      </c>
      <c r="F396" s="1" t="s">
        <v>22</v>
      </c>
      <c r="G396" s="1" t="s">
        <v>36</v>
      </c>
      <c r="H396" s="1">
        <v>65</v>
      </c>
      <c r="I396" s="1">
        <v>94</v>
      </c>
      <c r="J396" s="1" t="s">
        <v>68</v>
      </c>
      <c r="K396" s="1"/>
      <c r="L396" s="1"/>
      <c r="M396" s="1" t="s">
        <v>40</v>
      </c>
      <c r="N396" s="1"/>
      <c r="O396" s="1">
        <v>6.4219999999999997</v>
      </c>
      <c r="P396" s="1">
        <v>9.5220000000000002</v>
      </c>
      <c r="Q396" s="1"/>
      <c r="R396" s="1"/>
      <c r="S396" s="1" t="s">
        <v>41</v>
      </c>
      <c r="T396" s="1">
        <v>1</v>
      </c>
      <c r="U396" s="1"/>
      <c r="V396" s="1"/>
      <c r="W396" s="1"/>
      <c r="X396" s="1"/>
      <c r="Y396" s="1" t="s">
        <v>42</v>
      </c>
      <c r="Z396" s="1" t="s">
        <v>43</v>
      </c>
    </row>
    <row r="397" spans="1:26" ht="30" x14ac:dyDescent="0.25">
      <c r="A397" s="1">
        <v>2457171.8835900002</v>
      </c>
      <c r="B397" s="1" t="s">
        <v>95</v>
      </c>
      <c r="C397" s="1">
        <v>7.4829999999999997</v>
      </c>
      <c r="D397" s="1">
        <v>0.02</v>
      </c>
      <c r="E397" s="1" t="s">
        <v>34</v>
      </c>
      <c r="F397" s="1" t="s">
        <v>22</v>
      </c>
      <c r="G397" s="1" t="s">
        <v>36</v>
      </c>
      <c r="H397" s="1">
        <v>65</v>
      </c>
      <c r="I397" s="1">
        <v>94</v>
      </c>
      <c r="J397" s="1" t="s">
        <v>68</v>
      </c>
      <c r="K397" s="1"/>
      <c r="L397" s="1"/>
      <c r="M397" s="1" t="s">
        <v>40</v>
      </c>
      <c r="N397" s="1"/>
      <c r="O397" s="1">
        <v>6.4219999999999997</v>
      </c>
      <c r="P397" s="1">
        <v>9.5250000000000004</v>
      </c>
      <c r="Q397" s="1"/>
      <c r="R397" s="1"/>
      <c r="S397" s="1" t="s">
        <v>41</v>
      </c>
      <c r="T397" s="1">
        <v>1</v>
      </c>
      <c r="U397" s="1"/>
      <c r="V397" s="1"/>
      <c r="W397" s="1"/>
      <c r="X397" s="1"/>
      <c r="Y397" s="1" t="s">
        <v>42</v>
      </c>
      <c r="Z397" s="1" t="s">
        <v>43</v>
      </c>
    </row>
    <row r="398" spans="1:26" ht="30" x14ac:dyDescent="0.25">
      <c r="A398" s="1">
        <v>2457171.90075</v>
      </c>
      <c r="B398" s="1" t="s">
        <v>95</v>
      </c>
      <c r="C398" s="1">
        <v>7.5389999999999997</v>
      </c>
      <c r="D398" s="1">
        <v>0.02</v>
      </c>
      <c r="E398" s="1" t="s">
        <v>34</v>
      </c>
      <c r="F398" s="1" t="s">
        <v>22</v>
      </c>
      <c r="G398" s="1" t="s">
        <v>36</v>
      </c>
      <c r="H398" s="1">
        <v>65</v>
      </c>
      <c r="I398" s="1">
        <v>94</v>
      </c>
      <c r="J398" s="1" t="s">
        <v>68</v>
      </c>
      <c r="K398" s="1"/>
      <c r="L398" s="1"/>
      <c r="M398" s="1" t="s">
        <v>40</v>
      </c>
      <c r="N398" s="1"/>
      <c r="O398" s="1">
        <v>6.4219999999999997</v>
      </c>
      <c r="P398" s="1">
        <v>9.4870000000000001</v>
      </c>
      <c r="Q398" s="1"/>
      <c r="R398" s="1"/>
      <c r="S398" s="1" t="s">
        <v>41</v>
      </c>
      <c r="T398" s="1">
        <v>1</v>
      </c>
      <c r="U398" s="1"/>
      <c r="V398" s="1"/>
      <c r="W398" s="1"/>
      <c r="X398" s="1"/>
      <c r="Y398" s="1" t="s">
        <v>42</v>
      </c>
      <c r="Z398" s="1" t="s">
        <v>43</v>
      </c>
    </row>
    <row r="399" spans="1:26" ht="30" x14ac:dyDescent="0.25">
      <c r="A399" s="1">
        <v>2457171.9179400001</v>
      </c>
      <c r="B399" s="1" t="s">
        <v>95</v>
      </c>
      <c r="C399" s="1">
        <v>7.827</v>
      </c>
      <c r="D399" s="1">
        <v>0.02</v>
      </c>
      <c r="E399" s="1" t="s">
        <v>34</v>
      </c>
      <c r="F399" s="1" t="s">
        <v>22</v>
      </c>
      <c r="G399" s="1" t="s">
        <v>36</v>
      </c>
      <c r="H399" s="1">
        <v>65</v>
      </c>
      <c r="I399" s="1">
        <v>94</v>
      </c>
      <c r="J399" s="1" t="s">
        <v>68</v>
      </c>
      <c r="K399" s="1"/>
      <c r="L399" s="1"/>
      <c r="M399" s="1" t="s">
        <v>40</v>
      </c>
      <c r="N399" s="1"/>
      <c r="O399" s="1">
        <v>6.4219999999999997</v>
      </c>
      <c r="P399" s="1">
        <v>9.5229999999999997</v>
      </c>
      <c r="Q399" s="1"/>
      <c r="R399" s="1"/>
      <c r="S399" s="1" t="s">
        <v>41</v>
      </c>
      <c r="T399" s="1">
        <v>1</v>
      </c>
      <c r="U399" s="1"/>
      <c r="V399" s="1"/>
      <c r="W399" s="1"/>
      <c r="X399" s="1"/>
      <c r="Y399" s="1" t="s">
        <v>42</v>
      </c>
      <c r="Z399" s="1" t="s">
        <v>43</v>
      </c>
    </row>
    <row r="400" spans="1:26" ht="30" x14ac:dyDescent="0.25">
      <c r="A400" s="1">
        <v>2457176.7348000002</v>
      </c>
      <c r="B400" s="1" t="s">
        <v>96</v>
      </c>
      <c r="C400" s="1">
        <v>7.7569999999999997</v>
      </c>
      <c r="D400" s="1">
        <v>0.02</v>
      </c>
      <c r="E400" s="1" t="s">
        <v>34</v>
      </c>
      <c r="F400" s="1" t="s">
        <v>22</v>
      </c>
      <c r="G400" s="1" t="s">
        <v>36</v>
      </c>
      <c r="H400" s="1">
        <v>65</v>
      </c>
      <c r="I400" s="1">
        <v>94</v>
      </c>
      <c r="J400" s="1" t="s">
        <v>68</v>
      </c>
      <c r="K400" s="1"/>
      <c r="L400" s="1"/>
      <c r="M400" s="1" t="s">
        <v>40</v>
      </c>
      <c r="N400" s="1"/>
      <c r="O400" s="1">
        <v>6.4219999999999997</v>
      </c>
      <c r="P400" s="1">
        <v>9.5739999999999998</v>
      </c>
      <c r="Q400" s="1"/>
      <c r="R400" s="1"/>
      <c r="S400" s="1" t="s">
        <v>41</v>
      </c>
      <c r="T400" s="1">
        <v>1</v>
      </c>
      <c r="U400" s="1"/>
      <c r="V400" s="1"/>
      <c r="W400" s="1"/>
      <c r="X400" s="1"/>
      <c r="Y400" s="1" t="s">
        <v>42</v>
      </c>
      <c r="Z400" s="1" t="s">
        <v>43</v>
      </c>
    </row>
    <row r="401" spans="1:26" ht="30" x14ac:dyDescent="0.25">
      <c r="A401" s="1">
        <v>2457176.7516399999</v>
      </c>
      <c r="B401" s="1" t="s">
        <v>96</v>
      </c>
      <c r="C401" s="1">
        <v>7.8789999999999996</v>
      </c>
      <c r="D401" s="1">
        <v>0.02</v>
      </c>
      <c r="E401" s="1" t="s">
        <v>34</v>
      </c>
      <c r="F401" s="1" t="s">
        <v>22</v>
      </c>
      <c r="G401" s="1" t="s">
        <v>36</v>
      </c>
      <c r="H401" s="1">
        <v>65</v>
      </c>
      <c r="I401" s="1">
        <v>94</v>
      </c>
      <c r="J401" s="1" t="s">
        <v>68</v>
      </c>
      <c r="K401" s="1"/>
      <c r="L401" s="1"/>
      <c r="M401" s="1" t="s">
        <v>40</v>
      </c>
      <c r="N401" s="1"/>
      <c r="O401" s="1">
        <v>6.4219999999999997</v>
      </c>
      <c r="P401" s="1">
        <v>9.4909999999999997</v>
      </c>
      <c r="Q401" s="1"/>
      <c r="R401" s="1"/>
      <c r="S401" s="1" t="s">
        <v>41</v>
      </c>
      <c r="T401" s="1">
        <v>1</v>
      </c>
      <c r="U401" s="1"/>
      <c r="V401" s="1"/>
      <c r="W401" s="1"/>
      <c r="X401" s="1"/>
      <c r="Y401" s="1" t="s">
        <v>42</v>
      </c>
      <c r="Z401" s="1" t="s">
        <v>43</v>
      </c>
    </row>
    <row r="402" spans="1:26" ht="30" x14ac:dyDescent="0.25">
      <c r="A402" s="1">
        <v>2457176.76144</v>
      </c>
      <c r="B402" s="1" t="s">
        <v>96</v>
      </c>
      <c r="C402" s="1">
        <v>7.6909999999999998</v>
      </c>
      <c r="D402" s="1">
        <v>0.02</v>
      </c>
      <c r="E402" s="1" t="s">
        <v>34</v>
      </c>
      <c r="F402" s="1" t="s">
        <v>22</v>
      </c>
      <c r="G402" s="1" t="s">
        <v>36</v>
      </c>
      <c r="H402" s="1">
        <v>65</v>
      </c>
      <c r="I402" s="1">
        <v>94</v>
      </c>
      <c r="J402" s="1" t="s">
        <v>68</v>
      </c>
      <c r="K402" s="1"/>
      <c r="L402" s="1"/>
      <c r="M402" s="1" t="s">
        <v>40</v>
      </c>
      <c r="N402" s="1"/>
      <c r="O402" s="1">
        <v>6.4219999999999997</v>
      </c>
      <c r="P402" s="1">
        <v>9.5419999999999998</v>
      </c>
      <c r="Q402" s="1"/>
      <c r="R402" s="1"/>
      <c r="S402" s="1" t="s">
        <v>41</v>
      </c>
      <c r="T402" s="1">
        <v>1</v>
      </c>
      <c r="U402" s="1"/>
      <c r="V402" s="1"/>
      <c r="W402" s="1"/>
      <c r="X402" s="1"/>
      <c r="Y402" s="1" t="s">
        <v>42</v>
      </c>
      <c r="Z402" s="1" t="s">
        <v>43</v>
      </c>
    </row>
    <row r="403" spans="1:26" ht="30" x14ac:dyDescent="0.25">
      <c r="A403" s="1">
        <v>2457176.8922299999</v>
      </c>
      <c r="B403" s="1" t="s">
        <v>96</v>
      </c>
      <c r="C403" s="1">
        <v>8.1189999999999998</v>
      </c>
      <c r="D403" s="1">
        <v>0.02</v>
      </c>
      <c r="E403" s="1" t="s">
        <v>34</v>
      </c>
      <c r="F403" s="1" t="s">
        <v>22</v>
      </c>
      <c r="G403" s="1" t="s">
        <v>36</v>
      </c>
      <c r="H403" s="1">
        <v>65</v>
      </c>
      <c r="I403" s="1">
        <v>94</v>
      </c>
      <c r="J403" s="1" t="s">
        <v>68</v>
      </c>
      <c r="K403" s="1"/>
      <c r="L403" s="1"/>
      <c r="M403" s="1" t="s">
        <v>40</v>
      </c>
      <c r="N403" s="1"/>
      <c r="O403" s="1">
        <v>6.4219999999999997</v>
      </c>
      <c r="P403" s="1">
        <v>9.5510000000000002</v>
      </c>
      <c r="Q403" s="1"/>
      <c r="R403" s="1"/>
      <c r="S403" s="1" t="s">
        <v>41</v>
      </c>
      <c r="T403" s="1">
        <v>1</v>
      </c>
      <c r="U403" s="1"/>
      <c r="V403" s="1"/>
      <c r="W403" s="1"/>
      <c r="X403" s="1"/>
      <c r="Y403" s="1" t="s">
        <v>42</v>
      </c>
      <c r="Z403" s="1" t="s">
        <v>43</v>
      </c>
    </row>
    <row r="404" spans="1:26" ht="30" x14ac:dyDescent="0.25">
      <c r="A404" s="1">
        <v>2457176.9096599999</v>
      </c>
      <c r="B404" s="1" t="s">
        <v>96</v>
      </c>
      <c r="C404" s="1">
        <v>7.7939999999999996</v>
      </c>
      <c r="D404" s="1">
        <v>0.02</v>
      </c>
      <c r="E404" s="1" t="s">
        <v>34</v>
      </c>
      <c r="F404" s="1" t="s">
        <v>22</v>
      </c>
      <c r="G404" s="1" t="s">
        <v>36</v>
      </c>
      <c r="H404" s="1">
        <v>65</v>
      </c>
      <c r="I404" s="1">
        <v>94</v>
      </c>
      <c r="J404" s="1" t="s">
        <v>68</v>
      </c>
      <c r="K404" s="1"/>
      <c r="L404" s="1"/>
      <c r="M404" s="1" t="s">
        <v>40</v>
      </c>
      <c r="N404" s="1"/>
      <c r="O404" s="1">
        <v>6.4219999999999997</v>
      </c>
      <c r="P404" s="1">
        <v>9.5050000000000008</v>
      </c>
      <c r="Q404" s="1"/>
      <c r="R404" s="1"/>
      <c r="S404" s="1" t="s">
        <v>41</v>
      </c>
      <c r="T404" s="1">
        <v>1</v>
      </c>
      <c r="U404" s="1"/>
      <c r="V404" s="1"/>
      <c r="W404" s="1"/>
      <c r="X404" s="1"/>
      <c r="Y404" s="1" t="s">
        <v>42</v>
      </c>
      <c r="Z404" s="1" t="s">
        <v>43</v>
      </c>
    </row>
    <row r="405" spans="1:26" ht="30" x14ac:dyDescent="0.25">
      <c r="A405" s="1">
        <v>2457176.9270700002</v>
      </c>
      <c r="B405" s="1" t="s">
        <v>96</v>
      </c>
      <c r="C405" s="1">
        <v>7.8289999999999997</v>
      </c>
      <c r="D405" s="1">
        <v>0.02</v>
      </c>
      <c r="E405" s="1" t="s">
        <v>34</v>
      </c>
      <c r="F405" s="1" t="s">
        <v>22</v>
      </c>
      <c r="G405" s="1" t="s">
        <v>36</v>
      </c>
      <c r="H405" s="1">
        <v>65</v>
      </c>
      <c r="I405" s="1">
        <v>94</v>
      </c>
      <c r="J405" s="1" t="s">
        <v>68</v>
      </c>
      <c r="K405" s="1"/>
      <c r="L405" s="1"/>
      <c r="M405" s="1" t="s">
        <v>40</v>
      </c>
      <c r="N405" s="1"/>
      <c r="O405" s="1">
        <v>6.4219999999999997</v>
      </c>
      <c r="P405" s="1">
        <v>9.5389999999999997</v>
      </c>
      <c r="Q405" s="1"/>
      <c r="R405" s="1"/>
      <c r="S405" s="1" t="s">
        <v>41</v>
      </c>
      <c r="T405" s="1">
        <v>1</v>
      </c>
      <c r="U405" s="1"/>
      <c r="V405" s="1"/>
      <c r="W405" s="1"/>
      <c r="X405" s="1"/>
      <c r="Y405" s="1" t="s">
        <v>42</v>
      </c>
      <c r="Z405" s="1" t="s">
        <v>43</v>
      </c>
    </row>
    <row r="406" spans="1:26" ht="30" x14ac:dyDescent="0.25">
      <c r="A406" s="1">
        <v>2457177.72585</v>
      </c>
      <c r="B406" s="1" t="s">
        <v>97</v>
      </c>
      <c r="C406" s="1">
        <v>7.7389999999999999</v>
      </c>
      <c r="D406" s="1">
        <v>0.02</v>
      </c>
      <c r="E406" s="1" t="s">
        <v>34</v>
      </c>
      <c r="F406" s="1" t="s">
        <v>22</v>
      </c>
      <c r="G406" s="1" t="s">
        <v>36</v>
      </c>
      <c r="H406" s="1">
        <v>65</v>
      </c>
      <c r="I406" s="1">
        <v>94</v>
      </c>
      <c r="J406" s="1" t="s">
        <v>68</v>
      </c>
      <c r="K406" s="1"/>
      <c r="L406" s="1"/>
      <c r="M406" s="1" t="s">
        <v>40</v>
      </c>
      <c r="N406" s="1"/>
      <c r="O406" s="1">
        <v>6.4219999999999997</v>
      </c>
      <c r="P406" s="1">
        <v>9.5129999999999999</v>
      </c>
      <c r="Q406" s="1"/>
      <c r="R406" s="1"/>
      <c r="S406" s="1" t="s">
        <v>41</v>
      </c>
      <c r="T406" s="1">
        <v>1</v>
      </c>
      <c r="U406" s="1"/>
      <c r="V406" s="1"/>
      <c r="W406" s="1"/>
      <c r="X406" s="1"/>
      <c r="Y406" s="1" t="s">
        <v>42</v>
      </c>
      <c r="Z406" s="1" t="s">
        <v>43</v>
      </c>
    </row>
    <row r="407" spans="1:26" ht="30" x14ac:dyDescent="0.25">
      <c r="A407" s="1">
        <v>2457177.7426300002</v>
      </c>
      <c r="B407" s="1" t="s">
        <v>97</v>
      </c>
      <c r="C407" s="1">
        <v>7.6459999999999999</v>
      </c>
      <c r="D407" s="1">
        <v>0.02</v>
      </c>
      <c r="E407" s="1" t="s">
        <v>34</v>
      </c>
      <c r="F407" s="1" t="s">
        <v>22</v>
      </c>
      <c r="G407" s="1" t="s">
        <v>36</v>
      </c>
      <c r="H407" s="1">
        <v>65</v>
      </c>
      <c r="I407" s="1">
        <v>94</v>
      </c>
      <c r="J407" s="1" t="s">
        <v>68</v>
      </c>
      <c r="K407" s="1"/>
      <c r="L407" s="1"/>
      <c r="M407" s="1" t="s">
        <v>40</v>
      </c>
      <c r="N407" s="1"/>
      <c r="O407" s="1">
        <v>6.4219999999999997</v>
      </c>
      <c r="P407" s="1">
        <v>9.57</v>
      </c>
      <c r="Q407" s="1"/>
      <c r="R407" s="1"/>
      <c r="S407" s="1" t="s">
        <v>41</v>
      </c>
      <c r="T407" s="1">
        <v>1</v>
      </c>
      <c r="U407" s="1"/>
      <c r="V407" s="1"/>
      <c r="W407" s="1"/>
      <c r="X407" s="1"/>
      <c r="Y407" s="1" t="s">
        <v>42</v>
      </c>
      <c r="Z407" s="1" t="s">
        <v>43</v>
      </c>
    </row>
    <row r="408" spans="1:26" ht="30" x14ac:dyDescent="0.25">
      <c r="A408" s="1">
        <v>2457177.7590600001</v>
      </c>
      <c r="B408" s="1" t="s">
        <v>97</v>
      </c>
      <c r="C408" s="1">
        <v>7.6139999999999999</v>
      </c>
      <c r="D408" s="1">
        <v>0.02</v>
      </c>
      <c r="E408" s="1" t="s">
        <v>34</v>
      </c>
      <c r="F408" s="1" t="s">
        <v>22</v>
      </c>
      <c r="G408" s="1" t="s">
        <v>36</v>
      </c>
      <c r="H408" s="1">
        <v>65</v>
      </c>
      <c r="I408" s="1">
        <v>94</v>
      </c>
      <c r="J408" s="1" t="s">
        <v>68</v>
      </c>
      <c r="K408" s="1"/>
      <c r="L408" s="1"/>
      <c r="M408" s="1" t="s">
        <v>40</v>
      </c>
      <c r="N408" s="1"/>
      <c r="O408" s="1">
        <v>6.4219999999999997</v>
      </c>
      <c r="P408" s="1">
        <v>9.5329999999999995</v>
      </c>
      <c r="Q408" s="1"/>
      <c r="R408" s="1"/>
      <c r="S408" s="1" t="s">
        <v>41</v>
      </c>
      <c r="T408" s="1">
        <v>1</v>
      </c>
      <c r="U408" s="1"/>
      <c r="V408" s="1"/>
      <c r="W408" s="1"/>
      <c r="X408" s="1"/>
      <c r="Y408" s="1" t="s">
        <v>42</v>
      </c>
      <c r="Z408" s="1" t="s">
        <v>43</v>
      </c>
    </row>
    <row r="409" spans="1:26" ht="30" x14ac:dyDescent="0.25">
      <c r="A409" s="1">
        <v>2457177.76884</v>
      </c>
      <c r="B409" s="1" t="s">
        <v>97</v>
      </c>
      <c r="C409" s="1">
        <v>7.6840000000000002</v>
      </c>
      <c r="D409" s="1">
        <v>0.02</v>
      </c>
      <c r="E409" s="1" t="s">
        <v>34</v>
      </c>
      <c r="F409" s="1" t="s">
        <v>22</v>
      </c>
      <c r="G409" s="1" t="s">
        <v>36</v>
      </c>
      <c r="H409" s="1">
        <v>65</v>
      </c>
      <c r="I409" s="1">
        <v>94</v>
      </c>
      <c r="J409" s="1" t="s">
        <v>68</v>
      </c>
      <c r="K409" s="1"/>
      <c r="L409" s="1"/>
      <c r="M409" s="1" t="s">
        <v>40</v>
      </c>
      <c r="N409" s="1"/>
      <c r="O409" s="1">
        <v>6.4219999999999997</v>
      </c>
      <c r="P409" s="1">
        <v>9.5489999999999995</v>
      </c>
      <c r="Q409" s="1"/>
      <c r="R409" s="1"/>
      <c r="S409" s="1" t="s">
        <v>41</v>
      </c>
      <c r="T409" s="1">
        <v>1</v>
      </c>
      <c r="U409" s="1"/>
      <c r="V409" s="1"/>
      <c r="W409" s="1"/>
      <c r="X409" s="1"/>
      <c r="Y409" s="1" t="s">
        <v>42</v>
      </c>
      <c r="Z409" s="1" t="s">
        <v>43</v>
      </c>
    </row>
    <row r="410" spans="1:26" ht="30" x14ac:dyDescent="0.25">
      <c r="A410" s="1">
        <v>2457177.7796700001</v>
      </c>
      <c r="B410" s="1" t="s">
        <v>97</v>
      </c>
      <c r="C410" s="1">
        <v>7.7220000000000004</v>
      </c>
      <c r="D410" s="1">
        <v>0.02</v>
      </c>
      <c r="E410" s="1" t="s">
        <v>34</v>
      </c>
      <c r="F410" s="1" t="s">
        <v>22</v>
      </c>
      <c r="G410" s="1" t="s">
        <v>36</v>
      </c>
      <c r="H410" s="1">
        <v>65</v>
      </c>
      <c r="I410" s="1">
        <v>94</v>
      </c>
      <c r="J410" s="1" t="s">
        <v>68</v>
      </c>
      <c r="K410" s="1"/>
      <c r="L410" s="1"/>
      <c r="M410" s="1" t="s">
        <v>40</v>
      </c>
      <c r="N410" s="1"/>
      <c r="O410" s="1">
        <v>6.4219999999999997</v>
      </c>
      <c r="P410" s="1">
        <v>9.5830000000000002</v>
      </c>
      <c r="Q410" s="1"/>
      <c r="R410" s="1"/>
      <c r="S410" s="1" t="s">
        <v>41</v>
      </c>
      <c r="T410" s="1">
        <v>1</v>
      </c>
      <c r="U410" s="1"/>
      <c r="V410" s="1"/>
      <c r="W410" s="1"/>
      <c r="X410" s="1"/>
      <c r="Y410" s="1" t="s">
        <v>42</v>
      </c>
      <c r="Z410" s="1" t="s">
        <v>43</v>
      </c>
    </row>
    <row r="411" spans="1:26" ht="30" x14ac:dyDescent="0.25">
      <c r="A411" s="1">
        <v>2457177.7904699999</v>
      </c>
      <c r="B411" s="1" t="s">
        <v>97</v>
      </c>
      <c r="C411" s="1">
        <v>7.87</v>
      </c>
      <c r="D411" s="1">
        <v>0.02</v>
      </c>
      <c r="E411" s="1" t="s">
        <v>34</v>
      </c>
      <c r="F411" s="1" t="s">
        <v>22</v>
      </c>
      <c r="G411" s="1" t="s">
        <v>36</v>
      </c>
      <c r="H411" s="1">
        <v>65</v>
      </c>
      <c r="I411" s="1">
        <v>94</v>
      </c>
      <c r="J411" s="1" t="s">
        <v>68</v>
      </c>
      <c r="K411" s="1"/>
      <c r="L411" s="1"/>
      <c r="M411" s="1" t="s">
        <v>40</v>
      </c>
      <c r="N411" s="1"/>
      <c r="O411" s="1">
        <v>6.4219999999999997</v>
      </c>
      <c r="P411" s="1">
        <v>9.5570000000000004</v>
      </c>
      <c r="Q411" s="1"/>
      <c r="R411" s="1"/>
      <c r="S411" s="1" t="s">
        <v>41</v>
      </c>
      <c r="T411" s="1">
        <v>1</v>
      </c>
      <c r="U411" s="1"/>
      <c r="V411" s="1"/>
      <c r="W411" s="1"/>
      <c r="X411" s="1"/>
      <c r="Y411" s="1" t="s">
        <v>42</v>
      </c>
      <c r="Z411" s="1" t="s">
        <v>43</v>
      </c>
    </row>
    <row r="412" spans="1:26" ht="30" x14ac:dyDescent="0.25">
      <c r="A412" s="1">
        <v>2457177.8012399999</v>
      </c>
      <c r="B412" s="1" t="s">
        <v>97</v>
      </c>
      <c r="C412" s="1">
        <v>7.7619999999999996</v>
      </c>
      <c r="D412" s="1">
        <v>0.02</v>
      </c>
      <c r="E412" s="1" t="s">
        <v>34</v>
      </c>
      <c r="F412" s="1" t="s">
        <v>22</v>
      </c>
      <c r="G412" s="1" t="s">
        <v>36</v>
      </c>
      <c r="H412" s="1">
        <v>65</v>
      </c>
      <c r="I412" s="1">
        <v>94</v>
      </c>
      <c r="J412" s="1" t="s">
        <v>68</v>
      </c>
      <c r="K412" s="1"/>
      <c r="L412" s="1"/>
      <c r="M412" s="1" t="s">
        <v>40</v>
      </c>
      <c r="N412" s="1"/>
      <c r="O412" s="1">
        <v>6.4219999999999997</v>
      </c>
      <c r="P412" s="1">
        <v>9.5090000000000003</v>
      </c>
      <c r="Q412" s="1"/>
      <c r="R412" s="1"/>
      <c r="S412" s="1" t="s">
        <v>41</v>
      </c>
      <c r="T412" s="1">
        <v>1</v>
      </c>
      <c r="U412" s="1"/>
      <c r="V412" s="1"/>
      <c r="W412" s="1"/>
      <c r="X412" s="1"/>
      <c r="Y412" s="1" t="s">
        <v>42</v>
      </c>
      <c r="Z412" s="1" t="s">
        <v>43</v>
      </c>
    </row>
    <row r="413" spans="1:26" ht="30" x14ac:dyDescent="0.25">
      <c r="A413" s="1">
        <v>2457177.8120599999</v>
      </c>
      <c r="B413" s="1" t="s">
        <v>97</v>
      </c>
      <c r="C413" s="1">
        <v>7.5620000000000003</v>
      </c>
      <c r="D413" s="1">
        <v>0.02</v>
      </c>
      <c r="E413" s="1" t="s">
        <v>34</v>
      </c>
      <c r="F413" s="1" t="s">
        <v>22</v>
      </c>
      <c r="G413" s="1" t="s">
        <v>36</v>
      </c>
      <c r="H413" s="1">
        <v>65</v>
      </c>
      <c r="I413" s="1">
        <v>94</v>
      </c>
      <c r="J413" s="1" t="s">
        <v>68</v>
      </c>
      <c r="K413" s="1"/>
      <c r="L413" s="1"/>
      <c r="M413" s="1" t="s">
        <v>40</v>
      </c>
      <c r="N413" s="1"/>
      <c r="O413" s="1">
        <v>6.4219999999999997</v>
      </c>
      <c r="P413" s="1">
        <v>9.5329999999999995</v>
      </c>
      <c r="Q413" s="1"/>
      <c r="R413" s="1"/>
      <c r="S413" s="1" t="s">
        <v>41</v>
      </c>
      <c r="T413" s="1">
        <v>1</v>
      </c>
      <c r="U413" s="1"/>
      <c r="V413" s="1"/>
      <c r="W413" s="1"/>
      <c r="X413" s="1"/>
      <c r="Y413" s="1" t="s">
        <v>42</v>
      </c>
      <c r="Z413" s="1" t="s">
        <v>43</v>
      </c>
    </row>
    <row r="414" spans="1:26" ht="30" x14ac:dyDescent="0.25">
      <c r="A414" s="1">
        <v>2457177.8228500001</v>
      </c>
      <c r="B414" s="1" t="s">
        <v>97</v>
      </c>
      <c r="C414" s="1">
        <v>7.5449999999999999</v>
      </c>
      <c r="D414" s="1">
        <v>0.02</v>
      </c>
      <c r="E414" s="1" t="s">
        <v>34</v>
      </c>
      <c r="F414" s="1" t="s">
        <v>22</v>
      </c>
      <c r="G414" s="1" t="s">
        <v>36</v>
      </c>
      <c r="H414" s="1">
        <v>65</v>
      </c>
      <c r="I414" s="1">
        <v>94</v>
      </c>
      <c r="J414" s="1" t="s">
        <v>68</v>
      </c>
      <c r="K414" s="1"/>
      <c r="L414" s="1"/>
      <c r="M414" s="1" t="s">
        <v>40</v>
      </c>
      <c r="N414" s="1"/>
      <c r="O414" s="1">
        <v>6.4219999999999997</v>
      </c>
      <c r="P414" s="1">
        <v>9.5329999999999995</v>
      </c>
      <c r="Q414" s="1"/>
      <c r="R414" s="1"/>
      <c r="S414" s="1" t="s">
        <v>41</v>
      </c>
      <c r="T414" s="1">
        <v>1</v>
      </c>
      <c r="U414" s="1"/>
      <c r="V414" s="1"/>
      <c r="W414" s="1"/>
      <c r="X414" s="1"/>
      <c r="Y414" s="1" t="s">
        <v>42</v>
      </c>
      <c r="Z414" s="1" t="s">
        <v>43</v>
      </c>
    </row>
    <row r="415" spans="1:26" ht="30" x14ac:dyDescent="0.25">
      <c r="A415" s="1">
        <v>2457177.8336700001</v>
      </c>
      <c r="B415" s="1" t="s">
        <v>97</v>
      </c>
      <c r="C415" s="1">
        <v>7.5819999999999999</v>
      </c>
      <c r="D415" s="1">
        <v>0.02</v>
      </c>
      <c r="E415" s="1" t="s">
        <v>34</v>
      </c>
      <c r="F415" s="1" t="s">
        <v>22</v>
      </c>
      <c r="G415" s="1" t="s">
        <v>36</v>
      </c>
      <c r="H415" s="1">
        <v>65</v>
      </c>
      <c r="I415" s="1">
        <v>94</v>
      </c>
      <c r="J415" s="1" t="s">
        <v>68</v>
      </c>
      <c r="K415" s="1"/>
      <c r="L415" s="1"/>
      <c r="M415" s="1" t="s">
        <v>40</v>
      </c>
      <c r="N415" s="1"/>
      <c r="O415" s="1">
        <v>6.4219999999999997</v>
      </c>
      <c r="P415" s="1">
        <v>9.5229999999999997</v>
      </c>
      <c r="Q415" s="1"/>
      <c r="R415" s="1"/>
      <c r="S415" s="1" t="s">
        <v>41</v>
      </c>
      <c r="T415" s="1">
        <v>1</v>
      </c>
      <c r="U415" s="1"/>
      <c r="V415" s="1"/>
      <c r="W415" s="1"/>
      <c r="X415" s="1"/>
      <c r="Y415" s="1" t="s">
        <v>42</v>
      </c>
      <c r="Z415" s="1" t="s">
        <v>43</v>
      </c>
    </row>
    <row r="416" spans="1:26" ht="30" x14ac:dyDescent="0.25">
      <c r="A416" s="1">
        <v>2457177.8511600001</v>
      </c>
      <c r="B416" s="1" t="s">
        <v>97</v>
      </c>
      <c r="C416" s="1">
        <v>7.4560000000000004</v>
      </c>
      <c r="D416" s="1">
        <v>0.02</v>
      </c>
      <c r="E416" s="1" t="s">
        <v>34</v>
      </c>
      <c r="F416" s="1" t="s">
        <v>22</v>
      </c>
      <c r="G416" s="1" t="s">
        <v>36</v>
      </c>
      <c r="H416" s="1">
        <v>65</v>
      </c>
      <c r="I416" s="1">
        <v>94</v>
      </c>
      <c r="J416" s="1" t="s">
        <v>68</v>
      </c>
      <c r="K416" s="1"/>
      <c r="L416" s="1"/>
      <c r="M416" s="1" t="s">
        <v>40</v>
      </c>
      <c r="N416" s="1"/>
      <c r="O416" s="1">
        <v>6.4219999999999997</v>
      </c>
      <c r="P416" s="1">
        <v>9.5939999999999994</v>
      </c>
      <c r="Q416" s="1"/>
      <c r="R416" s="1"/>
      <c r="S416" s="1" t="s">
        <v>41</v>
      </c>
      <c r="T416" s="1">
        <v>1</v>
      </c>
      <c r="U416" s="1"/>
      <c r="V416" s="1"/>
      <c r="W416" s="1"/>
      <c r="X416" s="1"/>
      <c r="Y416" s="1" t="s">
        <v>42</v>
      </c>
      <c r="Z416" s="1" t="s">
        <v>43</v>
      </c>
    </row>
    <row r="417" spans="1:26" ht="30" x14ac:dyDescent="0.25">
      <c r="A417" s="1">
        <v>2457177.8684800002</v>
      </c>
      <c r="B417" s="1" t="s">
        <v>97</v>
      </c>
      <c r="C417" s="1">
        <v>7.508</v>
      </c>
      <c r="D417" s="1">
        <v>0.02</v>
      </c>
      <c r="E417" s="1" t="s">
        <v>34</v>
      </c>
      <c r="F417" s="1" t="s">
        <v>22</v>
      </c>
      <c r="G417" s="1" t="s">
        <v>36</v>
      </c>
      <c r="H417" s="1">
        <v>65</v>
      </c>
      <c r="I417" s="1">
        <v>94</v>
      </c>
      <c r="J417" s="1" t="s">
        <v>68</v>
      </c>
      <c r="K417" s="1"/>
      <c r="L417" s="1"/>
      <c r="M417" s="1" t="s">
        <v>40</v>
      </c>
      <c r="N417" s="1"/>
      <c r="O417" s="1">
        <v>6.4219999999999997</v>
      </c>
      <c r="P417" s="1">
        <v>9.5749999999999993</v>
      </c>
      <c r="Q417" s="1"/>
      <c r="R417" s="1"/>
      <c r="S417" s="1" t="s">
        <v>41</v>
      </c>
      <c r="T417" s="1">
        <v>1</v>
      </c>
      <c r="U417" s="1"/>
      <c r="V417" s="1"/>
      <c r="W417" s="1"/>
      <c r="X417" s="1"/>
      <c r="Y417" s="1" t="s">
        <v>42</v>
      </c>
      <c r="Z417" s="1" t="s">
        <v>43</v>
      </c>
    </row>
    <row r="418" spans="1:26" ht="30" x14ac:dyDescent="0.25">
      <c r="A418" s="1">
        <v>2457177.8858400001</v>
      </c>
      <c r="B418" s="1" t="s">
        <v>97</v>
      </c>
      <c r="C418" s="1">
        <v>7.524</v>
      </c>
      <c r="D418" s="1">
        <v>0.02</v>
      </c>
      <c r="E418" s="1" t="s">
        <v>34</v>
      </c>
      <c r="F418" s="1" t="s">
        <v>22</v>
      </c>
      <c r="G418" s="1" t="s">
        <v>36</v>
      </c>
      <c r="H418" s="1">
        <v>65</v>
      </c>
      <c r="I418" s="1">
        <v>94</v>
      </c>
      <c r="J418" s="1" t="s">
        <v>68</v>
      </c>
      <c r="K418" s="1"/>
      <c r="L418" s="1"/>
      <c r="M418" s="1" t="s">
        <v>40</v>
      </c>
      <c r="N418" s="1"/>
      <c r="O418" s="1">
        <v>6.4219999999999997</v>
      </c>
      <c r="P418" s="1">
        <v>9.532</v>
      </c>
      <c r="Q418" s="1"/>
      <c r="R418" s="1"/>
      <c r="S418" s="1" t="s">
        <v>41</v>
      </c>
      <c r="T418" s="1">
        <v>1</v>
      </c>
      <c r="U418" s="1"/>
      <c r="V418" s="1"/>
      <c r="W418" s="1"/>
      <c r="X418" s="1"/>
      <c r="Y418" s="1" t="s">
        <v>42</v>
      </c>
      <c r="Z418" s="1" t="s">
        <v>43</v>
      </c>
    </row>
    <row r="419" spans="1:26" ht="30" x14ac:dyDescent="0.25">
      <c r="A419" s="1">
        <v>2457177.9032000001</v>
      </c>
      <c r="B419" s="1" t="s">
        <v>97</v>
      </c>
      <c r="C419" s="1">
        <v>7.7149999999999999</v>
      </c>
      <c r="D419" s="1">
        <v>0.02</v>
      </c>
      <c r="E419" s="1" t="s">
        <v>34</v>
      </c>
      <c r="F419" s="1" t="s">
        <v>22</v>
      </c>
      <c r="G419" s="1" t="s">
        <v>36</v>
      </c>
      <c r="H419" s="1">
        <v>65</v>
      </c>
      <c r="I419" s="1">
        <v>94</v>
      </c>
      <c r="J419" s="1" t="s">
        <v>68</v>
      </c>
      <c r="K419" s="1"/>
      <c r="L419" s="1"/>
      <c r="M419" s="1" t="s">
        <v>40</v>
      </c>
      <c r="N419" s="1"/>
      <c r="O419" s="1">
        <v>6.4219999999999997</v>
      </c>
      <c r="P419" s="1">
        <v>9.5359999999999996</v>
      </c>
      <c r="Q419" s="1"/>
      <c r="R419" s="1"/>
      <c r="S419" s="1" t="s">
        <v>41</v>
      </c>
      <c r="T419" s="1">
        <v>1</v>
      </c>
      <c r="U419" s="1"/>
      <c r="V419" s="1"/>
      <c r="W419" s="1"/>
      <c r="X419" s="1"/>
      <c r="Y419" s="1" t="s">
        <v>42</v>
      </c>
      <c r="Z419" s="1" t="s">
        <v>43</v>
      </c>
    </row>
    <row r="420" spans="1:26" ht="30" x14ac:dyDescent="0.25">
      <c r="A420" s="1">
        <v>2457177.9205999998</v>
      </c>
      <c r="B420" s="1" t="s">
        <v>97</v>
      </c>
      <c r="C420" s="1">
        <v>7.44</v>
      </c>
      <c r="D420" s="1">
        <v>0.02</v>
      </c>
      <c r="E420" s="1" t="s">
        <v>34</v>
      </c>
      <c r="F420" s="1" t="s">
        <v>22</v>
      </c>
      <c r="G420" s="1" t="s">
        <v>36</v>
      </c>
      <c r="H420" s="1">
        <v>65</v>
      </c>
      <c r="I420" s="1">
        <v>94</v>
      </c>
      <c r="J420" s="1" t="s">
        <v>68</v>
      </c>
      <c r="K420" s="1"/>
      <c r="L420" s="1"/>
      <c r="M420" s="1" t="s">
        <v>40</v>
      </c>
      <c r="N420" s="1"/>
      <c r="O420" s="1">
        <v>6.4219999999999997</v>
      </c>
      <c r="P420" s="1">
        <v>9.5429999999999993</v>
      </c>
      <c r="Q420" s="1"/>
      <c r="R420" s="1"/>
      <c r="S420" s="1" t="s">
        <v>41</v>
      </c>
      <c r="T420" s="1">
        <v>1</v>
      </c>
      <c r="U420" s="1"/>
      <c r="V420" s="1"/>
      <c r="W420" s="1"/>
      <c r="X420" s="1"/>
      <c r="Y420" s="1" t="s">
        <v>42</v>
      </c>
      <c r="Z420" s="1" t="s">
        <v>43</v>
      </c>
    </row>
    <row r="421" spans="1:26" ht="60" x14ac:dyDescent="0.25">
      <c r="A421" s="1">
        <v>2457184.4251700002</v>
      </c>
      <c r="B421" s="1" t="s">
        <v>98</v>
      </c>
      <c r="C421" s="1">
        <v>7.8879999999999999</v>
      </c>
      <c r="D421" s="1">
        <v>2.3E-2</v>
      </c>
      <c r="E421" s="1" t="s">
        <v>34</v>
      </c>
      <c r="F421" s="1" t="s">
        <v>89</v>
      </c>
      <c r="G421" s="1" t="s">
        <v>36</v>
      </c>
      <c r="H421" s="1">
        <v>107</v>
      </c>
      <c r="I421" s="1">
        <v>109</v>
      </c>
      <c r="J421" s="1" t="s">
        <v>90</v>
      </c>
      <c r="K421" s="1"/>
      <c r="L421" s="1" t="s">
        <v>106</v>
      </c>
      <c r="M421" s="1" t="s">
        <v>47</v>
      </c>
      <c r="N421" s="1">
        <v>1.254</v>
      </c>
      <c r="O421" s="1">
        <v>-10.558</v>
      </c>
      <c r="P421" s="1">
        <v>-9.48</v>
      </c>
      <c r="Q421" s="1"/>
      <c r="R421" s="1"/>
      <c r="S421" s="1" t="s">
        <v>41</v>
      </c>
      <c r="T421" s="1">
        <v>1</v>
      </c>
      <c r="U421" s="1"/>
      <c r="V421" s="1"/>
      <c r="W421" s="1"/>
      <c r="X421" s="1"/>
      <c r="Y421" s="1" t="s">
        <v>42</v>
      </c>
      <c r="Z421" s="1" t="s">
        <v>43</v>
      </c>
    </row>
    <row r="422" spans="1:26" ht="30" x14ac:dyDescent="0.25">
      <c r="A422" s="1">
        <v>2457184.7077199998</v>
      </c>
      <c r="B422" s="1" t="s">
        <v>99</v>
      </c>
      <c r="C422" s="1">
        <v>7.4489999999999998</v>
      </c>
      <c r="D422" s="1">
        <v>0.02</v>
      </c>
      <c r="E422" s="1" t="s">
        <v>34</v>
      </c>
      <c r="F422" s="1" t="s">
        <v>22</v>
      </c>
      <c r="G422" s="1" t="s">
        <v>36</v>
      </c>
      <c r="H422" s="1">
        <v>65</v>
      </c>
      <c r="I422" s="1">
        <v>94</v>
      </c>
      <c r="J422" s="1" t="s">
        <v>68</v>
      </c>
      <c r="K422" s="1"/>
      <c r="L422" s="1"/>
      <c r="M422" s="1" t="s">
        <v>40</v>
      </c>
      <c r="N422" s="1"/>
      <c r="O422" s="1">
        <v>6.4219999999999997</v>
      </c>
      <c r="P422" s="1">
        <v>9.5190000000000001</v>
      </c>
      <c r="Q422" s="1"/>
      <c r="R422" s="1"/>
      <c r="S422" s="1" t="s">
        <v>41</v>
      </c>
      <c r="T422" s="1">
        <v>1</v>
      </c>
      <c r="U422" s="1"/>
      <c r="V422" s="1"/>
      <c r="W422" s="1"/>
      <c r="X422" s="1"/>
      <c r="Y422" s="1" t="s">
        <v>42</v>
      </c>
      <c r="Z422" s="1" t="s">
        <v>43</v>
      </c>
    </row>
    <row r="423" spans="1:26" ht="30" x14ac:dyDescent="0.25">
      <c r="A423" s="1">
        <v>2457184.72438</v>
      </c>
      <c r="B423" s="1" t="s">
        <v>99</v>
      </c>
      <c r="C423" s="1">
        <v>7.5839999999999996</v>
      </c>
      <c r="D423" s="1">
        <v>0.02</v>
      </c>
      <c r="E423" s="1" t="s">
        <v>34</v>
      </c>
      <c r="F423" s="1" t="s">
        <v>22</v>
      </c>
      <c r="G423" s="1" t="s">
        <v>36</v>
      </c>
      <c r="H423" s="1">
        <v>65</v>
      </c>
      <c r="I423" s="1">
        <v>94</v>
      </c>
      <c r="J423" s="1" t="s">
        <v>68</v>
      </c>
      <c r="K423" s="1"/>
      <c r="L423" s="1"/>
      <c r="M423" s="1" t="s">
        <v>40</v>
      </c>
      <c r="N423" s="1"/>
      <c r="O423" s="1">
        <v>6.4219999999999997</v>
      </c>
      <c r="P423" s="1">
        <v>9.5250000000000004</v>
      </c>
      <c r="Q423" s="1"/>
      <c r="R423" s="1"/>
      <c r="S423" s="1" t="s">
        <v>41</v>
      </c>
      <c r="T423" s="1">
        <v>1</v>
      </c>
      <c r="U423" s="1"/>
      <c r="V423" s="1"/>
      <c r="W423" s="1"/>
      <c r="X423" s="1"/>
      <c r="Y423" s="1" t="s">
        <v>42</v>
      </c>
      <c r="Z423" s="1" t="s">
        <v>43</v>
      </c>
    </row>
    <row r="424" spans="1:26" ht="30" x14ac:dyDescent="0.25">
      <c r="A424" s="1">
        <v>2457184.7403600002</v>
      </c>
      <c r="B424" s="1" t="s">
        <v>99</v>
      </c>
      <c r="C424" s="1">
        <v>7.6840000000000002</v>
      </c>
      <c r="D424" s="1">
        <v>0.02</v>
      </c>
      <c r="E424" s="1" t="s">
        <v>34</v>
      </c>
      <c r="F424" s="1" t="s">
        <v>22</v>
      </c>
      <c r="G424" s="1" t="s">
        <v>36</v>
      </c>
      <c r="H424" s="1">
        <v>65</v>
      </c>
      <c r="I424" s="1">
        <v>94</v>
      </c>
      <c r="J424" s="1" t="s">
        <v>68</v>
      </c>
      <c r="K424" s="1"/>
      <c r="L424" s="1"/>
      <c r="M424" s="1" t="s">
        <v>40</v>
      </c>
      <c r="N424" s="1"/>
      <c r="O424" s="1">
        <v>6.4219999999999997</v>
      </c>
      <c r="P424" s="1">
        <v>9.516</v>
      </c>
      <c r="Q424" s="1"/>
      <c r="R424" s="1"/>
      <c r="S424" s="1" t="s">
        <v>41</v>
      </c>
      <c r="T424" s="1">
        <v>1</v>
      </c>
      <c r="U424" s="1"/>
      <c r="V424" s="1"/>
      <c r="W424" s="1"/>
      <c r="X424" s="1"/>
      <c r="Y424" s="1" t="s">
        <v>42</v>
      </c>
      <c r="Z424" s="1" t="s">
        <v>43</v>
      </c>
    </row>
    <row r="425" spans="1:26" ht="30" x14ac:dyDescent="0.25">
      <c r="A425" s="1">
        <v>2457184.7495900001</v>
      </c>
      <c r="B425" s="1" t="s">
        <v>99</v>
      </c>
      <c r="C425" s="1">
        <v>7.73</v>
      </c>
      <c r="D425" s="1">
        <v>0.02</v>
      </c>
      <c r="E425" s="1" t="s">
        <v>34</v>
      </c>
      <c r="F425" s="1" t="s">
        <v>22</v>
      </c>
      <c r="G425" s="1" t="s">
        <v>36</v>
      </c>
      <c r="H425" s="1">
        <v>65</v>
      </c>
      <c r="I425" s="1">
        <v>94</v>
      </c>
      <c r="J425" s="1" t="s">
        <v>68</v>
      </c>
      <c r="K425" s="1"/>
      <c r="L425" s="1"/>
      <c r="M425" s="1" t="s">
        <v>40</v>
      </c>
      <c r="N425" s="1"/>
      <c r="O425" s="1">
        <v>6.4219999999999997</v>
      </c>
      <c r="P425" s="1">
        <v>9.5739999999999998</v>
      </c>
      <c r="Q425" s="1"/>
      <c r="R425" s="1"/>
      <c r="S425" s="1" t="s">
        <v>41</v>
      </c>
      <c r="T425" s="1">
        <v>1</v>
      </c>
      <c r="U425" s="1"/>
      <c r="V425" s="1"/>
      <c r="W425" s="1"/>
      <c r="X425" s="1"/>
      <c r="Y425" s="1" t="s">
        <v>42</v>
      </c>
      <c r="Z425" s="1" t="s">
        <v>43</v>
      </c>
    </row>
    <row r="426" spans="1:26" ht="30" x14ac:dyDescent="0.25">
      <c r="A426" s="1">
        <v>2457184.7602599999</v>
      </c>
      <c r="B426" s="1" t="s">
        <v>99</v>
      </c>
      <c r="C426" s="1">
        <v>7.6680000000000001</v>
      </c>
      <c r="D426" s="1">
        <v>0.02</v>
      </c>
      <c r="E426" s="1" t="s">
        <v>34</v>
      </c>
      <c r="F426" s="1" t="s">
        <v>22</v>
      </c>
      <c r="G426" s="1" t="s">
        <v>36</v>
      </c>
      <c r="H426" s="1">
        <v>65</v>
      </c>
      <c r="I426" s="1">
        <v>94</v>
      </c>
      <c r="J426" s="1" t="s">
        <v>68</v>
      </c>
      <c r="K426" s="1"/>
      <c r="L426" s="1"/>
      <c r="M426" s="1" t="s">
        <v>40</v>
      </c>
      <c r="N426" s="1"/>
      <c r="O426" s="1">
        <v>6.4219999999999997</v>
      </c>
      <c r="P426" s="1">
        <v>9.5660000000000007</v>
      </c>
      <c r="Q426" s="1"/>
      <c r="R426" s="1"/>
      <c r="S426" s="1" t="s">
        <v>41</v>
      </c>
      <c r="T426" s="1">
        <v>1</v>
      </c>
      <c r="U426" s="1"/>
      <c r="V426" s="1"/>
      <c r="W426" s="1"/>
      <c r="X426" s="1"/>
      <c r="Y426" s="1" t="s">
        <v>42</v>
      </c>
      <c r="Z426" s="1" t="s">
        <v>43</v>
      </c>
    </row>
    <row r="427" spans="1:26" ht="30" x14ac:dyDescent="0.25">
      <c r="A427" s="1">
        <v>2457184.77092</v>
      </c>
      <c r="B427" s="1" t="s">
        <v>99</v>
      </c>
      <c r="C427" s="1">
        <v>7.5369999999999999</v>
      </c>
      <c r="D427" s="1">
        <v>0.02</v>
      </c>
      <c r="E427" s="1" t="s">
        <v>34</v>
      </c>
      <c r="F427" s="1" t="s">
        <v>22</v>
      </c>
      <c r="G427" s="1" t="s">
        <v>36</v>
      </c>
      <c r="H427" s="1">
        <v>65</v>
      </c>
      <c r="I427" s="1">
        <v>94</v>
      </c>
      <c r="J427" s="1" t="s">
        <v>68</v>
      </c>
      <c r="K427" s="1"/>
      <c r="L427" s="1"/>
      <c r="M427" s="1" t="s">
        <v>40</v>
      </c>
      <c r="N427" s="1"/>
      <c r="O427" s="1">
        <v>6.4219999999999997</v>
      </c>
      <c r="P427" s="1">
        <v>9.6229999999999993</v>
      </c>
      <c r="Q427" s="1"/>
      <c r="R427" s="1"/>
      <c r="S427" s="1" t="s">
        <v>41</v>
      </c>
      <c r="T427" s="1">
        <v>1</v>
      </c>
      <c r="U427" s="1"/>
      <c r="V427" s="1"/>
      <c r="W427" s="1"/>
      <c r="X427" s="1"/>
      <c r="Y427" s="1" t="s">
        <v>42</v>
      </c>
      <c r="Z427" s="1" t="s">
        <v>43</v>
      </c>
    </row>
    <row r="428" spans="1:26" ht="30" x14ac:dyDescent="0.25">
      <c r="A428" s="1">
        <v>2457184.79232</v>
      </c>
      <c r="B428" s="1" t="s">
        <v>99</v>
      </c>
      <c r="C428" s="1">
        <v>7.4729999999999999</v>
      </c>
      <c r="D428" s="1">
        <v>0.02</v>
      </c>
      <c r="E428" s="1" t="s">
        <v>34</v>
      </c>
      <c r="F428" s="1" t="s">
        <v>22</v>
      </c>
      <c r="G428" s="1" t="s">
        <v>36</v>
      </c>
      <c r="H428" s="1">
        <v>65</v>
      </c>
      <c r="I428" s="1">
        <v>94</v>
      </c>
      <c r="J428" s="1" t="s">
        <v>68</v>
      </c>
      <c r="K428" s="1"/>
      <c r="L428" s="1"/>
      <c r="M428" s="1" t="s">
        <v>40</v>
      </c>
      <c r="N428" s="1"/>
      <c r="O428" s="1">
        <v>6.4219999999999997</v>
      </c>
      <c r="P428" s="1">
        <v>9.5670000000000002</v>
      </c>
      <c r="Q428" s="1"/>
      <c r="R428" s="1"/>
      <c r="S428" s="1" t="s">
        <v>41</v>
      </c>
      <c r="T428" s="1">
        <v>1</v>
      </c>
      <c r="U428" s="1"/>
      <c r="V428" s="1"/>
      <c r="W428" s="1"/>
      <c r="X428" s="1"/>
      <c r="Y428" s="1" t="s">
        <v>42</v>
      </c>
      <c r="Z428" s="1" t="s">
        <v>43</v>
      </c>
    </row>
    <row r="429" spans="1:26" ht="30" x14ac:dyDescent="0.25">
      <c r="A429" s="1">
        <v>2457184.80302</v>
      </c>
      <c r="B429" s="1" t="s">
        <v>99</v>
      </c>
      <c r="C429" s="1">
        <v>7.6539999999999999</v>
      </c>
      <c r="D429" s="1">
        <v>0.02</v>
      </c>
      <c r="E429" s="1" t="s">
        <v>34</v>
      </c>
      <c r="F429" s="1" t="s">
        <v>22</v>
      </c>
      <c r="G429" s="1" t="s">
        <v>36</v>
      </c>
      <c r="H429" s="1">
        <v>65</v>
      </c>
      <c r="I429" s="1">
        <v>94</v>
      </c>
      <c r="J429" s="1" t="s">
        <v>68</v>
      </c>
      <c r="K429" s="1"/>
      <c r="L429" s="1"/>
      <c r="M429" s="1" t="s">
        <v>40</v>
      </c>
      <c r="N429" s="1"/>
      <c r="O429" s="1">
        <v>6.4219999999999997</v>
      </c>
      <c r="P429" s="1">
        <v>9.5220000000000002</v>
      </c>
      <c r="Q429" s="1"/>
      <c r="R429" s="1"/>
      <c r="S429" s="1" t="s">
        <v>41</v>
      </c>
      <c r="T429" s="1">
        <v>1</v>
      </c>
      <c r="U429" s="1"/>
      <c r="V429" s="1"/>
      <c r="W429" s="1"/>
      <c r="X429" s="1"/>
      <c r="Y429" s="1" t="s">
        <v>42</v>
      </c>
      <c r="Z429" s="1" t="s">
        <v>43</v>
      </c>
    </row>
    <row r="430" spans="1:26" ht="30" x14ac:dyDescent="0.25">
      <c r="A430" s="1">
        <v>2457184.8136900002</v>
      </c>
      <c r="B430" s="1" t="s">
        <v>99</v>
      </c>
      <c r="C430" s="1">
        <v>7.52</v>
      </c>
      <c r="D430" s="1">
        <v>0.02</v>
      </c>
      <c r="E430" s="1" t="s">
        <v>34</v>
      </c>
      <c r="F430" s="1" t="s">
        <v>22</v>
      </c>
      <c r="G430" s="1" t="s">
        <v>36</v>
      </c>
      <c r="H430" s="1">
        <v>65</v>
      </c>
      <c r="I430" s="1">
        <v>94</v>
      </c>
      <c r="J430" s="1" t="s">
        <v>68</v>
      </c>
      <c r="K430" s="1"/>
      <c r="L430" s="1"/>
      <c r="M430" s="1" t="s">
        <v>40</v>
      </c>
      <c r="N430" s="1"/>
      <c r="O430" s="1">
        <v>6.4219999999999997</v>
      </c>
      <c r="P430" s="1">
        <v>9.5690000000000008</v>
      </c>
      <c r="Q430" s="1"/>
      <c r="R430" s="1"/>
      <c r="S430" s="1" t="s">
        <v>41</v>
      </c>
      <c r="T430" s="1">
        <v>1</v>
      </c>
      <c r="U430" s="1"/>
      <c r="V430" s="1"/>
      <c r="W430" s="1"/>
      <c r="X430" s="1"/>
      <c r="Y430" s="1" t="s">
        <v>42</v>
      </c>
      <c r="Z430" s="1" t="s">
        <v>43</v>
      </c>
    </row>
    <row r="431" spans="1:26" ht="30" x14ac:dyDescent="0.25">
      <c r="A431" s="1">
        <v>2457184.8308899999</v>
      </c>
      <c r="B431" s="1" t="s">
        <v>99</v>
      </c>
      <c r="C431" s="1">
        <v>7.766</v>
      </c>
      <c r="D431" s="1">
        <v>0.02</v>
      </c>
      <c r="E431" s="1" t="s">
        <v>34</v>
      </c>
      <c r="F431" s="1" t="s">
        <v>22</v>
      </c>
      <c r="G431" s="1" t="s">
        <v>36</v>
      </c>
      <c r="H431" s="1">
        <v>65</v>
      </c>
      <c r="I431" s="1">
        <v>94</v>
      </c>
      <c r="J431" s="1" t="s">
        <v>68</v>
      </c>
      <c r="K431" s="1"/>
      <c r="L431" s="1"/>
      <c r="M431" s="1" t="s">
        <v>40</v>
      </c>
      <c r="N431" s="1"/>
      <c r="O431" s="1">
        <v>6.4219999999999997</v>
      </c>
      <c r="P431" s="1">
        <v>9.5220000000000002</v>
      </c>
      <c r="Q431" s="1"/>
      <c r="R431" s="1"/>
      <c r="S431" s="1" t="s">
        <v>41</v>
      </c>
      <c r="T431" s="1">
        <v>1</v>
      </c>
      <c r="U431" s="1"/>
      <c r="V431" s="1"/>
      <c r="W431" s="1"/>
      <c r="X431" s="1"/>
      <c r="Y431" s="1" t="s">
        <v>42</v>
      </c>
      <c r="Z431" s="1" t="s">
        <v>43</v>
      </c>
    </row>
    <row r="432" spans="1:26" ht="30" x14ac:dyDescent="0.25">
      <c r="A432" s="1">
        <v>2457184.84803</v>
      </c>
      <c r="B432" s="1" t="s">
        <v>99</v>
      </c>
      <c r="C432" s="1">
        <v>7.48</v>
      </c>
      <c r="D432" s="1">
        <v>0.02</v>
      </c>
      <c r="E432" s="1" t="s">
        <v>34</v>
      </c>
      <c r="F432" s="1" t="s">
        <v>22</v>
      </c>
      <c r="G432" s="1" t="s">
        <v>36</v>
      </c>
      <c r="H432" s="1">
        <v>65</v>
      </c>
      <c r="I432" s="1">
        <v>94</v>
      </c>
      <c r="J432" s="1" t="s">
        <v>68</v>
      </c>
      <c r="K432" s="1"/>
      <c r="L432" s="1"/>
      <c r="M432" s="1" t="s">
        <v>40</v>
      </c>
      <c r="N432" s="1"/>
      <c r="O432" s="1">
        <v>6.4219999999999997</v>
      </c>
      <c r="P432" s="1">
        <v>9.5549999999999997</v>
      </c>
      <c r="Q432" s="1"/>
      <c r="R432" s="1"/>
      <c r="S432" s="1" t="s">
        <v>41</v>
      </c>
      <c r="T432" s="1">
        <v>1</v>
      </c>
      <c r="U432" s="1"/>
      <c r="V432" s="1"/>
      <c r="W432" s="1"/>
      <c r="X432" s="1"/>
      <c r="Y432" s="1" t="s">
        <v>42</v>
      </c>
      <c r="Z432" s="1" t="s">
        <v>43</v>
      </c>
    </row>
    <row r="433" spans="1:26" ht="30" x14ac:dyDescent="0.25">
      <c r="A433" s="1">
        <v>2457184.8651399999</v>
      </c>
      <c r="B433" s="1" t="s">
        <v>99</v>
      </c>
      <c r="C433" s="1">
        <v>7.4790000000000001</v>
      </c>
      <c r="D433" s="1">
        <v>0.02</v>
      </c>
      <c r="E433" s="1" t="s">
        <v>34</v>
      </c>
      <c r="F433" s="1" t="s">
        <v>22</v>
      </c>
      <c r="G433" s="1" t="s">
        <v>36</v>
      </c>
      <c r="H433" s="1">
        <v>65</v>
      </c>
      <c r="I433" s="1">
        <v>94</v>
      </c>
      <c r="J433" s="1" t="s">
        <v>68</v>
      </c>
      <c r="K433" s="1"/>
      <c r="L433" s="1"/>
      <c r="M433" s="1" t="s">
        <v>40</v>
      </c>
      <c r="N433" s="1"/>
      <c r="O433" s="1">
        <v>6.4219999999999997</v>
      </c>
      <c r="P433" s="1">
        <v>9.5709999999999997</v>
      </c>
      <c r="Q433" s="1"/>
      <c r="R433" s="1"/>
      <c r="S433" s="1" t="s">
        <v>41</v>
      </c>
      <c r="T433" s="1">
        <v>1</v>
      </c>
      <c r="U433" s="1"/>
      <c r="V433" s="1"/>
      <c r="W433" s="1"/>
      <c r="X433" s="1"/>
      <c r="Y433" s="1" t="s">
        <v>42</v>
      </c>
      <c r="Z433" s="1" t="s">
        <v>43</v>
      </c>
    </row>
    <row r="434" spans="1:26" ht="30" x14ac:dyDescent="0.25">
      <c r="A434" s="1">
        <v>2457184.8823000002</v>
      </c>
      <c r="B434" s="1" t="s">
        <v>99</v>
      </c>
      <c r="C434" s="1">
        <v>7.3550000000000004</v>
      </c>
      <c r="D434" s="1">
        <v>0.02</v>
      </c>
      <c r="E434" s="1" t="s">
        <v>34</v>
      </c>
      <c r="F434" s="1" t="s">
        <v>22</v>
      </c>
      <c r="G434" s="1" t="s">
        <v>36</v>
      </c>
      <c r="H434" s="1">
        <v>65</v>
      </c>
      <c r="I434" s="1">
        <v>94</v>
      </c>
      <c r="J434" s="1" t="s">
        <v>68</v>
      </c>
      <c r="K434" s="1"/>
      <c r="L434" s="1"/>
      <c r="M434" s="1" t="s">
        <v>40</v>
      </c>
      <c r="N434" s="1"/>
      <c r="O434" s="1">
        <v>6.4219999999999997</v>
      </c>
      <c r="P434" s="1">
        <v>9.5640000000000001</v>
      </c>
      <c r="Q434" s="1"/>
      <c r="R434" s="1"/>
      <c r="S434" s="1" t="s">
        <v>41</v>
      </c>
      <c r="T434" s="1">
        <v>1</v>
      </c>
      <c r="U434" s="1"/>
      <c r="V434" s="1"/>
      <c r="W434" s="1"/>
      <c r="X434" s="1"/>
      <c r="Y434" s="1" t="s">
        <v>42</v>
      </c>
      <c r="Z434" s="1" t="s">
        <v>43</v>
      </c>
    </row>
    <row r="435" spans="1:26" ht="30" x14ac:dyDescent="0.25">
      <c r="A435" s="1">
        <v>2457184.8994100001</v>
      </c>
      <c r="B435" s="1" t="s">
        <v>99</v>
      </c>
      <c r="C435" s="1">
        <v>7.52</v>
      </c>
      <c r="D435" s="1">
        <v>0.02</v>
      </c>
      <c r="E435" s="1" t="s">
        <v>34</v>
      </c>
      <c r="F435" s="1" t="s">
        <v>22</v>
      </c>
      <c r="G435" s="1" t="s">
        <v>36</v>
      </c>
      <c r="H435" s="1">
        <v>65</v>
      </c>
      <c r="I435" s="1">
        <v>94</v>
      </c>
      <c r="J435" s="1" t="s">
        <v>68</v>
      </c>
      <c r="K435" s="1"/>
      <c r="L435" s="1"/>
      <c r="M435" s="1" t="s">
        <v>40</v>
      </c>
      <c r="N435" s="1"/>
      <c r="O435" s="1">
        <v>6.4219999999999997</v>
      </c>
      <c r="P435" s="1">
        <v>9.5559999999999992</v>
      </c>
      <c r="Q435" s="1"/>
      <c r="R435" s="1"/>
      <c r="S435" s="1" t="s">
        <v>41</v>
      </c>
      <c r="T435" s="1">
        <v>1</v>
      </c>
      <c r="U435" s="1"/>
      <c r="V435" s="1"/>
      <c r="W435" s="1"/>
      <c r="X435" s="1"/>
      <c r="Y435" s="1" t="s">
        <v>42</v>
      </c>
      <c r="Z435" s="1" t="s">
        <v>43</v>
      </c>
    </row>
    <row r="436" spans="1:26" ht="30" x14ac:dyDescent="0.25">
      <c r="A436" s="1">
        <v>2457187.6988599999</v>
      </c>
      <c r="B436" s="1" t="s">
        <v>100</v>
      </c>
      <c r="C436" s="1">
        <v>7.9560000000000004</v>
      </c>
      <c r="D436" s="1">
        <v>0.02</v>
      </c>
      <c r="E436" s="1" t="s">
        <v>34</v>
      </c>
      <c r="F436" s="1" t="s">
        <v>22</v>
      </c>
      <c r="G436" s="1" t="s">
        <v>36</v>
      </c>
      <c r="H436" s="1">
        <v>65</v>
      </c>
      <c r="I436" s="1">
        <v>94</v>
      </c>
      <c r="J436" s="1" t="s">
        <v>68</v>
      </c>
      <c r="K436" s="1"/>
      <c r="L436" s="1"/>
      <c r="M436" s="1" t="s">
        <v>40</v>
      </c>
      <c r="N436" s="1"/>
      <c r="O436" s="1">
        <v>6.4219999999999997</v>
      </c>
      <c r="P436" s="1">
        <v>9.52</v>
      </c>
      <c r="Q436" s="1"/>
      <c r="R436" s="1"/>
      <c r="S436" s="1" t="s">
        <v>41</v>
      </c>
      <c r="T436" s="1">
        <v>1</v>
      </c>
      <c r="U436" s="1"/>
      <c r="V436" s="1"/>
      <c r="W436" s="1"/>
      <c r="X436" s="1"/>
      <c r="Y436" s="1" t="s">
        <v>42</v>
      </c>
      <c r="Z436" s="1" t="s">
        <v>43</v>
      </c>
    </row>
    <row r="437" spans="1:26" ht="30" x14ac:dyDescent="0.25">
      <c r="A437" s="1">
        <v>2457187.7155800001</v>
      </c>
      <c r="B437" s="1" t="s">
        <v>100</v>
      </c>
      <c r="C437" s="1">
        <v>7.6559999999999997</v>
      </c>
      <c r="D437" s="1">
        <v>0.02</v>
      </c>
      <c r="E437" s="1" t="s">
        <v>34</v>
      </c>
      <c r="F437" s="1" t="s">
        <v>22</v>
      </c>
      <c r="G437" s="1" t="s">
        <v>36</v>
      </c>
      <c r="H437" s="1">
        <v>65</v>
      </c>
      <c r="I437" s="1">
        <v>94</v>
      </c>
      <c r="J437" s="1" t="s">
        <v>68</v>
      </c>
      <c r="K437" s="1"/>
      <c r="L437" s="1"/>
      <c r="M437" s="1" t="s">
        <v>40</v>
      </c>
      <c r="N437" s="1"/>
      <c r="O437" s="1">
        <v>6.4219999999999997</v>
      </c>
      <c r="P437" s="1">
        <v>9.657</v>
      </c>
      <c r="Q437" s="1"/>
      <c r="R437" s="1"/>
      <c r="S437" s="1" t="s">
        <v>41</v>
      </c>
      <c r="T437" s="1">
        <v>1</v>
      </c>
      <c r="U437" s="1"/>
      <c r="V437" s="1"/>
      <c r="W437" s="1"/>
      <c r="X437" s="1"/>
      <c r="Y437" s="1" t="s">
        <v>42</v>
      </c>
      <c r="Z437" s="1" t="s">
        <v>43</v>
      </c>
    </row>
    <row r="438" spans="1:26" ht="30" x14ac:dyDescent="0.25">
      <c r="A438" s="1">
        <v>2457187.7314399998</v>
      </c>
      <c r="B438" s="1" t="s">
        <v>100</v>
      </c>
      <c r="C438" s="1">
        <v>7.75</v>
      </c>
      <c r="D438" s="1">
        <v>0.02</v>
      </c>
      <c r="E438" s="1" t="s">
        <v>34</v>
      </c>
      <c r="F438" s="1" t="s">
        <v>22</v>
      </c>
      <c r="G438" s="1" t="s">
        <v>36</v>
      </c>
      <c r="H438" s="1">
        <v>65</v>
      </c>
      <c r="I438" s="1">
        <v>94</v>
      </c>
      <c r="J438" s="1" t="s">
        <v>68</v>
      </c>
      <c r="K438" s="1"/>
      <c r="L438" s="1"/>
      <c r="M438" s="1" t="s">
        <v>40</v>
      </c>
      <c r="N438" s="1"/>
      <c r="O438" s="1">
        <v>6.4219999999999997</v>
      </c>
      <c r="P438" s="1">
        <v>9.6020000000000003</v>
      </c>
      <c r="Q438" s="1"/>
      <c r="R438" s="1"/>
      <c r="S438" s="1" t="s">
        <v>41</v>
      </c>
      <c r="T438" s="1">
        <v>1</v>
      </c>
      <c r="U438" s="1"/>
      <c r="V438" s="1"/>
      <c r="W438" s="1"/>
      <c r="X438" s="1"/>
      <c r="Y438" s="1" t="s">
        <v>42</v>
      </c>
      <c r="Z438" s="1" t="s">
        <v>43</v>
      </c>
    </row>
    <row r="439" spans="1:26" ht="30" x14ac:dyDescent="0.25">
      <c r="A439" s="1">
        <v>2457187.7408099999</v>
      </c>
      <c r="B439" s="1" t="s">
        <v>100</v>
      </c>
      <c r="C439" s="1">
        <v>7.6669999999999998</v>
      </c>
      <c r="D439" s="1">
        <v>0.02</v>
      </c>
      <c r="E439" s="1" t="s">
        <v>34</v>
      </c>
      <c r="F439" s="1" t="s">
        <v>22</v>
      </c>
      <c r="G439" s="1" t="s">
        <v>36</v>
      </c>
      <c r="H439" s="1">
        <v>65</v>
      </c>
      <c r="I439" s="1">
        <v>94</v>
      </c>
      <c r="J439" s="1" t="s">
        <v>68</v>
      </c>
      <c r="K439" s="1"/>
      <c r="L439" s="1"/>
      <c r="M439" s="1" t="s">
        <v>40</v>
      </c>
      <c r="N439" s="1"/>
      <c r="O439" s="1">
        <v>6.4219999999999997</v>
      </c>
      <c r="P439" s="1">
        <v>9.5660000000000007</v>
      </c>
      <c r="Q439" s="1"/>
      <c r="R439" s="1"/>
      <c r="S439" s="1" t="s">
        <v>41</v>
      </c>
      <c r="T439" s="1">
        <v>1</v>
      </c>
      <c r="U439" s="1"/>
      <c r="V439" s="1"/>
      <c r="W439" s="1"/>
      <c r="X439" s="1"/>
      <c r="Y439" s="1" t="s">
        <v>42</v>
      </c>
      <c r="Z439" s="1" t="s">
        <v>43</v>
      </c>
    </row>
    <row r="440" spans="1:26" ht="30" x14ac:dyDescent="0.25">
      <c r="A440" s="1">
        <v>2457187.75147</v>
      </c>
      <c r="B440" s="1" t="s">
        <v>100</v>
      </c>
      <c r="C440" s="1">
        <v>7.7910000000000004</v>
      </c>
      <c r="D440" s="1">
        <v>0.02</v>
      </c>
      <c r="E440" s="1" t="s">
        <v>34</v>
      </c>
      <c r="F440" s="1" t="s">
        <v>22</v>
      </c>
      <c r="G440" s="1" t="s">
        <v>36</v>
      </c>
      <c r="H440" s="1">
        <v>65</v>
      </c>
      <c r="I440" s="1">
        <v>94</v>
      </c>
      <c r="J440" s="1" t="s">
        <v>68</v>
      </c>
      <c r="K440" s="1"/>
      <c r="L440" s="1"/>
      <c r="M440" s="1" t="s">
        <v>40</v>
      </c>
      <c r="N440" s="1"/>
      <c r="O440" s="1">
        <v>6.4219999999999997</v>
      </c>
      <c r="P440" s="1">
        <v>9.6129999999999995</v>
      </c>
      <c r="Q440" s="1"/>
      <c r="R440" s="1"/>
      <c r="S440" s="1" t="s">
        <v>41</v>
      </c>
      <c r="T440" s="1">
        <v>1</v>
      </c>
      <c r="U440" s="1"/>
      <c r="V440" s="1"/>
      <c r="W440" s="1"/>
      <c r="X440" s="1"/>
      <c r="Y440" s="1" t="s">
        <v>42</v>
      </c>
      <c r="Z440" s="1" t="s">
        <v>43</v>
      </c>
    </row>
    <row r="441" spans="1:26" ht="30" x14ac:dyDescent="0.25">
      <c r="A441" s="1">
        <v>2457187.7622099998</v>
      </c>
      <c r="B441" s="1" t="s">
        <v>100</v>
      </c>
      <c r="C441" s="1">
        <v>7.7969999999999997</v>
      </c>
      <c r="D441" s="1">
        <v>0.02</v>
      </c>
      <c r="E441" s="1" t="s">
        <v>34</v>
      </c>
      <c r="F441" s="1" t="s">
        <v>22</v>
      </c>
      <c r="G441" s="1" t="s">
        <v>36</v>
      </c>
      <c r="H441" s="1">
        <v>65</v>
      </c>
      <c r="I441" s="1">
        <v>94</v>
      </c>
      <c r="J441" s="1" t="s">
        <v>68</v>
      </c>
      <c r="K441" s="1"/>
      <c r="L441" s="1"/>
      <c r="M441" s="1" t="s">
        <v>40</v>
      </c>
      <c r="N441" s="1"/>
      <c r="O441" s="1">
        <v>6.4219999999999997</v>
      </c>
      <c r="P441" s="1">
        <v>9.5589999999999993</v>
      </c>
      <c r="Q441" s="1"/>
      <c r="R441" s="1"/>
      <c r="S441" s="1" t="s">
        <v>41</v>
      </c>
      <c r="T441" s="1">
        <v>1</v>
      </c>
      <c r="U441" s="1"/>
      <c r="V441" s="1"/>
      <c r="W441" s="1"/>
      <c r="X441" s="1"/>
      <c r="Y441" s="1" t="s">
        <v>42</v>
      </c>
      <c r="Z441" s="1" t="s">
        <v>43</v>
      </c>
    </row>
    <row r="442" spans="1:26" ht="30" x14ac:dyDescent="0.25">
      <c r="A442" s="1">
        <v>2457187.7729000002</v>
      </c>
      <c r="B442" s="1" t="s">
        <v>100</v>
      </c>
      <c r="C442" s="1">
        <v>7.867</v>
      </c>
      <c r="D442" s="1">
        <v>0.02</v>
      </c>
      <c r="E442" s="1" t="s">
        <v>34</v>
      </c>
      <c r="F442" s="1" t="s">
        <v>22</v>
      </c>
      <c r="G442" s="1" t="s">
        <v>36</v>
      </c>
      <c r="H442" s="1">
        <v>65</v>
      </c>
      <c r="I442" s="1">
        <v>94</v>
      </c>
      <c r="J442" s="1" t="s">
        <v>68</v>
      </c>
      <c r="K442" s="1"/>
      <c r="L442" s="1"/>
      <c r="M442" s="1" t="s">
        <v>40</v>
      </c>
      <c r="N442" s="1"/>
      <c r="O442" s="1">
        <v>6.4219999999999997</v>
      </c>
      <c r="P442" s="1">
        <v>9.609</v>
      </c>
      <c r="Q442" s="1"/>
      <c r="R442" s="1"/>
      <c r="S442" s="1" t="s">
        <v>41</v>
      </c>
      <c r="T442" s="1">
        <v>1</v>
      </c>
      <c r="U442" s="1"/>
      <c r="V442" s="1"/>
      <c r="W442" s="1"/>
      <c r="X442" s="1"/>
      <c r="Y442" s="1" t="s">
        <v>42</v>
      </c>
      <c r="Z442" s="1" t="s">
        <v>43</v>
      </c>
    </row>
    <row r="443" spans="1:26" ht="30" x14ac:dyDescent="0.25">
      <c r="A443" s="1">
        <v>2457187.7835599999</v>
      </c>
      <c r="B443" s="1" t="s">
        <v>100</v>
      </c>
      <c r="C443" s="1">
        <v>7.8029999999999999</v>
      </c>
      <c r="D443" s="1">
        <v>0.02</v>
      </c>
      <c r="E443" s="1" t="s">
        <v>34</v>
      </c>
      <c r="F443" s="1" t="s">
        <v>22</v>
      </c>
      <c r="G443" s="1" t="s">
        <v>36</v>
      </c>
      <c r="H443" s="1">
        <v>65</v>
      </c>
      <c r="I443" s="1">
        <v>94</v>
      </c>
      <c r="J443" s="1" t="s">
        <v>68</v>
      </c>
      <c r="K443" s="1"/>
      <c r="L443" s="1"/>
      <c r="M443" s="1" t="s">
        <v>40</v>
      </c>
      <c r="N443" s="1"/>
      <c r="O443" s="1">
        <v>6.4219999999999997</v>
      </c>
      <c r="P443" s="1">
        <v>9.5830000000000002</v>
      </c>
      <c r="Q443" s="1"/>
      <c r="R443" s="1"/>
      <c r="S443" s="1" t="s">
        <v>41</v>
      </c>
      <c r="T443" s="1">
        <v>1</v>
      </c>
      <c r="U443" s="1"/>
      <c r="V443" s="1"/>
      <c r="W443" s="1"/>
      <c r="X443" s="1"/>
      <c r="Y443" s="1" t="s">
        <v>42</v>
      </c>
      <c r="Z443" s="1" t="s">
        <v>43</v>
      </c>
    </row>
    <row r="444" spans="1:26" ht="30" x14ac:dyDescent="0.25">
      <c r="A444" s="1">
        <v>2457187.7943000002</v>
      </c>
      <c r="B444" s="1" t="s">
        <v>100</v>
      </c>
      <c r="C444" s="1">
        <v>7.9160000000000004</v>
      </c>
      <c r="D444" s="1">
        <v>0.02</v>
      </c>
      <c r="E444" s="1" t="s">
        <v>34</v>
      </c>
      <c r="F444" s="1" t="s">
        <v>22</v>
      </c>
      <c r="G444" s="1" t="s">
        <v>36</v>
      </c>
      <c r="H444" s="1">
        <v>65</v>
      </c>
      <c r="I444" s="1">
        <v>94</v>
      </c>
      <c r="J444" s="1" t="s">
        <v>68</v>
      </c>
      <c r="K444" s="1"/>
      <c r="L444" s="1"/>
      <c r="M444" s="1" t="s">
        <v>40</v>
      </c>
      <c r="N444" s="1"/>
      <c r="O444" s="1">
        <v>6.4219999999999997</v>
      </c>
      <c r="P444" s="1">
        <v>9.5830000000000002</v>
      </c>
      <c r="Q444" s="1"/>
      <c r="R444" s="1"/>
      <c r="S444" s="1" t="s">
        <v>41</v>
      </c>
      <c r="T444" s="1">
        <v>1</v>
      </c>
      <c r="U444" s="1"/>
      <c r="V444" s="1"/>
      <c r="W444" s="1"/>
      <c r="X444" s="1"/>
      <c r="Y444" s="1" t="s">
        <v>42</v>
      </c>
      <c r="Z444" s="1" t="s">
        <v>43</v>
      </c>
    </row>
    <row r="445" spans="1:26" ht="30" x14ac:dyDescent="0.25">
      <c r="A445" s="1">
        <v>2457187.80504</v>
      </c>
      <c r="B445" s="1" t="s">
        <v>100</v>
      </c>
      <c r="C445" s="1">
        <v>7.7009999999999996</v>
      </c>
      <c r="D445" s="1">
        <v>0.02</v>
      </c>
      <c r="E445" s="1" t="s">
        <v>34</v>
      </c>
      <c r="F445" s="1" t="s">
        <v>22</v>
      </c>
      <c r="G445" s="1" t="s">
        <v>36</v>
      </c>
      <c r="H445" s="1">
        <v>65</v>
      </c>
      <c r="I445" s="1">
        <v>94</v>
      </c>
      <c r="J445" s="1" t="s">
        <v>68</v>
      </c>
      <c r="K445" s="1"/>
      <c r="L445" s="1"/>
      <c r="M445" s="1" t="s">
        <v>40</v>
      </c>
      <c r="N445" s="1"/>
      <c r="O445" s="1">
        <v>6.4219999999999997</v>
      </c>
      <c r="P445" s="1">
        <v>9.5730000000000004</v>
      </c>
      <c r="Q445" s="1"/>
      <c r="R445" s="1"/>
      <c r="S445" s="1" t="s">
        <v>41</v>
      </c>
      <c r="T445" s="1">
        <v>1</v>
      </c>
      <c r="U445" s="1"/>
      <c r="V445" s="1"/>
      <c r="W445" s="1"/>
      <c r="X445" s="1"/>
      <c r="Y445" s="1" t="s">
        <v>42</v>
      </c>
      <c r="Z445" s="1" t="s">
        <v>43</v>
      </c>
    </row>
    <row r="446" spans="1:26" ht="30" x14ac:dyDescent="0.25">
      <c r="A446" s="1">
        <v>2457187.8394200001</v>
      </c>
      <c r="B446" s="1" t="s">
        <v>100</v>
      </c>
      <c r="C446" s="1">
        <v>7.6150000000000002</v>
      </c>
      <c r="D446" s="1">
        <v>0.02</v>
      </c>
      <c r="E446" s="1" t="s">
        <v>34</v>
      </c>
      <c r="F446" s="1" t="s">
        <v>22</v>
      </c>
      <c r="G446" s="1" t="s">
        <v>36</v>
      </c>
      <c r="H446" s="1">
        <v>65</v>
      </c>
      <c r="I446" s="1">
        <v>94</v>
      </c>
      <c r="J446" s="1" t="s">
        <v>68</v>
      </c>
      <c r="K446" s="1"/>
      <c r="L446" s="1"/>
      <c r="M446" s="1" t="s">
        <v>40</v>
      </c>
      <c r="N446" s="1"/>
      <c r="O446" s="1">
        <v>6.4219999999999997</v>
      </c>
      <c r="P446" s="1">
        <v>9.5860000000000003</v>
      </c>
      <c r="Q446" s="1"/>
      <c r="R446" s="1"/>
      <c r="S446" s="1" t="s">
        <v>41</v>
      </c>
      <c r="T446" s="1">
        <v>1</v>
      </c>
      <c r="U446" s="1"/>
      <c r="V446" s="1"/>
      <c r="W446" s="1"/>
      <c r="X446" s="1"/>
      <c r="Y446" s="1" t="s">
        <v>42</v>
      </c>
      <c r="Z446" s="1" t="s">
        <v>43</v>
      </c>
    </row>
    <row r="447" spans="1:26" ht="30" x14ac:dyDescent="0.25">
      <c r="A447" s="1">
        <v>2457187.8565600002</v>
      </c>
      <c r="B447" s="1" t="s">
        <v>100</v>
      </c>
      <c r="C447" s="1">
        <v>7.6189999999999998</v>
      </c>
      <c r="D447" s="1">
        <v>0.02</v>
      </c>
      <c r="E447" s="1" t="s">
        <v>34</v>
      </c>
      <c r="F447" s="1" t="s">
        <v>22</v>
      </c>
      <c r="G447" s="1" t="s">
        <v>36</v>
      </c>
      <c r="H447" s="1">
        <v>65</v>
      </c>
      <c r="I447" s="1">
        <v>94</v>
      </c>
      <c r="J447" s="1" t="s">
        <v>68</v>
      </c>
      <c r="K447" s="1"/>
      <c r="L447" s="1"/>
      <c r="M447" s="1" t="s">
        <v>40</v>
      </c>
      <c r="N447" s="1"/>
      <c r="O447" s="1">
        <v>6.4219999999999997</v>
      </c>
      <c r="P447" s="1">
        <v>9.6120000000000001</v>
      </c>
      <c r="Q447" s="1"/>
      <c r="R447" s="1"/>
      <c r="S447" s="1" t="s">
        <v>41</v>
      </c>
      <c r="T447" s="1">
        <v>1</v>
      </c>
      <c r="U447" s="1"/>
      <c r="V447" s="1"/>
      <c r="W447" s="1"/>
      <c r="X447" s="1"/>
      <c r="Y447" s="1" t="s">
        <v>42</v>
      </c>
      <c r="Z447" s="1" t="s">
        <v>43</v>
      </c>
    </row>
    <row r="448" spans="1:26" ht="30" x14ac:dyDescent="0.25">
      <c r="A448" s="1">
        <v>2457187.8737499998</v>
      </c>
      <c r="B448" s="1" t="s">
        <v>100</v>
      </c>
      <c r="C448" s="1">
        <v>7.7249999999999996</v>
      </c>
      <c r="D448" s="1">
        <v>0.02</v>
      </c>
      <c r="E448" s="1" t="s">
        <v>34</v>
      </c>
      <c r="F448" s="1" t="s">
        <v>22</v>
      </c>
      <c r="G448" s="1" t="s">
        <v>36</v>
      </c>
      <c r="H448" s="1">
        <v>65</v>
      </c>
      <c r="I448" s="1">
        <v>94</v>
      </c>
      <c r="J448" s="1" t="s">
        <v>68</v>
      </c>
      <c r="K448" s="1"/>
      <c r="L448" s="1"/>
      <c r="M448" s="1" t="s">
        <v>40</v>
      </c>
      <c r="N448" s="1"/>
      <c r="O448" s="1">
        <v>6.4219999999999997</v>
      </c>
      <c r="P448" s="1">
        <v>9.577</v>
      </c>
      <c r="Q448" s="1"/>
      <c r="R448" s="1"/>
      <c r="S448" s="1" t="s">
        <v>41</v>
      </c>
      <c r="T448" s="1">
        <v>1</v>
      </c>
      <c r="U448" s="1"/>
      <c r="V448" s="1"/>
      <c r="W448" s="1"/>
      <c r="X448" s="1"/>
      <c r="Y448" s="1" t="s">
        <v>42</v>
      </c>
      <c r="Z448" s="1" t="s">
        <v>43</v>
      </c>
    </row>
    <row r="449" spans="1:26" ht="30" x14ac:dyDescent="0.25">
      <c r="A449" s="1">
        <v>2457187.8908299999</v>
      </c>
      <c r="B449" s="1" t="s">
        <v>100</v>
      </c>
      <c r="C449" s="1">
        <v>7.49</v>
      </c>
      <c r="D449" s="1">
        <v>0.02</v>
      </c>
      <c r="E449" s="1" t="s">
        <v>34</v>
      </c>
      <c r="F449" s="1" t="s">
        <v>22</v>
      </c>
      <c r="G449" s="1" t="s">
        <v>36</v>
      </c>
      <c r="H449" s="1">
        <v>65</v>
      </c>
      <c r="I449" s="1">
        <v>94</v>
      </c>
      <c r="J449" s="1" t="s">
        <v>68</v>
      </c>
      <c r="K449" s="1"/>
      <c r="L449" s="1"/>
      <c r="M449" s="1" t="s">
        <v>40</v>
      </c>
      <c r="N449" s="1"/>
      <c r="O449" s="1">
        <v>6.4219999999999997</v>
      </c>
      <c r="P449" s="1">
        <v>9.5510000000000002</v>
      </c>
      <c r="Q449" s="1"/>
      <c r="R449" s="1"/>
      <c r="S449" s="1" t="s">
        <v>41</v>
      </c>
      <c r="T449" s="1">
        <v>1</v>
      </c>
      <c r="U449" s="1"/>
      <c r="V449" s="1"/>
      <c r="W449" s="1"/>
      <c r="X449" s="1"/>
      <c r="Y449" s="1" t="s">
        <v>42</v>
      </c>
      <c r="Z449" s="1" t="s">
        <v>43</v>
      </c>
    </row>
    <row r="450" spans="1:26" ht="30" x14ac:dyDescent="0.25">
      <c r="A450" s="1">
        <v>2457187.9079499999</v>
      </c>
      <c r="B450" s="1" t="s">
        <v>100</v>
      </c>
      <c r="C450" s="1">
        <v>7.5190000000000001</v>
      </c>
      <c r="D450" s="1">
        <v>0.02</v>
      </c>
      <c r="E450" s="1" t="s">
        <v>34</v>
      </c>
      <c r="F450" s="1" t="s">
        <v>22</v>
      </c>
      <c r="G450" s="1" t="s">
        <v>36</v>
      </c>
      <c r="H450" s="1">
        <v>65</v>
      </c>
      <c r="I450" s="1">
        <v>94</v>
      </c>
      <c r="J450" s="1" t="s">
        <v>68</v>
      </c>
      <c r="K450" s="1"/>
      <c r="L450" s="1"/>
      <c r="M450" s="1" t="s">
        <v>40</v>
      </c>
      <c r="N450" s="1"/>
      <c r="O450" s="1">
        <v>6.4219999999999997</v>
      </c>
      <c r="P450" s="1">
        <v>9.593</v>
      </c>
      <c r="Q450" s="1"/>
      <c r="R450" s="1"/>
      <c r="S450" s="1" t="s">
        <v>41</v>
      </c>
      <c r="T450" s="1">
        <v>1</v>
      </c>
      <c r="U450" s="1"/>
      <c r="V450" s="1"/>
      <c r="W450" s="1"/>
      <c r="X450" s="1"/>
      <c r="Y450" s="1" t="s">
        <v>42</v>
      </c>
      <c r="Z450" s="1" t="s">
        <v>43</v>
      </c>
    </row>
    <row r="451" spans="1:26" ht="30" x14ac:dyDescent="0.25">
      <c r="A451" s="1">
        <v>2457187.9251000001</v>
      </c>
      <c r="B451" s="1" t="s">
        <v>100</v>
      </c>
      <c r="C451" s="1">
        <v>7.6109999999999998</v>
      </c>
      <c r="D451" s="1">
        <v>0.02</v>
      </c>
      <c r="E451" s="1" t="s">
        <v>34</v>
      </c>
      <c r="F451" s="1" t="s">
        <v>22</v>
      </c>
      <c r="G451" s="1" t="s">
        <v>36</v>
      </c>
      <c r="H451" s="1">
        <v>65</v>
      </c>
      <c r="I451" s="1">
        <v>94</v>
      </c>
      <c r="J451" s="1" t="s">
        <v>68</v>
      </c>
      <c r="K451" s="1"/>
      <c r="L451" s="1"/>
      <c r="M451" s="1" t="s">
        <v>40</v>
      </c>
      <c r="N451" s="1"/>
      <c r="O451" s="1">
        <v>6.4219999999999997</v>
      </c>
      <c r="P451" s="1">
        <v>9.5809999999999995</v>
      </c>
      <c r="Q451" s="1"/>
      <c r="R451" s="1"/>
      <c r="S451" s="1" t="s">
        <v>41</v>
      </c>
      <c r="T451" s="1">
        <v>1</v>
      </c>
      <c r="U451" s="1"/>
      <c r="V451" s="1"/>
      <c r="W451" s="1"/>
      <c r="X451" s="1"/>
      <c r="Y451" s="1" t="s">
        <v>42</v>
      </c>
      <c r="Z451" s="1" t="s">
        <v>43</v>
      </c>
    </row>
    <row r="452" spans="1:26" ht="30" x14ac:dyDescent="0.25">
      <c r="A452" s="1">
        <v>2457192.6900800001</v>
      </c>
      <c r="B452" s="1" t="s">
        <v>101</v>
      </c>
      <c r="C452" s="1">
        <v>7.94</v>
      </c>
      <c r="D452" s="1">
        <v>0.02</v>
      </c>
      <c r="E452" s="1" t="s">
        <v>34</v>
      </c>
      <c r="F452" s="1" t="s">
        <v>22</v>
      </c>
      <c r="G452" s="1" t="s">
        <v>36</v>
      </c>
      <c r="H452" s="1">
        <v>65</v>
      </c>
      <c r="I452" s="1">
        <v>94</v>
      </c>
      <c r="J452" s="1" t="s">
        <v>68</v>
      </c>
      <c r="K452" s="1"/>
      <c r="L452" s="1"/>
      <c r="M452" s="1" t="s">
        <v>40</v>
      </c>
      <c r="N452" s="1"/>
      <c r="O452" s="1">
        <v>6.4219999999999997</v>
      </c>
      <c r="P452" s="1">
        <v>9.6319999999999997</v>
      </c>
      <c r="Q452" s="1"/>
      <c r="R452" s="1"/>
      <c r="S452" s="1" t="s">
        <v>41</v>
      </c>
      <c r="T452" s="1">
        <v>1</v>
      </c>
      <c r="U452" s="1"/>
      <c r="V452" s="1"/>
      <c r="W452" s="1"/>
      <c r="X452" s="1"/>
      <c r="Y452" s="1" t="s">
        <v>42</v>
      </c>
      <c r="Z452" s="1" t="s">
        <v>43</v>
      </c>
    </row>
    <row r="453" spans="1:26" ht="30" x14ac:dyDescent="0.25">
      <c r="A453" s="1">
        <v>2457192.70597</v>
      </c>
      <c r="B453" s="1" t="s">
        <v>101</v>
      </c>
      <c r="C453" s="1">
        <v>8.3919999999999995</v>
      </c>
      <c r="D453" s="1">
        <v>0.02</v>
      </c>
      <c r="E453" s="1" t="s">
        <v>34</v>
      </c>
      <c r="F453" s="1" t="s">
        <v>22</v>
      </c>
      <c r="G453" s="1" t="s">
        <v>36</v>
      </c>
      <c r="H453" s="1">
        <v>65</v>
      </c>
      <c r="I453" s="1">
        <v>94</v>
      </c>
      <c r="J453" s="1" t="s">
        <v>68</v>
      </c>
      <c r="K453" s="1"/>
      <c r="L453" s="1"/>
      <c r="M453" s="1" t="s">
        <v>40</v>
      </c>
      <c r="N453" s="1"/>
      <c r="O453" s="1">
        <v>6.4219999999999997</v>
      </c>
      <c r="P453" s="1">
        <v>9.7530000000000001</v>
      </c>
      <c r="Q453" s="1"/>
      <c r="R453" s="1"/>
      <c r="S453" s="1" t="s">
        <v>41</v>
      </c>
      <c r="T453" s="1">
        <v>1</v>
      </c>
      <c r="U453" s="1"/>
      <c r="V453" s="1"/>
      <c r="W453" s="1"/>
      <c r="X453" s="1"/>
      <c r="Y453" s="1" t="s">
        <v>42</v>
      </c>
      <c r="Z453" s="1" t="s">
        <v>43</v>
      </c>
    </row>
    <row r="454" spans="1:26" ht="30" x14ac:dyDescent="0.25">
      <c r="A454" s="1">
        <v>2457192.74835</v>
      </c>
      <c r="B454" s="1" t="s">
        <v>101</v>
      </c>
      <c r="C454" s="1">
        <v>7.8579999999999997</v>
      </c>
      <c r="D454" s="1">
        <v>0.02</v>
      </c>
      <c r="E454" s="1" t="s">
        <v>34</v>
      </c>
      <c r="F454" s="1" t="s">
        <v>22</v>
      </c>
      <c r="G454" s="1" t="s">
        <v>36</v>
      </c>
      <c r="H454" s="1">
        <v>65</v>
      </c>
      <c r="I454" s="1">
        <v>94</v>
      </c>
      <c r="J454" s="1" t="s">
        <v>68</v>
      </c>
      <c r="K454" s="1"/>
      <c r="L454" s="1"/>
      <c r="M454" s="1" t="s">
        <v>40</v>
      </c>
      <c r="N454" s="1"/>
      <c r="O454" s="1">
        <v>6.4219999999999997</v>
      </c>
      <c r="P454" s="1">
        <v>9.5180000000000007</v>
      </c>
      <c r="Q454" s="1"/>
      <c r="R454" s="1"/>
      <c r="S454" s="1" t="s">
        <v>41</v>
      </c>
      <c r="T454" s="1">
        <v>1</v>
      </c>
      <c r="U454" s="1"/>
      <c r="V454" s="1"/>
      <c r="W454" s="1"/>
      <c r="X454" s="1"/>
      <c r="Y454" s="1" t="s">
        <v>42</v>
      </c>
      <c r="Z454" s="1" t="s">
        <v>43</v>
      </c>
    </row>
    <row r="455" spans="1:26" ht="30" x14ac:dyDescent="0.25">
      <c r="A455" s="1">
        <v>2457192.8939</v>
      </c>
      <c r="B455" s="1" t="s">
        <v>101</v>
      </c>
      <c r="C455" s="1">
        <v>8.0389999999999997</v>
      </c>
      <c r="D455" s="1">
        <v>0.02</v>
      </c>
      <c r="E455" s="1" t="s">
        <v>34</v>
      </c>
      <c r="F455" s="1" t="s">
        <v>22</v>
      </c>
      <c r="G455" s="1" t="s">
        <v>36</v>
      </c>
      <c r="H455" s="1">
        <v>65</v>
      </c>
      <c r="I455" s="1">
        <v>94</v>
      </c>
      <c r="J455" s="1" t="s">
        <v>68</v>
      </c>
      <c r="K455" s="1"/>
      <c r="L455" s="1"/>
      <c r="M455" s="1" t="s">
        <v>40</v>
      </c>
      <c r="N455" s="1"/>
      <c r="O455" s="1">
        <v>6.4219999999999997</v>
      </c>
      <c r="P455" s="1">
        <v>9.6059999999999999</v>
      </c>
      <c r="Q455" s="1"/>
      <c r="R455" s="1"/>
      <c r="S455" s="1" t="s">
        <v>41</v>
      </c>
      <c r="T455" s="1">
        <v>1</v>
      </c>
      <c r="U455" s="1"/>
      <c r="V455" s="1"/>
      <c r="W455" s="1"/>
      <c r="X455" s="1"/>
      <c r="Y455" s="1" t="s">
        <v>42</v>
      </c>
      <c r="Z455" s="1" t="s">
        <v>43</v>
      </c>
    </row>
    <row r="456" spans="1:26" ht="30" x14ac:dyDescent="0.25">
      <c r="A456" s="1">
        <v>2457192.9110300001</v>
      </c>
      <c r="B456" s="1" t="s">
        <v>101</v>
      </c>
      <c r="C456" s="1">
        <v>7.9509999999999996</v>
      </c>
      <c r="D456" s="1">
        <v>0.02</v>
      </c>
      <c r="E456" s="1" t="s">
        <v>34</v>
      </c>
      <c r="F456" s="1" t="s">
        <v>22</v>
      </c>
      <c r="G456" s="1" t="s">
        <v>36</v>
      </c>
      <c r="H456" s="1">
        <v>65</v>
      </c>
      <c r="I456" s="1">
        <v>94</v>
      </c>
      <c r="J456" s="1" t="s">
        <v>68</v>
      </c>
      <c r="K456" s="1"/>
      <c r="L456" s="1"/>
      <c r="M456" s="1" t="s">
        <v>40</v>
      </c>
      <c r="N456" s="1"/>
      <c r="O456" s="1">
        <v>6.4219999999999997</v>
      </c>
      <c r="P456" s="1">
        <v>9.4740000000000002</v>
      </c>
      <c r="Q456" s="1"/>
      <c r="R456" s="1"/>
      <c r="S456" s="1" t="s">
        <v>41</v>
      </c>
      <c r="T456" s="1">
        <v>1</v>
      </c>
      <c r="U456" s="1"/>
      <c r="V456" s="1"/>
      <c r="W456" s="1"/>
      <c r="X456" s="1"/>
      <c r="Y456" s="1" t="s">
        <v>42</v>
      </c>
      <c r="Z456" s="1" t="s">
        <v>43</v>
      </c>
    </row>
    <row r="457" spans="1:26" ht="30" x14ac:dyDescent="0.25">
      <c r="A457" s="1">
        <v>2457194.68132</v>
      </c>
      <c r="B457" s="1" t="s">
        <v>102</v>
      </c>
      <c r="C457" s="1">
        <v>7.702</v>
      </c>
      <c r="D457" s="1">
        <v>0.02</v>
      </c>
      <c r="E457" s="1" t="s">
        <v>34</v>
      </c>
      <c r="F457" s="1" t="s">
        <v>22</v>
      </c>
      <c r="G457" s="1" t="s">
        <v>36</v>
      </c>
      <c r="H457" s="1">
        <v>65</v>
      </c>
      <c r="I457" s="1">
        <v>94</v>
      </c>
      <c r="J457" s="1" t="s">
        <v>68</v>
      </c>
      <c r="K457" s="1"/>
      <c r="L457" s="1"/>
      <c r="M457" s="1" t="s">
        <v>40</v>
      </c>
      <c r="N457" s="1"/>
      <c r="O457" s="1">
        <v>6.4219999999999997</v>
      </c>
      <c r="P457" s="1">
        <v>9.5060000000000002</v>
      </c>
      <c r="Q457" s="1"/>
      <c r="R457" s="1"/>
      <c r="S457" s="1" t="s">
        <v>41</v>
      </c>
      <c r="T457" s="1">
        <v>1</v>
      </c>
      <c r="U457" s="1"/>
      <c r="V457" s="1"/>
      <c r="W457" s="1"/>
      <c r="X457" s="1"/>
      <c r="Y457" s="1" t="s">
        <v>42</v>
      </c>
      <c r="Z457" s="1" t="s">
        <v>43</v>
      </c>
    </row>
    <row r="458" spans="1:26" ht="30" x14ac:dyDescent="0.25">
      <c r="A458" s="1">
        <v>2457194.6980400002</v>
      </c>
      <c r="B458" s="1" t="s">
        <v>102</v>
      </c>
      <c r="C458" s="1">
        <v>7.9290000000000003</v>
      </c>
      <c r="D458" s="1">
        <v>0.02</v>
      </c>
      <c r="E458" s="1" t="s">
        <v>34</v>
      </c>
      <c r="F458" s="1" t="s">
        <v>22</v>
      </c>
      <c r="G458" s="1" t="s">
        <v>36</v>
      </c>
      <c r="H458" s="1">
        <v>65</v>
      </c>
      <c r="I458" s="1">
        <v>94</v>
      </c>
      <c r="J458" s="1" t="s">
        <v>68</v>
      </c>
      <c r="K458" s="1"/>
      <c r="L458" s="1"/>
      <c r="M458" s="1" t="s">
        <v>40</v>
      </c>
      <c r="N458" s="1"/>
      <c r="O458" s="1">
        <v>6.4219999999999997</v>
      </c>
      <c r="P458" s="1">
        <v>9.5399999999999991</v>
      </c>
      <c r="Q458" s="1"/>
      <c r="R458" s="1"/>
      <c r="S458" s="1" t="s">
        <v>41</v>
      </c>
      <c r="T458" s="1">
        <v>1</v>
      </c>
      <c r="U458" s="1"/>
      <c r="V458" s="1"/>
      <c r="W458" s="1"/>
      <c r="X458" s="1"/>
      <c r="Y458" s="1" t="s">
        <v>42</v>
      </c>
      <c r="Z458" s="1" t="s">
        <v>43</v>
      </c>
    </row>
    <row r="459" spans="1:26" ht="30" x14ac:dyDescent="0.25">
      <c r="A459" s="1">
        <v>2457194.71447</v>
      </c>
      <c r="B459" s="1" t="s">
        <v>102</v>
      </c>
      <c r="C459" s="1">
        <v>7.99</v>
      </c>
      <c r="D459" s="1">
        <v>0.02</v>
      </c>
      <c r="E459" s="1" t="s">
        <v>34</v>
      </c>
      <c r="F459" s="1" t="s">
        <v>22</v>
      </c>
      <c r="G459" s="1" t="s">
        <v>36</v>
      </c>
      <c r="H459" s="1">
        <v>65</v>
      </c>
      <c r="I459" s="1">
        <v>94</v>
      </c>
      <c r="J459" s="1" t="s">
        <v>68</v>
      </c>
      <c r="K459" s="1"/>
      <c r="L459" s="1"/>
      <c r="M459" s="1" t="s">
        <v>40</v>
      </c>
      <c r="N459" s="1"/>
      <c r="O459" s="1">
        <v>6.4219999999999997</v>
      </c>
      <c r="P459" s="1">
        <v>9.5129999999999999</v>
      </c>
      <c r="Q459" s="1"/>
      <c r="R459" s="1"/>
      <c r="S459" s="1" t="s">
        <v>41</v>
      </c>
      <c r="T459" s="1">
        <v>1</v>
      </c>
      <c r="U459" s="1"/>
      <c r="V459" s="1"/>
      <c r="W459" s="1"/>
      <c r="X459" s="1"/>
      <c r="Y459" s="1" t="s">
        <v>42</v>
      </c>
      <c r="Z459" s="1" t="s">
        <v>43</v>
      </c>
    </row>
    <row r="460" spans="1:26" ht="30" x14ac:dyDescent="0.25">
      <c r="A460" s="1">
        <v>2457194.7336800001</v>
      </c>
      <c r="B460" s="1" t="s">
        <v>102</v>
      </c>
      <c r="C460" s="1">
        <v>8.1280000000000001</v>
      </c>
      <c r="D460" s="1">
        <v>0.02</v>
      </c>
      <c r="E460" s="1" t="s">
        <v>34</v>
      </c>
      <c r="F460" s="1" t="s">
        <v>22</v>
      </c>
      <c r="G460" s="1" t="s">
        <v>36</v>
      </c>
      <c r="H460" s="1">
        <v>65</v>
      </c>
      <c r="I460" s="1">
        <v>94</v>
      </c>
      <c r="J460" s="1" t="s">
        <v>68</v>
      </c>
      <c r="K460" s="1"/>
      <c r="L460" s="1"/>
      <c r="M460" s="1" t="s">
        <v>40</v>
      </c>
      <c r="N460" s="1"/>
      <c r="O460" s="1">
        <v>6.4219999999999997</v>
      </c>
      <c r="P460" s="1">
        <v>9.5739999999999998</v>
      </c>
      <c r="Q460" s="1"/>
      <c r="R460" s="1"/>
      <c r="S460" s="1" t="s">
        <v>41</v>
      </c>
      <c r="T460" s="1">
        <v>1</v>
      </c>
      <c r="U460" s="1"/>
      <c r="V460" s="1"/>
      <c r="W460" s="1"/>
      <c r="X460" s="1"/>
      <c r="Y460" s="1" t="s">
        <v>42</v>
      </c>
      <c r="Z460" s="1" t="s">
        <v>43</v>
      </c>
    </row>
    <row r="461" spans="1:26" ht="30" x14ac:dyDescent="0.25">
      <c r="A461" s="1">
        <v>2457194.7445100001</v>
      </c>
      <c r="B461" s="1" t="s">
        <v>102</v>
      </c>
      <c r="C461" s="1">
        <v>8.0730000000000004</v>
      </c>
      <c r="D461" s="1">
        <v>0.02</v>
      </c>
      <c r="E461" s="1" t="s">
        <v>34</v>
      </c>
      <c r="F461" s="1" t="s">
        <v>22</v>
      </c>
      <c r="G461" s="1" t="s">
        <v>36</v>
      </c>
      <c r="H461" s="1">
        <v>65</v>
      </c>
      <c r="I461" s="1">
        <v>94</v>
      </c>
      <c r="J461" s="1" t="s">
        <v>68</v>
      </c>
      <c r="K461" s="1"/>
      <c r="L461" s="1"/>
      <c r="M461" s="1" t="s">
        <v>40</v>
      </c>
      <c r="N461" s="1"/>
      <c r="O461" s="1">
        <v>6.4219999999999997</v>
      </c>
      <c r="P461" s="1">
        <v>9.5389999999999997</v>
      </c>
      <c r="Q461" s="1"/>
      <c r="R461" s="1"/>
      <c r="S461" s="1" t="s">
        <v>41</v>
      </c>
      <c r="T461" s="1">
        <v>1</v>
      </c>
      <c r="U461" s="1"/>
      <c r="V461" s="1"/>
      <c r="W461" s="1"/>
      <c r="X461" s="1"/>
      <c r="Y461" s="1" t="s">
        <v>42</v>
      </c>
      <c r="Z461" s="1" t="s">
        <v>43</v>
      </c>
    </row>
    <row r="462" spans="1:26" ht="30" x14ac:dyDescent="0.25">
      <c r="A462" s="1">
        <v>2457194.7553099999</v>
      </c>
      <c r="B462" s="1" t="s">
        <v>102</v>
      </c>
      <c r="C462" s="1">
        <v>8.0879999999999992</v>
      </c>
      <c r="D462" s="1">
        <v>0.02</v>
      </c>
      <c r="E462" s="1" t="s">
        <v>34</v>
      </c>
      <c r="F462" s="1" t="s">
        <v>22</v>
      </c>
      <c r="G462" s="1" t="s">
        <v>36</v>
      </c>
      <c r="H462" s="1">
        <v>65</v>
      </c>
      <c r="I462" s="1">
        <v>94</v>
      </c>
      <c r="J462" s="1" t="s">
        <v>68</v>
      </c>
      <c r="K462" s="1"/>
      <c r="L462" s="1"/>
      <c r="M462" s="1" t="s">
        <v>40</v>
      </c>
      <c r="N462" s="1"/>
      <c r="O462" s="1">
        <v>6.4219999999999997</v>
      </c>
      <c r="P462" s="1">
        <v>9.5530000000000008</v>
      </c>
      <c r="Q462" s="1"/>
      <c r="R462" s="1"/>
      <c r="S462" s="1" t="s">
        <v>41</v>
      </c>
      <c r="T462" s="1">
        <v>1</v>
      </c>
      <c r="U462" s="1"/>
      <c r="V462" s="1"/>
      <c r="W462" s="1"/>
      <c r="X462" s="1"/>
      <c r="Y462" s="1" t="s">
        <v>42</v>
      </c>
      <c r="Z462" s="1" t="s">
        <v>43</v>
      </c>
    </row>
    <row r="463" spans="1:26" ht="30" x14ac:dyDescent="0.25">
      <c r="A463" s="1">
        <v>2457194.76614</v>
      </c>
      <c r="B463" s="1" t="s">
        <v>102</v>
      </c>
      <c r="C463" s="1">
        <v>8.0690000000000008</v>
      </c>
      <c r="D463" s="1">
        <v>0.02</v>
      </c>
      <c r="E463" s="1" t="s">
        <v>34</v>
      </c>
      <c r="F463" s="1" t="s">
        <v>22</v>
      </c>
      <c r="G463" s="1" t="s">
        <v>36</v>
      </c>
      <c r="H463" s="1">
        <v>65</v>
      </c>
      <c r="I463" s="1">
        <v>94</v>
      </c>
      <c r="J463" s="1" t="s">
        <v>68</v>
      </c>
      <c r="K463" s="1"/>
      <c r="L463" s="1"/>
      <c r="M463" s="1" t="s">
        <v>40</v>
      </c>
      <c r="N463" s="1"/>
      <c r="O463" s="1">
        <v>6.4219999999999997</v>
      </c>
      <c r="P463" s="1">
        <v>9.5370000000000008</v>
      </c>
      <c r="Q463" s="1"/>
      <c r="R463" s="1"/>
      <c r="S463" s="1" t="s">
        <v>41</v>
      </c>
      <c r="T463" s="1">
        <v>1</v>
      </c>
      <c r="U463" s="1"/>
      <c r="V463" s="1"/>
      <c r="W463" s="1"/>
      <c r="X463" s="1"/>
      <c r="Y463" s="1" t="s">
        <v>42</v>
      </c>
      <c r="Z463" s="1" t="s">
        <v>43</v>
      </c>
    </row>
    <row r="464" spans="1:26" ht="30" x14ac:dyDescent="0.25">
      <c r="A464" s="1">
        <v>2457194.77697</v>
      </c>
      <c r="B464" s="1" t="s">
        <v>102</v>
      </c>
      <c r="C464" s="1">
        <v>7.9870000000000001</v>
      </c>
      <c r="D464" s="1">
        <v>0.02</v>
      </c>
      <c r="E464" s="1" t="s">
        <v>34</v>
      </c>
      <c r="F464" s="1" t="s">
        <v>22</v>
      </c>
      <c r="G464" s="1" t="s">
        <v>36</v>
      </c>
      <c r="H464" s="1">
        <v>65</v>
      </c>
      <c r="I464" s="1">
        <v>94</v>
      </c>
      <c r="J464" s="1" t="s">
        <v>68</v>
      </c>
      <c r="K464" s="1"/>
      <c r="L464" s="1"/>
      <c r="M464" s="1" t="s">
        <v>40</v>
      </c>
      <c r="N464" s="1"/>
      <c r="O464" s="1">
        <v>6.4219999999999997</v>
      </c>
      <c r="P464" s="1">
        <v>9.5579999999999998</v>
      </c>
      <c r="Q464" s="1"/>
      <c r="R464" s="1"/>
      <c r="S464" s="1" t="s">
        <v>41</v>
      </c>
      <c r="T464" s="1">
        <v>1</v>
      </c>
      <c r="U464" s="1"/>
      <c r="V464" s="1"/>
      <c r="W464" s="1"/>
      <c r="X464" s="1"/>
      <c r="Y464" s="1" t="s">
        <v>42</v>
      </c>
      <c r="Z464" s="1" t="s">
        <v>43</v>
      </c>
    </row>
    <row r="465" spans="1:26" ht="30" x14ac:dyDescent="0.25">
      <c r="A465" s="1">
        <v>2457194.7877099998</v>
      </c>
      <c r="B465" s="1" t="s">
        <v>102</v>
      </c>
      <c r="C465" s="1">
        <v>7.8680000000000003</v>
      </c>
      <c r="D465" s="1">
        <v>0.02</v>
      </c>
      <c r="E465" s="1" t="s">
        <v>34</v>
      </c>
      <c r="F465" s="1" t="s">
        <v>22</v>
      </c>
      <c r="G465" s="1" t="s">
        <v>36</v>
      </c>
      <c r="H465" s="1">
        <v>65</v>
      </c>
      <c r="I465" s="1">
        <v>94</v>
      </c>
      <c r="J465" s="1" t="s">
        <v>68</v>
      </c>
      <c r="K465" s="1"/>
      <c r="L465" s="1"/>
      <c r="M465" s="1" t="s">
        <v>40</v>
      </c>
      <c r="N465" s="1"/>
      <c r="O465" s="1">
        <v>6.4219999999999997</v>
      </c>
      <c r="P465" s="1">
        <v>9.548</v>
      </c>
      <c r="Q465" s="1"/>
      <c r="R465" s="1"/>
      <c r="S465" s="1" t="s">
        <v>41</v>
      </c>
      <c r="T465" s="1">
        <v>1</v>
      </c>
      <c r="U465" s="1"/>
      <c r="V465" s="1"/>
      <c r="W465" s="1"/>
      <c r="X465" s="1"/>
      <c r="Y465" s="1" t="s">
        <v>42</v>
      </c>
      <c r="Z465" s="1" t="s">
        <v>43</v>
      </c>
    </row>
    <row r="466" spans="1:26" ht="30" x14ac:dyDescent="0.25">
      <c r="A466" s="1">
        <v>2457194.8050699998</v>
      </c>
      <c r="B466" s="1" t="s">
        <v>102</v>
      </c>
      <c r="C466" s="1">
        <v>7.95</v>
      </c>
      <c r="D466" s="1">
        <v>0.02</v>
      </c>
      <c r="E466" s="1" t="s">
        <v>34</v>
      </c>
      <c r="F466" s="1" t="s">
        <v>22</v>
      </c>
      <c r="G466" s="1" t="s">
        <v>36</v>
      </c>
      <c r="H466" s="1">
        <v>65</v>
      </c>
      <c r="I466" s="1">
        <v>94</v>
      </c>
      <c r="J466" s="1" t="s">
        <v>68</v>
      </c>
      <c r="K466" s="1"/>
      <c r="L466" s="1"/>
      <c r="M466" s="1" t="s">
        <v>40</v>
      </c>
      <c r="N466" s="1"/>
      <c r="O466" s="1">
        <v>6.4219999999999997</v>
      </c>
      <c r="P466" s="1">
        <v>9.5229999999999997</v>
      </c>
      <c r="Q466" s="1"/>
      <c r="R466" s="1"/>
      <c r="S466" s="1" t="s">
        <v>41</v>
      </c>
      <c r="T466" s="1">
        <v>1</v>
      </c>
      <c r="U466" s="1"/>
      <c r="V466" s="1"/>
      <c r="W466" s="1"/>
      <c r="X466" s="1"/>
      <c r="Y466" s="1" t="s">
        <v>42</v>
      </c>
      <c r="Z466" s="1" t="s">
        <v>43</v>
      </c>
    </row>
    <row r="467" spans="1:26" ht="30" x14ac:dyDescent="0.25">
      <c r="A467" s="1">
        <v>2457194.8224499999</v>
      </c>
      <c r="B467" s="1" t="s">
        <v>102</v>
      </c>
      <c r="C467" s="1">
        <v>7.88</v>
      </c>
      <c r="D467" s="1">
        <v>0.02</v>
      </c>
      <c r="E467" s="1" t="s">
        <v>34</v>
      </c>
      <c r="F467" s="1" t="s">
        <v>22</v>
      </c>
      <c r="G467" s="1" t="s">
        <v>36</v>
      </c>
      <c r="H467" s="1">
        <v>65</v>
      </c>
      <c r="I467" s="1">
        <v>94</v>
      </c>
      <c r="J467" s="1" t="s">
        <v>68</v>
      </c>
      <c r="K467" s="1"/>
      <c r="L467" s="1"/>
      <c r="M467" s="1" t="s">
        <v>40</v>
      </c>
      <c r="N467" s="1"/>
      <c r="O467" s="1">
        <v>6.4219999999999997</v>
      </c>
      <c r="P467" s="1">
        <v>9.5399999999999991</v>
      </c>
      <c r="Q467" s="1"/>
      <c r="R467" s="1"/>
      <c r="S467" s="1" t="s">
        <v>41</v>
      </c>
      <c r="T467" s="1">
        <v>1</v>
      </c>
      <c r="U467" s="1"/>
      <c r="V467" s="1"/>
      <c r="W467" s="1"/>
      <c r="X467" s="1"/>
      <c r="Y467" s="1" t="s">
        <v>42</v>
      </c>
      <c r="Z467" s="1" t="s">
        <v>43</v>
      </c>
    </row>
    <row r="468" spans="1:26" ht="30" x14ac:dyDescent="0.25">
      <c r="A468" s="1">
        <v>2457194.8397499998</v>
      </c>
      <c r="B468" s="1" t="s">
        <v>102</v>
      </c>
      <c r="C468" s="1">
        <v>7.899</v>
      </c>
      <c r="D468" s="1">
        <v>0.02</v>
      </c>
      <c r="E468" s="1" t="s">
        <v>34</v>
      </c>
      <c r="F468" s="1" t="s">
        <v>22</v>
      </c>
      <c r="G468" s="1" t="s">
        <v>36</v>
      </c>
      <c r="H468" s="1">
        <v>65</v>
      </c>
      <c r="I468" s="1">
        <v>94</v>
      </c>
      <c r="J468" s="1" t="s">
        <v>68</v>
      </c>
      <c r="K468" s="1"/>
      <c r="L468" s="1"/>
      <c r="M468" s="1" t="s">
        <v>40</v>
      </c>
      <c r="N468" s="1"/>
      <c r="O468" s="1">
        <v>6.4219999999999997</v>
      </c>
      <c r="P468" s="1">
        <v>9.5220000000000002</v>
      </c>
      <c r="Q468" s="1"/>
      <c r="R468" s="1"/>
      <c r="S468" s="1" t="s">
        <v>41</v>
      </c>
      <c r="T468" s="1">
        <v>1</v>
      </c>
      <c r="U468" s="1"/>
      <c r="V468" s="1"/>
      <c r="W468" s="1"/>
      <c r="X468" s="1"/>
      <c r="Y468" s="1" t="s">
        <v>42</v>
      </c>
      <c r="Z468" s="1" t="s">
        <v>43</v>
      </c>
    </row>
    <row r="469" spans="1:26" ht="30" x14ac:dyDescent="0.25">
      <c r="A469" s="1">
        <v>2457194.8572300002</v>
      </c>
      <c r="B469" s="1" t="s">
        <v>102</v>
      </c>
      <c r="C469" s="1">
        <v>8.0570000000000004</v>
      </c>
      <c r="D469" s="1">
        <v>0.02</v>
      </c>
      <c r="E469" s="1" t="s">
        <v>34</v>
      </c>
      <c r="F469" s="1" t="s">
        <v>22</v>
      </c>
      <c r="G469" s="1" t="s">
        <v>36</v>
      </c>
      <c r="H469" s="1">
        <v>65</v>
      </c>
      <c r="I469" s="1">
        <v>94</v>
      </c>
      <c r="J469" s="1" t="s">
        <v>68</v>
      </c>
      <c r="K469" s="1"/>
      <c r="L469" s="1"/>
      <c r="M469" s="1" t="s">
        <v>40</v>
      </c>
      <c r="N469" s="1"/>
      <c r="O469" s="1">
        <v>6.4219999999999997</v>
      </c>
      <c r="P469" s="1">
        <v>9.5519999999999996</v>
      </c>
      <c r="Q469" s="1"/>
      <c r="R469" s="1"/>
      <c r="S469" s="1" t="s">
        <v>41</v>
      </c>
      <c r="T469" s="1">
        <v>1</v>
      </c>
      <c r="U469" s="1"/>
      <c r="V469" s="1"/>
      <c r="W469" s="1"/>
      <c r="X469" s="1"/>
      <c r="Y469" s="1" t="s">
        <v>42</v>
      </c>
      <c r="Z469" s="1" t="s">
        <v>43</v>
      </c>
    </row>
    <row r="470" spans="1:26" ht="30" x14ac:dyDescent="0.25">
      <c r="A470" s="1">
        <v>2457194.8745499998</v>
      </c>
      <c r="B470" s="1" t="s">
        <v>102</v>
      </c>
      <c r="C470" s="1">
        <v>7.673</v>
      </c>
      <c r="D470" s="1">
        <v>0.02</v>
      </c>
      <c r="E470" s="1" t="s">
        <v>34</v>
      </c>
      <c r="F470" s="1" t="s">
        <v>22</v>
      </c>
      <c r="G470" s="1" t="s">
        <v>36</v>
      </c>
      <c r="H470" s="1">
        <v>65</v>
      </c>
      <c r="I470" s="1">
        <v>94</v>
      </c>
      <c r="J470" s="1" t="s">
        <v>68</v>
      </c>
      <c r="K470" s="1"/>
      <c r="L470" s="1"/>
      <c r="M470" s="1" t="s">
        <v>40</v>
      </c>
      <c r="N470" s="1"/>
      <c r="O470" s="1">
        <v>6.4219999999999997</v>
      </c>
      <c r="P470" s="1">
        <v>9.5459999999999994</v>
      </c>
      <c r="Q470" s="1"/>
      <c r="R470" s="1"/>
      <c r="S470" s="1" t="s">
        <v>41</v>
      </c>
      <c r="T470" s="1">
        <v>1</v>
      </c>
      <c r="U470" s="1"/>
      <c r="V470" s="1"/>
      <c r="W470" s="1"/>
      <c r="X470" s="1"/>
      <c r="Y470" s="1" t="s">
        <v>42</v>
      </c>
      <c r="Z470" s="1" t="s">
        <v>43</v>
      </c>
    </row>
    <row r="471" spans="1:26" ht="30" x14ac:dyDescent="0.25">
      <c r="A471" s="1">
        <v>2457194.8918699999</v>
      </c>
      <c r="B471" s="1" t="s">
        <v>102</v>
      </c>
      <c r="C471" s="1">
        <v>7.8170000000000002</v>
      </c>
      <c r="D471" s="1">
        <v>0.02</v>
      </c>
      <c r="E471" s="1" t="s">
        <v>34</v>
      </c>
      <c r="F471" s="1" t="s">
        <v>22</v>
      </c>
      <c r="G471" s="1" t="s">
        <v>36</v>
      </c>
      <c r="H471" s="1">
        <v>65</v>
      </c>
      <c r="I471" s="1">
        <v>94</v>
      </c>
      <c r="J471" s="1" t="s">
        <v>68</v>
      </c>
      <c r="K471" s="1"/>
      <c r="L471" s="1"/>
      <c r="M471" s="1" t="s">
        <v>40</v>
      </c>
      <c r="N471" s="1"/>
      <c r="O471" s="1">
        <v>6.4219999999999997</v>
      </c>
      <c r="P471" s="1">
        <v>9.5380000000000003</v>
      </c>
      <c r="Q471" s="1"/>
      <c r="R471" s="1"/>
      <c r="S471" s="1" t="s">
        <v>41</v>
      </c>
      <c r="T471" s="1">
        <v>1</v>
      </c>
      <c r="U471" s="1"/>
      <c r="V471" s="1"/>
      <c r="W471" s="1"/>
      <c r="X471" s="1"/>
      <c r="Y471" s="1" t="s">
        <v>42</v>
      </c>
      <c r="Z471" s="1" t="s">
        <v>43</v>
      </c>
    </row>
    <row r="472" spans="1:26" ht="30" x14ac:dyDescent="0.25">
      <c r="A472" s="1">
        <v>2457194.90925</v>
      </c>
      <c r="B472" s="1" t="s">
        <v>102</v>
      </c>
      <c r="C472" s="1">
        <v>7.7949999999999999</v>
      </c>
      <c r="D472" s="1">
        <v>0.02</v>
      </c>
      <c r="E472" s="1" t="s">
        <v>34</v>
      </c>
      <c r="F472" s="1" t="s">
        <v>22</v>
      </c>
      <c r="G472" s="1" t="s">
        <v>36</v>
      </c>
      <c r="H472" s="1">
        <v>65</v>
      </c>
      <c r="I472" s="1">
        <v>94</v>
      </c>
      <c r="J472" s="1" t="s">
        <v>68</v>
      </c>
      <c r="K472" s="1"/>
      <c r="L472" s="1"/>
      <c r="M472" s="1" t="s">
        <v>40</v>
      </c>
      <c r="N472" s="1"/>
      <c r="O472" s="1">
        <v>6.4219999999999997</v>
      </c>
      <c r="P472" s="1">
        <v>9.5609999999999999</v>
      </c>
      <c r="Q472" s="1"/>
      <c r="R472" s="1"/>
      <c r="S472" s="1" t="s">
        <v>41</v>
      </c>
      <c r="T472" s="1">
        <v>1</v>
      </c>
      <c r="U472" s="1"/>
      <c r="V472" s="1"/>
      <c r="W472" s="1"/>
      <c r="X472" s="1"/>
      <c r="Y472" s="1" t="s">
        <v>42</v>
      </c>
      <c r="Z472" s="1" t="s">
        <v>43</v>
      </c>
    </row>
    <row r="473" spans="1:26" ht="30" x14ac:dyDescent="0.25">
      <c r="A473" s="1">
        <v>2457194.9406099999</v>
      </c>
      <c r="B473" s="1" t="s">
        <v>102</v>
      </c>
      <c r="C473" s="1">
        <v>7.6550000000000002</v>
      </c>
      <c r="D473" s="1">
        <v>0.02</v>
      </c>
      <c r="E473" s="1" t="s">
        <v>34</v>
      </c>
      <c r="F473" s="1" t="s">
        <v>22</v>
      </c>
      <c r="G473" s="1" t="s">
        <v>36</v>
      </c>
      <c r="H473" s="1">
        <v>65</v>
      </c>
      <c r="I473" s="1">
        <v>94</v>
      </c>
      <c r="J473" s="1" t="s">
        <v>68</v>
      </c>
      <c r="K473" s="1"/>
      <c r="L473" s="1"/>
      <c r="M473" s="1" t="s">
        <v>40</v>
      </c>
      <c r="N473" s="1"/>
      <c r="O473" s="1">
        <v>6.4219999999999997</v>
      </c>
      <c r="P473" s="1">
        <v>9.5570000000000004</v>
      </c>
      <c r="Q473" s="1"/>
      <c r="R473" s="1"/>
      <c r="S473" s="1" t="s">
        <v>41</v>
      </c>
      <c r="T473" s="1">
        <v>1</v>
      </c>
      <c r="U473" s="1"/>
      <c r="V473" s="1"/>
      <c r="W473" s="1"/>
      <c r="X473" s="1"/>
      <c r="Y473" s="1" t="s">
        <v>42</v>
      </c>
      <c r="Z473" s="1" t="s">
        <v>43</v>
      </c>
    </row>
    <row r="474" spans="1:26" ht="30" x14ac:dyDescent="0.25">
      <c r="A474" s="1">
        <v>2457195.6963900002</v>
      </c>
      <c r="B474" s="1" t="s">
        <v>103</v>
      </c>
      <c r="C474" s="1">
        <v>7.9710000000000001</v>
      </c>
      <c r="D474" s="1">
        <v>0.02</v>
      </c>
      <c r="E474" s="1" t="s">
        <v>34</v>
      </c>
      <c r="F474" s="1" t="s">
        <v>22</v>
      </c>
      <c r="G474" s="1" t="s">
        <v>36</v>
      </c>
      <c r="H474" s="1">
        <v>65</v>
      </c>
      <c r="I474" s="1">
        <v>94</v>
      </c>
      <c r="J474" s="1" t="s">
        <v>104</v>
      </c>
      <c r="K474" s="1"/>
      <c r="L474" s="1"/>
      <c r="M474" s="1" t="s">
        <v>40</v>
      </c>
      <c r="N474" s="1"/>
      <c r="O474" s="1">
        <v>6.4219999999999997</v>
      </c>
      <c r="P474" s="1">
        <v>9.5229999999999997</v>
      </c>
      <c r="Q474" s="1"/>
      <c r="R474" s="1"/>
      <c r="S474" s="1" t="s">
        <v>41</v>
      </c>
      <c r="T474" s="1">
        <v>1</v>
      </c>
      <c r="U474" s="1"/>
      <c r="V474" s="1"/>
      <c r="W474" s="1"/>
      <c r="X474" s="1"/>
      <c r="Y474" s="1" t="s">
        <v>42</v>
      </c>
      <c r="Z474" s="1" t="s">
        <v>43</v>
      </c>
    </row>
    <row r="475" spans="1:26" ht="30" x14ac:dyDescent="0.25">
      <c r="A475" s="1">
        <v>2457195.7130100001</v>
      </c>
      <c r="B475" s="1" t="s">
        <v>103</v>
      </c>
      <c r="C475" s="1">
        <v>7.7409999999999997</v>
      </c>
      <c r="D475" s="1">
        <v>0.02</v>
      </c>
      <c r="E475" s="1" t="s">
        <v>34</v>
      </c>
      <c r="F475" s="1" t="s">
        <v>22</v>
      </c>
      <c r="G475" s="1" t="s">
        <v>36</v>
      </c>
      <c r="H475" s="1">
        <v>65</v>
      </c>
      <c r="I475" s="1">
        <v>94</v>
      </c>
      <c r="J475" s="1" t="s">
        <v>104</v>
      </c>
      <c r="K475" s="1"/>
      <c r="L475" s="1"/>
      <c r="M475" s="1" t="s">
        <v>40</v>
      </c>
      <c r="N475" s="1"/>
      <c r="O475" s="1">
        <v>6.4219999999999997</v>
      </c>
      <c r="P475" s="1">
        <v>9.5679999999999996</v>
      </c>
      <c r="Q475" s="1"/>
      <c r="R475" s="1"/>
      <c r="S475" s="1" t="s">
        <v>41</v>
      </c>
      <c r="T475" s="1">
        <v>1</v>
      </c>
      <c r="U475" s="1"/>
      <c r="V475" s="1"/>
      <c r="W475" s="1"/>
      <c r="X475" s="1"/>
      <c r="Y475" s="1" t="s">
        <v>42</v>
      </c>
      <c r="Z475" s="1" t="s">
        <v>43</v>
      </c>
    </row>
    <row r="476" spans="1:26" ht="30" x14ac:dyDescent="0.25">
      <c r="A476" s="1">
        <v>2457195.7306900001</v>
      </c>
      <c r="B476" s="1" t="s">
        <v>103</v>
      </c>
      <c r="C476" s="1">
        <v>7.7380000000000004</v>
      </c>
      <c r="D476" s="1">
        <v>0.02</v>
      </c>
      <c r="E476" s="1" t="s">
        <v>34</v>
      </c>
      <c r="F476" s="1" t="s">
        <v>22</v>
      </c>
      <c r="G476" s="1" t="s">
        <v>36</v>
      </c>
      <c r="H476" s="1">
        <v>65</v>
      </c>
      <c r="I476" s="1">
        <v>94</v>
      </c>
      <c r="J476" s="1" t="s">
        <v>104</v>
      </c>
      <c r="K476" s="1"/>
      <c r="L476" s="1"/>
      <c r="M476" s="1" t="s">
        <v>40</v>
      </c>
      <c r="N476" s="1"/>
      <c r="O476" s="1">
        <v>6.4219999999999997</v>
      </c>
      <c r="P476" s="1">
        <v>9.5609999999999999</v>
      </c>
      <c r="Q476" s="1"/>
      <c r="R476" s="1"/>
      <c r="S476" s="1" t="s">
        <v>41</v>
      </c>
      <c r="T476" s="1">
        <v>1</v>
      </c>
      <c r="U476" s="1"/>
      <c r="V476" s="1"/>
      <c r="W476" s="1"/>
      <c r="X476" s="1"/>
      <c r="Y476" s="1" t="s">
        <v>42</v>
      </c>
      <c r="Z476" s="1" t="s">
        <v>43</v>
      </c>
    </row>
    <row r="477" spans="1:26" ht="30" x14ac:dyDescent="0.25">
      <c r="A477" s="1">
        <v>2457195.74144</v>
      </c>
      <c r="B477" s="1" t="s">
        <v>103</v>
      </c>
      <c r="C477" s="1">
        <v>7.5979999999999999</v>
      </c>
      <c r="D477" s="1">
        <v>0.02</v>
      </c>
      <c r="E477" s="1" t="s">
        <v>34</v>
      </c>
      <c r="F477" s="1" t="s">
        <v>22</v>
      </c>
      <c r="G477" s="1" t="s">
        <v>36</v>
      </c>
      <c r="H477" s="1">
        <v>65</v>
      </c>
      <c r="I477" s="1">
        <v>94</v>
      </c>
      <c r="J477" s="1" t="s">
        <v>104</v>
      </c>
      <c r="K477" s="1"/>
      <c r="L477" s="1"/>
      <c r="M477" s="1" t="s">
        <v>40</v>
      </c>
      <c r="N477" s="1"/>
      <c r="O477" s="1">
        <v>6.4219999999999997</v>
      </c>
      <c r="P477" s="1">
        <v>9.577</v>
      </c>
      <c r="Q477" s="1"/>
      <c r="R477" s="1"/>
      <c r="S477" s="1" t="s">
        <v>41</v>
      </c>
      <c r="T477" s="1">
        <v>1</v>
      </c>
      <c r="U477" s="1"/>
      <c r="V477" s="1"/>
      <c r="W477" s="1"/>
      <c r="X477" s="1"/>
      <c r="Y477" s="1" t="s">
        <v>42</v>
      </c>
      <c r="Z477" s="1" t="s">
        <v>43</v>
      </c>
    </row>
    <row r="478" spans="1:26" ht="30" x14ac:dyDescent="0.25">
      <c r="A478" s="1">
        <v>2457195.7522900002</v>
      </c>
      <c r="B478" s="1" t="s">
        <v>103</v>
      </c>
      <c r="C478" s="1">
        <v>7.6130000000000004</v>
      </c>
      <c r="D478" s="1">
        <v>0.02</v>
      </c>
      <c r="E478" s="1" t="s">
        <v>34</v>
      </c>
      <c r="F478" s="1" t="s">
        <v>22</v>
      </c>
      <c r="G478" s="1" t="s">
        <v>36</v>
      </c>
      <c r="H478" s="1">
        <v>65</v>
      </c>
      <c r="I478" s="1">
        <v>94</v>
      </c>
      <c r="J478" s="1" t="s">
        <v>104</v>
      </c>
      <c r="K478" s="1"/>
      <c r="L478" s="1"/>
      <c r="M478" s="1" t="s">
        <v>40</v>
      </c>
      <c r="N478" s="1"/>
      <c r="O478" s="1">
        <v>6.4219999999999997</v>
      </c>
      <c r="P478" s="1">
        <v>9.5109999999999992</v>
      </c>
      <c r="Q478" s="1"/>
      <c r="R478" s="1"/>
      <c r="S478" s="1" t="s">
        <v>41</v>
      </c>
      <c r="T478" s="1">
        <v>1</v>
      </c>
      <c r="U478" s="1"/>
      <c r="V478" s="1"/>
      <c r="W478" s="1"/>
      <c r="X478" s="1"/>
      <c r="Y478" s="1" t="s">
        <v>42</v>
      </c>
      <c r="Z478" s="1" t="s">
        <v>43</v>
      </c>
    </row>
    <row r="479" spans="1:26" ht="30" x14ac:dyDescent="0.25">
      <c r="A479" s="1">
        <v>2457195.7631199998</v>
      </c>
      <c r="B479" s="1" t="s">
        <v>103</v>
      </c>
      <c r="C479" s="1">
        <v>7.7759999999999998</v>
      </c>
      <c r="D479" s="1">
        <v>0.02</v>
      </c>
      <c r="E479" s="1" t="s">
        <v>34</v>
      </c>
      <c r="F479" s="1" t="s">
        <v>22</v>
      </c>
      <c r="G479" s="1" t="s">
        <v>36</v>
      </c>
      <c r="H479" s="1">
        <v>65</v>
      </c>
      <c r="I479" s="1">
        <v>94</v>
      </c>
      <c r="J479" s="1" t="s">
        <v>104</v>
      </c>
      <c r="K479" s="1"/>
      <c r="L479" s="1"/>
      <c r="M479" s="1" t="s">
        <v>40</v>
      </c>
      <c r="N479" s="1"/>
      <c r="O479" s="1">
        <v>6.4219999999999997</v>
      </c>
      <c r="P479" s="1">
        <v>9.5679999999999996</v>
      </c>
      <c r="Q479" s="1"/>
      <c r="R479" s="1"/>
      <c r="S479" s="1" t="s">
        <v>41</v>
      </c>
      <c r="T479" s="1">
        <v>1</v>
      </c>
      <c r="U479" s="1"/>
      <c r="V479" s="1"/>
      <c r="W479" s="1"/>
      <c r="X479" s="1"/>
      <c r="Y479" s="1" t="s">
        <v>42</v>
      </c>
      <c r="Z479" s="1" t="s">
        <v>43</v>
      </c>
    </row>
    <row r="480" spans="1:26" ht="30" x14ac:dyDescent="0.25">
      <c r="A480" s="1">
        <v>2457195.7739200001</v>
      </c>
      <c r="B480" s="1" t="s">
        <v>103</v>
      </c>
      <c r="C480" s="1">
        <v>7.7469999999999999</v>
      </c>
      <c r="D480" s="1">
        <v>0.02</v>
      </c>
      <c r="E480" s="1" t="s">
        <v>34</v>
      </c>
      <c r="F480" s="1" t="s">
        <v>22</v>
      </c>
      <c r="G480" s="1" t="s">
        <v>36</v>
      </c>
      <c r="H480" s="1">
        <v>65</v>
      </c>
      <c r="I480" s="1">
        <v>94</v>
      </c>
      <c r="J480" s="1" t="s">
        <v>104</v>
      </c>
      <c r="K480" s="1"/>
      <c r="L480" s="1"/>
      <c r="M480" s="1" t="s">
        <v>40</v>
      </c>
      <c r="N480" s="1"/>
      <c r="O480" s="1">
        <v>6.4219999999999997</v>
      </c>
      <c r="P480" s="1">
        <v>9.4920000000000009</v>
      </c>
      <c r="Q480" s="1"/>
      <c r="R480" s="1"/>
      <c r="S480" s="1" t="s">
        <v>41</v>
      </c>
      <c r="T480" s="1">
        <v>1</v>
      </c>
      <c r="U480" s="1"/>
      <c r="V480" s="1"/>
      <c r="W480" s="1"/>
      <c r="X480" s="1"/>
      <c r="Y480" s="1" t="s">
        <v>42</v>
      </c>
      <c r="Z480" s="1" t="s">
        <v>43</v>
      </c>
    </row>
    <row r="481" spans="1:26" ht="30" x14ac:dyDescent="0.25">
      <c r="A481" s="1">
        <v>2457195.7848</v>
      </c>
      <c r="B481" s="1" t="s">
        <v>103</v>
      </c>
      <c r="C481" s="1">
        <v>7.6790000000000003</v>
      </c>
      <c r="D481" s="1">
        <v>0.02</v>
      </c>
      <c r="E481" s="1" t="s">
        <v>34</v>
      </c>
      <c r="F481" s="1" t="s">
        <v>22</v>
      </c>
      <c r="G481" s="1" t="s">
        <v>36</v>
      </c>
      <c r="H481" s="1">
        <v>65</v>
      </c>
      <c r="I481" s="1">
        <v>94</v>
      </c>
      <c r="J481" s="1" t="s">
        <v>104</v>
      </c>
      <c r="K481" s="1"/>
      <c r="L481" s="1"/>
      <c r="M481" s="1" t="s">
        <v>40</v>
      </c>
      <c r="N481" s="1"/>
      <c r="O481" s="1">
        <v>6.4219999999999997</v>
      </c>
      <c r="P481" s="1">
        <v>9.5519999999999996</v>
      </c>
      <c r="Q481" s="1"/>
      <c r="R481" s="1"/>
      <c r="S481" s="1" t="s">
        <v>41</v>
      </c>
      <c r="T481" s="1">
        <v>1</v>
      </c>
      <c r="U481" s="1"/>
      <c r="V481" s="1"/>
      <c r="W481" s="1"/>
      <c r="X481" s="1"/>
      <c r="Y481" s="1" t="s">
        <v>42</v>
      </c>
      <c r="Z481" s="1" t="s">
        <v>43</v>
      </c>
    </row>
    <row r="482" spans="1:26" ht="30" x14ac:dyDescent="0.25">
      <c r="A482" s="1">
        <v>2457195.8022500002</v>
      </c>
      <c r="B482" s="1" t="s">
        <v>103</v>
      </c>
      <c r="C482" s="1">
        <v>7.9509999999999996</v>
      </c>
      <c r="D482" s="1">
        <v>0.02</v>
      </c>
      <c r="E482" s="1" t="s">
        <v>34</v>
      </c>
      <c r="F482" s="1" t="s">
        <v>22</v>
      </c>
      <c r="G482" s="1" t="s">
        <v>36</v>
      </c>
      <c r="H482" s="1">
        <v>65</v>
      </c>
      <c r="I482" s="1">
        <v>94</v>
      </c>
      <c r="J482" s="1" t="s">
        <v>104</v>
      </c>
      <c r="K482" s="1"/>
      <c r="L482" s="1"/>
      <c r="M482" s="1" t="s">
        <v>40</v>
      </c>
      <c r="N482" s="1"/>
      <c r="O482" s="1">
        <v>6.4219999999999997</v>
      </c>
      <c r="P482" s="1">
        <v>9.5239999999999991</v>
      </c>
      <c r="Q482" s="1"/>
      <c r="R482" s="1"/>
      <c r="S482" s="1" t="s">
        <v>41</v>
      </c>
      <c r="T482" s="1">
        <v>1</v>
      </c>
      <c r="U482" s="1"/>
      <c r="V482" s="1"/>
      <c r="W482" s="1"/>
      <c r="X482" s="1"/>
      <c r="Y482" s="1" t="s">
        <v>42</v>
      </c>
      <c r="Z482" s="1" t="s">
        <v>43</v>
      </c>
    </row>
    <row r="483" spans="1:26" ht="30" x14ac:dyDescent="0.25">
      <c r="A483" s="1">
        <v>2457195.8196299998</v>
      </c>
      <c r="B483" s="1" t="s">
        <v>103</v>
      </c>
      <c r="C483" s="1">
        <v>7.7930000000000001</v>
      </c>
      <c r="D483" s="1">
        <v>0.02</v>
      </c>
      <c r="E483" s="1" t="s">
        <v>34</v>
      </c>
      <c r="F483" s="1" t="s">
        <v>22</v>
      </c>
      <c r="G483" s="1" t="s">
        <v>36</v>
      </c>
      <c r="H483" s="1">
        <v>65</v>
      </c>
      <c r="I483" s="1">
        <v>94</v>
      </c>
      <c r="J483" s="1" t="s">
        <v>104</v>
      </c>
      <c r="K483" s="1"/>
      <c r="L483" s="1"/>
      <c r="M483" s="1" t="s">
        <v>40</v>
      </c>
      <c r="N483" s="1"/>
      <c r="O483" s="1">
        <v>6.4219999999999997</v>
      </c>
      <c r="P483" s="1">
        <v>9.5419999999999998</v>
      </c>
      <c r="Q483" s="1"/>
      <c r="R483" s="1"/>
      <c r="S483" s="1" t="s">
        <v>41</v>
      </c>
      <c r="T483" s="1">
        <v>1</v>
      </c>
      <c r="U483" s="1"/>
      <c r="V483" s="1"/>
      <c r="W483" s="1"/>
      <c r="X483" s="1"/>
      <c r="Y483" s="1" t="s">
        <v>42</v>
      </c>
      <c r="Z483" s="1" t="s">
        <v>43</v>
      </c>
    </row>
    <row r="484" spans="1:26" ht="30" x14ac:dyDescent="0.25">
      <c r="A484" s="1">
        <v>2457195.8369999998</v>
      </c>
      <c r="B484" s="1" t="s">
        <v>103</v>
      </c>
      <c r="C484" s="1">
        <v>7.9320000000000004</v>
      </c>
      <c r="D484" s="1">
        <v>0.02</v>
      </c>
      <c r="E484" s="1" t="s">
        <v>34</v>
      </c>
      <c r="F484" s="1" t="s">
        <v>22</v>
      </c>
      <c r="G484" s="1" t="s">
        <v>36</v>
      </c>
      <c r="H484" s="1">
        <v>65</v>
      </c>
      <c r="I484" s="1">
        <v>94</v>
      </c>
      <c r="J484" s="1" t="s">
        <v>104</v>
      </c>
      <c r="K484" s="1"/>
      <c r="L484" s="1"/>
      <c r="M484" s="1" t="s">
        <v>40</v>
      </c>
      <c r="N484" s="1"/>
      <c r="O484" s="1">
        <v>6.4219999999999997</v>
      </c>
      <c r="P484" s="1">
        <v>9.5690000000000008</v>
      </c>
      <c r="Q484" s="1"/>
      <c r="R484" s="1"/>
      <c r="S484" s="1" t="s">
        <v>41</v>
      </c>
      <c r="T484" s="1">
        <v>1</v>
      </c>
      <c r="U484" s="1"/>
      <c r="V484" s="1"/>
      <c r="W484" s="1"/>
      <c r="X484" s="1"/>
      <c r="Y484" s="1" t="s">
        <v>42</v>
      </c>
      <c r="Z484" s="1" t="s">
        <v>43</v>
      </c>
    </row>
    <row r="485" spans="1:26" ht="30" x14ac:dyDescent="0.25">
      <c r="A485" s="1">
        <v>2457195.8544200002</v>
      </c>
      <c r="B485" s="1" t="s">
        <v>103</v>
      </c>
      <c r="C485" s="1">
        <v>7.6239999999999997</v>
      </c>
      <c r="D485" s="1">
        <v>0.02</v>
      </c>
      <c r="E485" s="1" t="s">
        <v>34</v>
      </c>
      <c r="F485" s="1" t="s">
        <v>22</v>
      </c>
      <c r="G485" s="1" t="s">
        <v>36</v>
      </c>
      <c r="H485" s="1">
        <v>65</v>
      </c>
      <c r="I485" s="1">
        <v>94</v>
      </c>
      <c r="J485" s="1" t="s">
        <v>104</v>
      </c>
      <c r="K485" s="1"/>
      <c r="L485" s="1"/>
      <c r="M485" s="1" t="s">
        <v>40</v>
      </c>
      <c r="N485" s="1"/>
      <c r="O485" s="1">
        <v>6.4219999999999997</v>
      </c>
      <c r="P485" s="1">
        <v>9.5239999999999991</v>
      </c>
      <c r="Q485" s="1"/>
      <c r="R485" s="1"/>
      <c r="S485" s="1" t="s">
        <v>41</v>
      </c>
      <c r="T485" s="1">
        <v>1</v>
      </c>
      <c r="U485" s="1"/>
      <c r="V485" s="1"/>
      <c r="W485" s="1"/>
      <c r="X485" s="1"/>
      <c r="Y485" s="1" t="s">
        <v>42</v>
      </c>
      <c r="Z485" s="1" t="s">
        <v>43</v>
      </c>
    </row>
    <row r="486" spans="1:26" ht="30" x14ac:dyDescent="0.25">
      <c r="A486" s="1">
        <v>2457195.8717999998</v>
      </c>
      <c r="B486" s="1" t="s">
        <v>103</v>
      </c>
      <c r="C486" s="1">
        <v>7.8339999999999996</v>
      </c>
      <c r="D486" s="1">
        <v>0.02</v>
      </c>
      <c r="E486" s="1" t="s">
        <v>34</v>
      </c>
      <c r="F486" s="1" t="s">
        <v>22</v>
      </c>
      <c r="G486" s="1" t="s">
        <v>36</v>
      </c>
      <c r="H486" s="1">
        <v>65</v>
      </c>
      <c r="I486" s="1">
        <v>94</v>
      </c>
      <c r="J486" s="1" t="s">
        <v>104</v>
      </c>
      <c r="K486" s="1"/>
      <c r="L486" s="1"/>
      <c r="M486" s="1" t="s">
        <v>40</v>
      </c>
      <c r="N486" s="1"/>
      <c r="O486" s="1">
        <v>6.4219999999999997</v>
      </c>
      <c r="P486" s="1">
        <v>9.5920000000000005</v>
      </c>
      <c r="Q486" s="1"/>
      <c r="R486" s="1"/>
      <c r="S486" s="1" t="s">
        <v>41</v>
      </c>
      <c r="T486" s="1">
        <v>1</v>
      </c>
      <c r="U486" s="1"/>
      <c r="V486" s="1"/>
      <c r="W486" s="1"/>
      <c r="X486" s="1"/>
      <c r="Y486" s="1" t="s">
        <v>42</v>
      </c>
      <c r="Z486" s="1" t="s">
        <v>43</v>
      </c>
    </row>
    <row r="487" spans="1:26" ht="30" x14ac:dyDescent="0.25">
      <c r="A487" s="1">
        <v>2457195.88925</v>
      </c>
      <c r="B487" s="1" t="s">
        <v>103</v>
      </c>
      <c r="C487" s="1">
        <v>7.8339999999999996</v>
      </c>
      <c r="D487" s="1">
        <v>0.02</v>
      </c>
      <c r="E487" s="1" t="s">
        <v>34</v>
      </c>
      <c r="F487" s="1" t="s">
        <v>22</v>
      </c>
      <c r="G487" s="1" t="s">
        <v>36</v>
      </c>
      <c r="H487" s="1">
        <v>65</v>
      </c>
      <c r="I487" s="1">
        <v>94</v>
      </c>
      <c r="J487" s="1" t="s">
        <v>104</v>
      </c>
      <c r="K487" s="1"/>
      <c r="L487" s="1"/>
      <c r="M487" s="1" t="s">
        <v>40</v>
      </c>
      <c r="N487" s="1"/>
      <c r="O487" s="1">
        <v>6.4219999999999997</v>
      </c>
      <c r="P487" s="1">
        <v>9.5359999999999996</v>
      </c>
      <c r="Q487" s="1"/>
      <c r="R487" s="1"/>
      <c r="S487" s="1" t="s">
        <v>41</v>
      </c>
      <c r="T487" s="1">
        <v>1</v>
      </c>
      <c r="U487" s="1"/>
      <c r="V487" s="1"/>
      <c r="W487" s="1"/>
      <c r="X487" s="1"/>
      <c r="Y487" s="1" t="s">
        <v>42</v>
      </c>
      <c r="Z487" s="1" t="s">
        <v>43</v>
      </c>
    </row>
    <row r="488" spans="1:26" ht="30" x14ac:dyDescent="0.25">
      <c r="A488" s="1">
        <v>2457195.9066599999</v>
      </c>
      <c r="B488" s="1" t="s">
        <v>103</v>
      </c>
      <c r="C488" s="1">
        <v>7.8659999999999997</v>
      </c>
      <c r="D488" s="1">
        <v>0.02</v>
      </c>
      <c r="E488" s="1" t="s">
        <v>34</v>
      </c>
      <c r="F488" s="1" t="s">
        <v>22</v>
      </c>
      <c r="G488" s="1" t="s">
        <v>36</v>
      </c>
      <c r="H488" s="1">
        <v>65</v>
      </c>
      <c r="I488" s="1">
        <v>94</v>
      </c>
      <c r="J488" s="1" t="s">
        <v>104</v>
      </c>
      <c r="K488" s="1"/>
      <c r="L488" s="1"/>
      <c r="M488" s="1" t="s">
        <v>40</v>
      </c>
      <c r="N488" s="1"/>
      <c r="O488" s="1">
        <v>6.4219999999999997</v>
      </c>
      <c r="P488" s="1">
        <v>9.5440000000000005</v>
      </c>
      <c r="Q488" s="1"/>
      <c r="R488" s="1"/>
      <c r="S488" s="1" t="s">
        <v>41</v>
      </c>
      <c r="T488" s="1">
        <v>1</v>
      </c>
      <c r="U488" s="1"/>
      <c r="V488" s="1"/>
      <c r="W488" s="1"/>
      <c r="X488" s="1"/>
      <c r="Y488" s="1" t="s">
        <v>42</v>
      </c>
      <c r="Z488" s="1" t="s">
        <v>43</v>
      </c>
    </row>
    <row r="489" spans="1:26" ht="30" x14ac:dyDescent="0.25">
      <c r="A489" s="1">
        <v>2457195.93805</v>
      </c>
      <c r="B489" s="1" t="s">
        <v>103</v>
      </c>
      <c r="C489" s="1">
        <v>7.9489999999999998</v>
      </c>
      <c r="D489" s="1">
        <v>0.02</v>
      </c>
      <c r="E489" s="1" t="s">
        <v>34</v>
      </c>
      <c r="F489" s="1" t="s">
        <v>22</v>
      </c>
      <c r="G489" s="1" t="s">
        <v>36</v>
      </c>
      <c r="H489" s="1">
        <v>65</v>
      </c>
      <c r="I489" s="1">
        <v>94</v>
      </c>
      <c r="J489" s="1" t="s">
        <v>104</v>
      </c>
      <c r="K489" s="1"/>
      <c r="L489" s="1"/>
      <c r="M489" s="1" t="s">
        <v>40</v>
      </c>
      <c r="N489" s="1"/>
      <c r="O489" s="1">
        <v>6.4219999999999997</v>
      </c>
      <c r="P489" s="1">
        <v>9.5640000000000001</v>
      </c>
      <c r="Q489" s="1"/>
      <c r="R489" s="1"/>
      <c r="S489" s="1" t="s">
        <v>41</v>
      </c>
      <c r="T489" s="1">
        <v>1</v>
      </c>
      <c r="U489" s="1"/>
      <c r="V489" s="1"/>
      <c r="W489" s="1"/>
      <c r="X489" s="1"/>
      <c r="Y489" s="1" t="s">
        <v>42</v>
      </c>
      <c r="Z489" s="1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Index</vt:lpstr>
      <vt:lpstr>Feuil1</vt:lpstr>
      <vt:lpstr>V</vt:lpstr>
      <vt:lpstr>Vis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2021-05-18T19:21:37Z</dcterms:modified>
</cp:coreProperties>
</file>