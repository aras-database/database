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drawings/drawing4.xml" ContentType="application/vnd.openxmlformats-officedocument.drawing+xml"/>
  <Override PartName="/xl/drawings/drawing5.xml" ContentType="application/vnd.openxmlformats-officedocument.drawing+xml"/>
  <Override PartName="/xl/drawings/drawing6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6924" codeName="{E757BCB4-07E6-AE0B-56E0-F0EEF7A6E26C}"/>
  <workbookPr codeName="ThisWorkbook"/>
  <mc:AlternateContent xmlns:mc="http://schemas.openxmlformats.org/markup-compatibility/2006">
    <mc:Choice Requires="x15">
      <x15ac:absPath xmlns:x15ac="http://schemas.microsoft.com/office/spreadsheetml/2010/11/ac" url="D:\SymbioticStudies\"/>
    </mc:Choice>
  </mc:AlternateContent>
  <xr:revisionPtr revIDLastSave="0" documentId="13_ncr:1_{1AA8173F-4742-448A-9E3C-87E648CAE116}" xr6:coauthVersionLast="47" xr6:coauthVersionMax="47" xr10:uidLastSave="{00000000-0000-0000-0000-000000000000}"/>
  <bookViews>
    <workbookView xWindow="1545" yWindow="3720" windowWidth="21600" windowHeight="11385" xr2:uid="{00000000-000D-0000-FFFF-FFFF00000000}"/>
  </bookViews>
  <sheets>
    <sheet name="Index" sheetId="2" r:id="rId1"/>
    <sheet name="SySt_Orb" sheetId="1" r:id="rId2"/>
    <sheet name="Refs" sheetId="3" r:id="rId3"/>
    <sheet name="Phase" sheetId="4" r:id="rId4"/>
    <sheet name="Ext" sheetId="5" r:id="rId5"/>
    <sheet name="d" sheetId="13" r:id="rId6"/>
    <sheet name="CS" sheetId="6" r:id="rId7"/>
    <sheet name="Ref" sheetId="10" r:id="rId8"/>
    <sheet name="Feuil1" sheetId="7" r:id="rId9"/>
    <sheet name="Feuil2" sheetId="14" r:id="rId10"/>
    <sheet name="Feuil3" sheetId="12" r:id="rId11"/>
    <sheet name="Hot" sheetId="8" r:id="rId12"/>
  </sheets>
  <functionGroups builtInGroupCount="19"/>
  <definedNames>
    <definedName name="Date0">SySt_Orb!$Q$30</definedName>
    <definedName name="JD0">SySt_Orb!$Q$29</definedName>
  </definedNames>
  <calcPr calcId="191029"/>
  <fileRecoveryPr autoRecover="0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I25" i="1" l="1"/>
  <c r="L8" i="2"/>
  <c r="M33" i="2"/>
  <c r="I18" i="13" l="1"/>
  <c r="L18" i="13" s="1"/>
  <c r="O18" i="13" s="1"/>
  <c r="K18" i="13"/>
  <c r="N18" i="13" s="1"/>
  <c r="Q18" i="13" s="1"/>
  <c r="J18" i="13"/>
  <c r="M18" i="13" s="1"/>
  <c r="P18" i="13" s="1"/>
  <c r="I17" i="13"/>
  <c r="L17" i="13" s="1"/>
  <c r="O17" i="13" s="1"/>
  <c r="K17" i="13"/>
  <c r="N17" i="13" s="1"/>
  <c r="Q17" i="13" s="1"/>
  <c r="J17" i="13"/>
  <c r="M17" i="13"/>
  <c r="P17" i="13"/>
  <c r="I16" i="13"/>
  <c r="L16" i="13" s="1"/>
  <c r="O16" i="13" s="1"/>
  <c r="K16" i="13"/>
  <c r="N16" i="13" s="1"/>
  <c r="Q16" i="13" s="1"/>
  <c r="J16" i="13"/>
  <c r="M16" i="13" s="1"/>
  <c r="P16" i="13" s="1"/>
  <c r="I15" i="13"/>
  <c r="L15" i="13" s="1"/>
  <c r="O15" i="13" s="1"/>
  <c r="K15" i="13"/>
  <c r="N15" i="13"/>
  <c r="Q15" i="13" s="1"/>
  <c r="J15" i="13"/>
  <c r="M15" i="13" s="1"/>
  <c r="P15" i="13" s="1"/>
  <c r="I14" i="13"/>
  <c r="L14" i="13"/>
  <c r="O14" i="13" s="1"/>
  <c r="K14" i="13"/>
  <c r="N14" i="13" s="1"/>
  <c r="Q14" i="13" s="1"/>
  <c r="J14" i="13"/>
  <c r="M14" i="13"/>
  <c r="P14" i="13" s="1"/>
  <c r="I13" i="13"/>
  <c r="L13" i="13" s="1"/>
  <c r="O13" i="13" s="1"/>
  <c r="J13" i="13"/>
  <c r="M13" i="13" s="1"/>
  <c r="P13" i="13" s="1"/>
  <c r="K13" i="13"/>
  <c r="N13" i="13" s="1"/>
  <c r="Q13" i="13" s="1"/>
  <c r="I11" i="13"/>
  <c r="L11" i="13" s="1"/>
  <c r="O11" i="13" s="1"/>
  <c r="J11" i="13"/>
  <c r="M11" i="13" s="1"/>
  <c r="P11" i="13" s="1"/>
  <c r="K11" i="13"/>
  <c r="N11" i="13" s="1"/>
  <c r="Q11" i="13" s="1"/>
  <c r="I12" i="13"/>
  <c r="L12" i="13" s="1"/>
  <c r="O12" i="13" s="1"/>
  <c r="J12" i="13"/>
  <c r="K12" i="13"/>
  <c r="N12" i="13" s="1"/>
  <c r="Q12" i="13" s="1"/>
  <c r="M12" i="13"/>
  <c r="P12" i="13" s="1"/>
  <c r="M10" i="13"/>
  <c r="P10" i="13" s="1"/>
  <c r="L10" i="13"/>
  <c r="O10" i="13" s="1"/>
  <c r="K10" i="13"/>
  <c r="N10" i="13" s="1"/>
  <c r="Q10" i="13" s="1"/>
  <c r="J10" i="13"/>
  <c r="I10" i="13"/>
  <c r="J6" i="2"/>
  <c r="N92" i="6" l="1"/>
  <c r="G3" i="4" l="1"/>
  <c r="J5" i="4" l="1"/>
  <c r="J6" i="4"/>
  <c r="J14" i="4"/>
  <c r="J7" i="4"/>
  <c r="J15" i="4"/>
  <c r="J8" i="4"/>
  <c r="J16" i="4"/>
  <c r="J13" i="4"/>
  <c r="J9" i="4"/>
  <c r="J12" i="4"/>
  <c r="J10" i="4"/>
  <c r="J11" i="4"/>
  <c r="G6" i="4"/>
  <c r="G8" i="4"/>
  <c r="G10" i="4"/>
  <c r="G12" i="4"/>
  <c r="G14" i="4"/>
  <c r="G16" i="4"/>
  <c r="G7" i="4"/>
  <c r="G9" i="4"/>
  <c r="G11" i="4"/>
  <c r="G13" i="4"/>
  <c r="G15" i="4"/>
  <c r="G5" i="4"/>
  <c r="D17" i="2"/>
  <c r="E17" i="2" s="1"/>
  <c r="F8" i="2"/>
  <c r="F7" i="2"/>
  <c r="H6" i="4" l="1"/>
  <c r="H5" i="4" l="1"/>
  <c r="H15" i="4"/>
  <c r="H13" i="4"/>
  <c r="H11" i="4"/>
  <c r="H9" i="4"/>
  <c r="H7" i="4"/>
  <c r="H16" i="4"/>
  <c r="H14" i="4"/>
  <c r="H12" i="4"/>
  <c r="H10" i="4"/>
  <c r="H8" i="4"/>
  <c r="D15" i="2"/>
  <c r="F4" i="2"/>
  <c r="F5" i="2"/>
  <c r="F9" i="2" l="1"/>
  <c r="E15" i="2"/>
  <c r="C15" i="2" s="1"/>
  <c r="F11" i="2"/>
  <c r="F13" i="2" s="1"/>
  <c r="J11" i="2"/>
  <c r="J13" i="2" s="1"/>
  <c r="J10" i="2"/>
  <c r="F10" i="2"/>
</calcChain>
</file>

<file path=xl/sharedStrings.xml><?xml version="1.0" encoding="utf-8"?>
<sst xmlns="http://schemas.openxmlformats.org/spreadsheetml/2006/main" count="1414" uniqueCount="1000">
  <si>
    <t>P</t>
  </si>
  <si>
    <t>Kg</t>
  </si>
  <si>
    <t>q</t>
  </si>
  <si>
    <t>e</t>
  </si>
  <si>
    <t>[days]</t>
  </si>
  <si>
    <t>[78]</t>
  </si>
  <si>
    <t>[205]</t>
  </si>
  <si>
    <t>[86]</t>
  </si>
  <si>
    <t>[125]</t>
  </si>
  <si>
    <t>[71]</t>
  </si>
  <si>
    <t>[143]</t>
  </si>
  <si>
    <t>[209]</t>
  </si>
  <si>
    <t>[234]</t>
  </si>
  <si>
    <t>[61]</t>
  </si>
  <si>
    <t>[212]</t>
  </si>
  <si>
    <t>[101]</t>
  </si>
  <si>
    <t>[146]</t>
  </si>
  <si>
    <t>[145]</t>
  </si>
  <si>
    <t>[207]</t>
  </si>
  <si>
    <t>Name</t>
  </si>
  <si>
    <t>[km/s]</t>
  </si>
  <si>
    <t>JD0</t>
  </si>
  <si>
    <t>Note</t>
  </si>
  <si>
    <t>ag sin i</t>
  </si>
  <si>
    <t>EG And</t>
  </si>
  <si>
    <t>AX Per</t>
  </si>
  <si>
    <t>BD Cam</t>
  </si>
  <si>
    <t>V1261 Ori</t>
  </si>
  <si>
    <t>BX Mon</t>
  </si>
  <si>
    <t>TX CVn</t>
  </si>
  <si>
    <t>T CrB</t>
  </si>
  <si>
    <t>AG Dra</t>
  </si>
  <si>
    <t>RS Oph</t>
  </si>
  <si>
    <t>FG Ser</t>
  </si>
  <si>
    <t>V443 Her</t>
  </si>
  <si>
    <t>CH Cyg</t>
  </si>
  <si>
    <t>CI Cyg</t>
  </si>
  <si>
    <t>AG Peg</t>
  </si>
  <si>
    <t>Z And</t>
  </si>
  <si>
    <t>days</t>
  </si>
  <si>
    <t>Phase</t>
  </si>
  <si>
    <t>JD</t>
  </si>
  <si>
    <t>Date0</t>
  </si>
  <si>
    <t>Cycle</t>
  </si>
  <si>
    <t>Passage periastre</t>
  </si>
  <si>
    <t>Photometruc ephemeris (eclipse)</t>
  </si>
  <si>
    <t>Time of maximum velocity</t>
  </si>
  <si>
    <t>Référence</t>
  </si>
  <si>
    <t>#</t>
  </si>
  <si>
    <t>Références</t>
  </si>
  <si>
    <t>Source</t>
  </si>
  <si>
    <t>Date Calcul</t>
  </si>
  <si>
    <t>Heure Calcul</t>
  </si>
  <si>
    <t>Min(UV)</t>
  </si>
  <si>
    <t>Yes</t>
  </si>
  <si>
    <t>[301]</t>
  </si>
  <si>
    <t>Min(mvis/mpg)</t>
  </si>
  <si>
    <t>[200]</t>
  </si>
  <si>
    <t>Min(mpg)</t>
  </si>
  <si>
    <t>[68]</t>
  </si>
  <si>
    <t>Min(mpg/B)</t>
  </si>
  <si>
    <t>No</t>
  </si>
  <si>
    <t>[63]</t>
  </si>
  <si>
    <t>Min(mvis)</t>
  </si>
  <si>
    <t>[69]</t>
  </si>
  <si>
    <t>?</t>
  </si>
  <si>
    <t>[299]</t>
  </si>
  <si>
    <t>Min(UBV)</t>
  </si>
  <si>
    <t>[168]</t>
  </si>
  <si>
    <t>Max(U)</t>
  </si>
  <si>
    <t>[185]</t>
  </si>
  <si>
    <t>[139]</t>
  </si>
  <si>
    <t>Max(B)</t>
  </si>
  <si>
    <t>[280]</t>
  </si>
  <si>
    <t>[196]</t>
  </si>
  <si>
    <t>Min(V)</t>
  </si>
  <si>
    <t>[224]</t>
  </si>
  <si>
    <t>Yes?</t>
  </si>
  <si>
    <t>[105]</t>
  </si>
  <si>
    <t>Min(B)</t>
  </si>
  <si>
    <t>[226]</t>
  </si>
  <si>
    <t>[283]</t>
  </si>
  <si>
    <t>Min(U)</t>
  </si>
  <si>
    <t>[159]</t>
  </si>
  <si>
    <t>[104]</t>
  </si>
  <si>
    <t>[197]</t>
  </si>
  <si>
    <t>[216]</t>
  </si>
  <si>
    <t>[203]</t>
  </si>
  <si>
    <t>[190]</t>
  </si>
  <si>
    <t>[237]</t>
  </si>
  <si>
    <t>[26]</t>
  </si>
  <si>
    <t>[255]</t>
  </si>
  <si>
    <t>Max(V)</t>
  </si>
  <si>
    <t>[76]</t>
  </si>
  <si>
    <t>[77]</t>
  </si>
  <si>
    <t>[296]</t>
  </si>
  <si>
    <t>V694 Mon</t>
  </si>
  <si>
    <t>SY Mus</t>
  </si>
  <si>
    <t>RW Hya</t>
  </si>
  <si>
    <t>V417 Cen</t>
  </si>
  <si>
    <t>CL Sco</t>
  </si>
  <si>
    <t>RT Ser</t>
  </si>
  <si>
    <t>AE Ara</t>
  </si>
  <si>
    <t>YY Her</t>
  </si>
  <si>
    <t>V2756 Sgr</t>
  </si>
  <si>
    <t>AR Pav</t>
  </si>
  <si>
    <t>V2601 Sgr</t>
  </si>
  <si>
    <t>FN Sgr</t>
  </si>
  <si>
    <t>V1413 Aql</t>
  </si>
  <si>
    <t>BF Cyg</t>
  </si>
  <si>
    <t>PU Vul</t>
  </si>
  <si>
    <t>LT Del</t>
  </si>
  <si>
    <t>V1329 Cyg</t>
  </si>
  <si>
    <t>V748 Cen</t>
  </si>
  <si>
    <t>[128]</t>
  </si>
  <si>
    <t>[101] Herbig, G, H,, Hoffleit, D,, 1975, ApJ Lett, 202, 41</t>
  </si>
  <si>
    <t>[125] Jordan, S,, Schmutz, W,, Wolff, B,, Werner, K,, Murset, U,, 1996, A&amp;A 312, 897</t>
  </si>
  <si>
    <t>[143] Kenyon, S, J,, Fernandez-Castro, T,, 1987, AJ 93, 938</t>
  </si>
  <si>
    <t>[145] Kenyon, S, J,, Garcia, M, R,, 1989, AJ 97, 194</t>
  </si>
  <si>
    <t>[207] Mikolajewski, M,, Szczerba, R,, Tomov, T,, 1988</t>
  </si>
  <si>
    <t>[209] Milone, L, A,, 1990, Ap&amp;SS 172, 263</t>
  </si>
  <si>
    <t>[212] Morgan, D, H,, Allen, D, A,, 1988, MNRAS 234, 1005</t>
  </si>
  <si>
    <t>[234] Mürset, U,, Schmid, H, M,, 1999, A&amp;AS 137, 473</t>
  </si>
  <si>
    <t>[71] Ezuka, H,, Ishida, M,, Makino, F,, 1998, ApJ 499, 388</t>
  </si>
  <si>
    <t>[86] Gutierrez-Moreno, A,, Moreno, H,, 1996, PASP 108, 972</t>
  </si>
  <si>
    <t>Eclipse</t>
  </si>
  <si>
    <t>[104] Hoffleit, D., 1968, Inf. Bull. Variable Stars 254</t>
  </si>
  <si>
    <t>[105] Hoffleit, D., 1970, Inf. Bull. Variable Stars 469</t>
  </si>
  <si>
    <t>[128] Jorissen, A., Mayor, M., Manfroid, J., Sterken, C., 1992, Inf. Bull. Variable Stars 3730</t>
  </si>
  <si>
    <t>Symbiotic Stars - Orbital and Photometric ephemeris</t>
  </si>
  <si>
    <t>Next extremum</t>
  </si>
  <si>
    <t>[139] Kenyon, S. J., 1986, The Symbiotic Stars, Cambridge University Press, Cambridge</t>
  </si>
  <si>
    <t xml:space="preserve">[1] This study  </t>
  </si>
  <si>
    <t xml:space="preserve">[2] Aaronson, M., Liebert, J., Stocke, J., 1982, ApJ 254, 507  </t>
  </si>
  <si>
    <t xml:space="preserve">[4] Acker, A., Lundstrom, I., Stenholm, B., 1988, A&amp;AS 73, 325 </t>
  </si>
  <si>
    <t xml:space="preserve">[5] Adelman, S. J., 1998, A&amp;A 333, 952  </t>
  </si>
  <si>
    <t xml:space="preserve">[6] Ake, T. B., 1979, ApJ 234, 538  </t>
  </si>
  <si>
    <t xml:space="preserve">[7] Ake, T. B., Johnson, H. R., Ameen, M., 1991, ApJ 383, 842  </t>
  </si>
  <si>
    <t xml:space="preserve">[8] Ake, T. B., Johnson, H. R., Bopp, B. M., 1993, BAAS 25, 876 </t>
  </si>
  <si>
    <t xml:space="preserve">[9] Allen, D. A., 1974, MNRAS 168, 1  </t>
  </si>
  <si>
    <t xml:space="preserve">[10] Allen, D. A., 1975, A&amp;A 40, 335  </t>
  </si>
  <si>
    <t xml:space="preserve">[11] Allen, D. A., 1978, MNRAS 184, 601  </t>
  </si>
  <si>
    <t xml:space="preserve">[12] Allen, D. A., 1978, Inf. Bull. Variable Stars 1399  </t>
  </si>
  <si>
    <t xml:space="preserve">[13] Allen, D. A., 1980, Astrophys. Lett. 20, 131  </t>
  </si>
  <si>
    <t xml:space="preserve">[14] Allen, D. A., 1980, MNRAS 192, 521  </t>
  </si>
  <si>
    <t xml:space="preserve">[15] Allen, D. A., 1981, MNRAS 197, 739  </t>
  </si>
  <si>
    <t>[16] Allen, D. A., 1982, in Nature of Symbiotic Stars, IAU Coll. No. 70, Friedjung, M., Viotti, R., eds., Reidel, Dordrecht, p. 27</t>
  </si>
  <si>
    <t xml:space="preserve">[17] Allen, D. A., 1983, MNRAS 204, 113  </t>
  </si>
  <si>
    <t xml:space="preserve">[18] Allen, D. A., 1984, Proc. Astron. Soc. Aust. 5, 369  </t>
  </si>
  <si>
    <t xml:space="preserve">[19] Allen, D. A., Glass, I. S., 1974, MNRAS 167, 337  </t>
  </si>
  <si>
    <t xml:space="preserve">[20] Allen, D. A., Glass, I. S., 1975, MNRAS 170, 579  </t>
  </si>
  <si>
    <t xml:space="preserve">[21] Allen, D. A., Swings, J. P., 1976, A&amp;A 47, 293  </t>
  </si>
  <si>
    <t xml:space="preserve">[22] Aller, L. H., Keyes, C. D., 1987, ApJS 65, 405  </t>
  </si>
  <si>
    <t xml:space="preserve">[23] Andrillat, Y., Houziaux, L., 1994, MNRAS 271, 875  </t>
  </si>
  <si>
    <t xml:space="preserve">[24] Anupama, G. C., Miko lajewska, J., 1999, A&amp;A 344, 177  </t>
  </si>
  <si>
    <t xml:space="preserve">[25] Archipova, V. P., Esipov, V. F., Yudin, B. F., 1985, Astro- phys. Lett. 24, 205 </t>
  </si>
  <si>
    <t xml:space="preserve">[26] Arkhipova, V. P., Esipov, V. F., Ikonnikova, N. P., 1995, Sov. Astron. Lett. 21, 439 </t>
  </si>
  <si>
    <t>[27] Arkhipova, V. P., Ikonnikova, N. P., Esipov, V. F., Noskova, R. I., 1997, in Physical Processes in Symbiotic Bi- naries and Related Systems, Miko lajewska, J., ed., Coper-</t>
  </si>
  <si>
    <t xml:space="preserve">[28] Bang, M. K., Bode, M. F., Ivison, R. J., Meaburn, J., 1992, MNRAS 256, 59 </t>
  </si>
  <si>
    <t xml:space="preserve">[29] Baratta, G. B., Viotti, R., 1990, A&amp;A 229, 104  </t>
  </si>
  <si>
    <t xml:space="preserve">[30] Belczy´nski, K., Miko lajewska, J., 1998, MNRAS 296, 77  </t>
  </si>
  <si>
    <t xml:space="preserve">[31] Belloni, T., Dieters, S., van den Ancker, M. E., Fender, R. P., Fox, D. W., et al., 1999, ApJ 527, 345 </t>
  </si>
  <si>
    <t>[32] Belyakina, T. S., Bondar, N. I., Gershberg, R. E., Efimov, Y. S., Krasnobabtsev, V. I., et al., 1985, Bull. Crimean Astrophys. Obs. 72, 3</t>
  </si>
  <si>
    <t xml:space="preserve">[33] Bergner, Y. K., Miroshnichenko, A. S., Yudin, R. V., Ku- ratov, K. S., Mukanov, D. B., 1995, A&amp;AS 112, 221 </t>
  </si>
  <si>
    <t xml:space="preserve">[34] Bickert, K. F., Greiner, J., Stencel, R. E., 1997, in Supersoft X-Ray Sources, Greiner, J., ed., Springer, Berlin, p. 225 </t>
  </si>
  <si>
    <t xml:space="preserve">[35] Blair, W. P., Stencel, R. E., Feibelman, W. A., Michalit- sianos, A. G., 1983, ApJS 53, 573 </t>
  </si>
  <si>
    <t xml:space="preserve">[36] Bohannan, B., Epps, H. W., 1974, A&amp;AS 18, 47  </t>
  </si>
  <si>
    <t xml:space="preserve">[37] Bond, H. E., 1976, PASP 88, 192  </t>
  </si>
  <si>
    <t xml:space="preserve">[38] Bond, H. E., 1978, PASP 90, 526  </t>
  </si>
  <si>
    <t xml:space="preserve">[39] Bopp, B. W., 1984, PASP 96, 894  </t>
  </si>
  <si>
    <t xml:space="preserve">[40] Brandi, E., Barba, R., Garcia, L., Beltran, N., 1998, A&amp;AS 132, 281 </t>
  </si>
  <si>
    <t xml:space="preserve">[41] Burgarella, D., Vogel, M., Paresce, F., 1992, A&amp;A 262, 83  </t>
  </si>
  <si>
    <t xml:space="preserve">[42] Cahn, J. H., 1973, Ap&amp;SS 25, 355 8 Belczy´nski et al.: A Catalogue of Symbiotic Stars </t>
  </si>
  <si>
    <t xml:space="preserve">[43] Chaisson, L. J., 1997, PASP 89, 901  </t>
  </si>
  <si>
    <t xml:space="preserve">[44] Chakrabarty, D., Roche, P., 1997, ApJ 489, 254  </t>
  </si>
  <si>
    <t>[45] Chochol, D., Pribulla, T., Tamura, S., Tajitsu, A., Kana- mitsu, O., 1997, in Physical Processes in Symbiotic Bina- ries and Related Systems, Miko lajewska, J., ed., Coperni-</t>
  </si>
  <si>
    <t xml:space="preserve">[46] Cieslinski, D., Elizalde, F., Steiner, J. E., 1994, A&amp;AS 106, 243 </t>
  </si>
  <si>
    <t xml:space="preserve">[47] Cieslinski, D., Steiner, J. E., Elizalde, F., Pereira, M. G., 1997, A&amp;AS 124, 57 </t>
  </si>
  <si>
    <t xml:space="preserve">[48] Cieslinski, D., Steiner, J. E., Jablonski, F. J., 1998, A&amp;AS 131, 119 </t>
  </si>
  <si>
    <t xml:space="preserve">[49] Clark, J. S., Steele, I. A., Fender, R. P., Coe, M. J., 1999, A&amp;A 348, 888 </t>
  </si>
  <si>
    <t xml:space="preserve">[50] Corradi, R. L. M., 1995, MNRAS 276, 521  </t>
  </si>
  <si>
    <t xml:space="preserve">[51] Corradi, R. L. M., Brandi, E., Ferrer, O. E., Schwarz, H. E., 1999, A&amp;A 343, 841 </t>
  </si>
  <si>
    <t xml:space="preserve">[52] Cowley, A. P., Hartwick, F. D. A., 1989, PASP 101, 917  </t>
  </si>
  <si>
    <t xml:space="preserve">[53] Crawford, F. L., McKenna, F. C., Keenan, F. P., Aller, L. H., Feibelman, W. A., et al., 1999, A&amp;AS 139, 135 </t>
  </si>
  <si>
    <t xml:space="preserve">[54] Cutler, E. P., Dennis, B. R., Dolan, J. F., 1986, ApJ 300, 551 </t>
  </si>
  <si>
    <t xml:space="preserve">[55] Dahlmark, L., 1994, J. Am. Assoc. Variable Star Obs. 23, 34 </t>
  </si>
  <si>
    <t xml:space="preserve">[56] Dalmeri, I., Rejkuba, M., Munari, U., 1997, Inf. Bull. Vari- able Stars 4521 </t>
  </si>
  <si>
    <t xml:space="preserve">[57] Davidsen, A., Malina, R., Bowyer, S., 1977, ApJ 211, 866  </t>
  </si>
  <si>
    <t xml:space="preserve">[58] de Freitas Pacheco, J. A., Costa, R. D. D., 1996, A&amp;A 309, 629 </t>
  </si>
  <si>
    <t xml:space="preserve">[59] Dobrzycka, D., Kenyon, S. J., Miko lajewska, J., 1993, AJ 106, 284 </t>
  </si>
  <si>
    <t xml:space="preserve">[60] Dobrzycka, D., Kenyon, S. J., Milone, A. A. E., 1996, AJ 111, 414 </t>
  </si>
  <si>
    <t xml:space="preserve">[61] Dobrzycka, D., Kenyon, S. J., Proga, D., Miko lajewska, J., Wade, R. A., 1996, AJ 111, 2090 </t>
  </si>
  <si>
    <t xml:space="preserve">[62] Dopita, M. A., Hua, C. T., 1997, ApJS 108, 515  </t>
  </si>
  <si>
    <t xml:space="preserve">[63] Doroshenko, V. T., Goranskij, V. P., Esipov, Y. S., 1993, Inf. Bull. Variable Stars 3824 </t>
  </si>
  <si>
    <t xml:space="preserve">[64] Downes, R. A., Keyes, C. D., 1988, AJ 96, 777  </t>
  </si>
  <si>
    <t xml:space="preserve">[65] Downes, R. A., Wallace, D., 1996, PASP 108, 134  </t>
  </si>
  <si>
    <t xml:space="preserve">[66] Duerbeck, H. W., 1987, Space Sci. Rev. 45, 1  </t>
  </si>
  <si>
    <t xml:space="preserve">[67] Duerbeck, H. W., Seitter, W. C., 1989, PASP 101, 673  </t>
  </si>
  <si>
    <t xml:space="preserve">[68] Dumm, T., Muerset, U., Nussbaumer, H., Schild, H., Schmid, H. M., et al., 1998, A&amp;A 336, 637 </t>
  </si>
  <si>
    <t xml:space="preserve">[69] Dumm, T., Schmutz,W., Schild, H., Nussbaumer, H., 1999, A&amp;A 349, 169 </t>
  </si>
  <si>
    <t>[70] Esipov, V. F., Kolotilov, E. A., Miko lajewska, J., Munari, U., Tatarnikova, A. A., et al., 2000, Pis’ma Astron. Zh. 26, 162</t>
  </si>
  <si>
    <t xml:space="preserve">[71] Ezuka, H., Ishida, M., Makino, F., 1998, ApJ 499, 388  </t>
  </si>
  <si>
    <t xml:space="preserve">[72] Feast, M. W., Catchpole, P., Whitelock, P. A., Carter, B. S., Roberts, G., 1983, MNRAS 203, 373 </t>
  </si>
  <si>
    <t xml:space="preserve">[73] Feast, M. W.,Whitelock, P. A., Catchpole, R. M., Roberts, G., Carter, B. S., 1983, MNRAS 202, 951 </t>
  </si>
  <si>
    <t xml:space="preserve">[74] Feibelman, W. A., 1991, ApJ 375, 335  </t>
  </si>
  <si>
    <t xml:space="preserve">[75] Fekel, F. C., Joyce, R. R., Hinkle, K. H., Skrutskie, M. F., 2000, AJ 119, 1375 </t>
  </si>
  <si>
    <t xml:space="preserve">[76] Fernie, J. D., 1985, PASP 97, 653  </t>
  </si>
  <si>
    <t xml:space="preserve">[77] Formiggini, L., Leibowitz, E. M., 1994, A&amp;A 292, 534  </t>
  </si>
  <si>
    <t xml:space="preserve">[78] Galis, R., Hric, L., Friedjung, M., Petrik, K., 1999, A&amp;A 348, 533 </t>
  </si>
  <si>
    <t xml:space="preserve">[79] Garcia, M., Baliunas, S. L., Elvis, M., Fabbiano, G., Pat- terson, J., et al., 1983, ApJ 267, 291 </t>
  </si>
  <si>
    <t xml:space="preserve">[80] Glebocki, R., 1970, Postepy Astron. 18, 59  </t>
  </si>
  <si>
    <t xml:space="preserve">[81] Godon, P., 1996, ApJ 462, 456  </t>
  </si>
  <si>
    <t xml:space="preserve">[82] Greene, A. E., Wing, R. F., 1971, ApJ 163, 309  </t>
  </si>
  <si>
    <t xml:space="preserve">[83] Greiner, J., Bickert, K., Luthardt, R., Viotti, R., Altamore, A., et al., 1997, A&amp;A 322, 576 </t>
  </si>
  <si>
    <t xml:space="preserve">[84] Griffin, R. F., 1984, Observatory 104, 224  </t>
  </si>
  <si>
    <t xml:space="preserve">[85] Gutierrez-Moreno, A., Moreno, H., 1995, PASP 107, 541  </t>
  </si>
  <si>
    <t xml:space="preserve">[86] Gutierrez-Moreno, A., Moreno, H., 1996, PASP 108, 972  </t>
  </si>
  <si>
    <t xml:space="preserve">[87] Gutierrez-Moreno, A., Moreno, H., Cortes, G., 1986, A&amp;A 166, 143 </t>
  </si>
  <si>
    <t xml:space="preserve">[88] Gutierrez-Moreno, A., Moreno, H., Cortes, G., 1992, PASP 104, 1187 </t>
  </si>
  <si>
    <t xml:space="preserve">[89] Gutierrez-Moreno, A., Moreno, H., Cortes, G., 1995, PASP 107, 462 </t>
  </si>
  <si>
    <t xml:space="preserve">[90] Gutierrez-Moreno, A., Moreno, H., Costa, E., Feibelman, W. A., 1997, ApJ 485, 359 </t>
  </si>
  <si>
    <t xml:space="preserve">[91] Harries, T. J., 1996, A&amp;A 315, 499  </t>
  </si>
  <si>
    <t xml:space="preserve">[92] Harries, T. J., Howarth, I. D., 1996, A&amp;A 310, 235  </t>
  </si>
  <si>
    <t xml:space="preserve">[93] Harries, T. J., Howarth, I. D., 1996, A&amp;AS 119, 61  </t>
  </si>
  <si>
    <t xml:space="preserve">[94] Harrison, T., Gehrz, R. D., 1992, AJ 103, 243  </t>
  </si>
  <si>
    <t xml:space="preserve">[95] Harrison, T., Gehrz, R. D., 1992, AJ 101, 587  </t>
  </si>
  <si>
    <t xml:space="preserve">[96] Harrison, T. E., Gehrz, R. D., 1994, AJ 108, 1899  </t>
  </si>
  <si>
    <t xml:space="preserve">[97] Harrison, T. E., Johnson, J. J., Spyromilio, J., 1993, AJ 105, 320 </t>
  </si>
  <si>
    <t xml:space="preserve">[98] Henden, A., Munari, U., 2000, A&amp;AS 143, 343  </t>
  </si>
  <si>
    <t xml:space="preserve">[99] Henize, K. G., 1956, ApJS 2, 315  </t>
  </si>
  <si>
    <t xml:space="preserve">[100] Herbig, G. H., 1960, ApJ 131, 632  </t>
  </si>
  <si>
    <t xml:space="preserve">[101] Herbig, G. H., Hoffleit, D., 1975, ApJ Lett. 202, 41  </t>
  </si>
  <si>
    <t xml:space="preserve">[102] Herbig, G. H., Rao, N. K., 1972, ApJ 174, 401  </t>
  </si>
  <si>
    <t xml:space="preserve">[103] Hinkle, K. H., Fekel, F. C., Johnson, D. S., Scharlach, W. W. G., 1993, AJ 105, 1074 </t>
  </si>
  <si>
    <t xml:space="preserve">[104] Hoffleit, D., 1968, Inf. Bull. Variable Stars 254  </t>
  </si>
  <si>
    <t xml:space="preserve">[105] Hoffleit, D., 1970, Inf. Bull. Variable Stars 469  </t>
  </si>
  <si>
    <t xml:space="preserve">[106] Hoffleit, D., 1971, IAU Circ. 2354  </t>
  </si>
  <si>
    <t xml:space="preserve">[107] Hoffmeister, C., Ahnert, E., Gotz, W., Huth, H., Ahnert, P., 1954, Veroff. Sternw. Sonneberg , 52 </t>
  </si>
  <si>
    <t xml:space="preserve">[108] Hollis, J. M., Pedelty, J. A., Lyon, R. G., 1997, ApJ Lett. 482, 85 </t>
  </si>
  <si>
    <t xml:space="preserve">[109] Huang, C. C., Friedjung, M., Zhou, Z. X., 1994, A&amp;AS 106, 413 </t>
  </si>
  <si>
    <t xml:space="preserve">[110] Iijima, T., 1984, Inf. Bull. Variable Stars 2491  </t>
  </si>
  <si>
    <t xml:space="preserve">[111] Iijima, T., 1988, Ap&amp;SS 150, 235  </t>
  </si>
  <si>
    <t xml:space="preserve">[112] Ivison, R. J., Bode, M. F., Evans, A., Skopal, A., Meaburn, J., 1993, MNRAS 264, 875 </t>
  </si>
  <si>
    <t xml:space="preserve">[113] Ivison, R. J., Bode, M. F., Meaburn, J., 1994, A&amp;AS 103, 201 </t>
  </si>
  <si>
    <t xml:space="preserve">[114] Ivison, R. J., Bode, M. F., Roberts, J. A., Meaburn, J.,  </t>
  </si>
  <si>
    <t xml:space="preserve">Davis, R. J., et al., 1991, MNRAS 249, 374  </t>
  </si>
  <si>
    <t xml:space="preserve">[115] Ivison, R. J., Kenny, H. T., Miko lajewska, J., 2000, in preparation </t>
  </si>
  <si>
    <t xml:space="preserve">[116] Ivison, R. J., Munari, U., Marang, F., 1993, A&amp;A 277, 510  </t>
  </si>
  <si>
    <t xml:space="preserve">[117] Ivison, R. J., Seaquist, E. R., 1994, MNRAS 268, 561  </t>
  </si>
  <si>
    <t xml:space="preserve">[118] Ivison, R. J., Seaquist, E. R., 1995, MNRAS 272, 878  </t>
  </si>
  <si>
    <t xml:space="preserve">[119] Ivison, R. J., Seaquist, E. R., Hall, P. J., 1994, MNRAS 269, 218 </t>
  </si>
  <si>
    <t xml:space="preserve">[120] Ivison, R. J., Seaquist, E. R., Schwarz, H. E., Hughes,  </t>
  </si>
  <si>
    <t xml:space="preserve">D. H., Bode, M. F., 1995, MNRAS 273, 517  </t>
  </si>
  <si>
    <t xml:space="preserve">[121] Jablonsky, F. J., Pereira, M. G., Braga, J., 1997, ApJ Lett. 482, 171 </t>
  </si>
  <si>
    <t xml:space="preserve">Belczy´nski et al.: A Catalogue of Symbiotic Stars 9  </t>
  </si>
  <si>
    <t xml:space="preserve">[122] Johnson, H. R., Ake, T. B., 1989, Proc. IAU Coll. 106, 371  </t>
  </si>
  <si>
    <t xml:space="preserve">[123] Johnson, H. R., Eaton, J. A., Querci, F. R., Querci, M., Baumert, J. H., 1988, A&amp;A 204, 149 </t>
  </si>
  <si>
    <t xml:space="preserve">[124] Jordan, S., Murset, U., Werner, K., 1994, A&amp;A 283, 475  </t>
  </si>
  <si>
    <t xml:space="preserve">[125] Jordan, S., Schmutz, W., Wolff, B., Werner, K., Murset, U., 1996, A&amp;A 312, 897 </t>
  </si>
  <si>
    <t xml:space="preserve">[126] Jorissen, A., 1997, in Physical Processes in Symbiotic Bi- naries and Related Systems, Miko lajewska, J., ed., Coper- </t>
  </si>
  <si>
    <t xml:space="preserve">[127] Jorissen, A., Mayor, M., 1992, A&amp;A 260, 115  </t>
  </si>
  <si>
    <t xml:space="preserve">[128] Jorissen, A., Mayor, M., Manfroid, J., Sterken, C., 1992, Inf. Bull. Variable Stars 3730 </t>
  </si>
  <si>
    <t xml:space="preserve">[129] Jorissen, A., Schmitt, J. H. M. M., Carquillat, J. M., Ginestet, N., Bickert, K. F., 1996, A&amp;A 306, 467 </t>
  </si>
  <si>
    <t xml:space="preserve">[130] Josselin, E., Loup, C., Omont, A., Barnbaum, C., Nyman, L. A., et al., 1998, A&amp;AS 129, 45 </t>
  </si>
  <si>
    <t xml:space="preserve">[131] Kafatos, M., Michalitsianos, A. G., Allen, D. A., Stencel, R. E., 1983, ApJ 275, 584 </t>
  </si>
  <si>
    <t xml:space="preserve">[132] Kaler, J. B., 1976, ApJS 31, 517  </t>
  </si>
  <si>
    <t xml:space="preserve">[133] Kaler, J. B., Hayes, J., Bell, D., Stanghellini, L., 1991, PASP 103, 561 </t>
  </si>
  <si>
    <t xml:space="preserve">[134] Karovska, M., Hack, W., Raymond, J., Guinan, E., 1997, ApJ Lett. 482, 175 </t>
  </si>
  <si>
    <t xml:space="preserve">[135] Karovska, M., Nisenson, P., Beletic, J., 1993, ApJ 402, 311  </t>
  </si>
  <si>
    <t xml:space="preserve">[136] Keenan, D. C., Morgan, W. W., 1941, ApJ 94, 501  </t>
  </si>
  <si>
    <t xml:space="preserve">[137] Keenan, P. C., 1954, ApJ 120, 484  </t>
  </si>
  <si>
    <t>[138] Kenyon, S. J., 1983, The Collected History of the Symbi- otic Stars, Dept. of Astronomy, Univ. of Illinois, Urbana- Champaign, p. 46</t>
  </si>
  <si>
    <t xml:space="preserve">[139] Kenyon, S. J., 1986, The Symbiotic Stars, Cambridge Uni- versity Press, Cambridge </t>
  </si>
  <si>
    <t xml:space="preserve">[140] Kenyon, S. J., 1986, The Symbiotic Stars, Cambridge Uni- versity Press, Cambridge, p. 179 </t>
  </si>
  <si>
    <t xml:space="preserve">[141] Kenyon, S. J., 1986, The Symbiotic Stars, Cambridge Uni- versity Press, Cambridge, p. 172 </t>
  </si>
  <si>
    <t xml:space="preserve">[142] Kenyon, S. J., 1986, The Symbiotic Stars, Cambridge Uni- versity Press, Cambridge, p. 183 </t>
  </si>
  <si>
    <t xml:space="preserve">[143] Kenyon, S. J., Fernandez-Castro, T., 1987, AJ 93, 938  </t>
  </si>
  <si>
    <t xml:space="preserve">[144] Kenyon, S. J., Fernandez-Castro, T., Stencel, R. E., 1988, AJ 95, 1817 </t>
  </si>
  <si>
    <t xml:space="preserve">[145] Kenyon, S. J., Garcia, M. R., 1989, AJ 97, 194  </t>
  </si>
  <si>
    <t xml:space="preserve">[146] Kenyon, S. J., Miko lajewska, J., 1995, AJ 110, 391  </t>
  </si>
  <si>
    <t xml:space="preserve">[147] Kenyon, S. J., Miko lajewska, J., Miko lajewski, M., Polidan, R. S., Slovak, M. H., 1993, AJ 106, 1573 </t>
  </si>
  <si>
    <t xml:space="preserve">[148] Kenyon, S. J., Miko lajewska, J., Miko lajewski, M., Polidan, R. S., Slovak, M. H., 1993, AJ 103, 1573 </t>
  </si>
  <si>
    <t xml:space="preserve">[149] Kenyon, S. J., Oliversen, N. A., Miko lajewska, J., Miko lajewski, M., Stencel, R. E., et al., 1991, AJ 101, 637 </t>
  </si>
  <si>
    <t xml:space="preserve">[150] Kholopov, P. N., ed., 1985, General Catalogue of Variable Stars, fourth edition, Nauka, Moscow </t>
  </si>
  <si>
    <t xml:space="preserve">[151] Kilkenny, D., 1989, Observatory 109, 88  </t>
  </si>
  <si>
    <t xml:space="preserve">[152] Kilkenny, D., 1989, Observatory 109, 229  </t>
  </si>
  <si>
    <t xml:space="preserve">[153] Kirkpatrick, J. D., Henry, T. J., Irwin, M. J., 1997, AJ 113, 1421 </t>
  </si>
  <si>
    <t xml:space="preserve">[154] Kohoutek, L., 1982, A&amp;A 115, 420  </t>
  </si>
  <si>
    <t xml:space="preserve">[155] Kohoutek, L., 1994, Astron. Nachr. 315, 235  </t>
  </si>
  <si>
    <t xml:space="preserve">[156] Kolotilov, E. A., Miroshnichenko, A. S., Yudin, B. F., 1991, Inf. Bull. Variable Stars 3576 </t>
  </si>
  <si>
    <t>[157] Kolotilov, E. A., Munari, U., Popova, A. M., Tatarnikov, A. M., Shenavrin, V. I., et al., 1998, Pis’ma Astron. Zh. 24, 526</t>
  </si>
  <si>
    <t xml:space="preserve">[158] Kolotilov, E. A., Munari, U., Yudin, B. F., 1995, MNRAS 275, 185 </t>
  </si>
  <si>
    <t xml:space="preserve">[159] Kolotilov, E. A., Munari, U., Yudin, B. F., 1995, A&amp;A 293, 815 </t>
  </si>
  <si>
    <t xml:space="preserve">[160] Kolotilov, E. A., Munari, U., Yudin, B. F., Tatarnikov, A. M., 1996, AZh 73, 894 </t>
  </si>
  <si>
    <t xml:space="preserve">[161] Kondrateva, L. N., 1992, AZh 69, 1219  </t>
  </si>
  <si>
    <t xml:space="preserve">[162] Kontizas, M., Morgan, D. H., Kontizas, E., Depergolas, A., 1996, A&amp;A 307, 359 </t>
  </si>
  <si>
    <t xml:space="preserve">[163] Leisy, P., Dennefeld, M., Alard, C., Guibert, J., 1997, A&amp;AS 121, 407 </t>
  </si>
  <si>
    <t xml:space="preserve">[164] Liller, W., 1974, ApJ Lett. 192, 89  </t>
  </si>
  <si>
    <t xml:space="preserve">[165] Liller, W., 1986, IAU Circ. 4180  </t>
  </si>
  <si>
    <t xml:space="preserve">[166] Liller, W., del Mar, V., 1984, IAU Circ. 4075  </t>
  </si>
  <si>
    <t xml:space="preserve">[167] Liller, W., Jones, A. F., 1996, Inf. Bull. Variable Stars 4403  </t>
  </si>
  <si>
    <t xml:space="preserve">[168] Lines, H. C., Lines, R. D., McFaul, T. G., 1988, AJ 95, 1505 </t>
  </si>
  <si>
    <t xml:space="preserve">[169] Lundstrom, I., Stenholm, B., 1984, A&amp;A 138, 311  </t>
  </si>
  <si>
    <t xml:space="preserve">[170] Lutz, J. H., 1977, A&amp;A 60, 93  </t>
  </si>
  <si>
    <t xml:space="preserve">[171] Lutz, J. H., 1977, A&amp;A 60, 93  </t>
  </si>
  <si>
    <t xml:space="preserve">[172] Lutz, J. H., 1984, ApJ 279, 714  </t>
  </si>
  <si>
    <t xml:space="preserve">[173] Lutz, J. H., Kaler, J. B., 1983, PASP 95, 739  </t>
  </si>
  <si>
    <t xml:space="preserve">[174] Lutz, J. H., Kaler, J. B., Shaw, R. A., Schwarz, H. E., Aspin, C., 1989, PASP 101, 966 </t>
  </si>
  <si>
    <t xml:space="preserve">[175] Luud, L., Tuvikene, T., 1987, Astrophysics 26, 276  </t>
  </si>
  <si>
    <t xml:space="preserve">[176] MacConnell, D. J., 1978, A&amp;AS 33, 219  </t>
  </si>
  <si>
    <t xml:space="preserve">[177] MacConnell, D. J., 1983, Rev. Mex. Astron. Astrofis. 8, 39  </t>
  </si>
  <si>
    <t xml:space="preserve">[178] Mammano, A., Taffara, S., 1978, A&amp;AS 34, 211  </t>
  </si>
  <si>
    <t xml:space="preserve">[179] Maran, S. P., Michalitsianos, A. G., Oliveresen, R. J., Son- neborg, G., 1991, Nat 350, 404 </t>
  </si>
  <si>
    <t xml:space="preserve">[180] McNaught, R. H., Dawes, G., 1986, Inf. Bull. Variable Stars 2927 </t>
  </si>
  <si>
    <t xml:space="preserve">[181] Meatheringham, S. J., Dopita, M. A., 1991, ApJS 75, 407  </t>
  </si>
  <si>
    <t xml:space="preserve">[182] Medina Tanco, G. A., Steiner, J. E., 1995, AJ 109, 1770  </t>
  </si>
  <si>
    <t xml:space="preserve">[183] Meier, S. R., Kafatos, M., Fahey, R. P., Michalitsianos, A. G., 1994, ApJS 94, 183 </t>
  </si>
  <si>
    <t xml:space="preserve">[184] Meier, S. R., Rudy, R. J., Lynch, D. K., Rossano, G. S., Erwin, P., et al., 1996, AJ 111, 476 </t>
  </si>
  <si>
    <t xml:space="preserve">[185] Meinunger, L., 1979, Inf. Bull. Variable Stars 1611  </t>
  </si>
  <si>
    <t xml:space="preserve">[186] Meinunger, L., 1980, Ver. Stern. Sonnenberg 9, 197  </t>
  </si>
  <si>
    <t xml:space="preserve">[187] Meyssonnier, N., Azzopardi, M., 1993, A&amp;AS 102, 451  </t>
  </si>
  <si>
    <t xml:space="preserve">[188] Michalitsianos, A. G., Kafatos, M., Feibelman, W. A., Hobbs, R. W., 1982, ApJ 253, 735 </t>
  </si>
  <si>
    <t xml:space="preserve">[189] Mikkola, S., Tanikawa, K., 1998, AJ 116, 444  </t>
  </si>
  <si>
    <t xml:space="preserve">[190] Miko lajewska, J., 1997, in Physical Processes in Symbi- otic Binaries and Related Systems, Miko lajewska, J., ed., </t>
  </si>
  <si>
    <t xml:space="preserve">[191] Miko lajewska, J., ed., 1997, Physical Processes in Symbi- otic Binaries and Related Systems, Copernicus Foundation </t>
  </si>
  <si>
    <t>[192] Miko lajewska, J., 1999, in Optical and Infrared Spec- troscopy of Circumstellar Matter, Guenther, E. W., Steck- lum, B., Klose, S., eds., ASP Conf. Series, vol. 188, p. 291</t>
  </si>
  <si>
    <t xml:space="preserve">[193] Miko lajewska, J., 2000, unpublished  </t>
  </si>
  <si>
    <t xml:space="preserve">[194] Miko lajewska, J., Acker, A., Stenholm, B., 1997, A&amp;A 327, 191 </t>
  </si>
  <si>
    <t xml:space="preserve">[195] Miko lajewska, J., Belczy´nski, K., 2000, in preparation  </t>
  </si>
  <si>
    <t xml:space="preserve">[196] Miko lajewska, J., Belczy´nski, K., Brandi, E., Garcia, L. G., Ferrer, O. E., 2000, in preparation </t>
  </si>
  <si>
    <t xml:space="preserve">[197] Miko lajewska, J., Belczy´nski, K., Brandi, E., Garcia, L. G., Ferrer, O. E., et al., 2000, in preparation </t>
  </si>
  <si>
    <t xml:space="preserve">[198] Miko lajewska, J., Brandi, E., Hack, W., Whitelock, P. A., Barba, R., et al., 1999, MNRAS 305, 190 </t>
  </si>
  <si>
    <t xml:space="preserve">[199] Miko lajewska, J., et al., 2000, in preparation  </t>
  </si>
  <si>
    <t xml:space="preserve">[200] Miko lajewska, J., Kenyon, S. J., 1992, AJ 103, 579  </t>
  </si>
  <si>
    <t xml:space="preserve">[201] Miko lajewska, J., Kenyon, S. J., 1992, MNRAS 256, 177  </t>
  </si>
  <si>
    <t xml:space="preserve">[202] Miko lajewska, J., Kenyon, S. J., 1996, AJ 112, 1659  </t>
  </si>
  <si>
    <t xml:space="preserve">[203] Miko lajewska, J., Kenyon, S. J., Miko lajewski, M., 1989, AJ 98, 1427 </t>
  </si>
  <si>
    <t xml:space="preserve">[204] Miko lajewska, J., Kenyon, S. J., Miko lajewski, M., Garcia, M. R., Polidan, R. S., 1995, AJ 109, 1289 </t>
  </si>
  <si>
    <t xml:space="preserve">[205] Miko lajewski, M., Miko lajewska, J., Khudyakova, T. N., 1990, A&amp;A 235, 219 </t>
  </si>
  <si>
    <t xml:space="preserve">[206] Miko lajewski, M., Miko lajewska, J., Khudyakova, T. N., 1992, A&amp;A 254, 127 </t>
  </si>
  <si>
    <t>[207] Miko lajewski, M., Szczerba, R., Tomov, T., 1988, in The Symbiotic Phenomenon, IAU Coll. No. 103, Miko lajewska, J., Friedjung, M., Kenyon, S. J., Viotti, R., eds., Kluwer,</t>
  </si>
  <si>
    <t>[208] Miko lajewski, M., Tomov, T., Miko lajewska, J., 1997, in Physical Processes in Symbiotic Binaries and Related Sys- tems, Miko lajewska, J., ed., Copernicus Foundation for</t>
  </si>
  <si>
    <t xml:space="preserve">[209] Milone, L. A., 1990, Ap&amp;SS 172, 263  </t>
  </si>
  <si>
    <t xml:space="preserve">[210] Morgan, D. H., 1992, MNRAS 258, 639  </t>
  </si>
  <si>
    <t xml:space="preserve">[211] Morgan, D. H., 1996, MNRAS 279, 301  </t>
  </si>
  <si>
    <t xml:space="preserve">[212] Morgan, D. H., Allen, D. A., 1988, MNRAS 234, 1005  </t>
  </si>
  <si>
    <t xml:space="preserve">[213] Morgan, D. H., Watson, F. G., Parker, Q. A., 1992, A&amp;AS 93, 495 </t>
  </si>
  <si>
    <t xml:space="preserve">[214] Munari, U., 1988, A&amp;A 200, L13  </t>
  </si>
  <si>
    <t xml:space="preserve">[215] Munari, U., 1992, A&amp;A 257, 163  </t>
  </si>
  <si>
    <t xml:space="preserve">[216] Munari, U., 1992, A&amp;A 257, 163  </t>
  </si>
  <si>
    <t xml:space="preserve">[217] Munari, U., 1997, in Physical Processes in Symbiotic Bina-  </t>
  </si>
  <si>
    <t xml:space="preserve">[218] Munari, U., Buson, L. M., 1991, A&amp;A 249, 141  </t>
  </si>
  <si>
    <t xml:space="preserve">[219] Munari, U., Buson, L. M., 1992, A&amp;A 225, 158  </t>
  </si>
  <si>
    <t xml:space="preserve">[220] Munari, U., Buson, L. M., 1993, MNRAS 263, 267  </t>
  </si>
  <si>
    <t xml:space="preserve">[221] Munari, U., Buson, L. M., 1994, A&amp;A 287, 87  </t>
  </si>
  <si>
    <t xml:space="preserve">[222] Munari, U., Lattanzi, M. G., Bragaglia, A., 1994, A&amp;A 292, 501 </t>
  </si>
  <si>
    <t xml:space="preserve">[223] Munari, U., Margoni, R., Stagni, R., 1990, MNRAS 242, 653 </t>
  </si>
  <si>
    <t xml:space="preserve">[224] Munari, U., Rejkuba, M., Hazen, M., Mattei, J., Schweitzer, E., et al., 1997, A&amp;A 323, 113 </t>
  </si>
  <si>
    <t xml:space="preserve">[225] Munari, U., Tomov, T., Rejkuba, M., 1998, Inf. Bull. Vari- able Stars 4668 </t>
  </si>
  <si>
    <t xml:space="preserve">[226] Munari, U., Whitelock, P. A., Gilmore, A. C., Blanco, C., Massone, G., et al., 1992, AJ 104, 262 </t>
  </si>
  <si>
    <t xml:space="preserve">[227] Munari, U., Yudin, B. F., Kolotilov, E., Tomov, T., 1996, A&amp;A 311, 484 </t>
  </si>
  <si>
    <t xml:space="preserve">[228] Munari, U., Yudin, B. F., Kolotilov, E. A., Gilmore, A. C., 1995, AJ 109, 1740 </t>
  </si>
  <si>
    <t xml:space="preserve">[229] Munari, U., Yudin, B. F., Taranova, O. G., Massone, G., Marang, F., et al., 1992, A&amp;AS 93, 383 </t>
  </si>
  <si>
    <t xml:space="preserve">[230] Murset, U., Dumm, T., Isenegger, S., Nussbaumer, H., Schild, H., et al., 2000, A&amp;A 353, 952 </t>
  </si>
  <si>
    <t xml:space="preserve">[231] Murset, U., Nussbaumer, H., 1994, A&amp;A 282, 586  </t>
  </si>
  <si>
    <t xml:space="preserve">[232] Murset, U., Schild, H., Vogel, M., 1996, A&amp;A 307, 516  </t>
  </si>
  <si>
    <t xml:space="preserve">[233] Murset, U., Schmid, H. M., 1999, A&amp;AS 137, 473  </t>
  </si>
  <si>
    <t xml:space="preserve">[234] M¨urset, U., Schmid, H. M., 1999, A&amp;AS 137, 473  </t>
  </si>
  <si>
    <t xml:space="preserve">[235] Navarro, S., Costero, R., Serrano, P. G., Carrasco, L., 1987, Rev. Mex. Astron. Astrofis. 14, 339 </t>
  </si>
  <si>
    <t xml:space="preserve">[236] Nussbaumer, H., Vogel, M., 1990, A&amp;A 236, 117  </t>
  </si>
  <si>
    <t xml:space="preserve">[237] Nussbaumer, H., Vogel, M., 1996, A&amp;A 307, 470  </t>
  </si>
  <si>
    <t xml:space="preserve">[238] Olson, B. I., Richer, H. B., 1975, ApJ 200, 88  </t>
  </si>
  <si>
    <t xml:space="preserve">[239] Panferov, A. A., Fabrika, S. N., Tomov, T., 1997, Bull. Spec. Astrophys. Obs. 43, 37 </t>
  </si>
  <si>
    <t xml:space="preserve">[240] Pereira, C. B., 1995, A&amp;AS 111, 471  </t>
  </si>
  <si>
    <t xml:space="preserve">[241] Pereira, C. B., Landaberry, S. J. C., da Conceicao, F., 1998, AJ 116, 1971 </t>
  </si>
  <si>
    <t xml:space="preserve">[242] Pereira, C. B., Landaberry, S. J. C., Junqueira, S., 1998, A&amp;A 333, 658 </t>
  </si>
  <si>
    <t xml:space="preserve">[243] Pereira, M. G., Braga, J., Jablonski, F., 1999, ApJ Lett. 526, 105, erratum ApJ Lett. 533, 69 </t>
  </si>
  <si>
    <t xml:space="preserve">[244] Perek, L., Kohoutek, L., 1967, Catalogue of Galactic Plan- etary Nebulae, Academia, Prague </t>
  </si>
  <si>
    <t xml:space="preserve">[245] Perryman, M. A. C., Lindegren, L., Kovalevsky, J., Hog, E., Bastian, U., et al., 1997, A&amp;A 323, L49 </t>
  </si>
  <si>
    <t xml:space="preserve">[246] Quiroga, C., et al., 2000, in preparation  </t>
  </si>
  <si>
    <t xml:space="preserve">[247] Reimers, D., Groote, D., 1983, A&amp;A 123, 257  </t>
  </si>
  <si>
    <t xml:space="preserve">[248] Remillard, R. A., Rosenthal, E., Tuohy, I. R., Schwartz, D. A., Buckley, D. A. H., et al., 1992, ApJ 396, 668 </t>
  </si>
  <si>
    <t xml:space="preserve">[249] Rossi, C., Altamore, A., Ferrari-Toniolo, M., Persi, P., Viotti, R., 1988, A&amp;A 206, 279 </t>
  </si>
  <si>
    <t xml:space="preserve">[250] Sabbadin, F., Falomo, R., Ortolani, S., 1987, A&amp;AS 67, 541 </t>
  </si>
  <si>
    <t xml:space="preserve">[251] Sanduleak, N., Stephenson, C. B., 1973, ApJ 185, 899  </t>
  </si>
  <si>
    <t xml:space="preserve">[252] Sanduleak, N., Stephenson, C. B., MacConnell, D. J., 1978, Inf. Bull. Variable Stars 1376 </t>
  </si>
  <si>
    <t xml:space="preserve">[253] Schild, H., Murset, U., Schmutz, W., 1996, A&amp;A 306, 477  </t>
  </si>
  <si>
    <t xml:space="preserve">[254] Schild, H., Schmid, H. M., 1996, A&amp;A 310, 211  </t>
  </si>
  <si>
    <t xml:space="preserve">[255] Schild, H., Schmid, H. M., 1997, A&amp;A 324, 606  </t>
  </si>
  <si>
    <t xml:space="preserve">[256] Schmid, H. M., 1989, A&amp;A 211, L31  </t>
  </si>
  <si>
    <t xml:space="preserve">[257] Schmid, H. M., 1994, A&amp;A 284, 156  </t>
  </si>
  <si>
    <t xml:space="preserve">[258] Schmid, H. M., Corradi, R., Kreutler, J., Schild, H., 2000, A&amp;A 355, 261 </t>
  </si>
  <si>
    <t xml:space="preserve">[259] Schmid, H. M., Dumm, T., Murset, U., Nussbaumer, H., Schild, H., et al., 1998, A&amp;A 329, 986 </t>
  </si>
  <si>
    <t xml:space="preserve">[260] Schmid, H. M., Nussbaumer, H., 1993, A&amp;A 268, 159  </t>
  </si>
  <si>
    <t xml:space="preserve">[261] Schmid, H. M., Schild, H., 1994, A&amp;A 281, 145  </t>
  </si>
  <si>
    <t xml:space="preserve">[262] Schmid, H. M., Schild, H., 1997, A&amp;A 321, 791  </t>
  </si>
  <si>
    <t xml:space="preserve">[263] Schmid, H. M., Schild, H., 1997, A&amp;A 327, 219  </t>
  </si>
  <si>
    <t xml:space="preserve">[264] Schmutz, W., Schild, H., Murset, U., Schmid, H. M., 1994, A&amp;A 288, 819 </t>
  </si>
  <si>
    <t xml:space="preserve">[265] Schulte-Ladbeck, R. E., 1988, A&amp;A 189, 97  </t>
  </si>
  <si>
    <t xml:space="preserve">[266] Schulte-Ladbeck, R. E., MacConnell, D. J., Zarate, N.,  </t>
  </si>
  <si>
    <t xml:space="preserve">[267] Schwarz, H. E., 1991, A&amp;A 243, 469  </t>
  </si>
  <si>
    <t xml:space="preserve">[268] Schwarz, H. E., Nyman, L. A., Seaquist, E. R., Ivison, R. J., 1995, A&amp;A 303, 833 </t>
  </si>
  <si>
    <t xml:space="preserve">[269] Seal, P., 1990, Ap&amp;SS 174, 321  </t>
  </si>
  <si>
    <t xml:space="preserve">[270] Seal, P., 1995, Ap&amp;SS 234, 223  </t>
  </si>
  <si>
    <t xml:space="preserve">[271] Seaquist, E. R., Ivison, R. J., 1994, MNRAS 269, 512  </t>
  </si>
  <si>
    <t xml:space="preserve">[272] Seaquist, E. R., Ivison, R. J., Hall, P. J., 1995, MNRAS 276, 867 </t>
  </si>
  <si>
    <t xml:space="preserve">[273] Seaquist, E. R., Krogulec, M., Taylor, A. R., 1993, ApJ 410, 260 </t>
  </si>
  <si>
    <t xml:space="preserve">[274] Seaquist, E. R., Taylor, A. R., 1990, ApJ 349, 313  </t>
  </si>
  <si>
    <t xml:space="preserve">[275] Seaquist, E. R., Taylor, A. R., Button, S., 1984, ApJ 284, 202 </t>
  </si>
  <si>
    <t xml:space="preserve">[276] Sekiguchi, K., 1992, Nat 358, 563  </t>
  </si>
  <si>
    <t xml:space="preserve">[277] Sekiguchi, K., 1995, Ap&amp;SS 230, 75  </t>
  </si>
  <si>
    <t xml:space="preserve">[278] Sekiguchi, K., Whitelock, P. A., Feast, M. W., Barrett, P. E., Caldwell, J. A. R., et al., 1990, MNRAS 246, 78 </t>
  </si>
  <si>
    <t xml:space="preserve">[279] Selvelli, P. L., Cassatella, A., Gilmozzi, R., 1992, ApJ 393, 289 </t>
  </si>
  <si>
    <t>[280] Shugarov, S. Y., Pavlenko, E. P., Bochkov, V. V., 1997, in Physical Processes in Symbiotic Binaries and Related Systems, Miko lajewska, J., ed., Copernicus Foundation for</t>
  </si>
  <si>
    <t xml:space="preserve">[281] Skopal, A., 1994, A&amp;A 286, 453  </t>
  </si>
  <si>
    <t xml:space="preserve">[282] Skopal, A., Bode, M. F., Bryce, M., Chochol, D., Davis, R. J., et al., 1996, MNRAS 282, 327 </t>
  </si>
  <si>
    <t xml:space="preserve">[283] Skopal, A., Djurasevic, G., Jones, A., Rovithis-Livaniou, E., Rovithis, P., 2000, MNRAS 311, 225 </t>
  </si>
  <si>
    <t xml:space="preserve">[284] Skopal, A., Vittone, A., Errico, L., Bode, M. F., Lloyd, H. M., et al., 1997, MNRAS 292, 703 </t>
  </si>
  <si>
    <t xml:space="preserve">[285] Smith, V. V., Cunha, K., Jorissen, A., Boffin, H. M. J., 1997, A&amp;A 324, 97 </t>
  </si>
  <si>
    <t xml:space="preserve">[286] Sokolski, J. L., Bildsten, L., 1999, ApJ 517, 919  </t>
  </si>
  <si>
    <t xml:space="preserve">[287] Stenholm, B., Acker, A., 1987, A&amp;AS 68, 51  </t>
  </si>
  <si>
    <t xml:space="preserve">[288] Stephenson, C. B., 1986, ApJ 300, 779  </t>
  </si>
  <si>
    <t xml:space="preserve">[289] Taranova, O. G., 1986, Astron. Tsirk. 1467, 7  </t>
  </si>
  <si>
    <t xml:space="preserve">[290] Thackeray, A. D., 1977, Mem.R.astr.Soc. 83, 1  </t>
  </si>
  <si>
    <t xml:space="preserve">[291] Thackeray, A. D., Hutchings, J. B., 1974, MNRAS 167, 319  </t>
  </si>
  <si>
    <t xml:space="preserve">[292] Tomasella, L., Munari, U., Tomov, T., Kolev, D., Mikolajewski, M., et al., 1997, Inf. Bull. Variable Stars 4537 </t>
  </si>
  <si>
    <t xml:space="preserve">[293] Tomov, T., Munari, U., Marrese, P. M., 2000, A&amp;A 354, L25 </t>
  </si>
  <si>
    <t xml:space="preserve">[294] Tshernova, T. S., 1949, Perem. Zvezdy 7, 140  </t>
  </si>
  <si>
    <t xml:space="preserve">[295] van Genderen, A. M., 1979, A&amp;A 73, 183  </t>
  </si>
  <si>
    <t xml:space="preserve">[296] van Genderen, A. M., Glass, I. S., Feast, M. W., 1974, MNRAS 167, 283 </t>
  </si>
  <si>
    <t xml:space="preserve">[297] van Winckel, H., Duerbeck, H. W., Schwarz, H. E., 1993, A&amp;AS 102, 401 </t>
  </si>
  <si>
    <t xml:space="preserve">[298] van Winckel, H., Duerbeck, H. W., Schwarz, H. E., 1993, A&amp;AS 102, 401 </t>
  </si>
  <si>
    <t xml:space="preserve">[300] Viotti, R., Altamore, A., Ferrari-Toniolo, M., Friedjung, M., Persi, P., et al., 1986, A&amp;A 159, 16 </t>
  </si>
  <si>
    <t xml:space="preserve">[301] Vogel, M., 1991, A&amp;A 249, 173  </t>
  </si>
  <si>
    <t xml:space="preserve">[302] Warner, B., 1972, MNRAS 159, 95  </t>
  </si>
  <si>
    <t xml:space="preserve">[303] Webbink, R. F., Livio, M., Truran, J. W., Orio, M., 1987, ApJ 314, 653 </t>
  </si>
  <si>
    <t xml:space="preserve">[304] Westerlund, B. E., Azzopardi, M., Breysacher, J., Rebeirot, E., 1991, A&amp;AS 91, 425 </t>
  </si>
  <si>
    <t xml:space="preserve">[305] Whitelock, P. A., 1987, PASP 99, 573  </t>
  </si>
  <si>
    <t xml:space="preserve">[309] Williams, R. E., Phillips, M. M., Hamuy, M., 1994, ApJS 90, 297 </t>
  </si>
  <si>
    <t xml:space="preserve">[310] Wilson, R. E., Vaccaro, T. R., 1997, MNRAS 291, 54  </t>
  </si>
  <si>
    <t xml:space="preserve">[311] Wright, A. E., Allen, D. A., 1978, MNRAS 184, 893  </t>
  </si>
  <si>
    <t xml:space="preserve">[312] Yamashita, Y., Maehara, H., 1977, PASJ 29, 319  </t>
  </si>
  <si>
    <t xml:space="preserve">[313] Yoon, T. S., Honeycutt, R. K., 2000, PASP 112, 335  </t>
  </si>
  <si>
    <t xml:space="preserve">[314] Yudin, B., Munari, U., Taranova, O. G., Dalmeri, I., 1994, A&amp;AS 105, 169 </t>
  </si>
  <si>
    <t xml:space="preserve">[315] Yudin, B. F., 1983, Astron. Tsirk. 1250, 7  </t>
  </si>
  <si>
    <t xml:space="preserve">[316] Zamanov, R., Tomov, T., 1992, Inf. Bull. Variable Stars 3705 </t>
  </si>
  <si>
    <t xml:space="preserve">[3] Acker, A., Chopinet, M., Pottasch, S. R., Stenholm, B.,  1987, A&amp;AS 71, 163  </t>
  </si>
  <si>
    <t xml:space="preserve">[306] Whitelock, P. A., 1988, in The Symbiotic Phenomenon,  IAU Coll. No. 103, Miko lajewska, J., Friedjung, M.,  </t>
  </si>
  <si>
    <t xml:space="preserve">[308] Williams, R. E., Hamuy, M., Phillips, M. M., Heathcote,  S. R., Wells, L., et al., 1991, ApJ 376, 721 </t>
  </si>
  <si>
    <t xml:space="preserve">[307] Whitelock, P. A., Feast, M. W., Roberts, G., Carter, B. S.,  Catchpole, R. M., 1983, MNRAS 205, 1207  </t>
  </si>
  <si>
    <t xml:space="preserve">[299] van Winckel, H., Schwarz, H. E., Duerbeck, H. W.,  Fuhrmann, B., 1994, A&amp;A 285, 241  </t>
  </si>
  <si>
    <t>[1]</t>
  </si>
  <si>
    <t>[2]</t>
  </si>
  <si>
    <t>[3]</t>
  </si>
  <si>
    <t>[4]</t>
  </si>
  <si>
    <t>[5]</t>
  </si>
  <si>
    <t>[6]</t>
  </si>
  <si>
    <t>[7]</t>
  </si>
  <si>
    <t>[8]</t>
  </si>
  <si>
    <t>[9]</t>
  </si>
  <si>
    <t>[10]</t>
  </si>
  <si>
    <t>[11]</t>
  </si>
  <si>
    <t>[12]</t>
  </si>
  <si>
    <t>[13]</t>
  </si>
  <si>
    <t>[14]</t>
  </si>
  <si>
    <t>[15]</t>
  </si>
  <si>
    <t>[16]</t>
  </si>
  <si>
    <t>[17]</t>
  </si>
  <si>
    <t>[18]</t>
  </si>
  <si>
    <t>[19]</t>
  </si>
  <si>
    <t>[20]</t>
  </si>
  <si>
    <t>[21]</t>
  </si>
  <si>
    <t>[22]</t>
  </si>
  <si>
    <t>[23]</t>
  </si>
  <si>
    <t>[24]</t>
  </si>
  <si>
    <t>[25]</t>
  </si>
  <si>
    <t>[27]</t>
  </si>
  <si>
    <t>[28]</t>
  </si>
  <si>
    <t>[29]</t>
  </si>
  <si>
    <t>[30]</t>
  </si>
  <si>
    <t>[31]</t>
  </si>
  <si>
    <t>[32]</t>
  </si>
  <si>
    <t>[33]</t>
  </si>
  <si>
    <t>[34]</t>
  </si>
  <si>
    <t>[35]</t>
  </si>
  <si>
    <t>[36]</t>
  </si>
  <si>
    <t>[37]</t>
  </si>
  <si>
    <t>[38]</t>
  </si>
  <si>
    <t>[39]</t>
  </si>
  <si>
    <t>[40]</t>
  </si>
  <si>
    <t>[41]</t>
  </si>
  <si>
    <t>[42]</t>
  </si>
  <si>
    <t>[43]</t>
  </si>
  <si>
    <t>[44]</t>
  </si>
  <si>
    <t>[45]</t>
  </si>
  <si>
    <t>[46]</t>
  </si>
  <si>
    <t>[47]</t>
  </si>
  <si>
    <t>[48]</t>
  </si>
  <si>
    <t>[49]</t>
  </si>
  <si>
    <t>[50]</t>
  </si>
  <si>
    <t>[51]</t>
  </si>
  <si>
    <t>[52]</t>
  </si>
  <si>
    <t>[53]</t>
  </si>
  <si>
    <t>[54]</t>
  </si>
  <si>
    <t>[55]</t>
  </si>
  <si>
    <t>[56]</t>
  </si>
  <si>
    <t>[57]</t>
  </si>
  <si>
    <t>[58]</t>
  </si>
  <si>
    <t>[59]</t>
  </si>
  <si>
    <t>[60]</t>
  </si>
  <si>
    <t>[62]</t>
  </si>
  <si>
    <t>[64]</t>
  </si>
  <si>
    <t>[65]</t>
  </si>
  <si>
    <t>[66]</t>
  </si>
  <si>
    <t>[67]</t>
  </si>
  <si>
    <t>[70]</t>
  </si>
  <si>
    <t>[72]</t>
  </si>
  <si>
    <t>[73]</t>
  </si>
  <si>
    <t>[74]</t>
  </si>
  <si>
    <t>[75]</t>
  </si>
  <si>
    <t>[79]</t>
  </si>
  <si>
    <t>[80]</t>
  </si>
  <si>
    <t>[81]</t>
  </si>
  <si>
    <t>[82]</t>
  </si>
  <si>
    <t>[83]</t>
  </si>
  <si>
    <t>[84]</t>
  </si>
  <si>
    <t>[85]</t>
  </si>
  <si>
    <t>[87]</t>
  </si>
  <si>
    <t>[88]</t>
  </si>
  <si>
    <t>[89]</t>
  </si>
  <si>
    <t>[90]</t>
  </si>
  <si>
    <t>[91]</t>
  </si>
  <si>
    <t>[92]</t>
  </si>
  <si>
    <t>[93]</t>
  </si>
  <si>
    <t>[94]</t>
  </si>
  <si>
    <t>[95]</t>
  </si>
  <si>
    <t>[96]</t>
  </si>
  <si>
    <t>[97]</t>
  </si>
  <si>
    <t>[98]</t>
  </si>
  <si>
    <t>[99]</t>
  </si>
  <si>
    <t>[100]</t>
  </si>
  <si>
    <t>[102]</t>
  </si>
  <si>
    <t>[103]</t>
  </si>
  <si>
    <t>[106]</t>
  </si>
  <si>
    <t>[107]</t>
  </si>
  <si>
    <t>[108]</t>
  </si>
  <si>
    <t>[109]</t>
  </si>
  <si>
    <t>[110]</t>
  </si>
  <si>
    <t>[111]</t>
  </si>
  <si>
    <t>[112]</t>
  </si>
  <si>
    <t>[113]</t>
  </si>
  <si>
    <t>[114]</t>
  </si>
  <si>
    <t>Davis</t>
  </si>
  <si>
    <t>[115]</t>
  </si>
  <si>
    <t>[116]</t>
  </si>
  <si>
    <t>[117]</t>
  </si>
  <si>
    <t>[118]</t>
  </si>
  <si>
    <t>[119]</t>
  </si>
  <si>
    <t>[120]</t>
  </si>
  <si>
    <t>D. H.</t>
  </si>
  <si>
    <t>[121]</t>
  </si>
  <si>
    <t>Belcz</t>
  </si>
  <si>
    <t>[122]</t>
  </si>
  <si>
    <t>[123]</t>
  </si>
  <si>
    <t>[124]</t>
  </si>
  <si>
    <t>[126]</t>
  </si>
  <si>
    <t>[127]</t>
  </si>
  <si>
    <t>[129]</t>
  </si>
  <si>
    <t>[130]</t>
  </si>
  <si>
    <t>[131]</t>
  </si>
  <si>
    <t>[132]</t>
  </si>
  <si>
    <t>[133]</t>
  </si>
  <si>
    <t>[134]</t>
  </si>
  <si>
    <t>[135]</t>
  </si>
  <si>
    <t>[136]</t>
  </si>
  <si>
    <t>[137]</t>
  </si>
  <si>
    <t>[138]</t>
  </si>
  <si>
    <t>[140]</t>
  </si>
  <si>
    <t>[141]</t>
  </si>
  <si>
    <t>[142]</t>
  </si>
  <si>
    <t>[144]</t>
  </si>
  <si>
    <t>[147]</t>
  </si>
  <si>
    <t>[148]</t>
  </si>
  <si>
    <t>[149]</t>
  </si>
  <si>
    <t>[150]</t>
  </si>
  <si>
    <t>[151]</t>
  </si>
  <si>
    <t>[152]</t>
  </si>
  <si>
    <t>[153]</t>
  </si>
  <si>
    <t>[154]</t>
  </si>
  <si>
    <t>[155]</t>
  </si>
  <si>
    <t>[156]</t>
  </si>
  <si>
    <t>[157]</t>
  </si>
  <si>
    <t>[158]</t>
  </si>
  <si>
    <t>[160]</t>
  </si>
  <si>
    <t>[161]</t>
  </si>
  <si>
    <t>[162]</t>
  </si>
  <si>
    <t>[163]</t>
  </si>
  <si>
    <t>[164]</t>
  </si>
  <si>
    <t>[165]</t>
  </si>
  <si>
    <t>[166]</t>
  </si>
  <si>
    <t>[167]</t>
  </si>
  <si>
    <t>[169]</t>
  </si>
  <si>
    <t>[170]</t>
  </si>
  <si>
    <t>[171]</t>
  </si>
  <si>
    <t>[172]</t>
  </si>
  <si>
    <t>[173]</t>
  </si>
  <si>
    <t>[174]</t>
  </si>
  <si>
    <t>[175]</t>
  </si>
  <si>
    <t>[176]</t>
  </si>
  <si>
    <t>[177]</t>
  </si>
  <si>
    <t>[178]</t>
  </si>
  <si>
    <t>[179]</t>
  </si>
  <si>
    <t>[180]</t>
  </si>
  <si>
    <t>[181]</t>
  </si>
  <si>
    <t>[182]</t>
  </si>
  <si>
    <t>[183]</t>
  </si>
  <si>
    <t>[184]</t>
  </si>
  <si>
    <t>[186]</t>
  </si>
  <si>
    <t>[187]</t>
  </si>
  <si>
    <t>[188]</t>
  </si>
  <si>
    <t>[189]</t>
  </si>
  <si>
    <t>[191]</t>
  </si>
  <si>
    <t>[192]</t>
  </si>
  <si>
    <t>[193]</t>
  </si>
  <si>
    <t>[194]</t>
  </si>
  <si>
    <t>[195]</t>
  </si>
  <si>
    <t>[198]</t>
  </si>
  <si>
    <t>[199]</t>
  </si>
  <si>
    <t>[201]</t>
  </si>
  <si>
    <t>[202]</t>
  </si>
  <si>
    <t>[204]</t>
  </si>
  <si>
    <t>[206]</t>
  </si>
  <si>
    <t>[208]</t>
  </si>
  <si>
    <t>[210]</t>
  </si>
  <si>
    <t>[211]</t>
  </si>
  <si>
    <t>[213]</t>
  </si>
  <si>
    <t>[214]</t>
  </si>
  <si>
    <t>[215]</t>
  </si>
  <si>
    <t>[217]</t>
  </si>
  <si>
    <t>[218]</t>
  </si>
  <si>
    <t>[219]</t>
  </si>
  <si>
    <t>[220]</t>
  </si>
  <si>
    <t>[221]</t>
  </si>
  <si>
    <t>[222]</t>
  </si>
  <si>
    <t>[223]</t>
  </si>
  <si>
    <t>[225]</t>
  </si>
  <si>
    <t>[227]</t>
  </si>
  <si>
    <t>[228]</t>
  </si>
  <si>
    <t>[229]</t>
  </si>
  <si>
    <t>[230]</t>
  </si>
  <si>
    <t>[231]</t>
  </si>
  <si>
    <t>[232]</t>
  </si>
  <si>
    <t>[233]</t>
  </si>
  <si>
    <t>[235]</t>
  </si>
  <si>
    <t>[236]</t>
  </si>
  <si>
    <t>[238]</t>
  </si>
  <si>
    <t>[239]</t>
  </si>
  <si>
    <t>[240]</t>
  </si>
  <si>
    <t>[241]</t>
  </si>
  <si>
    <t>[242]</t>
  </si>
  <si>
    <t>[243]</t>
  </si>
  <si>
    <t>[244]</t>
  </si>
  <si>
    <t>[245]</t>
  </si>
  <si>
    <t>[246]</t>
  </si>
  <si>
    <t>[247]</t>
  </si>
  <si>
    <t>[248]</t>
  </si>
  <si>
    <t>[249]</t>
  </si>
  <si>
    <t>[250]</t>
  </si>
  <si>
    <t>[251]</t>
  </si>
  <si>
    <t>[252]</t>
  </si>
  <si>
    <t>[253]</t>
  </si>
  <si>
    <t>[254]</t>
  </si>
  <si>
    <t>[256]</t>
  </si>
  <si>
    <t>[257]</t>
  </si>
  <si>
    <t>[258]</t>
  </si>
  <si>
    <t>[259]</t>
  </si>
  <si>
    <t>[260]</t>
  </si>
  <si>
    <t>[261]</t>
  </si>
  <si>
    <t>[262]</t>
  </si>
  <si>
    <t>[263]</t>
  </si>
  <si>
    <t>[264]</t>
  </si>
  <si>
    <t>[265]</t>
  </si>
  <si>
    <t>[266]</t>
  </si>
  <si>
    <t>[267]</t>
  </si>
  <si>
    <t>[268]</t>
  </si>
  <si>
    <t>[269]</t>
  </si>
  <si>
    <t>[270]</t>
  </si>
  <si>
    <t>[271]</t>
  </si>
  <si>
    <t>[272]</t>
  </si>
  <si>
    <t>[273]</t>
  </si>
  <si>
    <t>[274]</t>
  </si>
  <si>
    <t>[275]</t>
  </si>
  <si>
    <t>[276]</t>
  </si>
  <si>
    <t>[277]</t>
  </si>
  <si>
    <t>[278]</t>
  </si>
  <si>
    <t>[279]</t>
  </si>
  <si>
    <t>[281]</t>
  </si>
  <si>
    <t>[282]</t>
  </si>
  <si>
    <t>[284]</t>
  </si>
  <si>
    <t>[285]</t>
  </si>
  <si>
    <t>[286]</t>
  </si>
  <si>
    <t>[287]</t>
  </si>
  <si>
    <t>[288]</t>
  </si>
  <si>
    <t>[289]</t>
  </si>
  <si>
    <t>[290]</t>
  </si>
  <si>
    <t>[291]</t>
  </si>
  <si>
    <t>[292]</t>
  </si>
  <si>
    <t>[293]</t>
  </si>
  <si>
    <t>[294]</t>
  </si>
  <si>
    <t>[295]</t>
  </si>
  <si>
    <t>[297]</t>
  </si>
  <si>
    <t>[298]</t>
  </si>
  <si>
    <t>[300]</t>
  </si>
  <si>
    <t>[302]</t>
  </si>
  <si>
    <t>[303]</t>
  </si>
  <si>
    <t>[304]</t>
  </si>
  <si>
    <t>[305]</t>
  </si>
  <si>
    <t>[306]</t>
  </si>
  <si>
    <t>[307]</t>
  </si>
  <si>
    <t>[308]</t>
  </si>
  <si>
    <t>[309]</t>
  </si>
  <si>
    <t>[310]</t>
  </si>
  <si>
    <t>[311]</t>
  </si>
  <si>
    <t>[312]</t>
  </si>
  <si>
    <t>[313]</t>
  </si>
  <si>
    <t>[314]</t>
  </si>
  <si>
    <t>[315]</t>
  </si>
  <si>
    <t>[316]</t>
  </si>
  <si>
    <t>[Rs]</t>
  </si>
  <si>
    <t>f(M)</t>
  </si>
  <si>
    <t>[Ms]</t>
  </si>
  <si>
    <t>spectroscopic periods, radial velocity semi-amplitudes for</t>
  </si>
  <si>
    <t>the cool components, mass ratios, systemic velocities, eccentricities,</t>
  </si>
  <si>
    <t>times of inferior spectroscopic conjunctions of</t>
  </si>
  <si>
    <t>the giant, sizes of the giant orbits, mass functions and</t>
  </si>
  <si>
    <t>references to each orbital estimate</t>
  </si>
  <si>
    <t>[148] Khudyakova T.N., 1985, Sov. Astron. Lett. 11, 262</t>
  </si>
  <si>
    <t>[75] Feast M.W., Catchpole P., Whitelock P.A., Carter B.S.,Roberts G., 1983, MNRAS 203, 373</t>
  </si>
  <si>
    <t>[78] Fekel F.C., Joyce R.R., Hinkle K.H., Skrutskie M.F., 2000, AJ 119, 1375</t>
  </si>
  <si>
    <t>V443 her</t>
  </si>
  <si>
    <t>AS289</t>
  </si>
  <si>
    <t>B</t>
  </si>
  <si>
    <t>F</t>
  </si>
  <si>
    <r>
      <rPr>
        <sz val="10"/>
        <color theme="1"/>
        <rFont val="Symbol"/>
        <family val="1"/>
        <charset val="2"/>
      </rPr>
      <t>G</t>
    </r>
    <r>
      <rPr>
        <sz val="10"/>
        <color theme="1"/>
        <rFont val="Calibri"/>
        <family val="2"/>
        <scheme val="minor"/>
      </rPr>
      <t>0</t>
    </r>
  </si>
  <si>
    <t xml:space="preserve">Prochain </t>
  </si>
  <si>
    <t>extremum</t>
  </si>
  <si>
    <t>year</t>
  </si>
  <si>
    <t>Today Date</t>
  </si>
  <si>
    <t>[146] Kenyon, S, J,, Mikolajewska, J,, 1995, AJ 110, 391</t>
  </si>
  <si>
    <t xml:space="preserve">[190] Mikolajewska, J., 1997, in Physical Processes in Symbi- otic Binaries and Related Systems, Mikolajewska, J., ed., </t>
  </si>
  <si>
    <t xml:space="preserve">[196] Mikolajewska, J., Belczy´nski, K., Brandi, E., Garcia, L. G., Ferrer, O. E., 2000, in preparation </t>
  </si>
  <si>
    <t xml:space="preserve">[197] Mikolajewska, J., Belczy´nski, K., Brandi, E., Garcia, L. G., Ferrer, O. E., et al., 2000, in preparation </t>
  </si>
  <si>
    <t xml:space="preserve">[200] Mikolajewska, J., Kenyon, S. J., 1992, AJ 103, 579  </t>
  </si>
  <si>
    <t xml:space="preserve">[203] Mikolajewska, J., Kenyon, S. J., Miko lajewski, M., 1989, AJ 98, 1427 </t>
  </si>
  <si>
    <t>[205] Miko lajewski, M,, Mikolajewska, J,, Khudyakova, T, N,, 1990, A&amp;A 235, 219</t>
  </si>
  <si>
    <t>[207] Miko lajewski, M., Szczerba, R., Tomov, T., 1988, in The Symbiotic Phenomenon, IAU Coll. No. 103, Mikolajewska, J., Friedjung, M., Kenyon, S. J., Viotti, R., eds., Kluwer,</t>
  </si>
  <si>
    <t>[280] Shugarov, S. Y., Pavlenko, E. P., Bochkov, V. V., 1997, in Physical Processes in Symbiotic Binaries and Related Systems, Mikolajewska, J., ed., Copernicus Foundation for</t>
  </si>
  <si>
    <t>[61] Dobrzycka, D,, Kenyon, S, J,, Proga, D,, Mikolajewska, J,, Wade, R, A,, 1996, AJ 111, 2090</t>
  </si>
  <si>
    <t>[F]</t>
  </si>
  <si>
    <t>[F] Fekel</t>
  </si>
  <si>
    <t>Extinction</t>
  </si>
  <si>
    <t>S. Parimucha &amp; M. Vanko  ASP Conference Series, Vol. 349, 2006</t>
  </si>
  <si>
    <t>Star</t>
  </si>
  <si>
    <t>E(B-V)</t>
  </si>
  <si>
    <t>s</t>
  </si>
  <si>
    <t>R Aqr</t>
  </si>
  <si>
    <t>UV Aur</t>
  </si>
  <si>
    <t>V366 Car</t>
  </si>
  <si>
    <t>V835 Cen</t>
  </si>
  <si>
    <t>V852 Cen</t>
  </si>
  <si>
    <t>Y CrA</t>
  </si>
  <si>
    <t>BI Cru</t>
  </si>
  <si>
    <t>V1016 Cyg</t>
  </si>
  <si>
    <t>ER Del</t>
  </si>
  <si>
    <t>NQ Gem</t>
  </si>
  <si>
    <t>V934 Her</t>
  </si>
  <si>
    <t>V471 Per</t>
  </si>
  <si>
    <t>RX Pup</t>
  </si>
  <si>
    <t>HK Sco</t>
  </si>
  <si>
    <t>HM Sge</t>
  </si>
  <si>
    <t>V3890 Sgr</t>
  </si>
  <si>
    <t>V4018 Sgr</t>
  </si>
  <si>
    <t>RR Tel</t>
  </si>
  <si>
    <t>KX Tra</t>
  </si>
  <si>
    <t>AS 201</t>
  </si>
  <si>
    <t>AS 210</t>
  </si>
  <si>
    <t>CD-43 14304</t>
  </si>
  <si>
    <t>H 13150</t>
  </si>
  <si>
    <t>HD 330036</t>
  </si>
  <si>
    <t>Hen 3-1092</t>
  </si>
  <si>
    <t>Hen 3-1761</t>
  </si>
  <si>
    <t>LMC S32</t>
  </si>
  <si>
    <t>LMC S63</t>
  </si>
  <si>
    <t xml:space="preserve">SPECTRAL AND LUMINOSITY CLASSIFICATION OF SYMBIOTIC STAR COOL COMPONENTS WITH NEAR-INFRARED PHOTOMETRY </t>
  </si>
  <si>
    <t>Charles D. Keyeskeyes@stsci.edu</t>
  </si>
  <si>
    <t>Brandon Preblich</t>
  </si>
  <si>
    <t>The Astronomical Journal, 128:2981–2987, 2004 December</t>
  </si>
  <si>
    <t>Spectral classiﬁcation of the cool giants in symbiotic systems?</t>
  </si>
  <si>
    <t>U. M¨urset1 and H.M. Schmid2</t>
  </si>
  <si>
    <t>Astron. Astrophys. Suppl. Ser. 137, 473–493 (1999)</t>
  </si>
  <si>
    <t>M2.4 III</t>
  </si>
  <si>
    <t>M4.8 III</t>
  </si>
  <si>
    <t>5.1 III</t>
  </si>
  <si>
    <t>M4.4 Ib-II</t>
  </si>
  <si>
    <t>&lt; K4</t>
  </si>
  <si>
    <t>M4.9 III</t>
  </si>
  <si>
    <t>M5.5 III</t>
  </si>
  <si>
    <t>FN SGr</t>
  </si>
  <si>
    <t>M2.1 III</t>
  </si>
  <si>
    <t>M4.2 III</t>
  </si>
  <si>
    <t>S149</t>
  </si>
  <si>
    <t>M3.6 III</t>
  </si>
  <si>
    <t>M1.7 III</t>
  </si>
  <si>
    <t>M3.3 III</t>
  </si>
  <si>
    <t xml:space="preserve">Z And </t>
  </si>
  <si>
    <t>M4.4 III</t>
  </si>
  <si>
    <t>M5.1 III</t>
  </si>
  <si>
    <t>Kenyon 1987</t>
  </si>
  <si>
    <t>M0</t>
  </si>
  <si>
    <t>M1</t>
  </si>
  <si>
    <t>M2</t>
  </si>
  <si>
    <t>M3</t>
  </si>
  <si>
    <t>M4</t>
  </si>
  <si>
    <t>M5</t>
  </si>
  <si>
    <t>M6</t>
  </si>
  <si>
    <t>M7</t>
  </si>
  <si>
    <t>M8</t>
  </si>
  <si>
    <t xml:space="preserve"> </t>
  </si>
  <si>
    <t>[1] Skopal,2001</t>
  </si>
  <si>
    <r>
      <rPr>
        <sz val="10"/>
        <color theme="1"/>
        <rFont val="Symbol"/>
        <family val="1"/>
        <charset val="2"/>
      </rPr>
      <t>g</t>
    </r>
    <r>
      <rPr>
        <sz val="10"/>
        <color theme="1"/>
        <rFont val="Arial"/>
        <family val="2"/>
      </rPr>
      <t>0</t>
    </r>
  </si>
  <si>
    <t>The nature of symbiotic stars</t>
  </si>
  <si>
    <t>Astrophysical Journal, Vol. 279, p. 252-283 (1984)</t>
  </si>
  <si>
    <t>http://articles.adsabs.harvard.edu/cgi-bin/nph-iarticle_query?1984ApJ...279..252K&amp;amp;data_type=PDF_HIGH&amp;amp;whole_paper=YES&amp;amp;type=PRINTER&amp;amp;filetype=.pdf</t>
  </si>
  <si>
    <t>Keyes</t>
  </si>
  <si>
    <t>Prebish</t>
  </si>
  <si>
    <t>Weebink</t>
  </si>
  <si>
    <t>Kenyon, S. J.</t>
  </si>
  <si>
    <t>Murset</t>
  </si>
  <si>
    <t>Schmid</t>
  </si>
  <si>
    <t>0 44 37.1</t>
  </si>
  <si>
    <t>40 40 45.7</t>
  </si>
  <si>
    <t>1 36 22.7</t>
  </si>
  <si>
    <t>54 15 2.5</t>
  </si>
  <si>
    <t>1 58 49.7</t>
  </si>
  <si>
    <t>52 53 48.4</t>
  </si>
  <si>
    <t>Omi Cet</t>
  </si>
  <si>
    <t>2 19 20.7</t>
  </si>
  <si>
    <t>-2 58 39.5</t>
  </si>
  <si>
    <t>03 42 9.3</t>
  </si>
  <si>
    <t>63 13 0.5</t>
  </si>
  <si>
    <t>StHa 32</t>
  </si>
  <si>
    <t>04 37 45.6</t>
  </si>
  <si>
    <t>-01 19 11.8</t>
  </si>
  <si>
    <t>05 21 48.8</t>
  </si>
  <si>
    <t>32 30 43.1</t>
  </si>
  <si>
    <t>05 22 18.6</t>
  </si>
  <si>
    <t>-8 39 58</t>
  </si>
  <si>
    <t>StHA 55</t>
  </si>
  <si>
    <t>05 46 42</t>
  </si>
  <si>
    <t>6 43 48</t>
  </si>
  <si>
    <t>SU Lyn</t>
  </si>
  <si>
    <t>06 42 55.1</t>
  </si>
  <si>
    <t>+55 28 27.2</t>
  </si>
  <si>
    <t>ZZ CMi</t>
  </si>
  <si>
    <t>07 24 13.9</t>
  </si>
  <si>
    <t>8 53 51.7</t>
  </si>
  <si>
    <t>07 25 24</t>
  </si>
  <si>
    <t>-3 36 0</t>
  </si>
  <si>
    <t>07 25 51.2</t>
  </si>
  <si>
    <t>-7 44 8</t>
  </si>
  <si>
    <t>07 31 54.5</t>
  </si>
  <si>
    <t>24 30 12.5</t>
  </si>
  <si>
    <t>GH Gem</t>
  </si>
  <si>
    <t>07 4 4.9</t>
  </si>
  <si>
    <t>12 2 12</t>
  </si>
  <si>
    <t>CQ Dra</t>
  </si>
  <si>
    <t>12 30 06</t>
  </si>
  <si>
    <t>69 12 04</t>
  </si>
  <si>
    <t>12 44 42</t>
  </si>
  <si>
    <t>36 45 50.6</t>
  </si>
  <si>
    <t>13 34  18</t>
  </si>
  <si>
    <t>- 25 22 48.9</t>
  </si>
  <si>
    <t>IV Vir</t>
  </si>
  <si>
    <t>14 16 34.3</t>
  </si>
  <si>
    <t xml:space="preserve"> -21 45 50</t>
  </si>
  <si>
    <t>15 59 30.1</t>
  </si>
  <si>
    <t>25 55 12.6</t>
  </si>
  <si>
    <t>16 01 40.5</t>
  </si>
  <si>
    <t>66 48 9.5</t>
  </si>
  <si>
    <t>16 51 20.4</t>
  </si>
  <si>
    <t>-26 00 26.7</t>
  </si>
  <si>
    <t>V503 Her</t>
  </si>
  <si>
    <t>17 36 46</t>
  </si>
  <si>
    <t>23 18 18</t>
  </si>
  <si>
    <t>17 50 13.2</t>
  </si>
  <si>
    <t>-6 42 28.4</t>
  </si>
  <si>
    <t>17 06 34.5</t>
  </si>
  <si>
    <t>+23 58 18.5</t>
  </si>
  <si>
    <t>17 39 52.0</t>
  </si>
  <si>
    <t>-11 56 38.8</t>
  </si>
  <si>
    <t>AS 245</t>
  </si>
  <si>
    <t>17 51 00.9</t>
  </si>
  <si>
    <t>-22 19 35.1</t>
  </si>
  <si>
    <t>AS 270</t>
  </si>
  <si>
    <t>18 05 33.7</t>
  </si>
  <si>
    <t xml:space="preserve"> -20 20 38</t>
  </si>
  <si>
    <t>AS 289</t>
  </si>
  <si>
    <t>18 12 22.1</t>
  </si>
  <si>
    <t>-11 40 07</t>
  </si>
  <si>
    <t>18 14 34.3</t>
  </si>
  <si>
    <t>20 59 20</t>
  </si>
  <si>
    <t>18 15 06.2</t>
  </si>
  <si>
    <t>0 18 57.6</t>
  </si>
  <si>
    <t>StHa 149</t>
  </si>
  <si>
    <t>18 18 55.9</t>
  </si>
  <si>
    <t>27 26 12</t>
  </si>
  <si>
    <t>18 22 08.4</t>
  </si>
  <si>
    <t>23 27 20</t>
  </si>
  <si>
    <t>18 53 52.9</t>
  </si>
  <si>
    <t>-18 59 42</t>
  </si>
  <si>
    <t>V919 Sgr</t>
  </si>
  <si>
    <t>19 03 46</t>
  </si>
  <si>
    <t>-16 59 53.9</t>
  </si>
  <si>
    <t>19 03 51.6</t>
  </si>
  <si>
    <t>16 28 31.7</t>
  </si>
  <si>
    <t>V335 Vul</t>
  </si>
  <si>
    <t>19 23 14</t>
  </si>
  <si>
    <t>+24 27 39.7</t>
  </si>
  <si>
    <t>19 23 53.4</t>
  </si>
  <si>
    <t>29 40 25.1</t>
  </si>
  <si>
    <t>19 24 33</t>
  </si>
  <si>
    <t>50 14 29.1</t>
  </si>
  <si>
    <t>19 41 57.1</t>
  </si>
  <si>
    <t>16 44 39.9</t>
  </si>
  <si>
    <t>QW Sge</t>
  </si>
  <si>
    <t>19 45 49.6</t>
  </si>
  <si>
    <t>18 36 50</t>
  </si>
  <si>
    <t>Hen 3-1768</t>
  </si>
  <si>
    <t>19 49 48.4</t>
  </si>
  <si>
    <t>-82 52 37.5</t>
  </si>
  <si>
    <t>19 50 11.8</t>
  </si>
  <si>
    <t>35 41 3.2</t>
  </si>
  <si>
    <t>StHa 169</t>
  </si>
  <si>
    <t>19 51 28.9</t>
  </si>
  <si>
    <t>46 23 6</t>
  </si>
  <si>
    <t>EF Aql</t>
  </si>
  <si>
    <t>19 51 51.7</t>
  </si>
  <si>
    <t>-05 48 16.7</t>
  </si>
  <si>
    <t>TCPJ19544251+1722281</t>
  </si>
  <si>
    <t>19 54 42.9</t>
  </si>
  <si>
    <t>+17 22 12.7 </t>
  </si>
  <si>
    <t>19 57 4.9</t>
  </si>
  <si>
    <t>39 49 33.9</t>
  </si>
  <si>
    <t>20 04 18.5</t>
  </si>
  <si>
    <t>-55 43 33.2</t>
  </si>
  <si>
    <t>20 21 12</t>
  </si>
  <si>
    <t>21 34 41.9</t>
  </si>
  <si>
    <t>20 35 57.3</t>
  </si>
  <si>
    <t>20 11 34</t>
  </si>
  <si>
    <t>20 42 46.4</t>
  </si>
  <si>
    <t>8 40 56.4</t>
  </si>
  <si>
    <t>20 51 1.1</t>
  </si>
  <si>
    <t>35 34 51.2</t>
  </si>
  <si>
    <t>V407 Cyg</t>
  </si>
  <si>
    <t>21 2 13</t>
  </si>
  <si>
    <t>45 46 30</t>
  </si>
  <si>
    <t>StHa 190</t>
  </si>
  <si>
    <t>21 41 44.8</t>
  </si>
  <si>
    <t>2 43 54.4</t>
  </si>
  <si>
    <t>21 51 1.9</t>
  </si>
  <si>
    <t>12 37 29.4</t>
  </si>
  <si>
    <t>V627 Cas</t>
  </si>
  <si>
    <t>22 57 41.2</t>
  </si>
  <si>
    <t>58 49 14.9</t>
  </si>
  <si>
    <t>23 33 39.5</t>
  </si>
  <si>
    <t>48 49 5.4</t>
  </si>
  <si>
    <t>23 43 49.4</t>
  </si>
  <si>
    <t>-15 17 4.2</t>
  </si>
  <si>
    <t>Vr</t>
  </si>
  <si>
    <t>Classical</t>
  </si>
  <si>
    <t>d (pc)</t>
  </si>
  <si>
    <t>d min</t>
  </si>
  <si>
    <t>d max</t>
  </si>
  <si>
    <t>p (mas)</t>
  </si>
  <si>
    <t>e_p (mas)</t>
  </si>
  <si>
    <t>Gaia</t>
  </si>
  <si>
    <t>Period</t>
  </si>
  <si>
    <t>[2] Shagatova, 2021 Inferior conjunction of the RG</t>
  </si>
  <si>
    <t>Conjonction with RG</t>
  </si>
  <si>
    <t>PV</t>
  </si>
  <si>
    <t>Ref</t>
  </si>
  <si>
    <t>A</t>
  </si>
  <si>
    <t>X</t>
  </si>
  <si>
    <t>[3] Boyd D., Teyssier F., Sims F., Boussin C., 2022 ;-) E0 from [71]</t>
  </si>
  <si>
    <t xml:space="preserve">[10] Leibowitz &amp; Formiggini (2011) </t>
  </si>
  <si>
    <t>Note 1</t>
  </si>
  <si>
    <t>Method</t>
  </si>
  <si>
    <t>RG Spectroscopy</t>
  </si>
  <si>
    <t>B band</t>
  </si>
  <si>
    <t>V band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</si>
</sst>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64" formatCode="d/m/yy\ h:mm;@"/>
    <numFmt numFmtId="165" formatCode="0.000"/>
  </numFmts>
  <fonts count="44">
    <font>
      <sz val="10"/>
      <color theme="1"/>
      <name val="Arial"/>
      <family val="2"/>
    </font>
    <font>
      <sz val="10"/>
      <color theme="1"/>
      <name val="Arial"/>
      <family val="2"/>
    </font>
    <font>
      <sz val="18"/>
      <color theme="3"/>
      <name val="Calibri Light"/>
      <family val="2"/>
      <scheme val="major"/>
    </font>
    <font>
      <b/>
      <sz val="15"/>
      <color theme="3"/>
      <name val="Arial"/>
      <family val="2"/>
    </font>
    <font>
      <b/>
      <sz val="13"/>
      <color theme="3"/>
      <name val="Arial"/>
      <family val="2"/>
    </font>
    <font>
      <b/>
      <sz val="11"/>
      <color theme="3"/>
      <name val="Arial"/>
      <family val="2"/>
    </font>
    <font>
      <sz val="10"/>
      <color rgb="FF006100"/>
      <name val="Arial"/>
      <family val="2"/>
    </font>
    <font>
      <sz val="10"/>
      <color rgb="FF9C0006"/>
      <name val="Arial"/>
      <family val="2"/>
    </font>
    <font>
      <sz val="10"/>
      <color rgb="FF9C6500"/>
      <name val="Arial"/>
      <family val="2"/>
    </font>
    <font>
      <sz val="10"/>
      <color rgb="FF3F3F76"/>
      <name val="Arial"/>
      <family val="2"/>
    </font>
    <font>
      <b/>
      <sz val="10"/>
      <color rgb="FF3F3F3F"/>
      <name val="Arial"/>
      <family val="2"/>
    </font>
    <font>
      <b/>
      <sz val="10"/>
      <color rgb="FFFA7D00"/>
      <name val="Arial"/>
      <family val="2"/>
    </font>
    <font>
      <sz val="10"/>
      <color rgb="FFFA7D00"/>
      <name val="Arial"/>
      <family val="2"/>
    </font>
    <font>
      <b/>
      <sz val="10"/>
      <color theme="0"/>
      <name val="Arial"/>
      <family val="2"/>
    </font>
    <font>
      <sz val="10"/>
      <color rgb="FFFF0000"/>
      <name val="Arial"/>
      <family val="2"/>
    </font>
    <font>
      <i/>
      <sz val="10"/>
      <color rgb="FF7F7F7F"/>
      <name val="Arial"/>
      <family val="2"/>
    </font>
    <font>
      <b/>
      <sz val="10"/>
      <color theme="1"/>
      <name val="Arial"/>
      <family val="2"/>
    </font>
    <font>
      <sz val="10"/>
      <color theme="0"/>
      <name val="Arial"/>
      <family val="2"/>
    </font>
    <font>
      <sz val="10"/>
      <color theme="1"/>
      <name val="Arial Unicode MS"/>
      <family val="2"/>
    </font>
    <font>
      <sz val="10"/>
      <color theme="1"/>
      <name val="Calibri"/>
      <family val="2"/>
      <scheme val="minor"/>
    </font>
    <font>
      <b/>
      <sz val="10"/>
      <color theme="1"/>
      <name val="Calibri"/>
      <family val="2"/>
      <scheme val="minor"/>
    </font>
    <font>
      <b/>
      <sz val="10"/>
      <color rgb="FF0070C0"/>
      <name val="Calibri"/>
      <family val="2"/>
      <scheme val="minor"/>
    </font>
    <font>
      <sz val="10"/>
      <color rgb="FF002060"/>
      <name val="Calibri"/>
      <family val="2"/>
      <scheme val="minor"/>
    </font>
    <font>
      <b/>
      <sz val="14"/>
      <color theme="1"/>
      <name val="Calibri"/>
      <family val="2"/>
      <scheme val="minor"/>
    </font>
    <font>
      <sz val="10"/>
      <name val="Arial"/>
      <family val="2"/>
    </font>
    <font>
      <b/>
      <sz val="10"/>
      <color rgb="FFFF0000"/>
      <name val="Arial"/>
      <family val="2"/>
    </font>
    <font>
      <sz val="10"/>
      <color theme="1"/>
      <name val="Symbol"/>
      <family val="1"/>
      <charset val="2"/>
    </font>
    <font>
      <b/>
      <sz val="16"/>
      <color theme="1"/>
      <name val="Calibri"/>
      <family val="2"/>
      <scheme val="minor"/>
    </font>
    <font>
      <sz val="12"/>
      <color theme="1"/>
      <name val="Calibri"/>
      <family val="2"/>
      <scheme val="minor"/>
    </font>
    <font>
      <sz val="11"/>
      <color rgb="FF000000"/>
      <name val="Calibri"/>
      <family val="2"/>
      <scheme val="minor"/>
    </font>
    <font>
      <sz val="11"/>
      <color rgb="FF000000"/>
      <name val="Symbol"/>
      <family val="1"/>
      <charset val="2"/>
    </font>
    <font>
      <sz val="10"/>
      <color theme="1"/>
      <name val="Calibri"/>
      <family val="2"/>
    </font>
    <font>
      <sz val="10"/>
      <name val="Calibri"/>
      <family val="2"/>
      <scheme val="minor"/>
    </font>
    <font>
      <sz val="10"/>
      <color theme="1"/>
      <name val="Arial"/>
      <family val="1"/>
      <charset val="2"/>
    </font>
    <font>
      <u/>
      <sz val="10"/>
      <color theme="10"/>
      <name val="Arial"/>
      <family val="2"/>
    </font>
    <font>
      <sz val="9"/>
      <name val="Calibri"/>
      <family val="2"/>
      <scheme val="minor"/>
    </font>
    <font>
      <sz val="9"/>
      <name val="Calibri"/>
      <family val="2"/>
      <scheme val="minor"/>
    </font>
    <font>
      <b/>
      <sz val="12"/>
      <name val="Calibri"/>
      <family val="2"/>
    </font>
    <font>
      <sz val="12"/>
      <name val="Calibri"/>
      <family val="2"/>
    </font>
    <font>
      <sz val="12"/>
      <color rgb="FF000000"/>
      <name val="Calibri"/>
      <family val="2"/>
    </font>
    <font>
      <b/>
      <sz val="12"/>
      <color rgb="FF002060"/>
      <name val="Calibri"/>
      <family val="2"/>
    </font>
    <font>
      <sz val="12"/>
      <color rgb="FF000000"/>
      <name val="Calibri"/>
      <family val="2"/>
      <scheme val="minor"/>
    </font>
    <font>
      <b/>
      <sz val="10"/>
      <color theme="1"/>
      <name val="Calibri"/>
      <family val="2"/>
    </font>
    <font>
      <i/>
      <sz val="10"/>
      <color theme="1"/>
      <name val="Arial"/>
      <family val="2"/>
    </font>
  </fonts>
  <fills count="42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rgb="FFFFFFFF"/>
        <bgColor indexed="64"/>
      </patternFill>
    </fill>
    <fill>
      <patternFill patternType="solid">
        <fgColor theme="0" tint="-4.9989318521683403E-2"/>
        <bgColor rgb="FF000000"/>
      </patternFill>
    </fill>
    <fill>
      <patternFill patternType="solid">
        <fgColor rgb="FFFFFF00"/>
        <bgColor indexed="64"/>
      </patternFill>
    </fill>
  </fills>
  <borders count="20">
    <border>
      <left/>
      <right/>
      <top/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/>
      <right style="thin">
        <color indexed="64"/>
      </right>
      <top/>
      <bottom/>
      <diagonal/>
    </border>
  </borders>
  <cellStyleXfs count="43">
    <xf numFmtId="0" fontId="0" fillId="0" borderId="0"/>
    <xf numFmtId="0" fontId="2" fillId="0" borderId="0" applyNumberFormat="0" applyFill="0" applyBorder="0" applyAlignment="0" applyProtection="0"/>
    <xf numFmtId="0" fontId="3" fillId="0" borderId="1" applyNumberFormat="0" applyFill="0" applyAlignment="0" applyProtection="0"/>
    <xf numFmtId="0" fontId="4" fillId="0" borderId="2" applyNumberFormat="0" applyFill="0" applyAlignment="0" applyProtection="0"/>
    <xf numFmtId="0" fontId="5" fillId="0" borderId="3" applyNumberFormat="0" applyFill="0" applyAlignment="0" applyProtection="0"/>
    <xf numFmtId="0" fontId="5" fillId="0" borderId="0" applyNumberFormat="0" applyFill="0" applyBorder="0" applyAlignment="0" applyProtection="0"/>
    <xf numFmtId="0" fontId="6" fillId="2" borderId="0" applyNumberFormat="0" applyBorder="0" applyAlignment="0" applyProtection="0"/>
    <xf numFmtId="0" fontId="7" fillId="3" borderId="0" applyNumberFormat="0" applyBorder="0" applyAlignment="0" applyProtection="0"/>
    <xf numFmtId="0" fontId="8" fillId="4" borderId="0" applyNumberFormat="0" applyBorder="0" applyAlignment="0" applyProtection="0"/>
    <xf numFmtId="0" fontId="9" fillId="5" borderId="4" applyNumberFormat="0" applyAlignment="0" applyProtection="0"/>
    <xf numFmtId="0" fontId="10" fillId="6" borderId="5" applyNumberFormat="0" applyAlignment="0" applyProtection="0"/>
    <xf numFmtId="0" fontId="11" fillId="6" borderId="4" applyNumberFormat="0" applyAlignment="0" applyProtection="0"/>
    <xf numFmtId="0" fontId="12" fillId="0" borderId="6" applyNumberFormat="0" applyFill="0" applyAlignment="0" applyProtection="0"/>
    <xf numFmtId="0" fontId="13" fillId="7" borderId="7" applyNumberFormat="0" applyAlignment="0" applyProtection="0"/>
    <xf numFmtId="0" fontId="14" fillId="0" borderId="0" applyNumberFormat="0" applyFill="0" applyBorder="0" applyAlignment="0" applyProtection="0"/>
    <xf numFmtId="0" fontId="1" fillId="8" borderId="8" applyNumberFormat="0" applyFont="0" applyAlignment="0" applyProtection="0"/>
    <xf numFmtId="0" fontId="15" fillId="0" borderId="0" applyNumberFormat="0" applyFill="0" applyBorder="0" applyAlignment="0" applyProtection="0"/>
    <xf numFmtId="0" fontId="16" fillId="0" borderId="9" applyNumberFormat="0" applyFill="0" applyAlignment="0" applyProtection="0"/>
    <xf numFmtId="0" fontId="17" fillId="9" borderId="0" applyNumberFormat="0" applyBorder="0" applyAlignment="0" applyProtection="0"/>
    <xf numFmtId="0" fontId="1" fillId="10" borderId="0" applyNumberFormat="0" applyBorder="0" applyAlignment="0" applyProtection="0"/>
    <xf numFmtId="0" fontId="1" fillId="11" borderId="0" applyNumberFormat="0" applyBorder="0" applyAlignment="0" applyProtection="0"/>
    <xf numFmtId="0" fontId="17" fillId="12" borderId="0" applyNumberFormat="0" applyBorder="0" applyAlignment="0" applyProtection="0"/>
    <xf numFmtId="0" fontId="17" fillId="13" borderId="0" applyNumberFormat="0" applyBorder="0" applyAlignment="0" applyProtection="0"/>
    <xf numFmtId="0" fontId="1" fillId="14" borderId="0" applyNumberFormat="0" applyBorder="0" applyAlignment="0" applyProtection="0"/>
    <xf numFmtId="0" fontId="1" fillId="15" borderId="0" applyNumberFormat="0" applyBorder="0" applyAlignment="0" applyProtection="0"/>
    <xf numFmtId="0" fontId="17" fillId="16" borderId="0" applyNumberFormat="0" applyBorder="0" applyAlignment="0" applyProtection="0"/>
    <xf numFmtId="0" fontId="17" fillId="17" borderId="0" applyNumberFormat="0" applyBorder="0" applyAlignment="0" applyProtection="0"/>
    <xf numFmtId="0" fontId="1" fillId="18" borderId="0" applyNumberFormat="0" applyBorder="0" applyAlignment="0" applyProtection="0"/>
    <xf numFmtId="0" fontId="1" fillId="19" borderId="0" applyNumberFormat="0" applyBorder="0" applyAlignment="0" applyProtection="0"/>
    <xf numFmtId="0" fontId="17" fillId="20" borderId="0" applyNumberFormat="0" applyBorder="0" applyAlignment="0" applyProtection="0"/>
    <xf numFmtId="0" fontId="17" fillId="21" borderId="0" applyNumberFormat="0" applyBorder="0" applyAlignment="0" applyProtection="0"/>
    <xf numFmtId="0" fontId="1" fillId="22" borderId="0" applyNumberFormat="0" applyBorder="0" applyAlignment="0" applyProtection="0"/>
    <xf numFmtId="0" fontId="1" fillId="23" borderId="0" applyNumberFormat="0" applyBorder="0" applyAlignment="0" applyProtection="0"/>
    <xf numFmtId="0" fontId="17" fillId="24" borderId="0" applyNumberFormat="0" applyBorder="0" applyAlignment="0" applyProtection="0"/>
    <xf numFmtId="0" fontId="17" fillId="25" borderId="0" applyNumberFormat="0" applyBorder="0" applyAlignment="0" applyProtection="0"/>
    <xf numFmtId="0" fontId="1" fillId="26" borderId="0" applyNumberFormat="0" applyBorder="0" applyAlignment="0" applyProtection="0"/>
    <xf numFmtId="0" fontId="1" fillId="27" borderId="0" applyNumberFormat="0" applyBorder="0" applyAlignment="0" applyProtection="0"/>
    <xf numFmtId="0" fontId="17" fillId="28" borderId="0" applyNumberFormat="0" applyBorder="0" applyAlignment="0" applyProtection="0"/>
    <xf numFmtId="0" fontId="17" fillId="29" borderId="0" applyNumberFormat="0" applyBorder="0" applyAlignment="0" applyProtection="0"/>
    <xf numFmtId="0" fontId="1" fillId="30" borderId="0" applyNumberFormat="0" applyBorder="0" applyAlignment="0" applyProtection="0"/>
    <xf numFmtId="0" fontId="1" fillId="31" borderId="0" applyNumberFormat="0" applyBorder="0" applyAlignment="0" applyProtection="0"/>
    <xf numFmtId="0" fontId="17" fillId="32" borderId="0" applyNumberFormat="0" applyBorder="0" applyAlignment="0" applyProtection="0"/>
    <xf numFmtId="0" fontId="34" fillId="0" borderId="0" applyNumberFormat="0" applyFill="0" applyBorder="0" applyAlignment="0" applyProtection="0"/>
  </cellStyleXfs>
  <cellXfs count="96">
    <xf numFmtId="0" fontId="0" fillId="0" borderId="0" xfId="0"/>
    <xf numFmtId="0" fontId="18" fillId="0" borderId="0" xfId="0" applyFont="1"/>
    <xf numFmtId="22" fontId="0" fillId="0" borderId="0" xfId="0" applyNumberFormat="1"/>
    <xf numFmtId="164" fontId="0" fillId="0" borderId="0" xfId="0" applyNumberFormat="1"/>
    <xf numFmtId="0" fontId="19" fillId="0" borderId="0" xfId="0" applyFont="1"/>
    <xf numFmtId="14" fontId="19" fillId="0" borderId="0" xfId="0" applyNumberFormat="1" applyFont="1"/>
    <xf numFmtId="0" fontId="17" fillId="0" borderId="0" xfId="0" applyFont="1"/>
    <xf numFmtId="0" fontId="19" fillId="33" borderId="0" xfId="0" applyFont="1" applyFill="1"/>
    <xf numFmtId="14" fontId="19" fillId="33" borderId="0" xfId="0" applyNumberFormat="1" applyFont="1" applyFill="1"/>
    <xf numFmtId="2" fontId="19" fillId="33" borderId="0" xfId="0" applyNumberFormat="1" applyFont="1" applyFill="1"/>
    <xf numFmtId="20" fontId="19" fillId="33" borderId="0" xfId="0" applyNumberFormat="1" applyFont="1" applyFill="1"/>
    <xf numFmtId="0" fontId="20" fillId="34" borderId="0" xfId="0" applyFont="1" applyFill="1"/>
    <xf numFmtId="0" fontId="21" fillId="0" borderId="0" xfId="0" applyFont="1"/>
    <xf numFmtId="165" fontId="21" fillId="0" borderId="0" xfId="0" applyNumberFormat="1" applyFont="1"/>
    <xf numFmtId="0" fontId="22" fillId="0" borderId="0" xfId="0" applyFont="1"/>
    <xf numFmtId="165" fontId="22" fillId="0" borderId="0" xfId="0" applyNumberFormat="1" applyFont="1"/>
    <xf numFmtId="0" fontId="19" fillId="35" borderId="0" xfId="0" applyFont="1" applyFill="1"/>
    <xf numFmtId="0" fontId="0" fillId="35" borderId="0" xfId="0" applyFill="1"/>
    <xf numFmtId="0" fontId="23" fillId="0" borderId="0" xfId="0" applyFont="1"/>
    <xf numFmtId="0" fontId="25" fillId="0" borderId="10" xfId="0" applyFont="1" applyBorder="1"/>
    <xf numFmtId="0" fontId="0" fillId="0" borderId="10" xfId="0" applyBorder="1"/>
    <xf numFmtId="0" fontId="0" fillId="0" borderId="11" xfId="0" applyBorder="1"/>
    <xf numFmtId="0" fontId="0" fillId="0" borderId="12" xfId="0" applyBorder="1"/>
    <xf numFmtId="0" fontId="0" fillId="0" borderId="11" xfId="0" applyBorder="1" applyAlignment="1">
      <alignment horizontal="center"/>
    </xf>
    <xf numFmtId="0" fontId="0" fillId="0" borderId="12" xfId="0" applyBorder="1" applyAlignment="1">
      <alignment horizontal="center"/>
    </xf>
    <xf numFmtId="0" fontId="0" fillId="36" borderId="10" xfId="0" applyFill="1" applyBorder="1"/>
    <xf numFmtId="0" fontId="0" fillId="37" borderId="10" xfId="0" applyFill="1" applyBorder="1"/>
    <xf numFmtId="0" fontId="0" fillId="0" borderId="0" xfId="0" applyAlignment="1">
      <alignment horizontal="right"/>
    </xf>
    <xf numFmtId="0" fontId="19" fillId="0" borderId="11" xfId="0" applyFont="1" applyBorder="1" applyAlignment="1">
      <alignment horizontal="center"/>
    </xf>
    <xf numFmtId="0" fontId="19" fillId="0" borderId="12" xfId="0" applyFont="1" applyBorder="1" applyAlignment="1">
      <alignment horizontal="center"/>
    </xf>
    <xf numFmtId="0" fontId="19" fillId="36" borderId="10" xfId="0" applyFont="1" applyFill="1" applyBorder="1"/>
    <xf numFmtId="14" fontId="19" fillId="0" borderId="11" xfId="0" applyNumberFormat="1" applyFont="1" applyBorder="1" applyAlignment="1">
      <alignment horizontal="center"/>
    </xf>
    <xf numFmtId="1" fontId="19" fillId="0" borderId="12" xfId="0" applyNumberFormat="1" applyFont="1" applyBorder="1" applyAlignment="1">
      <alignment horizontal="center"/>
    </xf>
    <xf numFmtId="165" fontId="19" fillId="0" borderId="10" xfId="0" applyNumberFormat="1" applyFont="1" applyBorder="1" applyAlignment="1">
      <alignment horizontal="center"/>
    </xf>
    <xf numFmtId="14" fontId="19" fillId="0" borderId="10" xfId="0" applyNumberFormat="1" applyFont="1" applyBorder="1"/>
    <xf numFmtId="0" fontId="19" fillId="0" borderId="11" xfId="0" applyFont="1" applyBorder="1" applyAlignment="1">
      <alignment horizontal="left"/>
    </xf>
    <xf numFmtId="0" fontId="19" fillId="0" borderId="0" xfId="0" applyFont="1" applyAlignment="1">
      <alignment horizontal="center"/>
    </xf>
    <xf numFmtId="0" fontId="19" fillId="0" borderId="10" xfId="0" applyFont="1" applyBorder="1" applyAlignment="1">
      <alignment horizontal="center"/>
    </xf>
    <xf numFmtId="0" fontId="19" fillId="36" borderId="10" xfId="0" applyFont="1" applyFill="1" applyBorder="1" applyAlignment="1">
      <alignment horizontal="center"/>
    </xf>
    <xf numFmtId="2" fontId="19" fillId="0" borderId="0" xfId="0" applyNumberFormat="1" applyFont="1" applyAlignment="1">
      <alignment horizontal="right"/>
    </xf>
    <xf numFmtId="2" fontId="20" fillId="34" borderId="0" xfId="0" applyNumberFormat="1" applyFont="1" applyFill="1"/>
    <xf numFmtId="0" fontId="27" fillId="0" borderId="0" xfId="0" applyFont="1" applyAlignment="1">
      <alignment vertical="center"/>
    </xf>
    <xf numFmtId="0" fontId="28" fillId="0" borderId="0" xfId="0" applyFont="1" applyAlignment="1">
      <alignment vertical="center"/>
    </xf>
    <xf numFmtId="0" fontId="29" fillId="0" borderId="13" xfId="0" applyFont="1" applyBorder="1" applyAlignment="1">
      <alignment vertical="center"/>
    </xf>
    <xf numFmtId="0" fontId="29" fillId="0" borderId="14" xfId="0" applyFont="1" applyBorder="1" applyAlignment="1">
      <alignment horizontal="center" vertical="center"/>
    </xf>
    <xf numFmtId="0" fontId="30" fillId="0" borderId="14" xfId="0" applyFont="1" applyBorder="1" applyAlignment="1">
      <alignment horizontal="center" vertical="center"/>
    </xf>
    <xf numFmtId="0" fontId="29" fillId="0" borderId="0" xfId="0" applyFont="1" applyAlignment="1">
      <alignment vertical="center"/>
    </xf>
    <xf numFmtId="0" fontId="0" fillId="0" borderId="15" xfId="0" applyBorder="1"/>
    <xf numFmtId="0" fontId="0" fillId="0" borderId="15" xfId="0" applyBorder="1" applyAlignment="1">
      <alignment horizontal="center"/>
    </xf>
    <xf numFmtId="0" fontId="29" fillId="0" borderId="16" xfId="0" applyFont="1" applyBorder="1" applyAlignment="1">
      <alignment vertical="center"/>
    </xf>
    <xf numFmtId="0" fontId="29" fillId="0" borderId="17" xfId="0" applyFont="1" applyBorder="1" applyAlignment="1">
      <alignment horizontal="center" vertical="center"/>
    </xf>
    <xf numFmtId="0" fontId="31" fillId="0" borderId="0" xfId="0" applyFont="1"/>
    <xf numFmtId="1" fontId="20" fillId="34" borderId="0" xfId="0" applyNumberFormat="1" applyFont="1" applyFill="1"/>
    <xf numFmtId="14" fontId="0" fillId="0" borderId="0" xfId="0" applyNumberFormat="1"/>
    <xf numFmtId="2" fontId="0" fillId="0" borderId="0" xfId="0" applyNumberFormat="1"/>
    <xf numFmtId="0" fontId="32" fillId="36" borderId="0" xfId="0" applyFont="1" applyFill="1"/>
    <xf numFmtId="0" fontId="33" fillId="0" borderId="11" xfId="0" applyFont="1" applyBorder="1" applyAlignment="1">
      <alignment horizontal="center"/>
    </xf>
    <xf numFmtId="0" fontId="0" fillId="38" borderId="0" xfId="0" applyFill="1"/>
    <xf numFmtId="0" fontId="35" fillId="0" borderId="0" xfId="0" applyFont="1"/>
    <xf numFmtId="0" fontId="36" fillId="0" borderId="0" xfId="0" applyFont="1" applyAlignment="1">
      <alignment vertical="center"/>
    </xf>
    <xf numFmtId="0" fontId="35" fillId="39" borderId="0" xfId="0" applyFont="1" applyFill="1" applyAlignment="1">
      <alignment horizontal="left" vertical="center"/>
    </xf>
    <xf numFmtId="0" fontId="35" fillId="0" borderId="0" xfId="42" applyFont="1" applyAlignment="1">
      <alignment horizontal="left" vertical="center"/>
    </xf>
    <xf numFmtId="1" fontId="0" fillId="0" borderId="0" xfId="0" applyNumberFormat="1"/>
    <xf numFmtId="0" fontId="37" fillId="33" borderId="0" xfId="42" applyFont="1" applyFill="1"/>
    <xf numFmtId="0" fontId="38" fillId="40" borderId="0" xfId="0" applyFont="1" applyFill="1" applyAlignment="1">
      <alignment horizontal="right"/>
    </xf>
    <xf numFmtId="0" fontId="37" fillId="40" borderId="0" xfId="42" applyFont="1" applyFill="1"/>
    <xf numFmtId="0" fontId="38" fillId="40" borderId="0" xfId="0" quotePrefix="1" applyFont="1" applyFill="1" applyAlignment="1">
      <alignment horizontal="right"/>
    </xf>
    <xf numFmtId="0" fontId="39" fillId="33" borderId="0" xfId="0" applyFont="1" applyFill="1" applyAlignment="1">
      <alignment horizontal="right"/>
    </xf>
    <xf numFmtId="0" fontId="40" fillId="33" borderId="0" xfId="42" applyFont="1" applyFill="1"/>
    <xf numFmtId="0" fontId="40" fillId="40" borderId="0" xfId="42" applyFont="1" applyFill="1"/>
    <xf numFmtId="0" fontId="41" fillId="33" borderId="0" xfId="0" applyFont="1" applyFill="1" applyAlignment="1">
      <alignment horizontal="right"/>
    </xf>
    <xf numFmtId="0" fontId="0" fillId="0" borderId="0" xfId="0" applyAlignment="1">
      <alignment horizontal="center"/>
    </xf>
    <xf numFmtId="0" fontId="38" fillId="40" borderId="0" xfId="0" applyFont="1" applyFill="1" applyAlignment="1">
      <alignment horizontal="center"/>
    </xf>
    <xf numFmtId="0" fontId="38" fillId="40" borderId="0" xfId="0" quotePrefix="1" applyFont="1" applyFill="1" applyAlignment="1">
      <alignment horizontal="center"/>
    </xf>
    <xf numFmtId="0" fontId="39" fillId="33" borderId="0" xfId="0" applyFont="1" applyFill="1" applyAlignment="1">
      <alignment horizontal="center"/>
    </xf>
    <xf numFmtId="0" fontId="41" fillId="33" borderId="0" xfId="0" applyFont="1" applyFill="1" applyAlignment="1">
      <alignment horizontal="center"/>
    </xf>
    <xf numFmtId="0" fontId="16" fillId="0" borderId="0" xfId="0" applyFont="1"/>
    <xf numFmtId="0" fontId="16" fillId="0" borderId="0" xfId="0" applyFont="1" applyAlignment="1">
      <alignment horizontal="center"/>
    </xf>
    <xf numFmtId="1" fontId="0" fillId="0" borderId="0" xfId="0" applyNumberFormat="1" applyAlignment="1">
      <alignment horizontal="center"/>
    </xf>
    <xf numFmtId="1" fontId="16" fillId="0" borderId="0" xfId="0" applyNumberFormat="1" applyFont="1" applyAlignment="1">
      <alignment horizontal="center"/>
    </xf>
    <xf numFmtId="0" fontId="0" fillId="0" borderId="18" xfId="0" applyBorder="1"/>
    <xf numFmtId="14" fontId="42" fillId="0" borderId="0" xfId="0" applyNumberFormat="1" applyFont="1"/>
    <xf numFmtId="2" fontId="42" fillId="0" borderId="0" xfId="0" applyNumberFormat="1" applyFont="1"/>
    <xf numFmtId="0" fontId="0" fillId="0" borderId="0" xfId="0" quotePrefix="1" applyAlignment="1">
      <alignment horizontal="left"/>
    </xf>
    <xf numFmtId="0" fontId="0" fillId="0" borderId="10" xfId="0" applyBorder="1" applyAlignment="1">
      <alignment horizontal="center"/>
    </xf>
    <xf numFmtId="0" fontId="0" fillId="37" borderId="10" xfId="0" applyFill="1" applyBorder="1" applyAlignment="1">
      <alignment horizontal="center"/>
    </xf>
    <xf numFmtId="0" fontId="24" fillId="36" borderId="10" xfId="0" applyFont="1" applyFill="1" applyBorder="1" applyAlignment="1">
      <alignment horizontal="center"/>
    </xf>
    <xf numFmtId="0" fontId="24" fillId="37" borderId="10" xfId="0" applyFont="1" applyFill="1" applyBorder="1" applyAlignment="1">
      <alignment horizontal="center"/>
    </xf>
    <xf numFmtId="0" fontId="0" fillId="0" borderId="18" xfId="0" applyBorder="1" applyAlignment="1">
      <alignment horizontal="center"/>
    </xf>
    <xf numFmtId="0" fontId="0" fillId="0" borderId="19" xfId="0" quotePrefix="1" applyBorder="1" applyAlignment="1">
      <alignment horizontal="left"/>
    </xf>
    <xf numFmtId="0" fontId="0" fillId="41" borderId="0" xfId="0" applyFill="1" applyAlignment="1">
      <alignment horizontal="right"/>
    </xf>
    <xf numFmtId="0" fontId="0" fillId="41" borderId="0" xfId="0" applyFill="1"/>
    <xf numFmtId="0" fontId="25" fillId="41" borderId="10" xfId="0" applyFont="1" applyFill="1" applyBorder="1"/>
    <xf numFmtId="0" fontId="0" fillId="41" borderId="10" xfId="0" applyFill="1" applyBorder="1"/>
    <xf numFmtId="0" fontId="0" fillId="41" borderId="10" xfId="0" applyFill="1" applyBorder="1" applyAlignment="1">
      <alignment horizontal="center"/>
    </xf>
    <xf numFmtId="0" fontId="43" fillId="41" borderId="10" xfId="0" applyFont="1" applyFill="1" applyBorder="1"/>
  </cellXfs>
  <cellStyles count="43">
    <cellStyle name="20 % - Accent1" xfId="19" builtinId="30" customBuiltin="1"/>
    <cellStyle name="20 % - Accent2" xfId="23" builtinId="34" customBuiltin="1"/>
    <cellStyle name="20 % - Accent3" xfId="27" builtinId="38" customBuiltin="1"/>
    <cellStyle name="20 % - Accent4" xfId="31" builtinId="42" customBuiltin="1"/>
    <cellStyle name="20 % - Accent5" xfId="35" builtinId="46" customBuiltin="1"/>
    <cellStyle name="20 % - Accent6" xfId="39" builtinId="50" customBuiltin="1"/>
    <cellStyle name="40 % - Accent1" xfId="20" builtinId="31" customBuiltin="1"/>
    <cellStyle name="40 % - Accent2" xfId="24" builtinId="35" customBuiltin="1"/>
    <cellStyle name="40 % - Accent3" xfId="28" builtinId="39" customBuiltin="1"/>
    <cellStyle name="40 % - Accent4" xfId="32" builtinId="43" customBuiltin="1"/>
    <cellStyle name="40 % - Accent5" xfId="36" builtinId="47" customBuiltin="1"/>
    <cellStyle name="40 % - Accent6" xfId="40" builtinId="51" customBuiltin="1"/>
    <cellStyle name="60 % - Accent1" xfId="21" builtinId="32" customBuiltin="1"/>
    <cellStyle name="60 % - Accent2" xfId="25" builtinId="36" customBuiltin="1"/>
    <cellStyle name="60 % - Accent3" xfId="29" builtinId="40" customBuiltin="1"/>
    <cellStyle name="60 % - Accent4" xfId="33" builtinId="44" customBuiltin="1"/>
    <cellStyle name="60 % - Accent5" xfId="37" builtinId="48" customBuiltin="1"/>
    <cellStyle name="60 % - Accent6" xfId="41" builtinId="52" customBuiltin="1"/>
    <cellStyle name="Accent1" xfId="18" builtinId="29" customBuiltin="1"/>
    <cellStyle name="Accent2" xfId="22" builtinId="33" customBuiltin="1"/>
    <cellStyle name="Accent3" xfId="26" builtinId="37" customBuiltin="1"/>
    <cellStyle name="Accent4" xfId="30" builtinId="41" customBuiltin="1"/>
    <cellStyle name="Accent5" xfId="34" builtinId="45" customBuiltin="1"/>
    <cellStyle name="Accent6" xfId="38" builtinId="49" customBuiltin="1"/>
    <cellStyle name="Avertissement" xfId="14" builtinId="11" customBuiltin="1"/>
    <cellStyle name="Calcul" xfId="11" builtinId="22" customBuiltin="1"/>
    <cellStyle name="Cellule liée" xfId="12" builtinId="24" customBuiltin="1"/>
    <cellStyle name="Entrée" xfId="9" builtinId="20" customBuiltin="1"/>
    <cellStyle name="Insatisfaisant" xfId="7" builtinId="27" customBuiltin="1"/>
    <cellStyle name="Lien hypertexte" xfId="42" builtinId="8"/>
    <cellStyle name="Neutre" xfId="8" builtinId="28" customBuiltin="1"/>
    <cellStyle name="Normal" xfId="0" builtinId="0"/>
    <cellStyle name="Note" xfId="15" builtinId="10" customBuiltin="1"/>
    <cellStyle name="Satisfaisant" xfId="6" builtinId="26" customBuiltin="1"/>
    <cellStyle name="Sortie" xfId="10" builtinId="21" customBuiltin="1"/>
    <cellStyle name="Texte explicatif" xfId="16" builtinId="53" customBuiltin="1"/>
    <cellStyle name="Titre" xfId="1" builtinId="15" customBuiltin="1"/>
    <cellStyle name="Titre 1" xfId="2" builtinId="16" customBuiltin="1"/>
    <cellStyle name="Titre 2" xfId="3" builtinId="17" customBuiltin="1"/>
    <cellStyle name="Titre 3" xfId="4" builtinId="18" customBuiltin="1"/>
    <cellStyle name="Titre 4" xfId="5" builtinId="19" customBuiltin="1"/>
    <cellStyle name="Total" xfId="17" builtinId="25" customBuiltin="1"/>
    <cellStyle name="Vérification" xfId="13" builtinId="23" customBuiltin="1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theme" Target="theme/theme1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microsoft.com/office/2006/relationships/vbaProject" Target="vbaProject.bin"/><Relationship Id="rId2" Type="http://schemas.openxmlformats.org/officeDocument/2006/relationships/worksheet" Target="worksheets/sheet2.xml"/><Relationship Id="rId16" Type="http://schemas.openxmlformats.org/officeDocument/2006/relationships/calcChain" Target="calcChain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sharedStrings" Target="sharedStrings.xml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styles" Target="styles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view3D>
      <c:rotX val="15"/>
      <c:rotY val="20"/>
      <c:depthPercent val="100"/>
      <c:rAngAx val="1"/>
    </c:view3D>
    <c:floor>
      <c:thickness val="0"/>
      <c:spPr>
        <a:noFill/>
        <a:ln>
          <a:noFill/>
        </a:ln>
        <a:effectLst/>
        <a:sp3d/>
      </c:spPr>
    </c:floor>
    <c:sideWall>
      <c:thickness val="0"/>
      <c:spPr>
        <a:noFill/>
        <a:ln>
          <a:solidFill>
            <a:schemeClr val="accent1">
              <a:shade val="50000"/>
            </a:schemeClr>
          </a:solidFill>
        </a:ln>
        <a:effectLst/>
        <a:sp3d>
          <a:contourClr>
            <a:schemeClr val="accent1">
              <a:shade val="50000"/>
            </a:schemeClr>
          </a:contourClr>
        </a:sp3d>
      </c:spPr>
    </c:sideWall>
    <c:backWall>
      <c:thickness val="0"/>
      <c:spPr>
        <a:noFill/>
        <a:ln>
          <a:solidFill>
            <a:schemeClr val="accent1">
              <a:shade val="50000"/>
            </a:schemeClr>
          </a:solidFill>
        </a:ln>
        <a:effectLst/>
        <a:sp3d>
          <a:contourClr>
            <a:schemeClr val="accent1">
              <a:shade val="50000"/>
            </a:schemeClr>
          </a:contourClr>
        </a:sp3d>
      </c:spPr>
    </c:backWall>
    <c:plotArea>
      <c:layout/>
      <c:bar3DChart>
        <c:barDir val="col"/>
        <c:grouping val="standard"/>
        <c:varyColors val="0"/>
        <c:ser>
          <c:idx val="0"/>
          <c:order val="0"/>
          <c:tx>
            <c:v>Simples</c:v>
          </c:tx>
          <c:spPr>
            <a:solidFill>
              <a:srgbClr val="FFC000"/>
            </a:solidFill>
            <a:ln>
              <a:noFill/>
            </a:ln>
            <a:effectLst/>
            <a:sp3d/>
          </c:spPr>
          <c:invertIfNegative val="0"/>
          <c:cat>
            <c:strRef>
              <c:f>CS!$C$89:$C$97</c:f>
              <c:strCache>
                <c:ptCount val="9"/>
                <c:pt idx="0">
                  <c:v>M0</c:v>
                </c:pt>
                <c:pt idx="1">
                  <c:v>M1</c:v>
                </c:pt>
                <c:pt idx="2">
                  <c:v>M2</c:v>
                </c:pt>
                <c:pt idx="3">
                  <c:v>M3</c:v>
                </c:pt>
                <c:pt idx="4">
                  <c:v>M4</c:v>
                </c:pt>
                <c:pt idx="5">
                  <c:v>M5</c:v>
                </c:pt>
                <c:pt idx="6">
                  <c:v>M6</c:v>
                </c:pt>
                <c:pt idx="7">
                  <c:v>M7</c:v>
                </c:pt>
                <c:pt idx="8">
                  <c:v>M8</c:v>
                </c:pt>
              </c:strCache>
            </c:strRef>
          </c:cat>
          <c:val>
            <c:numRef>
              <c:f>CS!$D$89:$D$97</c:f>
              <c:numCache>
                <c:formatCode>General</c:formatCode>
                <c:ptCount val="9"/>
                <c:pt idx="0">
                  <c:v>20</c:v>
                </c:pt>
                <c:pt idx="1">
                  <c:v>17</c:v>
                </c:pt>
                <c:pt idx="2">
                  <c:v>20</c:v>
                </c:pt>
                <c:pt idx="3">
                  <c:v>16</c:v>
                </c:pt>
                <c:pt idx="4">
                  <c:v>16</c:v>
                </c:pt>
                <c:pt idx="5">
                  <c:v>13</c:v>
                </c:pt>
                <c:pt idx="6">
                  <c:v>8</c:v>
                </c:pt>
                <c:pt idx="7">
                  <c:v>5</c:v>
                </c:pt>
                <c:pt idx="8">
                  <c:v>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4996-4CE3-B989-CA0140ADF683}"/>
            </c:ext>
          </c:extLst>
        </c:ser>
        <c:ser>
          <c:idx val="1"/>
          <c:order val="1"/>
          <c:tx>
            <c:v>Symbiotiques</c:v>
          </c:tx>
          <c:spPr>
            <a:solidFill>
              <a:srgbClr val="C00000"/>
            </a:solidFill>
            <a:ln>
              <a:noFill/>
            </a:ln>
            <a:effectLst/>
            <a:sp3d/>
          </c:spPr>
          <c:invertIfNegative val="0"/>
          <c:cat>
            <c:strRef>
              <c:f>CS!$C$89:$C$97</c:f>
              <c:strCache>
                <c:ptCount val="9"/>
                <c:pt idx="0">
                  <c:v>M0</c:v>
                </c:pt>
                <c:pt idx="1">
                  <c:v>M1</c:v>
                </c:pt>
                <c:pt idx="2">
                  <c:v>M2</c:v>
                </c:pt>
                <c:pt idx="3">
                  <c:v>M3</c:v>
                </c:pt>
                <c:pt idx="4">
                  <c:v>M4</c:v>
                </c:pt>
                <c:pt idx="5">
                  <c:v>M5</c:v>
                </c:pt>
                <c:pt idx="6">
                  <c:v>M6</c:v>
                </c:pt>
                <c:pt idx="7">
                  <c:v>M7</c:v>
                </c:pt>
                <c:pt idx="8">
                  <c:v>M8</c:v>
                </c:pt>
              </c:strCache>
            </c:strRef>
          </c:cat>
          <c:val>
            <c:numRef>
              <c:f>CS!$E$89:$E$97</c:f>
              <c:numCache>
                <c:formatCode>General</c:formatCode>
                <c:ptCount val="9"/>
                <c:pt idx="0">
                  <c:v>2</c:v>
                </c:pt>
                <c:pt idx="1">
                  <c:v>2</c:v>
                </c:pt>
                <c:pt idx="2">
                  <c:v>2</c:v>
                </c:pt>
                <c:pt idx="3">
                  <c:v>11</c:v>
                </c:pt>
                <c:pt idx="4">
                  <c:v>11</c:v>
                </c:pt>
                <c:pt idx="5">
                  <c:v>22</c:v>
                </c:pt>
                <c:pt idx="6">
                  <c:v>11</c:v>
                </c:pt>
                <c:pt idx="7">
                  <c:v>5</c:v>
                </c:pt>
                <c:pt idx="8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4996-4CE3-B989-CA0140ADF68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shape val="box"/>
        <c:axId val="576890568"/>
        <c:axId val="576890176"/>
        <c:axId val="544330512"/>
      </c:bar3DChart>
      <c:catAx>
        <c:axId val="57689056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>
            <a:solidFill>
              <a:schemeClr val="accent1">
                <a:shade val="50000"/>
              </a:schemeClr>
            </a:solidFill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576890176"/>
        <c:crosses val="autoZero"/>
        <c:auto val="1"/>
        <c:lblAlgn val="ctr"/>
        <c:lblOffset val="100"/>
        <c:noMultiLvlLbl val="0"/>
      </c:catAx>
      <c:valAx>
        <c:axId val="5768901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/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576890568"/>
        <c:crosses val="autoZero"/>
        <c:crossBetween val="between"/>
      </c:valAx>
      <c:serAx>
        <c:axId val="544330512"/>
        <c:scaling>
          <c:orientation val="minMax"/>
        </c:scaling>
        <c:delete val="1"/>
        <c:axPos val="b"/>
        <c:majorTickMark val="none"/>
        <c:minorTickMark val="none"/>
        <c:tickLblPos val="nextTo"/>
        <c:crossAx val="576890176"/>
        <c:crosses val="autoZero"/>
      </c:ser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fr-FR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fr-FR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8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trlProps/ctrlProp1.xml><?xml version="1.0" encoding="utf-8"?>
<formControlPr xmlns="http://schemas.microsoft.com/office/spreadsheetml/2009/9/main" objectType="List" dx="22" fmlaLink="$D$7" fmlaRange="SySt_Orb!$C$5:$C$67" noThreeD="1" sel="62" val="56"/>
</file>

<file path=xl/drawings/_rels/drawing2.xml.rels><?xml version="1.0" encoding="UTF-8" standalone="yes"?>
<Relationships xmlns="http://schemas.openxmlformats.org/package/2006/relationships"><Relationship Id="rId3" Type="http://schemas.openxmlformats.org/officeDocument/2006/relationships/image" Target="../media/image3.png"/><Relationship Id="rId2" Type="http://schemas.openxmlformats.org/officeDocument/2006/relationships/image" Target="../media/image2.png"/><Relationship Id="rId1" Type="http://schemas.openxmlformats.org/officeDocument/2006/relationships/image" Target="../media/image1.png"/></Relationships>
</file>

<file path=xl/drawings/_rels/drawing3.xml.rels><?xml version="1.0" encoding="UTF-8" standalone="yes"?>
<Relationships xmlns="http://schemas.openxmlformats.org/package/2006/relationships"><Relationship Id="rId3" Type="http://schemas.openxmlformats.org/officeDocument/2006/relationships/image" Target="../media/image6.png"/><Relationship Id="rId7" Type="http://schemas.openxmlformats.org/officeDocument/2006/relationships/chart" Target="../charts/chart1.xml"/><Relationship Id="rId2" Type="http://schemas.openxmlformats.org/officeDocument/2006/relationships/image" Target="../media/image5.png"/><Relationship Id="rId1" Type="http://schemas.openxmlformats.org/officeDocument/2006/relationships/image" Target="../media/image4.png"/><Relationship Id="rId6" Type="http://schemas.openxmlformats.org/officeDocument/2006/relationships/image" Target="../media/image9.png"/><Relationship Id="rId5" Type="http://schemas.openxmlformats.org/officeDocument/2006/relationships/image" Target="../media/image8.png"/><Relationship Id="rId4" Type="http://schemas.openxmlformats.org/officeDocument/2006/relationships/image" Target="../media/image7.png"/></Relationships>
</file>

<file path=xl/drawings/_rels/drawing4.xml.rels><?xml version="1.0" encoding="UTF-8" standalone="yes"?>
<Relationships xmlns="http://schemas.openxmlformats.org/package/2006/relationships"><Relationship Id="rId1" Type="http://schemas.openxmlformats.org/officeDocument/2006/relationships/image" Target="../media/image10.png"/></Relationships>
</file>

<file path=xl/drawings/_rels/drawing5.xml.rels><?xml version="1.0" encoding="UTF-8" standalone="yes"?>
<Relationships xmlns="http://schemas.openxmlformats.org/package/2006/relationships"><Relationship Id="rId3" Type="http://schemas.openxmlformats.org/officeDocument/2006/relationships/image" Target="../media/image13.png"/><Relationship Id="rId2" Type="http://schemas.openxmlformats.org/officeDocument/2006/relationships/image" Target="../media/image12.png"/><Relationship Id="rId1" Type="http://schemas.openxmlformats.org/officeDocument/2006/relationships/image" Target="../media/image11.png"/></Relationships>
</file>

<file path=xl/drawings/_rels/drawing6.xml.rels><?xml version="1.0" encoding="UTF-8" standalone="yes"?>
<Relationships xmlns="http://schemas.openxmlformats.org/package/2006/relationships"><Relationship Id="rId1" Type="http://schemas.openxmlformats.org/officeDocument/2006/relationships/image" Target="../media/image14.png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28575</xdr:colOff>
          <xdr:row>6</xdr:row>
          <xdr:rowOff>9525</xdr:rowOff>
        </xdr:from>
        <xdr:to>
          <xdr:col>3</xdr:col>
          <xdr:colOff>76200</xdr:colOff>
          <xdr:row>12</xdr:row>
          <xdr:rowOff>85725</xdr:rowOff>
        </xdr:to>
        <xdr:sp macro="" textlink="">
          <xdr:nvSpPr>
            <xdr:cNvPr id="2051" name="List Box 3" hidden="1">
              <a:extLst>
                <a:ext uri="{63B3BB69-23CF-44E3-9099-C40C66FF867C}">
                  <a14:compatExt spid="_x0000_s2051"/>
                </a:ext>
                <a:ext uri="{FF2B5EF4-FFF2-40B4-BE49-F238E27FC236}">
                  <a16:creationId xmlns:a16="http://schemas.microsoft.com/office/drawing/2014/main" id="{00000000-0008-0000-0000-000003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13</xdr:col>
      <xdr:colOff>9525</xdr:colOff>
      <xdr:row>13</xdr:row>
      <xdr:rowOff>38100</xdr:rowOff>
    </xdr:from>
    <xdr:to>
      <xdr:col>18</xdr:col>
      <xdr:colOff>723334</xdr:colOff>
      <xdr:row>32</xdr:row>
      <xdr:rowOff>47149</xdr:rowOff>
    </xdr:to>
    <xdr:pic>
      <xdr:nvPicPr>
        <xdr:cNvPr id="2" name="Image 1">
          <a:extLst>
            <a:ext uri="{FF2B5EF4-FFF2-40B4-BE49-F238E27FC236}">
              <a16:creationId xmlns:a16="http://schemas.microsoft.com/office/drawing/2014/main" id="{00000000-0008-0000-04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9153525" y="2667000"/>
          <a:ext cx="4523809" cy="3809524"/>
        </a:xfrm>
        <a:prstGeom prst="rect">
          <a:avLst/>
        </a:prstGeom>
      </xdr:spPr>
    </xdr:pic>
    <xdr:clientData/>
  </xdr:twoCellAnchor>
  <xdr:twoCellAnchor editAs="oneCell">
    <xdr:from>
      <xdr:col>13</xdr:col>
      <xdr:colOff>0</xdr:colOff>
      <xdr:row>1</xdr:row>
      <xdr:rowOff>0</xdr:rowOff>
    </xdr:from>
    <xdr:to>
      <xdr:col>19</xdr:col>
      <xdr:colOff>399429</xdr:colOff>
      <xdr:row>13</xdr:row>
      <xdr:rowOff>94937</xdr:rowOff>
    </xdr:to>
    <xdr:pic>
      <xdr:nvPicPr>
        <xdr:cNvPr id="3" name="Image 2">
          <a:extLst>
            <a:ext uri="{FF2B5EF4-FFF2-40B4-BE49-F238E27FC236}">
              <a16:creationId xmlns:a16="http://schemas.microsoft.com/office/drawing/2014/main" id="{00000000-0008-0000-04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9144000" y="161925"/>
          <a:ext cx="4971429" cy="2504762"/>
        </a:xfrm>
        <a:prstGeom prst="rect">
          <a:avLst/>
        </a:prstGeom>
      </xdr:spPr>
    </xdr:pic>
    <xdr:clientData/>
  </xdr:twoCellAnchor>
  <xdr:twoCellAnchor editAs="oneCell">
    <xdr:from>
      <xdr:col>9</xdr:col>
      <xdr:colOff>0</xdr:colOff>
      <xdr:row>39</xdr:row>
      <xdr:rowOff>0</xdr:rowOff>
    </xdr:from>
    <xdr:to>
      <xdr:col>18</xdr:col>
      <xdr:colOff>142000</xdr:colOff>
      <xdr:row>77</xdr:row>
      <xdr:rowOff>103907</xdr:rowOff>
    </xdr:to>
    <xdr:pic>
      <xdr:nvPicPr>
        <xdr:cNvPr id="4" name="Image 3">
          <a:extLst>
            <a:ext uri="{FF2B5EF4-FFF2-40B4-BE49-F238E27FC236}">
              <a16:creationId xmlns:a16="http://schemas.microsoft.com/office/drawing/2014/main" id="{00000000-0008-0000-0400-00000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6096000" y="7800975"/>
          <a:ext cx="7000000" cy="6942857"/>
        </a:xfrm>
        <a:prstGeom prst="rect">
          <a:avLst/>
        </a:prstGeom>
      </xdr:spPr>
    </xdr:pic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oneCell">
    <xdr:from>
      <xdr:col>5</xdr:col>
      <xdr:colOff>504825</xdr:colOff>
      <xdr:row>1</xdr:row>
      <xdr:rowOff>114300</xdr:rowOff>
    </xdr:from>
    <xdr:to>
      <xdr:col>10</xdr:col>
      <xdr:colOff>209111</xdr:colOff>
      <xdr:row>14</xdr:row>
      <xdr:rowOff>114037</xdr:rowOff>
    </xdr:to>
    <xdr:pic>
      <xdr:nvPicPr>
        <xdr:cNvPr id="3" name="Image 2">
          <a:extLst>
            <a:ext uri="{FF2B5EF4-FFF2-40B4-BE49-F238E27FC236}">
              <a16:creationId xmlns:a16="http://schemas.microsoft.com/office/drawing/2014/main" id="{00000000-0008-0000-06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4314825" y="276225"/>
          <a:ext cx="3514286" cy="2104762"/>
        </a:xfrm>
        <a:prstGeom prst="rect">
          <a:avLst/>
        </a:prstGeom>
      </xdr:spPr>
    </xdr:pic>
    <xdr:clientData/>
  </xdr:twoCellAnchor>
  <xdr:twoCellAnchor editAs="oneCell">
    <xdr:from>
      <xdr:col>5</xdr:col>
      <xdr:colOff>390525</xdr:colOff>
      <xdr:row>17</xdr:row>
      <xdr:rowOff>142875</xdr:rowOff>
    </xdr:from>
    <xdr:to>
      <xdr:col>9</xdr:col>
      <xdr:colOff>313954</xdr:colOff>
      <xdr:row>30</xdr:row>
      <xdr:rowOff>18802</xdr:rowOff>
    </xdr:to>
    <xdr:pic>
      <xdr:nvPicPr>
        <xdr:cNvPr id="4" name="Image 3">
          <a:extLst>
            <a:ext uri="{FF2B5EF4-FFF2-40B4-BE49-F238E27FC236}">
              <a16:creationId xmlns:a16="http://schemas.microsoft.com/office/drawing/2014/main" id="{00000000-0008-0000-0600-00000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4200525" y="2895600"/>
          <a:ext cx="2971429" cy="1980952"/>
        </a:xfrm>
        <a:prstGeom prst="rect">
          <a:avLst/>
        </a:prstGeom>
      </xdr:spPr>
    </xdr:pic>
    <xdr:clientData/>
  </xdr:twoCellAnchor>
  <xdr:twoCellAnchor editAs="oneCell">
    <xdr:from>
      <xdr:col>10</xdr:col>
      <xdr:colOff>609600</xdr:colOff>
      <xdr:row>6</xdr:row>
      <xdr:rowOff>123825</xdr:rowOff>
    </xdr:from>
    <xdr:to>
      <xdr:col>18</xdr:col>
      <xdr:colOff>751695</xdr:colOff>
      <xdr:row>29</xdr:row>
      <xdr:rowOff>28121</xdr:rowOff>
    </xdr:to>
    <xdr:pic>
      <xdr:nvPicPr>
        <xdr:cNvPr id="5" name="Image 4">
          <a:extLst>
            <a:ext uri="{FF2B5EF4-FFF2-40B4-BE49-F238E27FC236}">
              <a16:creationId xmlns:a16="http://schemas.microsoft.com/office/drawing/2014/main" id="{00000000-0008-0000-0600-00000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8229600" y="1095375"/>
          <a:ext cx="6238095" cy="3628571"/>
        </a:xfrm>
        <a:prstGeom prst="rect">
          <a:avLst/>
        </a:prstGeom>
      </xdr:spPr>
    </xdr:pic>
    <xdr:clientData/>
  </xdr:twoCellAnchor>
  <xdr:twoCellAnchor editAs="oneCell">
    <xdr:from>
      <xdr:col>5</xdr:col>
      <xdr:colOff>247650</xdr:colOff>
      <xdr:row>31</xdr:row>
      <xdr:rowOff>76200</xdr:rowOff>
    </xdr:from>
    <xdr:to>
      <xdr:col>9</xdr:col>
      <xdr:colOff>142507</xdr:colOff>
      <xdr:row>50</xdr:row>
      <xdr:rowOff>75815</xdr:rowOff>
    </xdr:to>
    <xdr:pic>
      <xdr:nvPicPr>
        <xdr:cNvPr id="2" name="Image 1">
          <a:extLst>
            <a:ext uri="{FF2B5EF4-FFF2-40B4-BE49-F238E27FC236}">
              <a16:creationId xmlns:a16="http://schemas.microsoft.com/office/drawing/2014/main" id="{00000000-0008-0000-06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/>
        <a:stretch>
          <a:fillRect/>
        </a:stretch>
      </xdr:blipFill>
      <xdr:spPr>
        <a:xfrm>
          <a:off x="4057650" y="5095875"/>
          <a:ext cx="2942857" cy="3076190"/>
        </a:xfrm>
        <a:prstGeom prst="rect">
          <a:avLst/>
        </a:prstGeom>
      </xdr:spPr>
    </xdr:pic>
    <xdr:clientData/>
  </xdr:twoCellAnchor>
  <xdr:twoCellAnchor editAs="oneCell">
    <xdr:from>
      <xdr:col>8</xdr:col>
      <xdr:colOff>647700</xdr:colOff>
      <xdr:row>85</xdr:row>
      <xdr:rowOff>66675</xdr:rowOff>
    </xdr:from>
    <xdr:to>
      <xdr:col>13</xdr:col>
      <xdr:colOff>228176</xdr:colOff>
      <xdr:row>98</xdr:row>
      <xdr:rowOff>37840</xdr:rowOff>
    </xdr:to>
    <xdr:pic>
      <xdr:nvPicPr>
        <xdr:cNvPr id="6" name="Image 5">
          <a:extLst>
            <a:ext uri="{FF2B5EF4-FFF2-40B4-BE49-F238E27FC236}">
              <a16:creationId xmlns:a16="http://schemas.microsoft.com/office/drawing/2014/main" id="{00000000-0008-0000-0600-00000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/>
        <a:stretch>
          <a:fillRect/>
        </a:stretch>
      </xdr:blipFill>
      <xdr:spPr>
        <a:xfrm>
          <a:off x="6743700" y="13830300"/>
          <a:ext cx="3390476" cy="2076190"/>
        </a:xfrm>
        <a:prstGeom prst="rect">
          <a:avLst/>
        </a:prstGeom>
      </xdr:spPr>
    </xdr:pic>
    <xdr:clientData/>
  </xdr:twoCellAnchor>
  <xdr:twoCellAnchor editAs="oneCell">
    <xdr:from>
      <xdr:col>10</xdr:col>
      <xdr:colOff>0</xdr:colOff>
      <xdr:row>73</xdr:row>
      <xdr:rowOff>0</xdr:rowOff>
    </xdr:from>
    <xdr:to>
      <xdr:col>18</xdr:col>
      <xdr:colOff>665905</xdr:colOff>
      <xdr:row>84</xdr:row>
      <xdr:rowOff>75968</xdr:rowOff>
    </xdr:to>
    <xdr:pic>
      <xdr:nvPicPr>
        <xdr:cNvPr id="7" name="Image 6">
          <a:extLst>
            <a:ext uri="{FF2B5EF4-FFF2-40B4-BE49-F238E27FC236}">
              <a16:creationId xmlns:a16="http://schemas.microsoft.com/office/drawing/2014/main" id="{00000000-0008-0000-0600-00000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/>
        <a:stretch>
          <a:fillRect/>
        </a:stretch>
      </xdr:blipFill>
      <xdr:spPr>
        <a:xfrm>
          <a:off x="7620000" y="11820525"/>
          <a:ext cx="6761905" cy="1857143"/>
        </a:xfrm>
        <a:prstGeom prst="rect">
          <a:avLst/>
        </a:prstGeom>
      </xdr:spPr>
    </xdr:pic>
    <xdr:clientData/>
  </xdr:twoCellAnchor>
  <xdr:twoCellAnchor>
    <xdr:from>
      <xdr:col>9</xdr:col>
      <xdr:colOff>714375</xdr:colOff>
      <xdr:row>89</xdr:row>
      <xdr:rowOff>9525</xdr:rowOff>
    </xdr:from>
    <xdr:to>
      <xdr:col>10</xdr:col>
      <xdr:colOff>95250</xdr:colOff>
      <xdr:row>91</xdr:row>
      <xdr:rowOff>9675</xdr:rowOff>
    </xdr:to>
    <xdr:sp macro="" textlink="">
      <xdr:nvSpPr>
        <xdr:cNvPr id="8" name="Rectangle 7">
          <a:extLst>
            <a:ext uri="{FF2B5EF4-FFF2-40B4-BE49-F238E27FC236}">
              <a16:creationId xmlns:a16="http://schemas.microsoft.com/office/drawing/2014/main" id="{00000000-0008-0000-0600-000008000000}"/>
            </a:ext>
          </a:extLst>
        </xdr:cNvPr>
        <xdr:cNvSpPr/>
      </xdr:nvSpPr>
      <xdr:spPr>
        <a:xfrm>
          <a:off x="7572375" y="14420850"/>
          <a:ext cx="142875" cy="324000"/>
        </a:xfrm>
        <a:prstGeom prst="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/>
        </a:p>
      </xdr:txBody>
    </xdr:sp>
    <xdr:clientData/>
  </xdr:twoCellAnchor>
  <xdr:twoCellAnchor>
    <xdr:from>
      <xdr:col>0</xdr:col>
      <xdr:colOff>352425</xdr:colOff>
      <xdr:row>67</xdr:row>
      <xdr:rowOff>52387</xdr:rowOff>
    </xdr:from>
    <xdr:to>
      <xdr:col>6</xdr:col>
      <xdr:colOff>352425</xdr:colOff>
      <xdr:row>84</xdr:row>
      <xdr:rowOff>42862</xdr:rowOff>
    </xdr:to>
    <xdr:graphicFrame macro="">
      <xdr:nvGraphicFramePr>
        <xdr:cNvPr id="9" name="Graphique 8">
          <a:extLst>
            <a:ext uri="{FF2B5EF4-FFF2-40B4-BE49-F238E27FC236}">
              <a16:creationId xmlns:a16="http://schemas.microsoft.com/office/drawing/2014/main" id="{00000000-0008-0000-0600-000009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 editAs="oneCell">
    <xdr:from>
      <xdr:col>6</xdr:col>
      <xdr:colOff>0</xdr:colOff>
      <xdr:row>14</xdr:row>
      <xdr:rowOff>0</xdr:rowOff>
    </xdr:from>
    <xdr:to>
      <xdr:col>12</xdr:col>
      <xdr:colOff>284917</xdr:colOff>
      <xdr:row>28</xdr:row>
      <xdr:rowOff>18781</xdr:rowOff>
    </xdr:to>
    <xdr:pic>
      <xdr:nvPicPr>
        <xdr:cNvPr id="2" name="Image 1">
          <a:extLst>
            <a:ext uri="{FF2B5EF4-FFF2-40B4-BE49-F238E27FC236}">
              <a16:creationId xmlns:a16="http://schemas.microsoft.com/office/drawing/2014/main" id="{00000000-0008-0000-07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4191000" y="2181225"/>
          <a:ext cx="6666667" cy="2152381"/>
        </a:xfrm>
        <a:prstGeom prst="rect">
          <a:avLst/>
        </a:prstGeom>
      </xdr:spPr>
    </xdr:pic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0</xdr:colOff>
      <xdr:row>2</xdr:row>
      <xdr:rowOff>0</xdr:rowOff>
    </xdr:from>
    <xdr:to>
      <xdr:col>9</xdr:col>
      <xdr:colOff>637333</xdr:colOff>
      <xdr:row>41</xdr:row>
      <xdr:rowOff>132544</xdr:rowOff>
    </xdr:to>
    <xdr:pic>
      <xdr:nvPicPr>
        <xdr:cNvPr id="2" name="Image 1">
          <a:extLst>
            <a:ext uri="{FF2B5EF4-FFF2-40B4-BE49-F238E27FC236}">
              <a16:creationId xmlns:a16="http://schemas.microsoft.com/office/drawing/2014/main" id="{00000000-0008-0000-08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762000" y="323850"/>
          <a:ext cx="6733333" cy="6447619"/>
        </a:xfrm>
        <a:prstGeom prst="rect">
          <a:avLst/>
        </a:prstGeom>
      </xdr:spPr>
    </xdr:pic>
    <xdr:clientData/>
  </xdr:twoCellAnchor>
  <xdr:twoCellAnchor editAs="oneCell">
    <xdr:from>
      <xdr:col>1</xdr:col>
      <xdr:colOff>0</xdr:colOff>
      <xdr:row>43</xdr:row>
      <xdr:rowOff>0</xdr:rowOff>
    </xdr:from>
    <xdr:to>
      <xdr:col>10</xdr:col>
      <xdr:colOff>46762</xdr:colOff>
      <xdr:row>58</xdr:row>
      <xdr:rowOff>9220</xdr:rowOff>
    </xdr:to>
    <xdr:pic>
      <xdr:nvPicPr>
        <xdr:cNvPr id="3" name="Image 2">
          <a:extLst>
            <a:ext uri="{FF2B5EF4-FFF2-40B4-BE49-F238E27FC236}">
              <a16:creationId xmlns:a16="http://schemas.microsoft.com/office/drawing/2014/main" id="{00000000-0008-0000-08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762000" y="6962775"/>
          <a:ext cx="6904762" cy="2438095"/>
        </a:xfrm>
        <a:prstGeom prst="rect">
          <a:avLst/>
        </a:prstGeom>
      </xdr:spPr>
    </xdr:pic>
    <xdr:clientData/>
  </xdr:twoCellAnchor>
  <xdr:twoCellAnchor editAs="oneCell">
    <xdr:from>
      <xdr:col>1</xdr:col>
      <xdr:colOff>0</xdr:colOff>
      <xdr:row>59</xdr:row>
      <xdr:rowOff>0</xdr:rowOff>
    </xdr:from>
    <xdr:to>
      <xdr:col>8</xdr:col>
      <xdr:colOff>418381</xdr:colOff>
      <xdr:row>96</xdr:row>
      <xdr:rowOff>46870</xdr:rowOff>
    </xdr:to>
    <xdr:pic>
      <xdr:nvPicPr>
        <xdr:cNvPr id="4" name="Image 3">
          <a:extLst>
            <a:ext uri="{FF2B5EF4-FFF2-40B4-BE49-F238E27FC236}">
              <a16:creationId xmlns:a16="http://schemas.microsoft.com/office/drawing/2014/main" id="{00000000-0008-0000-0800-00000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762000" y="9553575"/>
          <a:ext cx="5752381" cy="6038095"/>
        </a:xfrm>
        <a:prstGeom prst="rect">
          <a:avLst/>
        </a:prstGeom>
      </xdr:spPr>
    </xdr:pic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0</xdr:colOff>
      <xdr:row>4</xdr:row>
      <xdr:rowOff>0</xdr:rowOff>
    </xdr:from>
    <xdr:to>
      <xdr:col>9</xdr:col>
      <xdr:colOff>551619</xdr:colOff>
      <xdr:row>46</xdr:row>
      <xdr:rowOff>37245</xdr:rowOff>
    </xdr:to>
    <xdr:pic>
      <xdr:nvPicPr>
        <xdr:cNvPr id="2" name="Image 1">
          <a:extLst>
            <a:ext uri="{FF2B5EF4-FFF2-40B4-BE49-F238E27FC236}">
              <a16:creationId xmlns:a16="http://schemas.microsoft.com/office/drawing/2014/main" id="{00000000-0008-0000-0B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762000" y="647700"/>
          <a:ext cx="6647619" cy="6838095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Thème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.xml"/></Relationships>
</file>

<file path=xl/worksheets/_rels/sheet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.xml"/><Relationship Id="rId1" Type="http://schemas.openxmlformats.org/officeDocument/2006/relationships/hyperlink" Target="https://ui.adsabs.harvard.edu/" TargetMode="External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5.xml"/></Relationships>
</file>

<file path=xl/worksheets/_rels/sheet11.xml.rels><?xml version="1.0" encoding="UTF-8" standalone="yes"?>
<Relationships xmlns="http://schemas.openxmlformats.org/package/2006/relationships"><Relationship Id="rId13" Type="http://schemas.openxmlformats.org/officeDocument/2006/relationships/hyperlink" Target="Symbiotics/StHa190.htm" TargetMode="External"/><Relationship Id="rId18" Type="http://schemas.openxmlformats.org/officeDocument/2006/relationships/hyperlink" Target="Symbiotics/CICyg.htm" TargetMode="External"/><Relationship Id="rId26" Type="http://schemas.openxmlformats.org/officeDocument/2006/relationships/hyperlink" Target="Symbiotics/FNSgr.htm" TargetMode="External"/><Relationship Id="rId39" Type="http://schemas.openxmlformats.org/officeDocument/2006/relationships/hyperlink" Target="Symbiotics/V1261Ori.htm" TargetMode="External"/><Relationship Id="rId21" Type="http://schemas.openxmlformats.org/officeDocument/2006/relationships/hyperlink" Target="Symbiotics/CQDra.htm" TargetMode="External"/><Relationship Id="rId34" Type="http://schemas.openxmlformats.org/officeDocument/2006/relationships/hyperlink" Target="Symbiotics/V503Her.htm" TargetMode="External"/><Relationship Id="rId42" Type="http://schemas.openxmlformats.org/officeDocument/2006/relationships/hyperlink" Target="Symbiotics/V407Cyg.htm" TargetMode="External"/><Relationship Id="rId47" Type="http://schemas.openxmlformats.org/officeDocument/2006/relationships/hyperlink" Target="Symbiotics/V335Vul.htm" TargetMode="External"/><Relationship Id="rId50" Type="http://schemas.openxmlformats.org/officeDocument/2006/relationships/hyperlink" Target="Symbiotics/RRTel.htm" TargetMode="External"/><Relationship Id="rId55" Type="http://schemas.openxmlformats.org/officeDocument/2006/relationships/hyperlink" Target="Symbiotics\AS289.htm" TargetMode="External"/><Relationship Id="rId7" Type="http://schemas.openxmlformats.org/officeDocument/2006/relationships/hyperlink" Target="Symbiotics/V694Mon.htm" TargetMode="External"/><Relationship Id="rId12" Type="http://schemas.openxmlformats.org/officeDocument/2006/relationships/hyperlink" Target="Symbiotics/AGPeg.htm" TargetMode="External"/><Relationship Id="rId17" Type="http://schemas.openxmlformats.org/officeDocument/2006/relationships/hyperlink" Target="Symbiotics/V1016Cyg.htm" TargetMode="External"/><Relationship Id="rId25" Type="http://schemas.openxmlformats.org/officeDocument/2006/relationships/hyperlink" Target="Symbiotics/BFCyg.htm" TargetMode="External"/><Relationship Id="rId33" Type="http://schemas.openxmlformats.org/officeDocument/2006/relationships/hyperlink" Target="Symbiotics/RSOph.htm" TargetMode="External"/><Relationship Id="rId38" Type="http://schemas.openxmlformats.org/officeDocument/2006/relationships/hyperlink" Target="Symbiotics/LTDel.htm" TargetMode="External"/><Relationship Id="rId46" Type="http://schemas.openxmlformats.org/officeDocument/2006/relationships/hyperlink" Target="Symbiotics/QWSge.htm" TargetMode="External"/><Relationship Id="rId2" Type="http://schemas.openxmlformats.org/officeDocument/2006/relationships/hyperlink" Target="Symbiotics/AXPer.htm" TargetMode="External"/><Relationship Id="rId16" Type="http://schemas.openxmlformats.org/officeDocument/2006/relationships/hyperlink" Target="Symbiotics/PUVul.htm" TargetMode="External"/><Relationship Id="rId20" Type="http://schemas.openxmlformats.org/officeDocument/2006/relationships/hyperlink" Target="Symbiotics/V1413Aql.htm" TargetMode="External"/><Relationship Id="rId29" Type="http://schemas.openxmlformats.org/officeDocument/2006/relationships/hyperlink" Target="Symbiotics/FGSer.htm" TargetMode="External"/><Relationship Id="rId41" Type="http://schemas.openxmlformats.org/officeDocument/2006/relationships/hyperlink" Target="Symbiotics/OmiCet.htm" TargetMode="External"/><Relationship Id="rId54" Type="http://schemas.openxmlformats.org/officeDocument/2006/relationships/hyperlink" Target="Symbiotics\StHa32.htm" TargetMode="External"/><Relationship Id="rId1" Type="http://schemas.openxmlformats.org/officeDocument/2006/relationships/hyperlink" Target="Symbiotics\EGAnd.htm" TargetMode="External"/><Relationship Id="rId6" Type="http://schemas.openxmlformats.org/officeDocument/2006/relationships/hyperlink" Target="Symbiotics/BXMon.htm" TargetMode="External"/><Relationship Id="rId11" Type="http://schemas.openxmlformats.org/officeDocument/2006/relationships/hyperlink" Target="Symbiotics/V627Cas.htm" TargetMode="External"/><Relationship Id="rId24" Type="http://schemas.openxmlformats.org/officeDocument/2006/relationships/hyperlink" Target="Symbiotics\CHCyg.htm" TargetMode="External"/><Relationship Id="rId32" Type="http://schemas.openxmlformats.org/officeDocument/2006/relationships/hyperlink" Target="Symbiotics/V934Her.htm" TargetMode="External"/><Relationship Id="rId37" Type="http://schemas.openxmlformats.org/officeDocument/2006/relationships/hyperlink" Target="Symbiotics/IVVir.htm" TargetMode="External"/><Relationship Id="rId40" Type="http://schemas.openxmlformats.org/officeDocument/2006/relationships/hyperlink" Target="Symbiotics/StHa55.htm" TargetMode="External"/><Relationship Id="rId45" Type="http://schemas.openxmlformats.org/officeDocument/2006/relationships/hyperlink" Target="Symbiotics/StHa169.htm" TargetMode="External"/><Relationship Id="rId53" Type="http://schemas.openxmlformats.org/officeDocument/2006/relationships/hyperlink" Target="Symbiotics\EFAql.htm" TargetMode="External"/><Relationship Id="rId58" Type="http://schemas.openxmlformats.org/officeDocument/2006/relationships/hyperlink" Target="Symbiotics\Hen3-1768.htm" TargetMode="External"/><Relationship Id="rId5" Type="http://schemas.openxmlformats.org/officeDocument/2006/relationships/hyperlink" Target="Symbiotics/ZZCMi.htm" TargetMode="External"/><Relationship Id="rId15" Type="http://schemas.openxmlformats.org/officeDocument/2006/relationships/hyperlink" Target="Symbiotics/ERDel.htm" TargetMode="External"/><Relationship Id="rId23" Type="http://schemas.openxmlformats.org/officeDocument/2006/relationships/hyperlink" Target="Symbiotics/V919Sgr.htm" TargetMode="External"/><Relationship Id="rId28" Type="http://schemas.openxmlformats.org/officeDocument/2006/relationships/hyperlink" Target="Symbiotics/StHa149.htm" TargetMode="External"/><Relationship Id="rId36" Type="http://schemas.openxmlformats.org/officeDocument/2006/relationships/hyperlink" Target="Symbiotics/TCrB.htm" TargetMode="External"/><Relationship Id="rId49" Type="http://schemas.openxmlformats.org/officeDocument/2006/relationships/hyperlink" Target="Symbiotics/RWHya.htm" TargetMode="External"/><Relationship Id="rId57" Type="http://schemas.openxmlformats.org/officeDocument/2006/relationships/hyperlink" Target="Symbiotics\RTSer.htm" TargetMode="External"/><Relationship Id="rId10" Type="http://schemas.openxmlformats.org/officeDocument/2006/relationships/hyperlink" Target="Symbiotics\ZAnd.htm" TargetMode="External"/><Relationship Id="rId19" Type="http://schemas.openxmlformats.org/officeDocument/2006/relationships/hyperlink" Target="Symbiotics/HMSge.htm" TargetMode="External"/><Relationship Id="rId31" Type="http://schemas.openxmlformats.org/officeDocument/2006/relationships/hyperlink" Target="Symbiotics/AS270.htm" TargetMode="External"/><Relationship Id="rId44" Type="http://schemas.openxmlformats.org/officeDocument/2006/relationships/hyperlink" Target="Symbiotics/GHGem.htm" TargetMode="External"/><Relationship Id="rId52" Type="http://schemas.openxmlformats.org/officeDocument/2006/relationships/hyperlink" Target="Symbiotics\AS245.htm" TargetMode="External"/><Relationship Id="rId4" Type="http://schemas.openxmlformats.org/officeDocument/2006/relationships/hyperlink" Target="Symbiotics/UVAur.htm" TargetMode="External"/><Relationship Id="rId9" Type="http://schemas.openxmlformats.org/officeDocument/2006/relationships/hyperlink" Target="Symbiotics/RAqr.htm" TargetMode="External"/><Relationship Id="rId14" Type="http://schemas.openxmlformats.org/officeDocument/2006/relationships/hyperlink" Target="Symbiotics\V1329Cyg.htm" TargetMode="External"/><Relationship Id="rId22" Type="http://schemas.openxmlformats.org/officeDocument/2006/relationships/hyperlink" Target="Symbiotics/TXCVn.htm" TargetMode="External"/><Relationship Id="rId27" Type="http://schemas.openxmlformats.org/officeDocument/2006/relationships/hyperlink" Target="Symbiotics/V443Her.htm" TargetMode="External"/><Relationship Id="rId30" Type="http://schemas.openxmlformats.org/officeDocument/2006/relationships/hyperlink" Target="Symbiotics/YYHer.htm" TargetMode="External"/><Relationship Id="rId35" Type="http://schemas.openxmlformats.org/officeDocument/2006/relationships/hyperlink" Target="Symbiotics/AGDra.htm" TargetMode="External"/><Relationship Id="rId43" Type="http://schemas.openxmlformats.org/officeDocument/2006/relationships/hyperlink" Target="Symbiotics/V471Per.htm" TargetMode="External"/><Relationship Id="rId48" Type="http://schemas.openxmlformats.org/officeDocument/2006/relationships/hyperlink" Target="Symbiotics/SULyn.htm" TargetMode="External"/><Relationship Id="rId56" Type="http://schemas.openxmlformats.org/officeDocument/2006/relationships/hyperlink" Target="Symbiotics\TCPJ19544251+1722281.htm" TargetMode="External"/><Relationship Id="rId8" Type="http://schemas.openxmlformats.org/officeDocument/2006/relationships/hyperlink" Target="Symbiotics/NQGem.htm" TargetMode="External"/><Relationship Id="rId51" Type="http://schemas.openxmlformats.org/officeDocument/2006/relationships/hyperlink" Target="Symbiotics\AS210.htm" TargetMode="External"/><Relationship Id="rId3" Type="http://schemas.openxmlformats.org/officeDocument/2006/relationships/hyperlink" Target="Symbiotics/BDCam.htm" TargetMode="External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6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Feuil1"/>
  <dimension ref="C2:Q33"/>
  <sheetViews>
    <sheetView showGridLines="0" tabSelected="1" topLeftCell="A3" workbookViewId="0">
      <selection activeCell="E21" sqref="E21"/>
    </sheetView>
  </sheetViews>
  <sheetFormatPr baseColWidth="10" defaultRowHeight="12.75"/>
  <cols>
    <col min="4" max="4" width="5.140625" style="6" bestFit="1" customWidth="1"/>
    <col min="5" max="5" width="17.28515625" style="4" bestFit="1" customWidth="1"/>
    <col min="6" max="6" width="12.7109375" style="4" customWidth="1"/>
    <col min="7" max="7" width="5" style="4" customWidth="1"/>
    <col min="8" max="8" width="10.5703125" customWidth="1"/>
    <col min="9" max="9" width="16.42578125" bestFit="1" customWidth="1"/>
  </cols>
  <sheetData>
    <row r="2" spans="3:17" ht="18.75">
      <c r="C2" s="18" t="s">
        <v>129</v>
      </c>
    </row>
    <row r="3" spans="3:17">
      <c r="N3" s="83" t="s">
        <v>994</v>
      </c>
      <c r="O3" s="53"/>
      <c r="P3" s="54"/>
    </row>
    <row r="4" spans="3:17">
      <c r="E4" s="7" t="s">
        <v>747</v>
      </c>
      <c r="F4" s="8">
        <f ca="1">+TODAY()</f>
        <v>45250</v>
      </c>
      <c r="G4" s="7"/>
      <c r="H4" s="3"/>
      <c r="I4" s="7" t="s">
        <v>51</v>
      </c>
      <c r="J4" s="8">
        <v>44931</v>
      </c>
      <c r="O4" s="81"/>
      <c r="P4" s="82"/>
      <c r="Q4" s="54"/>
    </row>
    <row r="5" spans="3:17">
      <c r="E5" s="7" t="s">
        <v>41</v>
      </c>
      <c r="F5" s="9">
        <f ca="1">DateToJD(F4)</f>
        <v>2460268.5</v>
      </c>
      <c r="G5" s="7"/>
      <c r="I5" s="7" t="s">
        <v>52</v>
      </c>
      <c r="J5" s="10">
        <v>4</v>
      </c>
      <c r="O5" s="82"/>
      <c r="P5" s="82"/>
      <c r="Q5" s="54"/>
    </row>
    <row r="6" spans="3:17">
      <c r="I6" s="7" t="s">
        <v>41</v>
      </c>
      <c r="J6" s="7">
        <f>DateToJD(J4)</f>
        <v>2459949.5</v>
      </c>
      <c r="O6" s="82"/>
      <c r="P6" s="82"/>
      <c r="Q6" s="54"/>
    </row>
    <row r="7" spans="3:17">
      <c r="D7" s="6">
        <v>62</v>
      </c>
      <c r="E7" s="11" t="s">
        <v>21</v>
      </c>
      <c r="F7" s="52">
        <f>+VLOOKUP($D$7,SySt_Orb!$B$5:$M$84,8)</f>
        <v>2442666</v>
      </c>
      <c r="G7" s="11"/>
      <c r="I7" s="4"/>
      <c r="J7" s="4"/>
      <c r="L7">
        <v>2449530</v>
      </c>
      <c r="M7" s="62"/>
      <c r="O7" s="82"/>
      <c r="P7" s="82"/>
      <c r="Q7" s="54"/>
    </row>
    <row r="8" spans="3:17">
      <c r="E8" s="11" t="s">
        <v>0</v>
      </c>
      <c r="F8" s="11">
        <f>+VLOOKUP($D$7,SySt_Orb!$B$5:$M$84,3)</f>
        <v>758.8</v>
      </c>
      <c r="G8" s="11" t="s">
        <v>39</v>
      </c>
      <c r="H8" s="39"/>
      <c r="I8" s="4"/>
      <c r="J8" s="4"/>
      <c r="L8" s="52">
        <f>+VLOOKUP($D$7,SySt_Orb!$B$5:$M$84,8)</f>
        <v>2442666</v>
      </c>
      <c r="O8" s="82"/>
      <c r="P8" s="82"/>
      <c r="Q8" s="54"/>
    </row>
    <row r="9" spans="3:17">
      <c r="E9" s="11" t="s">
        <v>0</v>
      </c>
      <c r="F9" s="40">
        <f>+F8/365.25</f>
        <v>2.0774811772758381</v>
      </c>
      <c r="G9" s="11" t="s">
        <v>746</v>
      </c>
      <c r="I9" s="4"/>
      <c r="J9" s="4"/>
      <c r="O9" s="82"/>
      <c r="P9" s="82"/>
      <c r="Q9" s="54"/>
    </row>
    <row r="10" spans="3:17">
      <c r="E10" s="12" t="s">
        <v>40</v>
      </c>
      <c r="F10" s="13">
        <f ca="1">+(F5-$F7)/$F8-INT((F5-$F7)/$F8)</f>
        <v>0.19781233526621023</v>
      </c>
      <c r="I10" s="14" t="s">
        <v>40</v>
      </c>
      <c r="J10" s="15">
        <f>+(J6-$F7)/$F8-INT((J6-$F7)/$F8)</f>
        <v>0.7774117026884575</v>
      </c>
    </row>
    <row r="11" spans="3:17">
      <c r="E11" s="12" t="s">
        <v>43</v>
      </c>
      <c r="F11" s="12">
        <f ca="1">+INT((F5-$F7)/$F8)</f>
        <v>23</v>
      </c>
      <c r="I11" s="14" t="s">
        <v>43</v>
      </c>
      <c r="J11" s="14">
        <f>+INT((J6-$F7)/$F8)</f>
        <v>22</v>
      </c>
    </row>
    <row r="12" spans="3:17" ht="4.5" customHeight="1">
      <c r="I12" s="4"/>
      <c r="J12" s="4"/>
    </row>
    <row r="13" spans="3:17">
      <c r="E13" s="4" t="s">
        <v>130</v>
      </c>
      <c r="F13" s="5">
        <f ca="1">+$F7+(F11+1)*$F8-JD0+Date0</f>
        <v>45858.200000000186</v>
      </c>
      <c r="I13" s="4" t="s">
        <v>130</v>
      </c>
      <c r="J13" s="5">
        <f>+$F7+(J11+1)*$F8-JD0+Date0</f>
        <v>45099.399999999907</v>
      </c>
    </row>
    <row r="15" spans="3:17">
      <c r="C15" s="4" t="str">
        <f>+IF(E15&lt;&gt;"","Rem","")</f>
        <v>Rem</v>
      </c>
      <c r="D15" s="6">
        <f>+VLOOKUP($D$7,SySt_Orb!$B$5:$M$58,9)</f>
        <v>8</v>
      </c>
      <c r="E15" s="4" t="str">
        <f>IF(D15&lt;&gt;0,VLOOKUP(D15,SySt_Orb!P4:Q18,2),"")</f>
        <v>Min(mpg)</v>
      </c>
    </row>
    <row r="16" spans="3:17" ht="3" customHeight="1"/>
    <row r="17" spans="3:10">
      <c r="C17" s="16" t="s">
        <v>50</v>
      </c>
      <c r="D17" s="55" t="str">
        <f>+VLOOKUP($D$7,SySt_Orb!$B$5:$M$84,12,FALSE)</f>
        <v>[77]</v>
      </c>
      <c r="E17" s="16" t="str">
        <f>+VLOOKUP(D17,SySt_Orb!Q35:R821,2)</f>
        <v xml:space="preserve">[10] Leibowitz &amp; Formiggini (2011) </v>
      </c>
      <c r="F17" s="16"/>
      <c r="G17" s="16"/>
      <c r="H17" s="17"/>
      <c r="I17" s="17"/>
      <c r="J17" s="17"/>
    </row>
    <row r="23" spans="3:10" ht="16.5" customHeight="1"/>
    <row r="33" spans="13:13">
      <c r="M33">
        <f>161-74</f>
        <v>87</v>
      </c>
    </row>
  </sheetData>
  <pageMargins left="0.7" right="0.7" top="0.75" bottom="0.75" header="0.3" footer="0.3"/>
  <pageSetup paperSize="9" orientation="portrait" verticalDpi="599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51" r:id="rId4" name="List Box 3">
              <controlPr defaultSize="0" autoLine="0" autoPict="0">
                <anchor moveWithCells="1">
                  <from>
                    <xdr:col>2</xdr:col>
                    <xdr:colOff>28575</xdr:colOff>
                    <xdr:row>6</xdr:row>
                    <xdr:rowOff>9525</xdr:rowOff>
                  </from>
                  <to>
                    <xdr:col>3</xdr:col>
                    <xdr:colOff>76200</xdr:colOff>
                    <xdr:row>12</xdr:row>
                    <xdr:rowOff>85725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Feuil2"/>
  <dimension ref="A1:U84"/>
  <sheetViews>
    <sheetView zoomScale="85" zoomScaleNormal="85" workbookViewId="0">
      <selection activeCell="I98" sqref="I98"/>
    </sheetView>
  </sheetViews>
  <sheetFormatPr baseColWidth="10" defaultRowHeight="12.75"/>
  <cols>
    <col min="1" max="1" width="2.28515625" style="27" bestFit="1" customWidth="1"/>
    <col min="2" max="2" width="3.140625" bestFit="1" customWidth="1"/>
    <col min="4" max="4" width="8.7109375" customWidth="1"/>
    <col min="5" max="5" width="8.85546875" customWidth="1"/>
    <col min="6" max="6" width="8.28515625" customWidth="1"/>
    <col min="7" max="7" width="8.7109375" customWidth="1"/>
    <col min="8" max="8" width="10.5703125" customWidth="1"/>
    <col min="9" max="9" width="10.140625" customWidth="1"/>
    <col min="10" max="10" width="9.42578125" customWidth="1"/>
    <col min="11" max="11" width="8.7109375" customWidth="1"/>
    <col min="12" max="12" width="8.28515625" customWidth="1"/>
    <col min="13" max="13" width="9.7109375" style="71" bestFit="1" customWidth="1"/>
    <col min="14" max="14" width="8.5703125" customWidth="1"/>
    <col min="15" max="15" width="2.7109375" customWidth="1"/>
    <col min="17" max="17" width="15.28515625" bestFit="1" customWidth="1"/>
  </cols>
  <sheetData>
    <row r="1" spans="1:21">
      <c r="Q1" s="83" t="s">
        <v>995</v>
      </c>
      <c r="T1" t="s">
        <v>996</v>
      </c>
    </row>
    <row r="2" spans="1:21">
      <c r="B2" s="21" t="s">
        <v>48</v>
      </c>
      <c r="C2" s="23" t="s">
        <v>19</v>
      </c>
      <c r="D2" s="23" t="s">
        <v>0</v>
      </c>
      <c r="E2" s="23" t="s">
        <v>1</v>
      </c>
      <c r="F2" s="23" t="s">
        <v>2</v>
      </c>
      <c r="G2" s="56" t="s">
        <v>829</v>
      </c>
      <c r="H2" s="23" t="s">
        <v>3</v>
      </c>
      <c r="I2" s="23" t="s">
        <v>21</v>
      </c>
      <c r="J2" s="23" t="s">
        <v>22</v>
      </c>
      <c r="K2" s="23" t="s">
        <v>23</v>
      </c>
      <c r="L2" s="23" t="s">
        <v>729</v>
      </c>
      <c r="M2" s="23" t="s">
        <v>47</v>
      </c>
      <c r="N2" s="23" t="s">
        <v>125</v>
      </c>
    </row>
    <row r="3" spans="1:21">
      <c r="B3" s="22"/>
      <c r="C3" s="24"/>
      <c r="D3" s="24" t="s">
        <v>4</v>
      </c>
      <c r="E3" s="24" t="s">
        <v>20</v>
      </c>
      <c r="F3" s="24"/>
      <c r="G3" s="24" t="s">
        <v>20</v>
      </c>
      <c r="H3" s="24"/>
      <c r="I3" s="24"/>
      <c r="J3" s="24"/>
      <c r="K3" s="24" t="s">
        <v>728</v>
      </c>
      <c r="L3" s="24" t="s">
        <v>730</v>
      </c>
      <c r="M3" s="24"/>
      <c r="N3" s="22"/>
      <c r="P3">
        <v>0</v>
      </c>
      <c r="Q3" s="83" t="s">
        <v>988</v>
      </c>
      <c r="T3">
        <v>1</v>
      </c>
      <c r="U3" t="s">
        <v>997</v>
      </c>
    </row>
    <row r="4" spans="1:21">
      <c r="P4">
        <v>1</v>
      </c>
      <c r="Q4" t="s">
        <v>44</v>
      </c>
      <c r="T4">
        <v>2</v>
      </c>
      <c r="U4" t="s">
        <v>998</v>
      </c>
    </row>
    <row r="5" spans="1:21">
      <c r="A5" s="27" t="s">
        <v>741</v>
      </c>
      <c r="B5" s="19">
        <v>1</v>
      </c>
      <c r="C5" s="20" t="s">
        <v>102</v>
      </c>
      <c r="D5" s="20">
        <v>830</v>
      </c>
      <c r="E5" s="20"/>
      <c r="F5" s="20"/>
      <c r="G5" s="20"/>
      <c r="H5" s="20"/>
      <c r="I5" s="20">
        <v>2448571</v>
      </c>
      <c r="J5" s="20">
        <v>10</v>
      </c>
      <c r="K5" s="20"/>
      <c r="L5" s="20"/>
      <c r="M5" s="84" t="s">
        <v>74</v>
      </c>
      <c r="N5" s="20" t="s">
        <v>65</v>
      </c>
      <c r="P5">
        <v>2</v>
      </c>
      <c r="Q5" t="s">
        <v>45</v>
      </c>
      <c r="T5">
        <v>3</v>
      </c>
      <c r="U5" t="s">
        <v>999</v>
      </c>
    </row>
    <row r="6" spans="1:21">
      <c r="A6" s="27" t="s">
        <v>741</v>
      </c>
      <c r="B6" s="19">
        <v>2</v>
      </c>
      <c r="C6" s="20" t="s">
        <v>31</v>
      </c>
      <c r="D6" s="20">
        <v>554</v>
      </c>
      <c r="E6" s="20">
        <v>5.0999999999999996</v>
      </c>
      <c r="F6" s="20"/>
      <c r="G6" s="20">
        <v>-148.30000000000001</v>
      </c>
      <c r="H6" s="20">
        <v>0</v>
      </c>
      <c r="I6" s="20">
        <v>2446366.4</v>
      </c>
      <c r="J6" s="20"/>
      <c r="K6" s="20">
        <v>56</v>
      </c>
      <c r="L6" s="20">
        <v>8.0000000000000002E-3</v>
      </c>
      <c r="M6" s="84" t="s">
        <v>11</v>
      </c>
      <c r="N6" s="20"/>
      <c r="P6">
        <v>3</v>
      </c>
      <c r="Q6" t="s">
        <v>46</v>
      </c>
    </row>
    <row r="7" spans="1:21">
      <c r="A7" s="27" t="s">
        <v>741</v>
      </c>
      <c r="B7" s="19">
        <v>3</v>
      </c>
      <c r="C7" s="20" t="s">
        <v>31</v>
      </c>
      <c r="D7" s="20">
        <v>554</v>
      </c>
      <c r="E7" s="20"/>
      <c r="F7" s="20"/>
      <c r="G7" s="20"/>
      <c r="H7" s="20"/>
      <c r="I7" s="20">
        <v>2443886</v>
      </c>
      <c r="J7" s="20">
        <v>5</v>
      </c>
      <c r="K7" s="20"/>
      <c r="L7" s="20"/>
      <c r="M7" s="84" t="s">
        <v>70</v>
      </c>
      <c r="N7" s="20" t="s">
        <v>61</v>
      </c>
      <c r="P7">
        <v>4</v>
      </c>
      <c r="Q7" t="s">
        <v>72</v>
      </c>
    </row>
    <row r="8" spans="1:21">
      <c r="A8" s="27" t="s">
        <v>742</v>
      </c>
      <c r="B8" s="19">
        <v>4</v>
      </c>
      <c r="C8" s="26" t="s">
        <v>31</v>
      </c>
      <c r="D8" s="26">
        <v>548.65</v>
      </c>
      <c r="E8" s="26">
        <v>5.86</v>
      </c>
      <c r="F8" s="26"/>
      <c r="G8" s="26">
        <v>-147.22</v>
      </c>
      <c r="H8" s="26"/>
      <c r="I8" s="26">
        <v>2450775.2999999998</v>
      </c>
      <c r="J8" s="26">
        <v>0</v>
      </c>
      <c r="K8" s="26"/>
      <c r="L8" s="26">
        <v>1.15E-2</v>
      </c>
      <c r="M8" s="85" t="s">
        <v>5</v>
      </c>
      <c r="N8" s="26"/>
      <c r="P8">
        <v>5</v>
      </c>
      <c r="Q8" t="s">
        <v>69</v>
      </c>
    </row>
    <row r="9" spans="1:21">
      <c r="A9" s="27" t="s">
        <v>741</v>
      </c>
      <c r="B9" s="19">
        <v>5</v>
      </c>
      <c r="C9" s="25" t="s">
        <v>37</v>
      </c>
      <c r="D9" s="25">
        <v>816.5</v>
      </c>
      <c r="E9" s="25">
        <v>5.3</v>
      </c>
      <c r="F9" s="25">
        <v>4</v>
      </c>
      <c r="G9" s="25">
        <v>-15.9</v>
      </c>
      <c r="H9" s="25"/>
      <c r="I9" s="25">
        <v>2431667.5</v>
      </c>
      <c r="J9" s="25"/>
      <c r="K9" s="25">
        <v>84</v>
      </c>
      <c r="L9" s="25">
        <v>1.2E-2</v>
      </c>
      <c r="M9" s="86" t="s">
        <v>17</v>
      </c>
      <c r="N9" s="25"/>
      <c r="P9">
        <v>6</v>
      </c>
      <c r="Q9" t="s">
        <v>92</v>
      </c>
    </row>
    <row r="10" spans="1:21">
      <c r="A10" s="27" t="s">
        <v>741</v>
      </c>
      <c r="B10" s="19">
        <v>6</v>
      </c>
      <c r="C10" s="26" t="s">
        <v>37</v>
      </c>
      <c r="D10" s="26">
        <v>818.2</v>
      </c>
      <c r="E10" s="26">
        <v>5.4</v>
      </c>
      <c r="F10" s="26"/>
      <c r="G10" s="26">
        <v>-15.9</v>
      </c>
      <c r="H10" s="26">
        <v>0.11</v>
      </c>
      <c r="I10" s="26">
        <v>2446812</v>
      </c>
      <c r="J10" s="26"/>
      <c r="K10" s="26">
        <v>87</v>
      </c>
      <c r="L10" s="26">
        <v>1.35E-2</v>
      </c>
      <c r="M10" s="87" t="s">
        <v>5</v>
      </c>
      <c r="N10" s="26"/>
      <c r="P10">
        <v>7</v>
      </c>
      <c r="Q10" t="s">
        <v>79</v>
      </c>
    </row>
    <row r="11" spans="1:21">
      <c r="A11" s="27" t="s">
        <v>741</v>
      </c>
      <c r="B11" s="19">
        <v>7</v>
      </c>
      <c r="C11" s="20" t="s">
        <v>37</v>
      </c>
      <c r="D11" s="20">
        <v>816.5</v>
      </c>
      <c r="E11" s="20"/>
      <c r="F11" s="20"/>
      <c r="G11" s="20"/>
      <c r="H11" s="20"/>
      <c r="I11" s="20">
        <v>2442710.1</v>
      </c>
      <c r="J11" s="20">
        <v>6</v>
      </c>
      <c r="K11" s="20"/>
      <c r="L11" s="20"/>
      <c r="M11" s="84" t="s">
        <v>93</v>
      </c>
      <c r="N11" s="20" t="s">
        <v>61</v>
      </c>
      <c r="P11">
        <v>8</v>
      </c>
      <c r="Q11" t="s">
        <v>58</v>
      </c>
    </row>
    <row r="12" spans="1:21">
      <c r="A12" s="27" t="s">
        <v>741</v>
      </c>
      <c r="B12" s="19">
        <v>8</v>
      </c>
      <c r="C12" s="20" t="s">
        <v>105</v>
      </c>
      <c r="D12" s="20">
        <v>604.46</v>
      </c>
      <c r="E12" s="20"/>
      <c r="F12" s="20"/>
      <c r="G12" s="20"/>
      <c r="H12" s="20"/>
      <c r="I12" s="20">
        <v>2411265.6</v>
      </c>
      <c r="J12" s="20">
        <v>11</v>
      </c>
      <c r="K12" s="20"/>
      <c r="L12" s="20"/>
      <c r="M12" s="84" t="s">
        <v>81</v>
      </c>
      <c r="N12" s="20" t="s">
        <v>54</v>
      </c>
      <c r="P12">
        <v>9</v>
      </c>
      <c r="Q12" t="s">
        <v>60</v>
      </c>
    </row>
    <row r="13" spans="1:21">
      <c r="A13" s="27" t="s">
        <v>742</v>
      </c>
      <c r="B13" s="19">
        <v>9</v>
      </c>
      <c r="C13" s="26" t="s">
        <v>740</v>
      </c>
      <c r="D13" s="26">
        <v>450.5</v>
      </c>
      <c r="E13" s="26">
        <v>2.66</v>
      </c>
      <c r="F13" s="26"/>
      <c r="G13" s="26">
        <v>-5.6520000000000001</v>
      </c>
      <c r="H13" s="26">
        <v>0.13500000000000001</v>
      </c>
      <c r="I13" s="26">
        <v>2450724.7000000002</v>
      </c>
      <c r="J13" s="26">
        <v>16</v>
      </c>
      <c r="K13" s="26"/>
      <c r="L13" s="26">
        <v>8.6000000000000003E-5</v>
      </c>
      <c r="M13" s="85" t="s">
        <v>758</v>
      </c>
      <c r="N13" s="26"/>
      <c r="P13">
        <v>10</v>
      </c>
      <c r="Q13" t="s">
        <v>63</v>
      </c>
    </row>
    <row r="14" spans="1:21">
      <c r="A14" s="27" t="s">
        <v>741</v>
      </c>
      <c r="B14" s="19">
        <v>10</v>
      </c>
      <c r="C14" s="20" t="s">
        <v>25</v>
      </c>
      <c r="D14" s="20">
        <v>680.8</v>
      </c>
      <c r="E14" s="20">
        <v>7.5</v>
      </c>
      <c r="F14" s="20">
        <v>2.5</v>
      </c>
      <c r="G14" s="20">
        <v>-116.5</v>
      </c>
      <c r="H14" s="20"/>
      <c r="I14" s="20">
        <v>2445511.7999999998</v>
      </c>
      <c r="J14" s="20"/>
      <c r="K14" s="20">
        <v>100</v>
      </c>
      <c r="L14" s="20">
        <v>0.03</v>
      </c>
      <c r="M14" s="84" t="s">
        <v>6</v>
      </c>
      <c r="N14" s="20"/>
      <c r="P14">
        <v>11</v>
      </c>
      <c r="Q14" t="s">
        <v>56</v>
      </c>
    </row>
    <row r="15" spans="1:21">
      <c r="A15" s="27" t="s">
        <v>741</v>
      </c>
      <c r="B15" s="19">
        <v>11</v>
      </c>
      <c r="C15" s="20" t="s">
        <v>25</v>
      </c>
      <c r="D15" s="20">
        <v>680.8</v>
      </c>
      <c r="E15" s="20"/>
      <c r="F15" s="20"/>
      <c r="G15" s="20"/>
      <c r="H15" s="20"/>
      <c r="I15" s="20">
        <v>2436667</v>
      </c>
      <c r="J15" s="20">
        <v>11</v>
      </c>
      <c r="K15" s="20"/>
      <c r="L15" s="20"/>
      <c r="M15" s="84" t="s">
        <v>57</v>
      </c>
      <c r="N15" s="20" t="s">
        <v>54</v>
      </c>
      <c r="P15">
        <v>12</v>
      </c>
      <c r="Q15" t="s">
        <v>82</v>
      </c>
    </row>
    <row r="16" spans="1:21">
      <c r="A16" s="27" t="s">
        <v>742</v>
      </c>
      <c r="B16" s="19">
        <v>12</v>
      </c>
      <c r="C16" s="26" t="s">
        <v>25</v>
      </c>
      <c r="D16" s="26">
        <v>682.1</v>
      </c>
      <c r="E16" s="26">
        <v>7.78</v>
      </c>
      <c r="F16" s="26"/>
      <c r="G16" s="26">
        <v>-117.44</v>
      </c>
      <c r="H16" s="26"/>
      <c r="I16" s="26">
        <v>2450963.7999999998</v>
      </c>
      <c r="J16" s="26">
        <v>16</v>
      </c>
      <c r="K16" s="26"/>
      <c r="L16" s="26">
        <v>3.3300000000000003E-2</v>
      </c>
      <c r="M16" s="85" t="s">
        <v>5</v>
      </c>
      <c r="N16" s="26" t="s">
        <v>54</v>
      </c>
      <c r="P16">
        <v>13</v>
      </c>
      <c r="Q16" t="s">
        <v>67</v>
      </c>
    </row>
    <row r="17" spans="1:17">
      <c r="B17" s="19">
        <v>13</v>
      </c>
      <c r="C17" s="25" t="s">
        <v>25</v>
      </c>
      <c r="D17" s="25">
        <v>679.9</v>
      </c>
      <c r="E17" s="25"/>
      <c r="F17" s="25"/>
      <c r="G17" s="25"/>
      <c r="H17" s="25"/>
      <c r="I17" s="25">
        <v>2436673.2999999998</v>
      </c>
      <c r="J17" s="25"/>
      <c r="K17" s="25"/>
      <c r="L17" s="25"/>
      <c r="M17" s="71" t="s">
        <v>451</v>
      </c>
      <c r="N17" s="25"/>
      <c r="P17">
        <v>14</v>
      </c>
      <c r="Q17" t="s">
        <v>53</v>
      </c>
    </row>
    <row r="18" spans="1:17">
      <c r="A18" s="27" t="s">
        <v>741</v>
      </c>
      <c r="B18" s="19">
        <v>14</v>
      </c>
      <c r="C18" s="20" t="s">
        <v>26</v>
      </c>
      <c r="D18" s="20">
        <v>596.21</v>
      </c>
      <c r="E18" s="20">
        <v>8.5</v>
      </c>
      <c r="F18" s="20"/>
      <c r="G18" s="20">
        <v>-22.3</v>
      </c>
      <c r="H18" s="20">
        <v>0.09</v>
      </c>
      <c r="I18" s="20">
        <v>2442794</v>
      </c>
      <c r="J18" s="20">
        <v>1</v>
      </c>
      <c r="K18" s="20">
        <v>99.7</v>
      </c>
      <c r="L18" s="20">
        <v>3.6999999999999998E-2</v>
      </c>
      <c r="M18" s="84" t="s">
        <v>7</v>
      </c>
      <c r="N18" s="20"/>
      <c r="P18">
        <v>15</v>
      </c>
      <c r="Q18" t="s">
        <v>75</v>
      </c>
    </row>
    <row r="19" spans="1:17">
      <c r="A19" s="27" t="s">
        <v>741</v>
      </c>
      <c r="B19" s="19">
        <v>15</v>
      </c>
      <c r="C19" s="20" t="s">
        <v>109</v>
      </c>
      <c r="D19" s="20">
        <v>756.8</v>
      </c>
      <c r="E19" s="20"/>
      <c r="F19" s="20"/>
      <c r="G19" s="20"/>
      <c r="H19" s="20"/>
      <c r="I19" s="20">
        <v>2415058</v>
      </c>
      <c r="J19" s="20">
        <v>15</v>
      </c>
      <c r="K19" s="20"/>
      <c r="L19" s="20"/>
      <c r="M19" s="84" t="s">
        <v>87</v>
      </c>
      <c r="N19" s="20" t="s">
        <v>54</v>
      </c>
      <c r="P19">
        <v>16</v>
      </c>
      <c r="Q19" t="s">
        <v>125</v>
      </c>
    </row>
    <row r="20" spans="1:17">
      <c r="A20" s="27" t="s">
        <v>742</v>
      </c>
      <c r="B20" s="19">
        <v>16</v>
      </c>
      <c r="C20" s="26" t="s">
        <v>109</v>
      </c>
      <c r="D20" s="26">
        <v>757.2</v>
      </c>
      <c r="E20" s="26"/>
      <c r="F20" s="26"/>
      <c r="G20" s="26"/>
      <c r="H20" s="26"/>
      <c r="I20" s="26">
        <v>2451395.2000000002</v>
      </c>
      <c r="J20" s="26">
        <v>16</v>
      </c>
      <c r="K20" s="26"/>
      <c r="L20" s="26"/>
      <c r="M20" s="85" t="s">
        <v>758</v>
      </c>
      <c r="N20" s="26"/>
    </row>
    <row r="21" spans="1:17">
      <c r="A21" s="90" t="s">
        <v>741</v>
      </c>
      <c r="B21" s="92">
        <v>17</v>
      </c>
      <c r="C21" s="93" t="s">
        <v>28</v>
      </c>
      <c r="D21" s="93">
        <v>1401</v>
      </c>
      <c r="E21" s="93">
        <v>4.3</v>
      </c>
      <c r="F21" s="93">
        <v>6.7</v>
      </c>
      <c r="G21" s="93">
        <v>29.1</v>
      </c>
      <c r="H21" s="93">
        <v>0.49</v>
      </c>
      <c r="I21" s="93">
        <v>2449530</v>
      </c>
      <c r="J21" s="93"/>
      <c r="K21" s="93">
        <v>104</v>
      </c>
      <c r="L21" s="93">
        <v>7.6E-3</v>
      </c>
      <c r="M21" s="94" t="s">
        <v>9</v>
      </c>
      <c r="N21" s="93"/>
      <c r="O21" s="91"/>
    </row>
    <row r="22" spans="1:17">
      <c r="A22" s="90" t="s">
        <v>742</v>
      </c>
      <c r="B22" s="92">
        <v>18</v>
      </c>
      <c r="C22" s="93" t="s">
        <v>28</v>
      </c>
      <c r="D22" s="93">
        <v>1259</v>
      </c>
      <c r="E22" s="93">
        <v>4.5999999999999996</v>
      </c>
      <c r="F22" s="93"/>
      <c r="G22" s="93">
        <v>29.1</v>
      </c>
      <c r="H22" s="93">
        <v>0.44</v>
      </c>
      <c r="I22" s="93">
        <v>2449680</v>
      </c>
      <c r="J22" s="93"/>
      <c r="K22" s="93">
        <v>103</v>
      </c>
      <c r="L22" s="93">
        <v>9.1999999999999998E-3</v>
      </c>
      <c r="M22" s="94" t="s">
        <v>5</v>
      </c>
      <c r="N22" s="93"/>
      <c r="O22" s="91"/>
    </row>
    <row r="23" spans="1:17">
      <c r="A23" s="90" t="s">
        <v>741</v>
      </c>
      <c r="B23" s="92">
        <v>19</v>
      </c>
      <c r="C23" s="93" t="s">
        <v>28</v>
      </c>
      <c r="D23" s="93">
        <v>1401</v>
      </c>
      <c r="E23" s="93"/>
      <c r="F23" s="93"/>
      <c r="G23" s="93"/>
      <c r="H23" s="93"/>
      <c r="I23" s="93">
        <v>2449530</v>
      </c>
      <c r="J23" s="93">
        <v>8</v>
      </c>
      <c r="K23" s="93"/>
      <c r="L23" s="93"/>
      <c r="M23" s="94" t="s">
        <v>59</v>
      </c>
      <c r="N23" s="93" t="s">
        <v>54</v>
      </c>
      <c r="O23" s="91"/>
    </row>
    <row r="24" spans="1:17">
      <c r="A24" s="90" t="s">
        <v>992</v>
      </c>
      <c r="B24" s="92">
        <v>20</v>
      </c>
      <c r="C24" s="93" t="s">
        <v>28</v>
      </c>
      <c r="D24" s="93">
        <v>1256</v>
      </c>
      <c r="E24" s="93"/>
      <c r="F24" s="93"/>
      <c r="G24" s="93"/>
      <c r="H24" s="93"/>
      <c r="I24" s="95">
        <v>2449530</v>
      </c>
      <c r="J24" s="93"/>
      <c r="K24" s="93"/>
      <c r="L24" s="93"/>
      <c r="M24" s="94" t="s">
        <v>460</v>
      </c>
      <c r="N24" s="93"/>
      <c r="O24" s="91"/>
    </row>
    <row r="25" spans="1:17">
      <c r="A25" s="90" t="s">
        <v>991</v>
      </c>
      <c r="B25" s="92">
        <v>21</v>
      </c>
      <c r="C25" s="93" t="s">
        <v>28</v>
      </c>
      <c r="D25" s="93">
        <v>1259</v>
      </c>
      <c r="E25" s="93"/>
      <c r="F25" s="93"/>
      <c r="G25" s="93"/>
      <c r="H25" s="93"/>
      <c r="I25" s="95">
        <f>+I23</f>
        <v>2449530</v>
      </c>
      <c r="J25" s="93">
        <v>2</v>
      </c>
      <c r="K25" s="93"/>
      <c r="L25" s="93"/>
      <c r="M25" s="94" t="s">
        <v>453</v>
      </c>
      <c r="N25" s="93"/>
      <c r="O25" s="91"/>
    </row>
    <row r="26" spans="1:17">
      <c r="A26" s="27" t="s">
        <v>741</v>
      </c>
      <c r="B26" s="19">
        <v>22</v>
      </c>
      <c r="C26" s="20" t="s">
        <v>35</v>
      </c>
      <c r="D26" s="20">
        <v>5700</v>
      </c>
      <c r="E26" s="20">
        <v>4.9000000000000004</v>
      </c>
      <c r="F26" s="20"/>
      <c r="G26" s="20">
        <v>-57.7</v>
      </c>
      <c r="H26" s="20">
        <v>0.47</v>
      </c>
      <c r="I26" s="20">
        <v>2445086</v>
      </c>
      <c r="J26" s="20"/>
      <c r="K26" s="20">
        <v>478</v>
      </c>
      <c r="L26" s="20">
        <v>4.4999999999999998E-2</v>
      </c>
      <c r="M26" s="84" t="s">
        <v>14</v>
      </c>
      <c r="N26" s="20"/>
    </row>
    <row r="27" spans="1:17">
      <c r="A27" s="27" t="s">
        <v>741</v>
      </c>
      <c r="B27" s="19">
        <v>23</v>
      </c>
      <c r="C27" s="20" t="s">
        <v>35</v>
      </c>
      <c r="D27" s="20">
        <v>756</v>
      </c>
      <c r="E27" s="20">
        <v>2.6</v>
      </c>
      <c r="F27" s="20"/>
      <c r="G27" s="20">
        <v>-60.6</v>
      </c>
      <c r="H27" s="20">
        <v>0</v>
      </c>
      <c r="I27" s="20">
        <v>2446643.7000000002</v>
      </c>
      <c r="J27" s="20"/>
      <c r="K27" s="20">
        <v>39</v>
      </c>
      <c r="L27" s="20">
        <v>1.4E-3</v>
      </c>
      <c r="M27" s="84" t="s">
        <v>15</v>
      </c>
      <c r="N27" s="20"/>
    </row>
    <row r="28" spans="1:17">
      <c r="A28" s="27" t="s">
        <v>741</v>
      </c>
      <c r="B28" s="19">
        <v>24</v>
      </c>
      <c r="C28" s="20" t="s">
        <v>35</v>
      </c>
      <c r="D28" s="20">
        <v>5292</v>
      </c>
      <c r="E28" s="20">
        <v>4.8</v>
      </c>
      <c r="F28" s="20">
        <v>0.06</v>
      </c>
      <c r="G28" s="20"/>
      <c r="H28" s="20"/>
      <c r="I28" s="20">
        <v>2445592</v>
      </c>
      <c r="J28" s="20">
        <v>1</v>
      </c>
      <c r="K28" s="20">
        <v>500</v>
      </c>
      <c r="L28" s="20">
        <v>0.06</v>
      </c>
      <c r="M28" s="84" t="s">
        <v>15</v>
      </c>
      <c r="N28" s="20"/>
    </row>
    <row r="29" spans="1:17">
      <c r="A29" s="27" t="s">
        <v>741</v>
      </c>
      <c r="B29" s="19">
        <v>25</v>
      </c>
      <c r="C29" s="20" t="s">
        <v>35</v>
      </c>
      <c r="D29" s="20">
        <v>5700</v>
      </c>
      <c r="E29" s="20"/>
      <c r="F29" s="20"/>
      <c r="G29" s="20"/>
      <c r="H29" s="20"/>
      <c r="I29" s="20">
        <v>2446275</v>
      </c>
      <c r="J29" s="20">
        <v>5</v>
      </c>
      <c r="K29" s="20"/>
      <c r="L29" s="20"/>
      <c r="M29" s="84" t="s">
        <v>18</v>
      </c>
      <c r="N29" s="20" t="s">
        <v>54</v>
      </c>
      <c r="P29" t="s">
        <v>21</v>
      </c>
      <c r="Q29" s="1">
        <v>2457275</v>
      </c>
    </row>
    <row r="30" spans="1:17">
      <c r="A30" s="27" t="s">
        <v>742</v>
      </c>
      <c r="B30" s="19">
        <v>26</v>
      </c>
      <c r="C30" s="26" t="s">
        <v>35</v>
      </c>
      <c r="D30" s="26">
        <v>5689</v>
      </c>
      <c r="E30" s="26"/>
      <c r="F30" s="26"/>
      <c r="G30" s="26"/>
      <c r="H30" s="26"/>
      <c r="I30" s="26">
        <v>2446353</v>
      </c>
      <c r="J30" s="26"/>
      <c r="K30" s="26"/>
      <c r="L30" s="26"/>
      <c r="M30" s="85" t="s">
        <v>758</v>
      </c>
      <c r="N30" s="26"/>
      <c r="P30" t="s">
        <v>42</v>
      </c>
      <c r="Q30" s="2">
        <v>42256</v>
      </c>
    </row>
    <row r="31" spans="1:17">
      <c r="A31" s="27" t="s">
        <v>741</v>
      </c>
      <c r="B31" s="19">
        <v>27</v>
      </c>
      <c r="C31" s="20" t="s">
        <v>36</v>
      </c>
      <c r="D31" s="20">
        <v>855.3</v>
      </c>
      <c r="E31" s="20">
        <v>6.7</v>
      </c>
      <c r="F31" s="20">
        <v>3</v>
      </c>
      <c r="G31" s="20">
        <v>18.399999999999999</v>
      </c>
      <c r="H31" s="20"/>
      <c r="I31" s="20">
        <v>2445241.7999999998</v>
      </c>
      <c r="J31" s="20"/>
      <c r="K31" s="20">
        <v>114</v>
      </c>
      <c r="L31" s="20">
        <v>2.7E-2</v>
      </c>
      <c r="M31" s="84" t="s">
        <v>16</v>
      </c>
      <c r="N31" s="20"/>
    </row>
    <row r="32" spans="1:17">
      <c r="A32" s="27" t="s">
        <v>742</v>
      </c>
      <c r="B32" s="19">
        <v>28</v>
      </c>
      <c r="C32" s="26" t="s">
        <v>36</v>
      </c>
      <c r="D32" s="26">
        <v>853.8</v>
      </c>
      <c r="E32" s="26">
        <v>6.7</v>
      </c>
      <c r="F32" s="26"/>
      <c r="G32" s="26">
        <v>15</v>
      </c>
      <c r="H32" s="26">
        <v>0.11</v>
      </c>
      <c r="I32" s="26">
        <v>2450426.4</v>
      </c>
      <c r="J32" s="26"/>
      <c r="K32" s="26">
        <v>112</v>
      </c>
      <c r="L32" s="26">
        <v>2.5999999999999999E-2</v>
      </c>
      <c r="M32" s="85" t="s">
        <v>5</v>
      </c>
      <c r="N32" s="26"/>
    </row>
    <row r="33" spans="1:18">
      <c r="A33" s="27" t="s">
        <v>741</v>
      </c>
      <c r="B33" s="19">
        <v>29</v>
      </c>
      <c r="C33" s="20" t="s">
        <v>36</v>
      </c>
      <c r="D33" s="20">
        <v>855.6</v>
      </c>
      <c r="E33" s="20"/>
      <c r="F33" s="20"/>
      <c r="G33" s="20"/>
      <c r="H33" s="20"/>
      <c r="I33" s="20">
        <v>2442687.1</v>
      </c>
      <c r="J33" s="20">
        <v>9</v>
      </c>
      <c r="K33" s="20"/>
      <c r="L33" s="20"/>
      <c r="M33" s="84" t="s">
        <v>88</v>
      </c>
      <c r="N33" s="20" t="s">
        <v>54</v>
      </c>
      <c r="Q33" t="s">
        <v>49</v>
      </c>
    </row>
    <row r="34" spans="1:18">
      <c r="A34" s="27" t="s">
        <v>741</v>
      </c>
      <c r="B34" s="19">
        <v>30</v>
      </c>
      <c r="C34" s="20" t="s">
        <v>100</v>
      </c>
      <c r="D34" s="20">
        <v>624.70000000000005</v>
      </c>
      <c r="E34" s="20"/>
      <c r="F34" s="20"/>
      <c r="G34" s="20"/>
      <c r="H34" s="20"/>
      <c r="I34" s="20">
        <v>2427020</v>
      </c>
      <c r="J34" s="20">
        <v>8</v>
      </c>
      <c r="K34" s="20"/>
      <c r="L34" s="20"/>
      <c r="M34" s="84" t="s">
        <v>71</v>
      </c>
      <c r="N34" s="20" t="s">
        <v>61</v>
      </c>
    </row>
    <row r="35" spans="1:18">
      <c r="A35" s="27" t="s">
        <v>742</v>
      </c>
      <c r="B35" s="19">
        <v>31</v>
      </c>
      <c r="C35" s="26" t="s">
        <v>24</v>
      </c>
      <c r="D35" s="26">
        <v>482.6</v>
      </c>
      <c r="E35" s="26">
        <v>7.3</v>
      </c>
      <c r="F35" s="26"/>
      <c r="G35" s="26">
        <v>-95</v>
      </c>
      <c r="H35" s="26">
        <v>0</v>
      </c>
      <c r="I35" s="26">
        <v>2450804</v>
      </c>
      <c r="J35" s="26">
        <v>3</v>
      </c>
      <c r="K35" s="26">
        <v>70</v>
      </c>
      <c r="L35" s="26">
        <v>0.02</v>
      </c>
      <c r="M35" s="85" t="s">
        <v>5</v>
      </c>
      <c r="N35" s="26"/>
      <c r="Q35" t="s">
        <v>15</v>
      </c>
      <c r="R35" t="s">
        <v>115</v>
      </c>
    </row>
    <row r="36" spans="1:18">
      <c r="A36" s="27" t="s">
        <v>741</v>
      </c>
      <c r="B36" s="19">
        <v>32</v>
      </c>
      <c r="C36" s="20" t="s">
        <v>24</v>
      </c>
      <c r="D36" s="20">
        <v>481</v>
      </c>
      <c r="E36" s="20"/>
      <c r="F36" s="20"/>
      <c r="G36" s="20"/>
      <c r="H36" s="20"/>
      <c r="I36" s="20">
        <v>2445380</v>
      </c>
      <c r="J36" s="20">
        <v>14</v>
      </c>
      <c r="K36" s="20"/>
      <c r="L36" s="20"/>
      <c r="M36" s="84" t="s">
        <v>55</v>
      </c>
      <c r="N36" s="20" t="s">
        <v>54</v>
      </c>
      <c r="Q36" t="s">
        <v>84</v>
      </c>
      <c r="R36" t="s">
        <v>126</v>
      </c>
    </row>
    <row r="37" spans="1:18">
      <c r="B37" s="19">
        <v>33</v>
      </c>
      <c r="C37" s="80" t="s">
        <v>24</v>
      </c>
      <c r="D37" s="80">
        <v>482.6</v>
      </c>
      <c r="I37" s="80">
        <v>2450683.2000000002</v>
      </c>
      <c r="M37" s="88" t="s">
        <v>452</v>
      </c>
      <c r="Q37" t="s">
        <v>78</v>
      </c>
      <c r="R37" t="s">
        <v>127</v>
      </c>
    </row>
    <row r="38" spans="1:18">
      <c r="A38" s="27" t="s">
        <v>741</v>
      </c>
      <c r="B38" s="19">
        <v>34</v>
      </c>
      <c r="C38" s="20" t="s">
        <v>33</v>
      </c>
      <c r="D38" s="20">
        <v>650</v>
      </c>
      <c r="E38" s="20">
        <v>8.3000000000000007</v>
      </c>
      <c r="F38" s="20">
        <v>2.8</v>
      </c>
      <c r="G38" s="20">
        <v>71.2</v>
      </c>
      <c r="H38" s="20"/>
      <c r="I38" s="20">
        <v>2448491</v>
      </c>
      <c r="J38" s="20"/>
      <c r="K38" s="20">
        <v>107</v>
      </c>
      <c r="L38" s="20">
        <v>3.9E-2</v>
      </c>
      <c r="M38" s="84" t="s">
        <v>12</v>
      </c>
      <c r="N38" s="20"/>
      <c r="Q38" t="s">
        <v>8</v>
      </c>
      <c r="R38" t="s">
        <v>116</v>
      </c>
    </row>
    <row r="39" spans="1:18">
      <c r="A39" s="27" t="s">
        <v>741</v>
      </c>
      <c r="B39" s="19">
        <v>35</v>
      </c>
      <c r="C39" s="20" t="s">
        <v>33</v>
      </c>
      <c r="D39" s="20">
        <v>650</v>
      </c>
      <c r="E39" s="20"/>
      <c r="F39" s="20"/>
      <c r="G39" s="20"/>
      <c r="H39" s="20"/>
      <c r="I39" s="20">
        <v>2448492</v>
      </c>
      <c r="J39" s="20">
        <v>7</v>
      </c>
      <c r="K39" s="20"/>
      <c r="L39" s="20"/>
      <c r="M39" s="84" t="s">
        <v>80</v>
      </c>
      <c r="N39" s="20" t="s">
        <v>54</v>
      </c>
      <c r="Q39" t="s">
        <v>114</v>
      </c>
      <c r="R39" t="s">
        <v>128</v>
      </c>
    </row>
    <row r="40" spans="1:18">
      <c r="A40" s="27" t="s">
        <v>742</v>
      </c>
      <c r="B40" s="19">
        <v>36</v>
      </c>
      <c r="C40" s="26" t="s">
        <v>33</v>
      </c>
      <c r="D40" s="26">
        <v>633.5</v>
      </c>
      <c r="E40" s="26">
        <v>6.92</v>
      </c>
      <c r="F40" s="26"/>
      <c r="G40" s="26">
        <v>73.33</v>
      </c>
      <c r="H40" s="26"/>
      <c r="I40" s="26">
        <v>2451031.4</v>
      </c>
      <c r="J40" s="26">
        <v>16</v>
      </c>
      <c r="K40" s="26"/>
      <c r="L40" s="26">
        <v>2.18E-2</v>
      </c>
      <c r="M40" s="85" t="s">
        <v>5</v>
      </c>
      <c r="N40" s="26" t="s">
        <v>54</v>
      </c>
      <c r="Q40" t="s">
        <v>71</v>
      </c>
      <c r="R40" t="s">
        <v>131</v>
      </c>
    </row>
    <row r="41" spans="1:18">
      <c r="A41" s="27" t="s">
        <v>741</v>
      </c>
      <c r="B41" s="19">
        <v>37</v>
      </c>
      <c r="C41" s="20" t="s">
        <v>107</v>
      </c>
      <c r="D41" s="20">
        <v>567.20000000000005</v>
      </c>
      <c r="E41" s="20"/>
      <c r="F41" s="20"/>
      <c r="G41" s="20"/>
      <c r="H41" s="20"/>
      <c r="I41" s="20">
        <v>2441750</v>
      </c>
      <c r="J41" s="20">
        <v>10</v>
      </c>
      <c r="K41" s="20"/>
      <c r="L41" s="20"/>
      <c r="M41" s="84" t="s">
        <v>85</v>
      </c>
      <c r="N41" s="20" t="s">
        <v>54</v>
      </c>
      <c r="Q41" t="s">
        <v>10</v>
      </c>
      <c r="R41" t="s">
        <v>117</v>
      </c>
    </row>
    <row r="42" spans="1:18">
      <c r="A42" s="27" t="s">
        <v>741</v>
      </c>
      <c r="B42" s="19">
        <v>38</v>
      </c>
      <c r="C42" s="20" t="s">
        <v>111</v>
      </c>
      <c r="D42" s="20">
        <v>478.5</v>
      </c>
      <c r="E42" s="20"/>
      <c r="F42" s="20"/>
      <c r="G42" s="20"/>
      <c r="H42" s="20"/>
      <c r="I42" s="20">
        <v>2445910</v>
      </c>
      <c r="J42" s="20">
        <v>12</v>
      </c>
      <c r="K42" s="20"/>
      <c r="L42" s="20"/>
      <c r="M42" s="84" t="s">
        <v>90</v>
      </c>
      <c r="N42" s="20" t="s">
        <v>61</v>
      </c>
      <c r="Q42" t="s">
        <v>17</v>
      </c>
      <c r="R42" t="s">
        <v>118</v>
      </c>
    </row>
    <row r="43" spans="1:18">
      <c r="A43" s="27" t="s">
        <v>741</v>
      </c>
      <c r="B43" s="19">
        <v>39</v>
      </c>
      <c r="C43" s="20" t="s">
        <v>110</v>
      </c>
      <c r="D43" s="20">
        <v>4900</v>
      </c>
      <c r="E43" s="20"/>
      <c r="F43" s="20"/>
      <c r="G43" s="20"/>
      <c r="H43" s="20"/>
      <c r="I43" s="20">
        <v>2444550</v>
      </c>
      <c r="J43" s="20">
        <v>10</v>
      </c>
      <c r="K43" s="20"/>
      <c r="L43" s="20"/>
      <c r="M43" s="84" t="s">
        <v>89</v>
      </c>
      <c r="N43" s="20" t="s">
        <v>54</v>
      </c>
      <c r="Q43" t="s">
        <v>16</v>
      </c>
      <c r="R43" t="s">
        <v>748</v>
      </c>
    </row>
    <row r="44" spans="1:18">
      <c r="A44" s="27" t="s">
        <v>742</v>
      </c>
      <c r="B44" s="19">
        <v>40</v>
      </c>
      <c r="C44" s="26" t="s">
        <v>32</v>
      </c>
      <c r="D44" s="26">
        <v>455.7</v>
      </c>
      <c r="E44" s="26">
        <v>16.7</v>
      </c>
      <c r="F44" s="26"/>
      <c r="G44" s="26">
        <v>-40.200000000000003</v>
      </c>
      <c r="H44" s="26">
        <v>0</v>
      </c>
      <c r="I44" s="26">
        <v>2450154.1</v>
      </c>
      <c r="J44" s="26">
        <v>3</v>
      </c>
      <c r="K44" s="26">
        <v>150</v>
      </c>
      <c r="L44" s="26">
        <v>0.221</v>
      </c>
      <c r="M44" s="85" t="s">
        <v>5</v>
      </c>
      <c r="N44" s="26"/>
      <c r="Q44" t="s">
        <v>582</v>
      </c>
      <c r="R44" t="s">
        <v>736</v>
      </c>
    </row>
    <row r="45" spans="1:18">
      <c r="A45" s="27" t="s">
        <v>741</v>
      </c>
      <c r="B45" s="19">
        <v>41</v>
      </c>
      <c r="C45" s="20" t="s">
        <v>101</v>
      </c>
      <c r="D45" s="20">
        <v>4500</v>
      </c>
      <c r="E45" s="20"/>
      <c r="F45" s="20"/>
      <c r="G45" s="20"/>
      <c r="H45" s="20"/>
      <c r="I45" s="20">
        <v>2446600</v>
      </c>
      <c r="J45" s="20">
        <v>4</v>
      </c>
      <c r="K45" s="20"/>
      <c r="L45" s="20"/>
      <c r="M45" s="84" t="s">
        <v>73</v>
      </c>
      <c r="N45" s="20" t="s">
        <v>61</v>
      </c>
      <c r="Q45" t="s">
        <v>83</v>
      </c>
      <c r="R45" t="s">
        <v>292</v>
      </c>
    </row>
    <row r="46" spans="1:18">
      <c r="A46" s="27" t="s">
        <v>741</v>
      </c>
      <c r="B46" s="19">
        <v>42</v>
      </c>
      <c r="C46" s="20" t="s">
        <v>98</v>
      </c>
      <c r="D46" s="20">
        <v>370.2</v>
      </c>
      <c r="E46" s="20"/>
      <c r="F46" s="20"/>
      <c r="G46" s="20"/>
      <c r="H46" s="20"/>
      <c r="I46" s="20">
        <v>2445072</v>
      </c>
      <c r="J46" s="20">
        <v>14</v>
      </c>
      <c r="K46" s="20"/>
      <c r="L46" s="20"/>
      <c r="M46" s="84" t="s">
        <v>16</v>
      </c>
      <c r="N46" s="20" t="s">
        <v>54</v>
      </c>
      <c r="Q46" t="s">
        <v>68</v>
      </c>
      <c r="R46" t="s">
        <v>301</v>
      </c>
    </row>
    <row r="47" spans="1:18">
      <c r="A47" s="27" t="s">
        <v>741</v>
      </c>
      <c r="B47" s="19">
        <v>43</v>
      </c>
      <c r="C47" s="20" t="s">
        <v>97</v>
      </c>
      <c r="D47" s="20">
        <v>625</v>
      </c>
      <c r="E47" s="20"/>
      <c r="F47" s="20"/>
      <c r="G47" s="20"/>
      <c r="H47" s="20"/>
      <c r="I47" s="20">
        <v>2450176</v>
      </c>
      <c r="J47" s="20">
        <v>10</v>
      </c>
      <c r="K47" s="20"/>
      <c r="L47" s="20"/>
      <c r="M47" s="84" t="s">
        <v>64</v>
      </c>
      <c r="N47" s="20" t="s">
        <v>54</v>
      </c>
      <c r="Q47" t="s">
        <v>70</v>
      </c>
      <c r="R47" t="s">
        <v>318</v>
      </c>
    </row>
    <row r="48" spans="1:18">
      <c r="A48" s="27" t="s">
        <v>742</v>
      </c>
      <c r="B48" s="19">
        <v>44</v>
      </c>
      <c r="C48" s="26" t="s">
        <v>30</v>
      </c>
      <c r="D48" s="26">
        <v>227.57</v>
      </c>
      <c r="E48" s="26">
        <v>23.9</v>
      </c>
      <c r="F48" s="26">
        <v>0.6</v>
      </c>
      <c r="G48" s="26">
        <v>-27.8</v>
      </c>
      <c r="H48" s="26"/>
      <c r="I48" s="26">
        <v>2447918.6</v>
      </c>
      <c r="J48" s="26"/>
      <c r="K48" s="26">
        <v>107</v>
      </c>
      <c r="L48" s="26">
        <v>0.32200000000000001</v>
      </c>
      <c r="M48" s="85" t="s">
        <v>5</v>
      </c>
      <c r="N48" s="26"/>
      <c r="Q48" t="s">
        <v>88</v>
      </c>
      <c r="R48" t="s">
        <v>749</v>
      </c>
    </row>
    <row r="49" spans="1:18">
      <c r="A49" s="27" t="s">
        <v>741</v>
      </c>
      <c r="B49" s="19">
        <v>45</v>
      </c>
      <c r="C49" s="20" t="s">
        <v>30</v>
      </c>
      <c r="D49" s="20">
        <v>227.67</v>
      </c>
      <c r="E49" s="20"/>
      <c r="F49" s="20"/>
      <c r="G49" s="20"/>
      <c r="H49" s="20"/>
      <c r="I49">
        <v>2431931.0499999998</v>
      </c>
      <c r="J49" s="20">
        <v>13</v>
      </c>
      <c r="K49" s="20"/>
      <c r="L49" s="20"/>
      <c r="M49" s="84" t="s">
        <v>68</v>
      </c>
      <c r="N49" s="20" t="s">
        <v>61</v>
      </c>
      <c r="Q49" t="s">
        <v>74</v>
      </c>
      <c r="R49" t="s">
        <v>750</v>
      </c>
    </row>
    <row r="50" spans="1:18">
      <c r="A50" s="27" t="s">
        <v>741</v>
      </c>
      <c r="B50" s="19">
        <v>46</v>
      </c>
      <c r="C50" s="20" t="s">
        <v>29</v>
      </c>
      <c r="D50" s="20">
        <v>199</v>
      </c>
      <c r="E50" s="20">
        <v>5.7</v>
      </c>
      <c r="F50" s="20">
        <v>2.2999999999999998</v>
      </c>
      <c r="G50" s="20">
        <v>0.16</v>
      </c>
      <c r="H50" s="20"/>
      <c r="I50" s="20">
        <v>2445195.25</v>
      </c>
      <c r="J50" s="20">
        <v>1</v>
      </c>
      <c r="K50" s="20">
        <v>22</v>
      </c>
      <c r="L50" s="20">
        <v>4.0000000000000001E-3</v>
      </c>
      <c r="M50" s="84" t="s">
        <v>10</v>
      </c>
      <c r="N50" s="20"/>
      <c r="Q50" t="s">
        <v>85</v>
      </c>
      <c r="R50" t="s">
        <v>751</v>
      </c>
    </row>
    <row r="51" spans="1:18">
      <c r="A51" s="27" t="s">
        <v>741</v>
      </c>
      <c r="B51" s="19">
        <v>47</v>
      </c>
      <c r="C51" s="20" t="s">
        <v>27</v>
      </c>
      <c r="D51" s="20">
        <v>642</v>
      </c>
      <c r="E51" s="20">
        <v>7.5</v>
      </c>
      <c r="F51" s="20">
        <v>3</v>
      </c>
      <c r="G51" s="20">
        <v>79.7</v>
      </c>
      <c r="H51" s="20">
        <v>7.0000000000000007E-2</v>
      </c>
      <c r="I51" s="20">
        <v>2446778</v>
      </c>
      <c r="J51" s="20">
        <v>3</v>
      </c>
      <c r="K51" s="20">
        <v>95</v>
      </c>
      <c r="L51" s="20">
        <v>2.8000000000000001E-2</v>
      </c>
      <c r="M51" s="84" t="s">
        <v>8</v>
      </c>
      <c r="N51" s="20"/>
      <c r="Q51" t="s">
        <v>57</v>
      </c>
      <c r="R51" t="s">
        <v>752</v>
      </c>
    </row>
    <row r="52" spans="1:18">
      <c r="A52" s="27" t="s">
        <v>741</v>
      </c>
      <c r="B52" s="19">
        <v>48</v>
      </c>
      <c r="C52" s="20" t="s">
        <v>27</v>
      </c>
      <c r="D52" s="20">
        <v>642</v>
      </c>
      <c r="E52" s="20"/>
      <c r="F52" s="20"/>
      <c r="G52" s="20"/>
      <c r="H52" s="20"/>
      <c r="I52" s="20">
        <v>2445494</v>
      </c>
      <c r="J52" s="20">
        <v>15</v>
      </c>
      <c r="K52" s="20"/>
      <c r="L52" s="20"/>
      <c r="M52" s="84" t="s">
        <v>114</v>
      </c>
      <c r="N52" s="20" t="s">
        <v>54</v>
      </c>
      <c r="Q52" t="s">
        <v>87</v>
      </c>
      <c r="R52" t="s">
        <v>753</v>
      </c>
    </row>
    <row r="53" spans="1:18">
      <c r="A53" s="27" t="s">
        <v>741</v>
      </c>
      <c r="B53" s="19">
        <v>49</v>
      </c>
      <c r="C53" s="20" t="s">
        <v>112</v>
      </c>
      <c r="D53" s="20">
        <v>956.5</v>
      </c>
      <c r="E53" s="20"/>
      <c r="F53" s="20"/>
      <c r="G53" s="20"/>
      <c r="H53" s="20"/>
      <c r="I53" s="20">
        <v>2444890</v>
      </c>
      <c r="J53" s="20">
        <v>15</v>
      </c>
      <c r="K53" s="20"/>
      <c r="L53" s="20"/>
      <c r="M53" s="84" t="s">
        <v>91</v>
      </c>
      <c r="N53" s="20" t="s">
        <v>54</v>
      </c>
      <c r="Q53" t="s">
        <v>6</v>
      </c>
      <c r="R53" t="s">
        <v>754</v>
      </c>
    </row>
    <row r="54" spans="1:18">
      <c r="A54" s="27" t="s">
        <v>742</v>
      </c>
      <c r="B54" s="19">
        <v>50</v>
      </c>
      <c r="C54" s="26" t="s">
        <v>112</v>
      </c>
      <c r="D54" s="26">
        <v>956.5</v>
      </c>
      <c r="E54" s="26"/>
      <c r="F54" s="26"/>
      <c r="G54" s="26"/>
      <c r="H54" s="26"/>
      <c r="I54" s="26">
        <v>2451565</v>
      </c>
      <c r="J54" s="26">
        <v>16</v>
      </c>
      <c r="K54" s="26"/>
      <c r="L54" s="26"/>
      <c r="M54" s="85" t="s">
        <v>758</v>
      </c>
      <c r="N54" s="26"/>
      <c r="Q54" t="s">
        <v>18</v>
      </c>
      <c r="R54" t="s">
        <v>119</v>
      </c>
    </row>
    <row r="55" spans="1:18">
      <c r="A55" s="27" t="s">
        <v>741</v>
      </c>
      <c r="B55" s="19">
        <v>51</v>
      </c>
      <c r="C55" s="20" t="s">
        <v>108</v>
      </c>
      <c r="D55" s="20">
        <v>434.1</v>
      </c>
      <c r="E55" s="20"/>
      <c r="F55" s="20"/>
      <c r="G55" s="20"/>
      <c r="H55" s="20"/>
      <c r="I55" s="20">
        <v>2446650</v>
      </c>
      <c r="J55" s="20">
        <v>7</v>
      </c>
      <c r="K55" s="20"/>
      <c r="L55" s="20"/>
      <c r="M55" s="84" t="s">
        <v>86</v>
      </c>
      <c r="N55" s="20" t="s">
        <v>54</v>
      </c>
      <c r="Q55" t="s">
        <v>18</v>
      </c>
      <c r="R55" t="s">
        <v>755</v>
      </c>
    </row>
    <row r="56" spans="1:18">
      <c r="A56" s="27" t="s">
        <v>741</v>
      </c>
      <c r="B56" s="19">
        <v>52</v>
      </c>
      <c r="C56" s="20" t="s">
        <v>106</v>
      </c>
      <c r="D56" s="20">
        <v>850</v>
      </c>
      <c r="E56" s="20"/>
      <c r="F56" s="20"/>
      <c r="G56" s="20"/>
      <c r="H56" s="20"/>
      <c r="I56" s="20">
        <v>2429850</v>
      </c>
      <c r="J56" s="20">
        <v>8</v>
      </c>
      <c r="K56" s="20"/>
      <c r="L56" s="20"/>
      <c r="M56" s="84" t="s">
        <v>84</v>
      </c>
      <c r="N56" s="20" t="s">
        <v>77</v>
      </c>
      <c r="Q56" t="s">
        <v>11</v>
      </c>
      <c r="R56" t="s">
        <v>120</v>
      </c>
    </row>
    <row r="57" spans="1:18">
      <c r="A57" s="27" t="s">
        <v>741</v>
      </c>
      <c r="B57" s="19">
        <v>53</v>
      </c>
      <c r="C57" s="20" t="s">
        <v>104</v>
      </c>
      <c r="D57" s="20">
        <v>243</v>
      </c>
      <c r="E57" s="20"/>
      <c r="F57" s="20"/>
      <c r="G57" s="20"/>
      <c r="H57" s="20"/>
      <c r="I57" s="20">
        <v>2437485</v>
      </c>
      <c r="J57" s="20">
        <v>8</v>
      </c>
      <c r="K57" s="20"/>
      <c r="L57" s="20"/>
      <c r="M57" s="84" t="s">
        <v>78</v>
      </c>
      <c r="N57" s="20" t="s">
        <v>77</v>
      </c>
      <c r="Q57" t="s">
        <v>14</v>
      </c>
      <c r="R57" t="s">
        <v>121</v>
      </c>
    </row>
    <row r="58" spans="1:18">
      <c r="A58" s="27" t="s">
        <v>741</v>
      </c>
      <c r="B58" s="19">
        <v>54</v>
      </c>
      <c r="C58" s="20" t="s">
        <v>99</v>
      </c>
      <c r="D58" s="20">
        <v>245.7</v>
      </c>
      <c r="E58" s="20"/>
      <c r="F58" s="20"/>
      <c r="G58" s="20"/>
      <c r="H58" s="20"/>
      <c r="I58" s="20">
        <v>2427655</v>
      </c>
      <c r="J58" s="20">
        <v>8</v>
      </c>
      <c r="K58" s="20"/>
      <c r="L58" s="20"/>
      <c r="M58" s="84" t="s">
        <v>66</v>
      </c>
      <c r="N58" s="20" t="s">
        <v>65</v>
      </c>
      <c r="Q58" t="s">
        <v>86</v>
      </c>
      <c r="R58" t="s">
        <v>349</v>
      </c>
    </row>
    <row r="59" spans="1:18">
      <c r="A59" s="27" t="s">
        <v>741</v>
      </c>
      <c r="B59" s="19">
        <v>55</v>
      </c>
      <c r="C59" s="20" t="s">
        <v>34</v>
      </c>
      <c r="D59" s="20">
        <v>594</v>
      </c>
      <c r="E59" s="20">
        <v>3.2</v>
      </c>
      <c r="F59" s="20"/>
      <c r="G59" s="20">
        <v>-49.2</v>
      </c>
      <c r="H59" s="20">
        <v>0</v>
      </c>
      <c r="I59" s="20">
        <v>2446007.7000000002</v>
      </c>
      <c r="J59" s="20"/>
      <c r="K59" s="20">
        <v>39</v>
      </c>
      <c r="L59" s="20">
        <v>2E-3</v>
      </c>
      <c r="M59" s="84" t="s">
        <v>13</v>
      </c>
      <c r="N59" s="20"/>
      <c r="Q59" t="s">
        <v>76</v>
      </c>
      <c r="R59" t="s">
        <v>357</v>
      </c>
    </row>
    <row r="60" spans="1:18">
      <c r="A60" s="27" t="s">
        <v>741</v>
      </c>
      <c r="B60" s="19">
        <v>56</v>
      </c>
      <c r="C60" s="20" t="s">
        <v>34</v>
      </c>
      <c r="D60" s="20">
        <v>594</v>
      </c>
      <c r="E60" s="20"/>
      <c r="F60" s="20"/>
      <c r="G60" s="20"/>
      <c r="H60" s="20"/>
      <c r="I60" s="20">
        <v>2443660</v>
      </c>
      <c r="J60" s="20">
        <v>12</v>
      </c>
      <c r="K60" s="20"/>
      <c r="L60" s="20"/>
      <c r="M60" s="84" t="s">
        <v>83</v>
      </c>
      <c r="N60" s="20" t="s">
        <v>61</v>
      </c>
      <c r="Q60" t="s">
        <v>80</v>
      </c>
      <c r="R60" t="s">
        <v>359</v>
      </c>
    </row>
    <row r="61" spans="1:18">
      <c r="A61" s="27" t="s">
        <v>742</v>
      </c>
      <c r="B61" s="19">
        <v>57</v>
      </c>
      <c r="C61" s="26" t="s">
        <v>739</v>
      </c>
      <c r="D61" s="26">
        <v>599.4</v>
      </c>
      <c r="E61" s="26">
        <v>2.52</v>
      </c>
      <c r="F61" s="26"/>
      <c r="G61" s="26">
        <v>-55.5</v>
      </c>
      <c r="H61" s="26">
        <v>0</v>
      </c>
      <c r="I61" s="26">
        <v>2450197.2999999998</v>
      </c>
      <c r="J61" s="26">
        <v>0</v>
      </c>
      <c r="K61" s="26"/>
      <c r="L61" s="26">
        <v>1E-3</v>
      </c>
      <c r="M61" s="85" t="s">
        <v>5</v>
      </c>
      <c r="N61" s="26"/>
      <c r="Q61" t="s">
        <v>12</v>
      </c>
      <c r="R61" t="s">
        <v>122</v>
      </c>
    </row>
    <row r="62" spans="1:18">
      <c r="A62" s="27" t="s">
        <v>741</v>
      </c>
      <c r="B62" s="19">
        <v>58</v>
      </c>
      <c r="C62" s="20" t="s">
        <v>96</v>
      </c>
      <c r="D62" s="20">
        <v>1930</v>
      </c>
      <c r="E62" s="20"/>
      <c r="F62" s="20"/>
      <c r="G62" s="20"/>
      <c r="H62" s="20"/>
      <c r="I62" s="20">
        <v>2437455</v>
      </c>
      <c r="J62" s="20">
        <v>9</v>
      </c>
      <c r="K62" s="20"/>
      <c r="L62" s="20"/>
      <c r="M62" s="84" t="s">
        <v>62</v>
      </c>
      <c r="N62" s="20" t="s">
        <v>61</v>
      </c>
      <c r="Q62" t="s">
        <v>89</v>
      </c>
      <c r="R62" t="s">
        <v>370</v>
      </c>
    </row>
    <row r="63" spans="1:18">
      <c r="A63" s="27" t="s">
        <v>741</v>
      </c>
      <c r="B63" s="19">
        <v>59</v>
      </c>
      <c r="C63" s="20" t="s">
        <v>113</v>
      </c>
      <c r="D63" s="20">
        <v>566.5</v>
      </c>
      <c r="E63" s="20"/>
      <c r="F63" s="20"/>
      <c r="G63" s="20"/>
      <c r="H63" s="20"/>
      <c r="I63" s="20">
        <v>2441917</v>
      </c>
      <c r="J63" s="20">
        <v>15</v>
      </c>
      <c r="K63" s="20"/>
      <c r="L63" s="20"/>
      <c r="M63" s="84" t="s">
        <v>95</v>
      </c>
      <c r="N63" s="20" t="s">
        <v>54</v>
      </c>
      <c r="Q63" t="s">
        <v>91</v>
      </c>
      <c r="R63" t="s">
        <v>388</v>
      </c>
    </row>
    <row r="64" spans="1:18">
      <c r="A64" s="27" t="s">
        <v>741</v>
      </c>
      <c r="B64" s="19">
        <v>60</v>
      </c>
      <c r="C64" s="20" t="s">
        <v>103</v>
      </c>
      <c r="D64" s="20">
        <v>590</v>
      </c>
      <c r="E64" s="20"/>
      <c r="F64" s="20"/>
      <c r="G64" s="20"/>
      <c r="H64" s="20"/>
      <c r="I64" s="20">
        <v>2448945</v>
      </c>
      <c r="J64" s="20">
        <v>15</v>
      </c>
      <c r="K64" s="20"/>
      <c r="L64" s="20"/>
      <c r="M64" s="84" t="s">
        <v>76</v>
      </c>
      <c r="N64" s="20" t="s">
        <v>61</v>
      </c>
      <c r="Q64" t="s">
        <v>90</v>
      </c>
      <c r="R64" t="s">
        <v>156</v>
      </c>
    </row>
    <row r="65" spans="1:18">
      <c r="A65" s="27" t="s">
        <v>741</v>
      </c>
      <c r="B65" s="19">
        <v>61</v>
      </c>
      <c r="C65" s="20" t="s">
        <v>38</v>
      </c>
      <c r="D65" s="20">
        <v>758.8</v>
      </c>
      <c r="E65" s="20">
        <v>6.8</v>
      </c>
      <c r="F65" s="20"/>
      <c r="G65" s="20">
        <v>-1.8</v>
      </c>
      <c r="H65" s="20">
        <v>0</v>
      </c>
      <c r="I65" s="20">
        <v>2445703</v>
      </c>
      <c r="J65" s="20"/>
      <c r="K65" s="20">
        <v>102</v>
      </c>
      <c r="L65" s="20">
        <v>2.5000000000000001E-2</v>
      </c>
      <c r="M65" s="84" t="s">
        <v>18</v>
      </c>
      <c r="N65" s="20"/>
      <c r="Q65" t="s">
        <v>73</v>
      </c>
      <c r="R65" t="s">
        <v>756</v>
      </c>
    </row>
    <row r="66" spans="1:18">
      <c r="A66" s="27" t="s">
        <v>741</v>
      </c>
      <c r="B66" s="19">
        <v>62</v>
      </c>
      <c r="C66" s="20" t="s">
        <v>38</v>
      </c>
      <c r="D66" s="20">
        <v>758.8</v>
      </c>
      <c r="E66" s="20"/>
      <c r="F66" s="20"/>
      <c r="G66" s="20"/>
      <c r="H66" s="20"/>
      <c r="I66" s="20">
        <v>2442666</v>
      </c>
      <c r="J66" s="20">
        <v>10</v>
      </c>
      <c r="K66" s="20"/>
      <c r="L66" s="20"/>
      <c r="M66" s="84" t="s">
        <v>94</v>
      </c>
      <c r="N66" s="20" t="s">
        <v>61</v>
      </c>
      <c r="Q66" t="s">
        <v>81</v>
      </c>
      <c r="R66" t="s">
        <v>416</v>
      </c>
    </row>
    <row r="67" spans="1:18">
      <c r="A67" s="27" t="s">
        <v>742</v>
      </c>
      <c r="B67" s="19">
        <v>63</v>
      </c>
      <c r="C67" s="26" t="s">
        <v>38</v>
      </c>
      <c r="D67" s="26">
        <v>759</v>
      </c>
      <c r="E67" s="26">
        <v>6.73</v>
      </c>
      <c r="F67" s="26"/>
      <c r="G67" s="26">
        <v>-0.59</v>
      </c>
      <c r="H67" s="26"/>
      <c r="I67" s="26">
        <v>2450260.2000000002</v>
      </c>
      <c r="J67" s="26">
        <v>0</v>
      </c>
      <c r="K67" s="26"/>
      <c r="L67" s="26">
        <v>2.4E-2</v>
      </c>
      <c r="M67" s="85" t="s">
        <v>5</v>
      </c>
      <c r="N67" s="26"/>
      <c r="Q67" t="s">
        <v>95</v>
      </c>
      <c r="R67" t="s">
        <v>429</v>
      </c>
    </row>
    <row r="68" spans="1:18">
      <c r="Q68" t="s">
        <v>66</v>
      </c>
      <c r="R68" t="s">
        <v>450</v>
      </c>
    </row>
    <row r="69" spans="1:18">
      <c r="Q69" t="s">
        <v>55</v>
      </c>
      <c r="R69" t="s">
        <v>433</v>
      </c>
    </row>
    <row r="70" spans="1:18">
      <c r="Q70" t="s">
        <v>13</v>
      </c>
      <c r="R70" t="s">
        <v>757</v>
      </c>
    </row>
    <row r="71" spans="1:18">
      <c r="Q71" t="s">
        <v>62</v>
      </c>
      <c r="R71" t="s">
        <v>193</v>
      </c>
    </row>
    <row r="72" spans="1:18">
      <c r="Q72" t="s">
        <v>59</v>
      </c>
      <c r="R72" t="s">
        <v>198</v>
      </c>
    </row>
    <row r="73" spans="1:18">
      <c r="Q73" t="s">
        <v>64</v>
      </c>
      <c r="R73" t="s">
        <v>199</v>
      </c>
    </row>
    <row r="74" spans="1:18">
      <c r="Q74" t="s">
        <v>9</v>
      </c>
      <c r="R74" t="s">
        <v>123</v>
      </c>
    </row>
    <row r="75" spans="1:18">
      <c r="Q75" t="s">
        <v>519</v>
      </c>
      <c r="R75" t="s">
        <v>737</v>
      </c>
    </row>
    <row r="76" spans="1:18">
      <c r="Q76" t="s">
        <v>93</v>
      </c>
      <c r="R76" t="s">
        <v>206</v>
      </c>
    </row>
    <row r="77" spans="1:18">
      <c r="Q77" t="s">
        <v>94</v>
      </c>
      <c r="R77" t="s">
        <v>207</v>
      </c>
    </row>
    <row r="78" spans="1:18">
      <c r="Q78" t="s">
        <v>5</v>
      </c>
      <c r="R78" t="s">
        <v>738</v>
      </c>
    </row>
    <row r="79" spans="1:18">
      <c r="Q79" t="s">
        <v>7</v>
      </c>
      <c r="R79" t="s">
        <v>124</v>
      </c>
    </row>
    <row r="80" spans="1:18">
      <c r="Q80" t="s">
        <v>758</v>
      </c>
      <c r="R80" t="s">
        <v>759</v>
      </c>
    </row>
    <row r="81" spans="17:18">
      <c r="Q81" t="s">
        <v>451</v>
      </c>
      <c r="R81" t="s">
        <v>828</v>
      </c>
    </row>
    <row r="82" spans="17:18">
      <c r="Q82" t="s">
        <v>452</v>
      </c>
      <c r="R82" s="89" t="s">
        <v>987</v>
      </c>
    </row>
    <row r="83" spans="17:18">
      <c r="Q83" t="s">
        <v>453</v>
      </c>
      <c r="R83" s="83" t="s">
        <v>993</v>
      </c>
    </row>
    <row r="84" spans="17:18">
      <c r="Q84" s="83" t="s">
        <v>460</v>
      </c>
      <c r="R84" s="83" t="s">
        <v>994</v>
      </c>
    </row>
  </sheetData>
  <sortState xmlns:xlrd2="http://schemas.microsoft.com/office/spreadsheetml/2017/richdata2" ref="A5:N67">
    <sortCondition ref="B5:B67"/>
  </sortState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Feuil3"/>
  <dimension ref="A1:C319"/>
  <sheetViews>
    <sheetView topLeftCell="B64" workbookViewId="0">
      <selection activeCell="C14" sqref="C14"/>
    </sheetView>
  </sheetViews>
  <sheetFormatPr baseColWidth="10" defaultRowHeight="12.75"/>
  <cols>
    <col min="2" max="2" width="105.42578125" customWidth="1"/>
  </cols>
  <sheetData>
    <row r="1" spans="1:3">
      <c r="A1" t="s">
        <v>451</v>
      </c>
      <c r="B1" t="s">
        <v>132</v>
      </c>
      <c r="C1" t="s">
        <v>731</v>
      </c>
    </row>
    <row r="2" spans="1:3">
      <c r="A2" t="s">
        <v>452</v>
      </c>
      <c r="B2" t="s">
        <v>133</v>
      </c>
      <c r="C2" t="s">
        <v>732</v>
      </c>
    </row>
    <row r="3" spans="1:3">
      <c r="A3" t="s">
        <v>453</v>
      </c>
      <c r="B3" t="s">
        <v>446</v>
      </c>
      <c r="C3" t="s">
        <v>733</v>
      </c>
    </row>
    <row r="4" spans="1:3">
      <c r="A4" t="s">
        <v>454</v>
      </c>
      <c r="B4" t="s">
        <v>134</v>
      </c>
      <c r="C4" t="s">
        <v>734</v>
      </c>
    </row>
    <row r="5" spans="1:3">
      <c r="A5" t="s">
        <v>455</v>
      </c>
      <c r="B5" t="s">
        <v>135</v>
      </c>
      <c r="C5" t="s">
        <v>735</v>
      </c>
    </row>
    <row r="6" spans="1:3">
      <c r="A6" t="s">
        <v>456</v>
      </c>
      <c r="B6" t="s">
        <v>136</v>
      </c>
    </row>
    <row r="7" spans="1:3">
      <c r="A7" t="s">
        <v>457</v>
      </c>
      <c r="B7" t="s">
        <v>137</v>
      </c>
    </row>
    <row r="8" spans="1:3">
      <c r="A8" t="s">
        <v>458</v>
      </c>
      <c r="B8" t="s">
        <v>138</v>
      </c>
    </row>
    <row r="9" spans="1:3">
      <c r="A9" t="s">
        <v>459</v>
      </c>
      <c r="B9" t="s">
        <v>139</v>
      </c>
    </row>
    <row r="10" spans="1:3">
      <c r="A10" t="s">
        <v>460</v>
      </c>
      <c r="B10" t="s">
        <v>140</v>
      </c>
    </row>
    <row r="11" spans="1:3">
      <c r="A11" t="s">
        <v>461</v>
      </c>
      <c r="B11" t="s">
        <v>141</v>
      </c>
    </row>
    <row r="12" spans="1:3">
      <c r="A12" t="s">
        <v>462</v>
      </c>
      <c r="B12" t="s">
        <v>142</v>
      </c>
    </row>
    <row r="13" spans="1:3">
      <c r="A13" t="s">
        <v>463</v>
      </c>
      <c r="B13" t="s">
        <v>143</v>
      </c>
    </row>
    <row r="14" spans="1:3">
      <c r="A14" t="s">
        <v>464</v>
      </c>
      <c r="B14" t="s">
        <v>144</v>
      </c>
    </row>
    <row r="15" spans="1:3">
      <c r="A15" t="s">
        <v>465</v>
      </c>
      <c r="B15" t="s">
        <v>145</v>
      </c>
    </row>
    <row r="16" spans="1:3">
      <c r="A16" t="s">
        <v>466</v>
      </c>
      <c r="B16" t="s">
        <v>146</v>
      </c>
    </row>
    <row r="17" spans="1:2">
      <c r="A17" t="s">
        <v>467</v>
      </c>
      <c r="B17" t="s">
        <v>147</v>
      </c>
    </row>
    <row r="18" spans="1:2">
      <c r="A18" t="s">
        <v>468</v>
      </c>
      <c r="B18" t="s">
        <v>148</v>
      </c>
    </row>
    <row r="19" spans="1:2">
      <c r="A19" t="s">
        <v>469</v>
      </c>
      <c r="B19" t="s">
        <v>149</v>
      </c>
    </row>
    <row r="20" spans="1:2">
      <c r="A20" t="s">
        <v>470</v>
      </c>
      <c r="B20" t="s">
        <v>150</v>
      </c>
    </row>
    <row r="21" spans="1:2">
      <c r="A21" t="s">
        <v>471</v>
      </c>
      <c r="B21" t="s">
        <v>151</v>
      </c>
    </row>
    <row r="22" spans="1:2">
      <c r="A22" t="s">
        <v>472</v>
      </c>
      <c r="B22" t="s">
        <v>152</v>
      </c>
    </row>
    <row r="23" spans="1:2">
      <c r="A23" t="s">
        <v>473</v>
      </c>
      <c r="B23" t="s">
        <v>153</v>
      </c>
    </row>
    <row r="24" spans="1:2">
      <c r="A24" t="s">
        <v>474</v>
      </c>
      <c r="B24" t="s">
        <v>154</v>
      </c>
    </row>
    <row r="25" spans="1:2">
      <c r="A25" t="s">
        <v>475</v>
      </c>
      <c r="B25" t="s">
        <v>155</v>
      </c>
    </row>
    <row r="26" spans="1:2">
      <c r="A26" t="s">
        <v>90</v>
      </c>
      <c r="B26" t="s">
        <v>156</v>
      </c>
    </row>
    <row r="27" spans="1:2">
      <c r="A27" t="s">
        <v>476</v>
      </c>
      <c r="B27" t="s">
        <v>157</v>
      </c>
    </row>
    <row r="28" spans="1:2">
      <c r="A28" t="s">
        <v>477</v>
      </c>
      <c r="B28" t="s">
        <v>158</v>
      </c>
    </row>
    <row r="29" spans="1:2">
      <c r="A29" t="s">
        <v>478</v>
      </c>
      <c r="B29" t="s">
        <v>159</v>
      </c>
    </row>
    <row r="30" spans="1:2">
      <c r="A30" t="s">
        <v>479</v>
      </c>
      <c r="B30" t="s">
        <v>160</v>
      </c>
    </row>
    <row r="31" spans="1:2">
      <c r="A31" t="s">
        <v>480</v>
      </c>
      <c r="B31" t="s">
        <v>161</v>
      </c>
    </row>
    <row r="32" spans="1:2">
      <c r="A32" t="s">
        <v>481</v>
      </c>
      <c r="B32" t="s">
        <v>162</v>
      </c>
    </row>
    <row r="33" spans="1:2">
      <c r="A33" t="s">
        <v>482</v>
      </c>
      <c r="B33" t="s">
        <v>163</v>
      </c>
    </row>
    <row r="34" spans="1:2">
      <c r="A34" t="s">
        <v>483</v>
      </c>
      <c r="B34" t="s">
        <v>164</v>
      </c>
    </row>
    <row r="35" spans="1:2">
      <c r="A35" t="s">
        <v>484</v>
      </c>
      <c r="B35" t="s">
        <v>165</v>
      </c>
    </row>
    <row r="36" spans="1:2">
      <c r="A36" t="s">
        <v>485</v>
      </c>
      <c r="B36" t="s">
        <v>166</v>
      </c>
    </row>
    <row r="37" spans="1:2">
      <c r="A37" t="s">
        <v>486</v>
      </c>
      <c r="B37" t="s">
        <v>167</v>
      </c>
    </row>
    <row r="38" spans="1:2">
      <c r="A38" t="s">
        <v>487</v>
      </c>
      <c r="B38" t="s">
        <v>168</v>
      </c>
    </row>
    <row r="39" spans="1:2">
      <c r="A39" t="s">
        <v>488</v>
      </c>
      <c r="B39" t="s">
        <v>169</v>
      </c>
    </row>
    <row r="40" spans="1:2">
      <c r="A40" t="s">
        <v>489</v>
      </c>
      <c r="B40" t="s">
        <v>170</v>
      </c>
    </row>
    <row r="41" spans="1:2">
      <c r="A41" t="s">
        <v>490</v>
      </c>
      <c r="B41" t="s">
        <v>171</v>
      </c>
    </row>
    <row r="42" spans="1:2">
      <c r="A42" t="s">
        <v>491</v>
      </c>
      <c r="B42" t="s">
        <v>172</v>
      </c>
    </row>
    <row r="43" spans="1:2">
      <c r="A43" t="s">
        <v>492</v>
      </c>
      <c r="B43" t="s">
        <v>173</v>
      </c>
    </row>
    <row r="44" spans="1:2">
      <c r="A44" t="s">
        <v>493</v>
      </c>
      <c r="B44" t="s">
        <v>174</v>
      </c>
    </row>
    <row r="45" spans="1:2">
      <c r="A45" t="s">
        <v>494</v>
      </c>
      <c r="B45" t="s">
        <v>175</v>
      </c>
    </row>
    <row r="46" spans="1:2">
      <c r="A46" t="s">
        <v>495</v>
      </c>
      <c r="B46" t="s">
        <v>176</v>
      </c>
    </row>
    <row r="47" spans="1:2">
      <c r="A47" t="s">
        <v>496</v>
      </c>
      <c r="B47" t="s">
        <v>177</v>
      </c>
    </row>
    <row r="48" spans="1:2">
      <c r="A48" t="s">
        <v>497</v>
      </c>
      <c r="B48" t="s">
        <v>178</v>
      </c>
    </row>
    <row r="49" spans="1:2">
      <c r="A49" t="s">
        <v>498</v>
      </c>
      <c r="B49" t="s">
        <v>179</v>
      </c>
    </row>
    <row r="50" spans="1:2">
      <c r="A50" t="s">
        <v>499</v>
      </c>
      <c r="B50" t="s">
        <v>180</v>
      </c>
    </row>
    <row r="51" spans="1:2">
      <c r="A51" t="s">
        <v>500</v>
      </c>
      <c r="B51" t="s">
        <v>181</v>
      </c>
    </row>
    <row r="52" spans="1:2">
      <c r="A52" t="s">
        <v>501</v>
      </c>
      <c r="B52" t="s">
        <v>182</v>
      </c>
    </row>
    <row r="53" spans="1:2">
      <c r="A53" t="s">
        <v>502</v>
      </c>
      <c r="B53" t="s">
        <v>183</v>
      </c>
    </row>
    <row r="54" spans="1:2">
      <c r="A54" t="s">
        <v>503</v>
      </c>
      <c r="B54" t="s">
        <v>184</v>
      </c>
    </row>
    <row r="55" spans="1:2">
      <c r="A55" t="s">
        <v>504</v>
      </c>
      <c r="B55" t="s">
        <v>185</v>
      </c>
    </row>
    <row r="56" spans="1:2">
      <c r="A56" t="s">
        <v>505</v>
      </c>
      <c r="B56" t="s">
        <v>186</v>
      </c>
    </row>
    <row r="57" spans="1:2">
      <c r="A57" t="s">
        <v>506</v>
      </c>
      <c r="B57" t="s">
        <v>187</v>
      </c>
    </row>
    <row r="58" spans="1:2">
      <c r="A58" t="s">
        <v>507</v>
      </c>
      <c r="B58" t="s">
        <v>188</v>
      </c>
    </row>
    <row r="59" spans="1:2">
      <c r="A59" t="s">
        <v>508</v>
      </c>
      <c r="B59" t="s">
        <v>189</v>
      </c>
    </row>
    <row r="60" spans="1:2">
      <c r="A60" t="s">
        <v>509</v>
      </c>
      <c r="B60" t="s">
        <v>190</v>
      </c>
    </row>
    <row r="61" spans="1:2">
      <c r="A61" t="s">
        <v>13</v>
      </c>
      <c r="B61" t="s">
        <v>191</v>
      </c>
    </row>
    <row r="62" spans="1:2">
      <c r="A62" t="s">
        <v>510</v>
      </c>
      <c r="B62" t="s">
        <v>192</v>
      </c>
    </row>
    <row r="63" spans="1:2">
      <c r="A63" t="s">
        <v>62</v>
      </c>
      <c r="B63" t="s">
        <v>193</v>
      </c>
    </row>
    <row r="64" spans="1:2">
      <c r="A64" t="s">
        <v>511</v>
      </c>
      <c r="B64" t="s">
        <v>194</v>
      </c>
    </row>
    <row r="65" spans="1:2">
      <c r="A65" t="s">
        <v>512</v>
      </c>
      <c r="B65" t="s">
        <v>195</v>
      </c>
    </row>
    <row r="66" spans="1:2">
      <c r="A66" t="s">
        <v>513</v>
      </c>
      <c r="B66" t="s">
        <v>196</v>
      </c>
    </row>
    <row r="67" spans="1:2">
      <c r="A67" t="s">
        <v>514</v>
      </c>
      <c r="B67" t="s">
        <v>197</v>
      </c>
    </row>
    <row r="68" spans="1:2">
      <c r="A68" t="s">
        <v>59</v>
      </c>
      <c r="B68" t="s">
        <v>198</v>
      </c>
    </row>
    <row r="69" spans="1:2">
      <c r="A69" t="s">
        <v>64</v>
      </c>
      <c r="B69" t="s">
        <v>199</v>
      </c>
    </row>
    <row r="70" spans="1:2">
      <c r="A70" t="s">
        <v>515</v>
      </c>
      <c r="B70" t="s">
        <v>200</v>
      </c>
    </row>
    <row r="71" spans="1:2">
      <c r="A71" t="s">
        <v>9</v>
      </c>
      <c r="B71" t="s">
        <v>201</v>
      </c>
    </row>
    <row r="72" spans="1:2">
      <c r="A72" t="s">
        <v>516</v>
      </c>
      <c r="B72" t="s">
        <v>202</v>
      </c>
    </row>
    <row r="73" spans="1:2">
      <c r="A73" t="s">
        <v>517</v>
      </c>
      <c r="B73" t="s">
        <v>203</v>
      </c>
    </row>
    <row r="74" spans="1:2">
      <c r="A74" t="s">
        <v>518</v>
      </c>
      <c r="B74" t="s">
        <v>204</v>
      </c>
    </row>
    <row r="75" spans="1:2">
      <c r="A75" t="s">
        <v>519</v>
      </c>
      <c r="B75" t="s">
        <v>205</v>
      </c>
    </row>
    <row r="76" spans="1:2">
      <c r="A76" t="s">
        <v>93</v>
      </c>
      <c r="B76" t="s">
        <v>206</v>
      </c>
    </row>
    <row r="77" spans="1:2">
      <c r="A77" t="s">
        <v>94</v>
      </c>
      <c r="B77" t="s">
        <v>207</v>
      </c>
    </row>
    <row r="78" spans="1:2">
      <c r="A78" t="s">
        <v>5</v>
      </c>
      <c r="B78" t="s">
        <v>208</v>
      </c>
    </row>
    <row r="79" spans="1:2">
      <c r="A79" t="s">
        <v>520</v>
      </c>
      <c r="B79" t="s">
        <v>209</v>
      </c>
    </row>
    <row r="80" spans="1:2">
      <c r="A80" t="s">
        <v>521</v>
      </c>
      <c r="B80" t="s">
        <v>210</v>
      </c>
    </row>
    <row r="81" spans="1:2">
      <c r="A81" t="s">
        <v>522</v>
      </c>
      <c r="B81" t="s">
        <v>211</v>
      </c>
    </row>
    <row r="82" spans="1:2">
      <c r="A82" t="s">
        <v>523</v>
      </c>
      <c r="B82" t="s">
        <v>212</v>
      </c>
    </row>
    <row r="83" spans="1:2">
      <c r="A83" t="s">
        <v>524</v>
      </c>
      <c r="B83" t="s">
        <v>213</v>
      </c>
    </row>
    <row r="84" spans="1:2">
      <c r="A84" t="s">
        <v>525</v>
      </c>
      <c r="B84" t="s">
        <v>214</v>
      </c>
    </row>
    <row r="85" spans="1:2">
      <c r="A85" t="s">
        <v>526</v>
      </c>
      <c r="B85" t="s">
        <v>215</v>
      </c>
    </row>
    <row r="86" spans="1:2">
      <c r="A86" t="s">
        <v>7</v>
      </c>
      <c r="B86" t="s">
        <v>216</v>
      </c>
    </row>
    <row r="87" spans="1:2">
      <c r="A87" t="s">
        <v>527</v>
      </c>
      <c r="B87" t="s">
        <v>217</v>
      </c>
    </row>
    <row r="88" spans="1:2">
      <c r="A88" t="s">
        <v>528</v>
      </c>
      <c r="B88" t="s">
        <v>218</v>
      </c>
    </row>
    <row r="89" spans="1:2">
      <c r="A89" t="s">
        <v>529</v>
      </c>
      <c r="B89" t="s">
        <v>219</v>
      </c>
    </row>
    <row r="90" spans="1:2">
      <c r="A90" t="s">
        <v>530</v>
      </c>
      <c r="B90" t="s">
        <v>220</v>
      </c>
    </row>
    <row r="91" spans="1:2">
      <c r="A91" t="s">
        <v>531</v>
      </c>
      <c r="B91" t="s">
        <v>221</v>
      </c>
    </row>
    <row r="92" spans="1:2">
      <c r="A92" t="s">
        <v>532</v>
      </c>
      <c r="B92" t="s">
        <v>222</v>
      </c>
    </row>
    <row r="93" spans="1:2">
      <c r="A93" t="s">
        <v>533</v>
      </c>
      <c r="B93" t="s">
        <v>223</v>
      </c>
    </row>
    <row r="94" spans="1:2">
      <c r="A94" t="s">
        <v>534</v>
      </c>
      <c r="B94" t="s">
        <v>224</v>
      </c>
    </row>
    <row r="95" spans="1:2">
      <c r="A95" t="s">
        <v>535</v>
      </c>
      <c r="B95" t="s">
        <v>225</v>
      </c>
    </row>
    <row r="96" spans="1:2">
      <c r="A96" t="s">
        <v>536</v>
      </c>
      <c r="B96" t="s">
        <v>226</v>
      </c>
    </row>
    <row r="97" spans="1:2">
      <c r="A97" t="s">
        <v>537</v>
      </c>
      <c r="B97" t="s">
        <v>227</v>
      </c>
    </row>
    <row r="98" spans="1:2">
      <c r="A98" t="s">
        <v>538</v>
      </c>
      <c r="B98" t="s">
        <v>228</v>
      </c>
    </row>
    <row r="99" spans="1:2">
      <c r="A99" t="s">
        <v>539</v>
      </c>
      <c r="B99" t="s">
        <v>229</v>
      </c>
    </row>
    <row r="100" spans="1:2">
      <c r="A100" t="s">
        <v>540</v>
      </c>
      <c r="B100" t="s">
        <v>230</v>
      </c>
    </row>
    <row r="101" spans="1:2">
      <c r="A101" t="s">
        <v>15</v>
      </c>
      <c r="B101" t="s">
        <v>231</v>
      </c>
    </row>
    <row r="102" spans="1:2">
      <c r="A102" t="s">
        <v>541</v>
      </c>
      <c r="B102" t="s">
        <v>232</v>
      </c>
    </row>
    <row r="103" spans="1:2">
      <c r="A103" t="s">
        <v>542</v>
      </c>
      <c r="B103" t="s">
        <v>233</v>
      </c>
    </row>
    <row r="104" spans="1:2">
      <c r="A104" t="s">
        <v>84</v>
      </c>
      <c r="B104" t="s">
        <v>234</v>
      </c>
    </row>
    <row r="105" spans="1:2">
      <c r="A105" t="s">
        <v>78</v>
      </c>
      <c r="B105" t="s">
        <v>235</v>
      </c>
    </row>
    <row r="106" spans="1:2">
      <c r="A106" t="s">
        <v>543</v>
      </c>
      <c r="B106" t="s">
        <v>236</v>
      </c>
    </row>
    <row r="107" spans="1:2">
      <c r="A107" t="s">
        <v>544</v>
      </c>
      <c r="B107" t="s">
        <v>237</v>
      </c>
    </row>
    <row r="108" spans="1:2">
      <c r="A108" t="s">
        <v>545</v>
      </c>
      <c r="B108" t="s">
        <v>238</v>
      </c>
    </row>
    <row r="109" spans="1:2">
      <c r="A109" t="s">
        <v>546</v>
      </c>
      <c r="B109" t="s">
        <v>239</v>
      </c>
    </row>
    <row r="110" spans="1:2">
      <c r="A110" t="s">
        <v>547</v>
      </c>
      <c r="B110" t="s">
        <v>240</v>
      </c>
    </row>
    <row r="111" spans="1:2">
      <c r="A111" t="s">
        <v>548</v>
      </c>
      <c r="B111" t="s">
        <v>241</v>
      </c>
    </row>
    <row r="112" spans="1:2">
      <c r="A112" t="s">
        <v>549</v>
      </c>
      <c r="B112" t="s">
        <v>242</v>
      </c>
    </row>
    <row r="113" spans="1:2">
      <c r="A113" t="s">
        <v>550</v>
      </c>
      <c r="B113" t="s">
        <v>243</v>
      </c>
    </row>
    <row r="114" spans="1:2">
      <c r="A114" t="s">
        <v>551</v>
      </c>
      <c r="B114" t="s">
        <v>244</v>
      </c>
    </row>
    <row r="115" spans="1:2">
      <c r="A115" t="s">
        <v>552</v>
      </c>
      <c r="B115" t="s">
        <v>245</v>
      </c>
    </row>
    <row r="116" spans="1:2">
      <c r="A116" t="s">
        <v>553</v>
      </c>
      <c r="B116" t="s">
        <v>246</v>
      </c>
    </row>
    <row r="117" spans="1:2">
      <c r="A117" t="s">
        <v>554</v>
      </c>
      <c r="B117" t="s">
        <v>247</v>
      </c>
    </row>
    <row r="118" spans="1:2">
      <c r="A118" t="s">
        <v>555</v>
      </c>
      <c r="B118" t="s">
        <v>248</v>
      </c>
    </row>
    <row r="119" spans="1:2">
      <c r="A119" t="s">
        <v>556</v>
      </c>
      <c r="B119" t="s">
        <v>249</v>
      </c>
    </row>
    <row r="120" spans="1:2">
      <c r="A120" t="s">
        <v>557</v>
      </c>
      <c r="B120" t="s">
        <v>250</v>
      </c>
    </row>
    <row r="121" spans="1:2">
      <c r="A121" t="s">
        <v>558</v>
      </c>
      <c r="B121" t="s">
        <v>251</v>
      </c>
    </row>
    <row r="122" spans="1:2">
      <c r="A122" t="s">
        <v>559</v>
      </c>
      <c r="B122" t="s">
        <v>252</v>
      </c>
    </row>
    <row r="123" spans="1:2">
      <c r="A123" t="s">
        <v>560</v>
      </c>
      <c r="B123" t="s">
        <v>253</v>
      </c>
    </row>
    <row r="124" spans="1:2">
      <c r="A124" t="s">
        <v>561</v>
      </c>
      <c r="B124" t="s">
        <v>254</v>
      </c>
    </row>
    <row r="125" spans="1:2">
      <c r="A125" t="s">
        <v>562</v>
      </c>
      <c r="B125" t="s">
        <v>255</v>
      </c>
    </row>
    <row r="126" spans="1:2">
      <c r="A126" t="s">
        <v>563</v>
      </c>
      <c r="B126" t="s">
        <v>256</v>
      </c>
    </row>
    <row r="127" spans="1:2">
      <c r="A127" t="s">
        <v>564</v>
      </c>
      <c r="B127" t="s">
        <v>257</v>
      </c>
    </row>
    <row r="128" spans="1:2">
      <c r="A128" t="s">
        <v>8</v>
      </c>
      <c r="B128" t="s">
        <v>258</v>
      </c>
    </row>
    <row r="129" spans="1:2">
      <c r="A129" t="s">
        <v>565</v>
      </c>
      <c r="B129" t="s">
        <v>259</v>
      </c>
    </row>
    <row r="130" spans="1:2">
      <c r="A130" t="s">
        <v>566</v>
      </c>
      <c r="B130" t="s">
        <v>260</v>
      </c>
    </row>
    <row r="131" spans="1:2">
      <c r="A131" t="s">
        <v>114</v>
      </c>
      <c r="B131" t="s">
        <v>261</v>
      </c>
    </row>
    <row r="132" spans="1:2">
      <c r="A132" t="s">
        <v>567</v>
      </c>
      <c r="B132" t="s">
        <v>262</v>
      </c>
    </row>
    <row r="133" spans="1:2">
      <c r="A133" t="s">
        <v>568</v>
      </c>
      <c r="B133" t="s">
        <v>263</v>
      </c>
    </row>
    <row r="134" spans="1:2">
      <c r="A134" t="s">
        <v>569</v>
      </c>
      <c r="B134" t="s">
        <v>264</v>
      </c>
    </row>
    <row r="135" spans="1:2">
      <c r="A135" t="s">
        <v>570</v>
      </c>
      <c r="B135" t="s">
        <v>265</v>
      </c>
    </row>
    <row r="136" spans="1:2">
      <c r="A136" t="s">
        <v>571</v>
      </c>
      <c r="B136" t="s">
        <v>266</v>
      </c>
    </row>
    <row r="137" spans="1:2">
      <c r="A137" t="s">
        <v>572</v>
      </c>
      <c r="B137" t="s">
        <v>267</v>
      </c>
    </row>
    <row r="138" spans="1:2">
      <c r="A138" t="s">
        <v>573</v>
      </c>
      <c r="B138" t="s">
        <v>268</v>
      </c>
    </row>
    <row r="139" spans="1:2">
      <c r="A139" t="s">
        <v>574</v>
      </c>
      <c r="B139" t="s">
        <v>269</v>
      </c>
    </row>
    <row r="140" spans="1:2">
      <c r="A140" t="s">
        <v>575</v>
      </c>
      <c r="B140" t="s">
        <v>270</v>
      </c>
    </row>
    <row r="141" spans="1:2">
      <c r="A141" t="s">
        <v>576</v>
      </c>
      <c r="B141" t="s">
        <v>271</v>
      </c>
    </row>
    <row r="142" spans="1:2">
      <c r="A142" t="s">
        <v>71</v>
      </c>
      <c r="B142" t="s">
        <v>272</v>
      </c>
    </row>
    <row r="143" spans="1:2">
      <c r="A143" t="s">
        <v>577</v>
      </c>
      <c r="B143" t="s">
        <v>273</v>
      </c>
    </row>
    <row r="144" spans="1:2">
      <c r="A144" t="s">
        <v>578</v>
      </c>
      <c r="B144" t="s">
        <v>274</v>
      </c>
    </row>
    <row r="145" spans="1:2">
      <c r="A145" t="s">
        <v>579</v>
      </c>
      <c r="B145" t="s">
        <v>275</v>
      </c>
    </row>
    <row r="146" spans="1:2">
      <c r="A146" t="s">
        <v>10</v>
      </c>
      <c r="B146" t="s">
        <v>276</v>
      </c>
    </row>
    <row r="147" spans="1:2">
      <c r="A147" t="s">
        <v>580</v>
      </c>
      <c r="B147" t="s">
        <v>277</v>
      </c>
    </row>
    <row r="148" spans="1:2">
      <c r="A148" t="s">
        <v>17</v>
      </c>
      <c r="B148" t="s">
        <v>278</v>
      </c>
    </row>
    <row r="149" spans="1:2">
      <c r="A149" t="s">
        <v>16</v>
      </c>
      <c r="B149" t="s">
        <v>279</v>
      </c>
    </row>
    <row r="150" spans="1:2">
      <c r="A150" t="s">
        <v>581</v>
      </c>
      <c r="B150" t="s">
        <v>280</v>
      </c>
    </row>
    <row r="151" spans="1:2">
      <c r="A151" t="s">
        <v>582</v>
      </c>
      <c r="B151" t="s">
        <v>281</v>
      </c>
    </row>
    <row r="152" spans="1:2">
      <c r="A152" t="s">
        <v>583</v>
      </c>
      <c r="B152" t="s">
        <v>282</v>
      </c>
    </row>
    <row r="153" spans="1:2">
      <c r="A153" t="s">
        <v>584</v>
      </c>
      <c r="B153" t="s">
        <v>283</v>
      </c>
    </row>
    <row r="154" spans="1:2">
      <c r="A154" t="s">
        <v>585</v>
      </c>
      <c r="B154" t="s">
        <v>284</v>
      </c>
    </row>
    <row r="155" spans="1:2">
      <c r="A155" t="s">
        <v>586</v>
      </c>
      <c r="B155" t="s">
        <v>285</v>
      </c>
    </row>
    <row r="156" spans="1:2">
      <c r="A156" t="s">
        <v>587</v>
      </c>
      <c r="B156" t="s">
        <v>286</v>
      </c>
    </row>
    <row r="157" spans="1:2">
      <c r="A157" t="s">
        <v>588</v>
      </c>
      <c r="B157" t="s">
        <v>287</v>
      </c>
    </row>
    <row r="158" spans="1:2">
      <c r="A158" t="s">
        <v>589</v>
      </c>
      <c r="B158" t="s">
        <v>288</v>
      </c>
    </row>
    <row r="159" spans="1:2">
      <c r="A159" t="s">
        <v>590</v>
      </c>
      <c r="B159" t="s">
        <v>289</v>
      </c>
    </row>
    <row r="160" spans="1:2">
      <c r="A160" t="s">
        <v>591</v>
      </c>
      <c r="B160" t="s">
        <v>290</v>
      </c>
    </row>
    <row r="161" spans="1:2">
      <c r="A161" t="s">
        <v>592</v>
      </c>
      <c r="B161" t="s">
        <v>291</v>
      </c>
    </row>
    <row r="162" spans="1:2">
      <c r="A162" t="s">
        <v>83</v>
      </c>
      <c r="B162" t="s">
        <v>292</v>
      </c>
    </row>
    <row r="163" spans="1:2">
      <c r="A163" t="s">
        <v>593</v>
      </c>
      <c r="B163" t="s">
        <v>293</v>
      </c>
    </row>
    <row r="164" spans="1:2">
      <c r="A164" t="s">
        <v>594</v>
      </c>
      <c r="B164" t="s">
        <v>294</v>
      </c>
    </row>
    <row r="165" spans="1:2">
      <c r="A165" t="s">
        <v>595</v>
      </c>
      <c r="B165" t="s">
        <v>295</v>
      </c>
    </row>
    <row r="166" spans="1:2">
      <c r="A166" t="s">
        <v>596</v>
      </c>
      <c r="B166" t="s">
        <v>296</v>
      </c>
    </row>
    <row r="167" spans="1:2">
      <c r="A167" t="s">
        <v>597</v>
      </c>
      <c r="B167" t="s">
        <v>297</v>
      </c>
    </row>
    <row r="168" spans="1:2">
      <c r="A168" t="s">
        <v>598</v>
      </c>
      <c r="B168" t="s">
        <v>298</v>
      </c>
    </row>
    <row r="169" spans="1:2">
      <c r="A169" t="s">
        <v>599</v>
      </c>
      <c r="B169" t="s">
        <v>299</v>
      </c>
    </row>
    <row r="170" spans="1:2">
      <c r="A170" t="s">
        <v>600</v>
      </c>
      <c r="B170" t="s">
        <v>300</v>
      </c>
    </row>
    <row r="171" spans="1:2">
      <c r="A171" t="s">
        <v>68</v>
      </c>
      <c r="B171" t="s">
        <v>301</v>
      </c>
    </row>
    <row r="172" spans="1:2">
      <c r="A172" t="s">
        <v>601</v>
      </c>
      <c r="B172" t="s">
        <v>302</v>
      </c>
    </row>
    <row r="173" spans="1:2">
      <c r="A173" t="s">
        <v>602</v>
      </c>
      <c r="B173" t="s">
        <v>303</v>
      </c>
    </row>
    <row r="174" spans="1:2">
      <c r="A174" t="s">
        <v>603</v>
      </c>
      <c r="B174" t="s">
        <v>304</v>
      </c>
    </row>
    <row r="175" spans="1:2">
      <c r="A175" t="s">
        <v>604</v>
      </c>
      <c r="B175" t="s">
        <v>305</v>
      </c>
    </row>
    <row r="176" spans="1:2">
      <c r="A176" t="s">
        <v>605</v>
      </c>
      <c r="B176" t="s">
        <v>306</v>
      </c>
    </row>
    <row r="177" spans="1:2">
      <c r="A177" t="s">
        <v>606</v>
      </c>
      <c r="B177" t="s">
        <v>307</v>
      </c>
    </row>
    <row r="178" spans="1:2">
      <c r="A178" t="s">
        <v>607</v>
      </c>
      <c r="B178" t="s">
        <v>308</v>
      </c>
    </row>
    <row r="179" spans="1:2">
      <c r="A179" t="s">
        <v>608</v>
      </c>
      <c r="B179" t="s">
        <v>309</v>
      </c>
    </row>
    <row r="180" spans="1:2">
      <c r="A180" t="s">
        <v>609</v>
      </c>
      <c r="B180" t="s">
        <v>310</v>
      </c>
    </row>
    <row r="181" spans="1:2">
      <c r="A181" t="s">
        <v>610</v>
      </c>
      <c r="B181" t="s">
        <v>311</v>
      </c>
    </row>
    <row r="182" spans="1:2">
      <c r="A182" t="s">
        <v>611</v>
      </c>
      <c r="B182" t="s">
        <v>312</v>
      </c>
    </row>
    <row r="183" spans="1:2">
      <c r="A183" t="s">
        <v>612</v>
      </c>
      <c r="B183" t="s">
        <v>313</v>
      </c>
    </row>
    <row r="184" spans="1:2">
      <c r="A184" t="s">
        <v>613</v>
      </c>
      <c r="B184" t="s">
        <v>314</v>
      </c>
    </row>
    <row r="185" spans="1:2">
      <c r="A185" t="s">
        <v>614</v>
      </c>
      <c r="B185" t="s">
        <v>315</v>
      </c>
    </row>
    <row r="186" spans="1:2">
      <c r="A186" t="s">
        <v>615</v>
      </c>
      <c r="B186" t="s">
        <v>316</v>
      </c>
    </row>
    <row r="187" spans="1:2">
      <c r="A187" t="s">
        <v>616</v>
      </c>
      <c r="B187" t="s">
        <v>317</v>
      </c>
    </row>
    <row r="188" spans="1:2">
      <c r="A188" t="s">
        <v>70</v>
      </c>
      <c r="B188" t="s">
        <v>318</v>
      </c>
    </row>
    <row r="189" spans="1:2">
      <c r="A189" t="s">
        <v>617</v>
      </c>
      <c r="B189" t="s">
        <v>319</v>
      </c>
    </row>
    <row r="190" spans="1:2">
      <c r="A190" t="s">
        <v>618</v>
      </c>
      <c r="B190" t="s">
        <v>320</v>
      </c>
    </row>
    <row r="191" spans="1:2">
      <c r="A191" t="s">
        <v>619</v>
      </c>
      <c r="B191" t="s">
        <v>321</v>
      </c>
    </row>
    <row r="192" spans="1:2">
      <c r="A192" t="s">
        <v>620</v>
      </c>
      <c r="B192" t="s">
        <v>322</v>
      </c>
    </row>
    <row r="193" spans="1:2">
      <c r="A193" t="s">
        <v>88</v>
      </c>
      <c r="B193" t="s">
        <v>323</v>
      </c>
    </row>
    <row r="194" spans="1:2">
      <c r="A194" t="s">
        <v>621</v>
      </c>
      <c r="B194" t="s">
        <v>324</v>
      </c>
    </row>
    <row r="195" spans="1:2">
      <c r="A195" t="s">
        <v>622</v>
      </c>
      <c r="B195" t="s">
        <v>325</v>
      </c>
    </row>
    <row r="196" spans="1:2">
      <c r="A196" t="s">
        <v>623</v>
      </c>
      <c r="B196" t="s">
        <v>326</v>
      </c>
    </row>
    <row r="197" spans="1:2">
      <c r="A197" t="s">
        <v>624</v>
      </c>
      <c r="B197" t="s">
        <v>327</v>
      </c>
    </row>
    <row r="198" spans="1:2">
      <c r="A198" t="s">
        <v>625</v>
      </c>
      <c r="B198" t="s">
        <v>328</v>
      </c>
    </row>
    <row r="199" spans="1:2">
      <c r="A199" t="s">
        <v>74</v>
      </c>
      <c r="B199" t="s">
        <v>329</v>
      </c>
    </row>
    <row r="200" spans="1:2">
      <c r="A200" t="s">
        <v>85</v>
      </c>
      <c r="B200" t="s">
        <v>330</v>
      </c>
    </row>
    <row r="201" spans="1:2">
      <c r="A201" t="s">
        <v>626</v>
      </c>
      <c r="B201" t="s">
        <v>331</v>
      </c>
    </row>
    <row r="202" spans="1:2">
      <c r="A202" t="s">
        <v>627</v>
      </c>
      <c r="B202" t="s">
        <v>332</v>
      </c>
    </row>
    <row r="203" spans="1:2">
      <c r="A203" t="s">
        <v>57</v>
      </c>
      <c r="B203" t="s">
        <v>333</v>
      </c>
    </row>
    <row r="204" spans="1:2">
      <c r="A204" t="s">
        <v>628</v>
      </c>
      <c r="B204" t="s">
        <v>334</v>
      </c>
    </row>
    <row r="205" spans="1:2">
      <c r="A205" t="s">
        <v>629</v>
      </c>
      <c r="B205" t="s">
        <v>335</v>
      </c>
    </row>
    <row r="206" spans="1:2">
      <c r="A206" t="s">
        <v>87</v>
      </c>
      <c r="B206" t="s">
        <v>336</v>
      </c>
    </row>
    <row r="207" spans="1:2">
      <c r="A207" t="s">
        <v>630</v>
      </c>
      <c r="B207" t="s">
        <v>337</v>
      </c>
    </row>
    <row r="208" spans="1:2">
      <c r="A208" t="s">
        <v>6</v>
      </c>
      <c r="B208" t="s">
        <v>338</v>
      </c>
    </row>
    <row r="209" spans="1:2">
      <c r="A209" t="s">
        <v>631</v>
      </c>
      <c r="B209" t="s">
        <v>339</v>
      </c>
    </row>
    <row r="210" spans="1:2">
      <c r="A210" t="s">
        <v>18</v>
      </c>
      <c r="B210" t="s">
        <v>340</v>
      </c>
    </row>
    <row r="211" spans="1:2">
      <c r="A211" t="s">
        <v>632</v>
      </c>
      <c r="B211" t="s">
        <v>341</v>
      </c>
    </row>
    <row r="212" spans="1:2">
      <c r="A212" t="s">
        <v>11</v>
      </c>
      <c r="B212" t="s">
        <v>342</v>
      </c>
    </row>
    <row r="213" spans="1:2">
      <c r="A213" t="s">
        <v>633</v>
      </c>
      <c r="B213" t="s">
        <v>343</v>
      </c>
    </row>
    <row r="214" spans="1:2">
      <c r="A214" t="s">
        <v>634</v>
      </c>
      <c r="B214" t="s">
        <v>344</v>
      </c>
    </row>
    <row r="215" spans="1:2">
      <c r="A215" t="s">
        <v>14</v>
      </c>
      <c r="B215" t="s">
        <v>345</v>
      </c>
    </row>
    <row r="216" spans="1:2">
      <c r="A216" t="s">
        <v>635</v>
      </c>
      <c r="B216" t="s">
        <v>346</v>
      </c>
    </row>
    <row r="217" spans="1:2">
      <c r="A217" t="s">
        <v>636</v>
      </c>
      <c r="B217" t="s">
        <v>347</v>
      </c>
    </row>
    <row r="218" spans="1:2">
      <c r="A218" t="s">
        <v>637</v>
      </c>
      <c r="B218" t="s">
        <v>348</v>
      </c>
    </row>
    <row r="219" spans="1:2">
      <c r="A219" t="s">
        <v>86</v>
      </c>
      <c r="B219" t="s">
        <v>349</v>
      </c>
    </row>
    <row r="220" spans="1:2">
      <c r="A220" t="s">
        <v>638</v>
      </c>
      <c r="B220" t="s">
        <v>350</v>
      </c>
    </row>
    <row r="221" spans="1:2">
      <c r="A221" t="s">
        <v>639</v>
      </c>
      <c r="B221" t="s">
        <v>351</v>
      </c>
    </row>
    <row r="222" spans="1:2">
      <c r="A222" t="s">
        <v>640</v>
      </c>
      <c r="B222" t="s">
        <v>352</v>
      </c>
    </row>
    <row r="223" spans="1:2">
      <c r="A223" t="s">
        <v>641</v>
      </c>
      <c r="B223" t="s">
        <v>353</v>
      </c>
    </row>
    <row r="224" spans="1:2">
      <c r="A224" t="s">
        <v>642</v>
      </c>
      <c r="B224" t="s">
        <v>354</v>
      </c>
    </row>
    <row r="225" spans="1:2">
      <c r="A225" t="s">
        <v>643</v>
      </c>
      <c r="B225" t="s">
        <v>355</v>
      </c>
    </row>
    <row r="226" spans="1:2">
      <c r="A226" t="s">
        <v>644</v>
      </c>
      <c r="B226" t="s">
        <v>356</v>
      </c>
    </row>
    <row r="227" spans="1:2">
      <c r="A227" t="s">
        <v>76</v>
      </c>
      <c r="B227" t="s">
        <v>357</v>
      </c>
    </row>
    <row r="228" spans="1:2">
      <c r="A228" t="s">
        <v>645</v>
      </c>
      <c r="B228" t="s">
        <v>358</v>
      </c>
    </row>
    <row r="229" spans="1:2">
      <c r="A229" t="s">
        <v>80</v>
      </c>
      <c r="B229" t="s">
        <v>359</v>
      </c>
    </row>
    <row r="230" spans="1:2">
      <c r="A230" t="s">
        <v>646</v>
      </c>
      <c r="B230" t="s">
        <v>360</v>
      </c>
    </row>
    <row r="231" spans="1:2">
      <c r="A231" t="s">
        <v>647</v>
      </c>
      <c r="B231" t="s">
        <v>361</v>
      </c>
    </row>
    <row r="232" spans="1:2">
      <c r="A232" t="s">
        <v>648</v>
      </c>
      <c r="B232" t="s">
        <v>362</v>
      </c>
    </row>
    <row r="233" spans="1:2">
      <c r="A233" t="s">
        <v>649</v>
      </c>
      <c r="B233" t="s">
        <v>363</v>
      </c>
    </row>
    <row r="234" spans="1:2">
      <c r="A234" t="s">
        <v>650</v>
      </c>
      <c r="B234" t="s">
        <v>364</v>
      </c>
    </row>
    <row r="235" spans="1:2">
      <c r="A235" t="s">
        <v>651</v>
      </c>
      <c r="B235" t="s">
        <v>365</v>
      </c>
    </row>
    <row r="236" spans="1:2">
      <c r="A236" t="s">
        <v>652</v>
      </c>
      <c r="B236" t="s">
        <v>366</v>
      </c>
    </row>
    <row r="237" spans="1:2">
      <c r="A237" t="s">
        <v>12</v>
      </c>
      <c r="B237" t="s">
        <v>367</v>
      </c>
    </row>
    <row r="238" spans="1:2">
      <c r="A238" t="s">
        <v>653</v>
      </c>
      <c r="B238" t="s">
        <v>368</v>
      </c>
    </row>
    <row r="239" spans="1:2">
      <c r="A239" t="s">
        <v>654</v>
      </c>
      <c r="B239" t="s">
        <v>369</v>
      </c>
    </row>
    <row r="240" spans="1:2">
      <c r="A240" t="s">
        <v>89</v>
      </c>
      <c r="B240" t="s">
        <v>370</v>
      </c>
    </row>
    <row r="241" spans="1:2">
      <c r="A241" t="s">
        <v>655</v>
      </c>
      <c r="B241" t="s">
        <v>371</v>
      </c>
    </row>
    <row r="242" spans="1:2">
      <c r="A242" t="s">
        <v>656</v>
      </c>
      <c r="B242" t="s">
        <v>372</v>
      </c>
    </row>
    <row r="243" spans="1:2">
      <c r="A243" t="s">
        <v>657</v>
      </c>
      <c r="B243" t="s">
        <v>373</v>
      </c>
    </row>
    <row r="244" spans="1:2">
      <c r="A244" t="s">
        <v>658</v>
      </c>
      <c r="B244" t="s">
        <v>374</v>
      </c>
    </row>
    <row r="245" spans="1:2">
      <c r="A245" t="s">
        <v>659</v>
      </c>
      <c r="B245" t="s">
        <v>375</v>
      </c>
    </row>
    <row r="246" spans="1:2">
      <c r="A246" t="s">
        <v>660</v>
      </c>
      <c r="B246" t="s">
        <v>376</v>
      </c>
    </row>
    <row r="247" spans="1:2">
      <c r="A247" t="s">
        <v>661</v>
      </c>
      <c r="B247" t="s">
        <v>377</v>
      </c>
    </row>
    <row r="248" spans="1:2">
      <c r="A248" t="s">
        <v>662</v>
      </c>
      <c r="B248" t="s">
        <v>378</v>
      </c>
    </row>
    <row r="249" spans="1:2">
      <c r="A249" t="s">
        <v>663</v>
      </c>
      <c r="B249" t="s">
        <v>379</v>
      </c>
    </row>
    <row r="250" spans="1:2">
      <c r="A250" t="s">
        <v>664</v>
      </c>
      <c r="B250" t="s">
        <v>380</v>
      </c>
    </row>
    <row r="251" spans="1:2">
      <c r="A251" t="s">
        <v>665</v>
      </c>
      <c r="B251" t="s">
        <v>381</v>
      </c>
    </row>
    <row r="252" spans="1:2">
      <c r="A252" t="s">
        <v>666</v>
      </c>
      <c r="B252" t="s">
        <v>382</v>
      </c>
    </row>
    <row r="253" spans="1:2">
      <c r="A253" t="s">
        <v>667</v>
      </c>
      <c r="B253" t="s">
        <v>383</v>
      </c>
    </row>
    <row r="254" spans="1:2">
      <c r="A254" t="s">
        <v>668</v>
      </c>
      <c r="B254" t="s">
        <v>384</v>
      </c>
    </row>
    <row r="255" spans="1:2">
      <c r="A255" t="s">
        <v>669</v>
      </c>
      <c r="B255" t="s">
        <v>385</v>
      </c>
    </row>
    <row r="256" spans="1:2">
      <c r="A256" t="s">
        <v>670</v>
      </c>
      <c r="B256" t="s">
        <v>386</v>
      </c>
    </row>
    <row r="257" spans="1:2">
      <c r="A257" t="s">
        <v>671</v>
      </c>
      <c r="B257" t="s">
        <v>387</v>
      </c>
    </row>
    <row r="258" spans="1:2">
      <c r="A258" t="s">
        <v>91</v>
      </c>
      <c r="B258" t="s">
        <v>388</v>
      </c>
    </row>
    <row r="259" spans="1:2">
      <c r="A259" t="s">
        <v>672</v>
      </c>
      <c r="B259" t="s">
        <v>389</v>
      </c>
    </row>
    <row r="260" spans="1:2">
      <c r="A260" t="s">
        <v>673</v>
      </c>
      <c r="B260" t="s">
        <v>390</v>
      </c>
    </row>
    <row r="261" spans="1:2">
      <c r="A261" t="s">
        <v>674</v>
      </c>
      <c r="B261" t="s">
        <v>391</v>
      </c>
    </row>
    <row r="262" spans="1:2">
      <c r="A262" t="s">
        <v>675</v>
      </c>
      <c r="B262" t="s">
        <v>392</v>
      </c>
    </row>
    <row r="263" spans="1:2">
      <c r="A263" t="s">
        <v>676</v>
      </c>
      <c r="B263" t="s">
        <v>393</v>
      </c>
    </row>
    <row r="264" spans="1:2">
      <c r="A264" t="s">
        <v>677</v>
      </c>
      <c r="B264" t="s">
        <v>394</v>
      </c>
    </row>
    <row r="265" spans="1:2">
      <c r="A265" t="s">
        <v>678</v>
      </c>
      <c r="B265" t="s">
        <v>395</v>
      </c>
    </row>
    <row r="266" spans="1:2">
      <c r="A266" t="s">
        <v>679</v>
      </c>
      <c r="B266" t="s">
        <v>396</v>
      </c>
    </row>
    <row r="267" spans="1:2">
      <c r="A267" t="s">
        <v>680</v>
      </c>
      <c r="B267" t="s">
        <v>397</v>
      </c>
    </row>
    <row r="268" spans="1:2">
      <c r="A268" t="s">
        <v>681</v>
      </c>
      <c r="B268" t="s">
        <v>398</v>
      </c>
    </row>
    <row r="269" spans="1:2">
      <c r="A269" t="s">
        <v>682</v>
      </c>
      <c r="B269" t="s">
        <v>399</v>
      </c>
    </row>
    <row r="270" spans="1:2">
      <c r="A270" t="s">
        <v>683</v>
      </c>
      <c r="B270" t="s">
        <v>400</v>
      </c>
    </row>
    <row r="271" spans="1:2">
      <c r="A271" t="s">
        <v>684</v>
      </c>
      <c r="B271" t="s">
        <v>401</v>
      </c>
    </row>
    <row r="272" spans="1:2">
      <c r="A272" t="s">
        <v>685</v>
      </c>
      <c r="B272" t="s">
        <v>402</v>
      </c>
    </row>
    <row r="273" spans="1:2">
      <c r="A273" t="s">
        <v>686</v>
      </c>
      <c r="B273" t="s">
        <v>403</v>
      </c>
    </row>
    <row r="274" spans="1:2">
      <c r="A274" t="s">
        <v>687</v>
      </c>
      <c r="B274" t="s">
        <v>404</v>
      </c>
    </row>
    <row r="275" spans="1:2">
      <c r="A275" t="s">
        <v>688</v>
      </c>
      <c r="B275" t="s">
        <v>405</v>
      </c>
    </row>
    <row r="276" spans="1:2">
      <c r="A276" t="s">
        <v>689</v>
      </c>
      <c r="B276" t="s">
        <v>406</v>
      </c>
    </row>
    <row r="277" spans="1:2">
      <c r="A277" t="s">
        <v>690</v>
      </c>
      <c r="B277" t="s">
        <v>407</v>
      </c>
    </row>
    <row r="278" spans="1:2">
      <c r="A278" t="s">
        <v>691</v>
      </c>
      <c r="B278" t="s">
        <v>408</v>
      </c>
    </row>
    <row r="279" spans="1:2">
      <c r="A279" t="s">
        <v>692</v>
      </c>
      <c r="B279" t="s">
        <v>409</v>
      </c>
    </row>
    <row r="280" spans="1:2">
      <c r="A280" t="s">
        <v>693</v>
      </c>
      <c r="B280" t="s">
        <v>410</v>
      </c>
    </row>
    <row r="281" spans="1:2">
      <c r="A281" t="s">
        <v>694</v>
      </c>
      <c r="B281" t="s">
        <v>411</v>
      </c>
    </row>
    <row r="282" spans="1:2">
      <c r="A282" t="s">
        <v>695</v>
      </c>
      <c r="B282" t="s">
        <v>412</v>
      </c>
    </row>
    <row r="283" spans="1:2">
      <c r="A283" t="s">
        <v>73</v>
      </c>
      <c r="B283" t="s">
        <v>413</v>
      </c>
    </row>
    <row r="284" spans="1:2">
      <c r="A284" t="s">
        <v>696</v>
      </c>
      <c r="B284" t="s">
        <v>414</v>
      </c>
    </row>
    <row r="285" spans="1:2">
      <c r="A285" t="s">
        <v>697</v>
      </c>
      <c r="B285" t="s">
        <v>415</v>
      </c>
    </row>
    <row r="286" spans="1:2">
      <c r="A286" t="s">
        <v>81</v>
      </c>
      <c r="B286" t="s">
        <v>416</v>
      </c>
    </row>
    <row r="287" spans="1:2">
      <c r="A287" t="s">
        <v>698</v>
      </c>
      <c r="B287" t="s">
        <v>417</v>
      </c>
    </row>
    <row r="288" spans="1:2">
      <c r="A288" t="s">
        <v>699</v>
      </c>
      <c r="B288" t="s">
        <v>418</v>
      </c>
    </row>
    <row r="289" spans="1:2">
      <c r="A289" t="s">
        <v>700</v>
      </c>
      <c r="B289" t="s">
        <v>419</v>
      </c>
    </row>
    <row r="290" spans="1:2">
      <c r="A290" t="s">
        <v>701</v>
      </c>
      <c r="B290" t="s">
        <v>420</v>
      </c>
    </row>
    <row r="291" spans="1:2">
      <c r="A291" t="s">
        <v>702</v>
      </c>
      <c r="B291" t="s">
        <v>421</v>
      </c>
    </row>
    <row r="292" spans="1:2">
      <c r="A292" t="s">
        <v>703</v>
      </c>
      <c r="B292" t="s">
        <v>422</v>
      </c>
    </row>
    <row r="293" spans="1:2">
      <c r="A293" t="s">
        <v>704</v>
      </c>
      <c r="B293" t="s">
        <v>423</v>
      </c>
    </row>
    <row r="294" spans="1:2">
      <c r="A294" t="s">
        <v>705</v>
      </c>
      <c r="B294" t="s">
        <v>424</v>
      </c>
    </row>
    <row r="295" spans="1:2">
      <c r="A295" t="s">
        <v>706</v>
      </c>
      <c r="B295" t="s">
        <v>425</v>
      </c>
    </row>
    <row r="296" spans="1:2">
      <c r="A296" t="s">
        <v>707</v>
      </c>
      <c r="B296" t="s">
        <v>426</v>
      </c>
    </row>
    <row r="297" spans="1:2">
      <c r="A297" t="s">
        <v>708</v>
      </c>
      <c r="B297" t="s">
        <v>427</v>
      </c>
    </row>
    <row r="298" spans="1:2">
      <c r="A298" t="s">
        <v>709</v>
      </c>
      <c r="B298" t="s">
        <v>428</v>
      </c>
    </row>
    <row r="299" spans="1:2">
      <c r="A299" t="s">
        <v>95</v>
      </c>
      <c r="B299" t="s">
        <v>429</v>
      </c>
    </row>
    <row r="300" spans="1:2">
      <c r="A300" t="s">
        <v>710</v>
      </c>
      <c r="B300" t="s">
        <v>430</v>
      </c>
    </row>
    <row r="301" spans="1:2">
      <c r="A301" t="s">
        <v>711</v>
      </c>
      <c r="B301" t="s">
        <v>431</v>
      </c>
    </row>
    <row r="302" spans="1:2">
      <c r="A302" t="s">
        <v>66</v>
      </c>
      <c r="B302" t="s">
        <v>450</v>
      </c>
    </row>
    <row r="303" spans="1:2">
      <c r="A303" t="s">
        <v>712</v>
      </c>
      <c r="B303" t="s">
        <v>432</v>
      </c>
    </row>
    <row r="304" spans="1:2">
      <c r="A304" t="s">
        <v>55</v>
      </c>
      <c r="B304" t="s">
        <v>433</v>
      </c>
    </row>
    <row r="305" spans="1:2">
      <c r="A305" t="s">
        <v>713</v>
      </c>
      <c r="B305" t="s">
        <v>434</v>
      </c>
    </row>
    <row r="306" spans="1:2">
      <c r="A306" t="s">
        <v>714</v>
      </c>
      <c r="B306" t="s">
        <v>435</v>
      </c>
    </row>
    <row r="307" spans="1:2">
      <c r="A307" t="s">
        <v>715</v>
      </c>
      <c r="B307" t="s">
        <v>436</v>
      </c>
    </row>
    <row r="308" spans="1:2">
      <c r="A308" t="s">
        <v>716</v>
      </c>
      <c r="B308" t="s">
        <v>437</v>
      </c>
    </row>
    <row r="309" spans="1:2">
      <c r="A309" t="s">
        <v>717</v>
      </c>
      <c r="B309" t="s">
        <v>447</v>
      </c>
    </row>
    <row r="310" spans="1:2">
      <c r="A310" t="s">
        <v>718</v>
      </c>
      <c r="B310" t="s">
        <v>449</v>
      </c>
    </row>
    <row r="311" spans="1:2">
      <c r="A311" t="s">
        <v>719</v>
      </c>
      <c r="B311" t="s">
        <v>448</v>
      </c>
    </row>
    <row r="312" spans="1:2">
      <c r="A312" t="s">
        <v>720</v>
      </c>
      <c r="B312" t="s">
        <v>438</v>
      </c>
    </row>
    <row r="313" spans="1:2">
      <c r="A313" t="s">
        <v>721</v>
      </c>
      <c r="B313" t="s">
        <v>439</v>
      </c>
    </row>
    <row r="314" spans="1:2">
      <c r="A314" t="s">
        <v>722</v>
      </c>
      <c r="B314" t="s">
        <v>440</v>
      </c>
    </row>
    <row r="315" spans="1:2">
      <c r="A315" t="s">
        <v>723</v>
      </c>
      <c r="B315" t="s">
        <v>441</v>
      </c>
    </row>
    <row r="316" spans="1:2">
      <c r="A316" t="s">
        <v>724</v>
      </c>
      <c r="B316" t="s">
        <v>442</v>
      </c>
    </row>
    <row r="317" spans="1:2">
      <c r="A317" t="s">
        <v>725</v>
      </c>
      <c r="B317" t="s">
        <v>443</v>
      </c>
    </row>
    <row r="318" spans="1:2">
      <c r="A318" t="s">
        <v>726</v>
      </c>
      <c r="B318" t="s">
        <v>444</v>
      </c>
    </row>
    <row r="319" spans="1:2">
      <c r="A319" t="s">
        <v>727</v>
      </c>
      <c r="B319" t="s">
        <v>445</v>
      </c>
    </row>
  </sheetData>
  <sortState xmlns:xlrd2="http://schemas.microsoft.com/office/spreadsheetml/2017/richdata2" ref="B1:C496">
    <sortCondition ref="C1:C496"/>
  </sortState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Feuil4"/>
  <dimension ref="B2:J16"/>
  <sheetViews>
    <sheetView workbookViewId="0">
      <selection activeCell="F25" sqref="F25"/>
    </sheetView>
  </sheetViews>
  <sheetFormatPr baseColWidth="10" defaultRowHeight="12.75"/>
  <cols>
    <col min="1" max="2" width="11.42578125" style="4"/>
    <col min="3" max="5" width="8.28515625" style="36" customWidth="1"/>
    <col min="6" max="7" width="11.42578125" style="4"/>
    <col min="8" max="8" width="10.42578125" style="4" bestFit="1" customWidth="1"/>
    <col min="9" max="9" width="2.140625" style="4" customWidth="1"/>
    <col min="10" max="10" width="6.7109375" style="36" customWidth="1"/>
    <col min="11" max="16384" width="11.42578125" style="4"/>
  </cols>
  <sheetData>
    <row r="2" spans="2:10">
      <c r="B2" s="35" t="s">
        <v>19</v>
      </c>
      <c r="C2" s="28" t="s">
        <v>0</v>
      </c>
      <c r="D2" s="28" t="s">
        <v>1</v>
      </c>
      <c r="E2" s="28" t="s">
        <v>743</v>
      </c>
      <c r="F2" s="28" t="s">
        <v>21</v>
      </c>
      <c r="G2" s="31">
        <v>43378</v>
      </c>
      <c r="H2" s="28" t="s">
        <v>744</v>
      </c>
      <c r="J2" s="28" t="s">
        <v>43</v>
      </c>
    </row>
    <row r="3" spans="2:10">
      <c r="B3" s="29"/>
      <c r="C3" s="29" t="s">
        <v>4</v>
      </c>
      <c r="D3" s="29" t="s">
        <v>20</v>
      </c>
      <c r="E3" s="29" t="s">
        <v>20</v>
      </c>
      <c r="F3" s="29"/>
      <c r="G3" s="32">
        <f>+G2-Date0+JD0</f>
        <v>2458397</v>
      </c>
      <c r="H3" s="29" t="s">
        <v>745</v>
      </c>
      <c r="J3" s="29"/>
    </row>
    <row r="4" spans="2:10" ht="4.5" customHeight="1"/>
    <row r="5" spans="2:10">
      <c r="B5" s="30" t="s">
        <v>31</v>
      </c>
      <c r="C5" s="38">
        <v>548.65</v>
      </c>
      <c r="D5" s="38">
        <v>5.86</v>
      </c>
      <c r="E5" s="38">
        <v>-147.22</v>
      </c>
      <c r="F5" s="30">
        <v>2450775.2999999998</v>
      </c>
      <c r="G5" s="33">
        <f>+(-$F5+G$3)/$C5-INT((-$F5+G$3)/$C5)</f>
        <v>0.89173425681251572</v>
      </c>
      <c r="H5" s="34">
        <f t="shared" ref="H5:H16" si="0">+F5+(J5+1)*C5-JD0+Date0</f>
        <v>43437.399999999907</v>
      </c>
      <c r="J5" s="37">
        <f>INT((G$3-F5)/C5)</f>
        <v>13</v>
      </c>
    </row>
    <row r="6" spans="2:10">
      <c r="B6" s="30" t="s">
        <v>25</v>
      </c>
      <c r="C6" s="38">
        <v>682.1</v>
      </c>
      <c r="D6" s="38">
        <v>7.78</v>
      </c>
      <c r="E6" s="38">
        <v>-117.44</v>
      </c>
      <c r="F6" s="30">
        <v>2450963.7999999998</v>
      </c>
      <c r="G6" s="33">
        <f t="shared" ref="G6:G16" si="1">+(-$F6+G$3)/$C6-INT((-$F6+G$3)/$C6)</f>
        <v>0.89752235742587061</v>
      </c>
      <c r="H6" s="34">
        <f t="shared" si="0"/>
        <v>43447.899999999907</v>
      </c>
      <c r="J6" s="37">
        <f t="shared" ref="J6:J16" si="2">INT((G$3-F6)/C6)</f>
        <v>10</v>
      </c>
    </row>
    <row r="7" spans="2:10">
      <c r="B7" s="30" t="s">
        <v>109</v>
      </c>
      <c r="C7" s="38">
        <v>757.2</v>
      </c>
      <c r="D7" s="38"/>
      <c r="E7" s="38"/>
      <c r="F7" s="30">
        <v>2451395.2000000002</v>
      </c>
      <c r="G7" s="33">
        <f t="shared" si="1"/>
        <v>0.24696249339647736</v>
      </c>
      <c r="H7" s="34">
        <f t="shared" si="0"/>
        <v>43948.200000000186</v>
      </c>
      <c r="J7" s="37">
        <f t="shared" si="2"/>
        <v>9</v>
      </c>
    </row>
    <row r="8" spans="2:10">
      <c r="B8" s="30" t="s">
        <v>28</v>
      </c>
      <c r="C8" s="38">
        <v>1259</v>
      </c>
      <c r="D8" s="38">
        <v>4.5999999999999996</v>
      </c>
      <c r="E8" s="38">
        <v>29.1</v>
      </c>
      <c r="F8" s="30">
        <v>2449680</v>
      </c>
      <c r="G8" s="33">
        <f t="shared" si="1"/>
        <v>0.92374900714853059</v>
      </c>
      <c r="H8" s="34">
        <f t="shared" si="0"/>
        <v>43474</v>
      </c>
      <c r="J8" s="37">
        <f t="shared" si="2"/>
        <v>6</v>
      </c>
    </row>
    <row r="9" spans="2:10">
      <c r="B9" s="30" t="s">
        <v>35</v>
      </c>
      <c r="C9" s="38">
        <v>5689</v>
      </c>
      <c r="D9" s="38"/>
      <c r="E9" s="38"/>
      <c r="F9" s="30">
        <v>2446353</v>
      </c>
      <c r="G9" s="33">
        <f t="shared" si="1"/>
        <v>0.1170680260151169</v>
      </c>
      <c r="H9" s="34">
        <f t="shared" si="0"/>
        <v>48401</v>
      </c>
      <c r="J9" s="37">
        <f t="shared" si="2"/>
        <v>2</v>
      </c>
    </row>
    <row r="10" spans="2:10">
      <c r="B10" s="30" t="s">
        <v>36</v>
      </c>
      <c r="C10" s="38">
        <v>853.8</v>
      </c>
      <c r="D10" s="38">
        <v>6.7</v>
      </c>
      <c r="E10" s="38">
        <v>15</v>
      </c>
      <c r="F10" s="30">
        <v>2450426.4</v>
      </c>
      <c r="G10" s="33">
        <f t="shared" si="1"/>
        <v>0.33544155539950005</v>
      </c>
      <c r="H10" s="34">
        <f t="shared" si="0"/>
        <v>43945.399999999907</v>
      </c>
      <c r="J10" s="37">
        <f t="shared" si="2"/>
        <v>9</v>
      </c>
    </row>
    <row r="11" spans="2:10">
      <c r="B11" s="30" t="s">
        <v>24</v>
      </c>
      <c r="C11" s="38">
        <v>482.6</v>
      </c>
      <c r="D11" s="38">
        <v>7.3</v>
      </c>
      <c r="E11" s="38">
        <v>-95</v>
      </c>
      <c r="F11" s="30">
        <v>2450804</v>
      </c>
      <c r="G11" s="33">
        <f t="shared" si="1"/>
        <v>0.73352673021135395</v>
      </c>
      <c r="H11" s="34">
        <f t="shared" si="0"/>
        <v>43506.600000000093</v>
      </c>
      <c r="J11" s="37">
        <f t="shared" si="2"/>
        <v>15</v>
      </c>
    </row>
    <row r="12" spans="2:10">
      <c r="B12" s="30" t="s">
        <v>32</v>
      </c>
      <c r="C12" s="38">
        <v>455.7</v>
      </c>
      <c r="D12" s="38">
        <v>16.7</v>
      </c>
      <c r="E12" s="38">
        <v>-40.200000000000003</v>
      </c>
      <c r="F12" s="30">
        <v>2450154.1</v>
      </c>
      <c r="G12" s="33">
        <f t="shared" si="1"/>
        <v>8.8435374149455015E-2</v>
      </c>
      <c r="H12" s="34">
        <f t="shared" si="0"/>
        <v>43793.399999999907</v>
      </c>
      <c r="J12" s="37">
        <f t="shared" si="2"/>
        <v>18</v>
      </c>
    </row>
    <row r="13" spans="2:10">
      <c r="B13" s="30" t="s">
        <v>30</v>
      </c>
      <c r="C13" s="38">
        <v>227.57</v>
      </c>
      <c r="D13" s="38">
        <v>23.9</v>
      </c>
      <c r="E13" s="38">
        <v>-27.8</v>
      </c>
      <c r="F13" s="30">
        <v>2447918.6</v>
      </c>
      <c r="G13" s="33">
        <f t="shared" si="1"/>
        <v>4.4733488596506277E-2</v>
      </c>
      <c r="H13" s="34">
        <f t="shared" si="0"/>
        <v>43595.39000000013</v>
      </c>
      <c r="J13" s="37">
        <f t="shared" si="2"/>
        <v>46</v>
      </c>
    </row>
    <row r="14" spans="2:10">
      <c r="B14" s="30" t="s">
        <v>112</v>
      </c>
      <c r="C14" s="38">
        <v>956.5</v>
      </c>
      <c r="D14" s="38"/>
      <c r="E14" s="38"/>
      <c r="F14" s="30">
        <v>2451565</v>
      </c>
      <c r="G14" s="33">
        <f t="shared" si="1"/>
        <v>0.14270778881338231</v>
      </c>
      <c r="H14" s="34">
        <f t="shared" si="0"/>
        <v>44198</v>
      </c>
      <c r="J14" s="37">
        <f t="shared" si="2"/>
        <v>7</v>
      </c>
    </row>
    <row r="15" spans="2:10">
      <c r="B15" s="30" t="s">
        <v>34</v>
      </c>
      <c r="C15" s="38">
        <v>599.4</v>
      </c>
      <c r="D15" s="38">
        <v>2.52</v>
      </c>
      <c r="E15" s="38">
        <v>-55.5</v>
      </c>
      <c r="F15" s="30">
        <v>2450197.2999999998</v>
      </c>
      <c r="G15" s="33">
        <f t="shared" si="1"/>
        <v>0.67984651318015743</v>
      </c>
      <c r="H15" s="34">
        <f t="shared" si="0"/>
        <v>43569.899999999907</v>
      </c>
      <c r="J15" s="37">
        <f t="shared" si="2"/>
        <v>13</v>
      </c>
    </row>
    <row r="16" spans="2:10">
      <c r="B16" s="30" t="s">
        <v>38</v>
      </c>
      <c r="C16" s="38">
        <v>759</v>
      </c>
      <c r="D16" s="38">
        <v>6.73</v>
      </c>
      <c r="E16" s="38">
        <v>-0.59</v>
      </c>
      <c r="F16" s="30">
        <v>2450260.2000000002</v>
      </c>
      <c r="G16" s="33">
        <f t="shared" si="1"/>
        <v>0.72042160737788308</v>
      </c>
      <c r="H16" s="34">
        <f t="shared" si="0"/>
        <v>43590.200000000186</v>
      </c>
      <c r="J16" s="37">
        <f t="shared" si="2"/>
        <v>10</v>
      </c>
    </row>
  </sheetData>
  <pageMargins left="0.7" right="0.7" top="0.75" bottom="0.75" header="0.3" footer="0.3"/>
  <pageSetup paperSize="9" orientation="portrait" verticalDpi="599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Feuil5"/>
  <dimension ref="B2:I57"/>
  <sheetViews>
    <sheetView showGridLines="0" workbookViewId="0">
      <selection activeCell="G19" sqref="G19"/>
    </sheetView>
  </sheetViews>
  <sheetFormatPr baseColWidth="10" defaultRowHeight="12.75"/>
  <cols>
    <col min="2" max="2" width="4.7109375" customWidth="1"/>
  </cols>
  <sheetData>
    <row r="2" spans="2:9" ht="21">
      <c r="C2" s="41" t="s">
        <v>760</v>
      </c>
    </row>
    <row r="3" spans="2:9" ht="13.5" thickBot="1"/>
    <row r="4" spans="2:9" ht="15.75" thickBot="1">
      <c r="B4" s="43" t="s">
        <v>990</v>
      </c>
      <c r="C4" s="43" t="s">
        <v>762</v>
      </c>
      <c r="D4" s="44" t="s">
        <v>763</v>
      </c>
      <c r="E4" s="45" t="s">
        <v>764</v>
      </c>
    </row>
    <row r="5" spans="2:9" ht="13.5" thickBot="1">
      <c r="C5" s="47"/>
      <c r="D5" s="48"/>
      <c r="E5" s="48"/>
    </row>
    <row r="6" spans="2:9" ht="15.75" thickBot="1">
      <c r="B6" s="43" t="s">
        <v>989</v>
      </c>
      <c r="C6" s="49" t="s">
        <v>102</v>
      </c>
      <c r="D6" s="50">
        <v>0.17</v>
      </c>
      <c r="E6" s="50">
        <v>0.05</v>
      </c>
    </row>
    <row r="7" spans="2:9" ht="15.75" thickBot="1">
      <c r="B7" s="43" t="s">
        <v>989</v>
      </c>
      <c r="C7" s="49" t="s">
        <v>31</v>
      </c>
      <c r="D7" s="50">
        <v>0.06</v>
      </c>
      <c r="E7" s="50">
        <v>0.02</v>
      </c>
    </row>
    <row r="8" spans="2:9" ht="15.75" thickBot="1">
      <c r="B8" s="43" t="s">
        <v>989</v>
      </c>
      <c r="C8" s="49" t="s">
        <v>37</v>
      </c>
      <c r="D8" s="50">
        <v>0.02</v>
      </c>
      <c r="E8" s="50">
        <v>0.02</v>
      </c>
    </row>
    <row r="9" spans="2:9" ht="15.75" thickBot="1">
      <c r="B9" s="43" t="s">
        <v>989</v>
      </c>
      <c r="C9" s="49" t="s">
        <v>105</v>
      </c>
      <c r="D9" s="50">
        <v>0.18</v>
      </c>
      <c r="E9" s="50">
        <v>0.04</v>
      </c>
    </row>
    <row r="10" spans="2:9" ht="15.75" thickBot="1">
      <c r="B10" s="43" t="s">
        <v>989</v>
      </c>
      <c r="C10" s="49" t="s">
        <v>784</v>
      </c>
      <c r="D10" s="50">
        <v>0.22</v>
      </c>
      <c r="E10" s="50">
        <v>0.11</v>
      </c>
    </row>
    <row r="11" spans="2:9" ht="15.75" thickBot="1">
      <c r="B11" s="43" t="s">
        <v>989</v>
      </c>
      <c r="C11" s="49" t="s">
        <v>785</v>
      </c>
      <c r="D11" s="50">
        <v>0.28999999999999998</v>
      </c>
      <c r="E11" s="50">
        <v>0.09</v>
      </c>
    </row>
    <row r="12" spans="2:9" ht="15.75" thickBot="1">
      <c r="B12" s="43" t="s">
        <v>989</v>
      </c>
      <c r="C12" s="49" t="s">
        <v>25</v>
      </c>
      <c r="D12" s="50">
        <v>0.24</v>
      </c>
      <c r="E12" s="50">
        <v>0.04</v>
      </c>
    </row>
    <row r="13" spans="2:9" ht="15.75" thickBot="1">
      <c r="B13" s="43" t="s">
        <v>989</v>
      </c>
      <c r="C13" s="49" t="s">
        <v>109</v>
      </c>
      <c r="D13" s="50">
        <v>0.27</v>
      </c>
      <c r="E13" s="50">
        <v>7.0000000000000007E-2</v>
      </c>
      <c r="G13" s="46"/>
      <c r="H13" s="46"/>
      <c r="I13" s="46"/>
    </row>
    <row r="14" spans="2:9" ht="15.75" thickBot="1">
      <c r="B14" s="43" t="s">
        <v>989</v>
      </c>
      <c r="C14" s="49" t="s">
        <v>771</v>
      </c>
      <c r="D14" s="50">
        <v>0.02</v>
      </c>
      <c r="E14" s="50">
        <v>0.03</v>
      </c>
    </row>
    <row r="15" spans="2:9" ht="15.75" thickBot="1">
      <c r="B15" s="43" t="s">
        <v>989</v>
      </c>
      <c r="C15" s="49" t="s">
        <v>28</v>
      </c>
      <c r="D15" s="50">
        <v>0.28000000000000003</v>
      </c>
      <c r="E15" s="50">
        <v>0.09</v>
      </c>
    </row>
    <row r="16" spans="2:9" ht="15.75" thickBot="1">
      <c r="B16" s="43" t="s">
        <v>989</v>
      </c>
      <c r="C16" s="49" t="s">
        <v>786</v>
      </c>
      <c r="D16" s="50">
        <v>0.11</v>
      </c>
      <c r="E16" s="50">
        <v>0.03</v>
      </c>
    </row>
    <row r="17" spans="2:5" ht="15.75" thickBot="1">
      <c r="B17" s="43" t="s">
        <v>989</v>
      </c>
      <c r="C17" s="49" t="s">
        <v>35</v>
      </c>
      <c r="D17" s="50">
        <v>0.11</v>
      </c>
      <c r="E17" s="50">
        <v>0.04</v>
      </c>
    </row>
    <row r="18" spans="2:5" ht="15.75" thickBot="1">
      <c r="B18" s="43" t="s">
        <v>989</v>
      </c>
      <c r="C18" s="49" t="s">
        <v>36</v>
      </c>
      <c r="D18" s="50">
        <v>0.39</v>
      </c>
      <c r="E18" s="50">
        <v>0.09</v>
      </c>
    </row>
    <row r="19" spans="2:5" ht="15.75" thickBot="1">
      <c r="B19" s="43" t="s">
        <v>989</v>
      </c>
      <c r="C19" s="49" t="s">
        <v>100</v>
      </c>
      <c r="D19" s="50">
        <v>0.22</v>
      </c>
      <c r="E19" s="50">
        <v>0.04</v>
      </c>
    </row>
    <row r="20" spans="2:5" ht="15.75" thickBot="1">
      <c r="B20" s="43" t="s">
        <v>989</v>
      </c>
      <c r="C20" s="49" t="s">
        <v>24</v>
      </c>
      <c r="D20" s="50">
        <v>0.16</v>
      </c>
      <c r="E20" s="50">
        <v>0.04</v>
      </c>
    </row>
    <row r="21" spans="2:5" ht="15.75" thickBot="1">
      <c r="B21" s="43" t="s">
        <v>989</v>
      </c>
      <c r="C21" s="49" t="s">
        <v>773</v>
      </c>
      <c r="D21" s="50">
        <v>0.08</v>
      </c>
      <c r="E21" s="50">
        <v>0.05</v>
      </c>
    </row>
    <row r="22" spans="2:5" ht="15.75" thickBot="1">
      <c r="B22" s="43" t="s">
        <v>989</v>
      </c>
      <c r="C22" s="49" t="s">
        <v>33</v>
      </c>
      <c r="D22" s="50">
        <v>0.27</v>
      </c>
      <c r="E22" s="50">
        <v>0.04</v>
      </c>
    </row>
    <row r="23" spans="2:5" ht="15.75" thickBot="1">
      <c r="B23" s="43" t="s">
        <v>989</v>
      </c>
      <c r="C23" s="49" t="s">
        <v>787</v>
      </c>
      <c r="D23" s="50">
        <v>0.05</v>
      </c>
      <c r="E23" s="50">
        <v>0.05</v>
      </c>
    </row>
    <row r="24" spans="2:5" ht="15.75" thickBot="1">
      <c r="B24" s="43" t="s">
        <v>989</v>
      </c>
      <c r="C24" s="49" t="s">
        <v>788</v>
      </c>
      <c r="D24" s="50">
        <v>0.11</v>
      </c>
      <c r="E24" s="50">
        <v>7.0000000000000007E-2</v>
      </c>
    </row>
    <row r="25" spans="2:5" ht="15.75" thickBot="1">
      <c r="B25" s="43" t="s">
        <v>989</v>
      </c>
      <c r="C25" s="49" t="s">
        <v>789</v>
      </c>
      <c r="D25" s="50">
        <v>0.13</v>
      </c>
      <c r="E25" s="50">
        <v>0.04</v>
      </c>
    </row>
    <row r="26" spans="2:5" ht="15.75" thickBot="1">
      <c r="B26" s="43" t="s">
        <v>989</v>
      </c>
      <c r="C26" s="49" t="s">
        <v>790</v>
      </c>
      <c r="D26" s="50">
        <v>0.21</v>
      </c>
      <c r="E26" s="50">
        <v>0.09</v>
      </c>
    </row>
    <row r="27" spans="2:5" ht="15.75" thickBot="1">
      <c r="B27" s="43" t="s">
        <v>989</v>
      </c>
      <c r="C27" s="49" t="s">
        <v>778</v>
      </c>
      <c r="D27" s="50">
        <v>0.13</v>
      </c>
      <c r="E27" s="50">
        <v>0.09</v>
      </c>
    </row>
    <row r="28" spans="2:5" ht="15.75" thickBot="1">
      <c r="B28" s="43" t="s">
        <v>989</v>
      </c>
      <c r="C28" s="49" t="s">
        <v>779</v>
      </c>
      <c r="D28" s="50">
        <v>0.53</v>
      </c>
      <c r="E28" s="50">
        <v>0.11</v>
      </c>
    </row>
    <row r="29" spans="2:5" ht="15.75" thickBot="1">
      <c r="B29" s="43" t="s">
        <v>989</v>
      </c>
      <c r="C29" s="49" t="s">
        <v>783</v>
      </c>
      <c r="D29" s="50">
        <v>0.18</v>
      </c>
      <c r="E29" s="50">
        <v>0.05</v>
      </c>
    </row>
    <row r="30" spans="2:5" ht="15.75" thickBot="1">
      <c r="B30" s="43" t="s">
        <v>989</v>
      </c>
      <c r="C30" s="49" t="s">
        <v>791</v>
      </c>
      <c r="D30" s="50">
        <v>0.09</v>
      </c>
      <c r="E30" s="50">
        <v>0.06</v>
      </c>
    </row>
    <row r="31" spans="2:5" ht="15.75" thickBot="1">
      <c r="B31" s="43" t="s">
        <v>989</v>
      </c>
      <c r="C31" s="49" t="s">
        <v>792</v>
      </c>
      <c r="D31" s="50">
        <v>0.02</v>
      </c>
      <c r="E31" s="50">
        <v>0.06</v>
      </c>
    </row>
    <row r="32" spans="2:5" ht="15.75" thickBot="1">
      <c r="B32" s="43" t="s">
        <v>989</v>
      </c>
      <c r="C32" s="43" t="s">
        <v>774</v>
      </c>
      <c r="D32" s="50">
        <v>0.05</v>
      </c>
      <c r="E32" s="50">
        <v>0.03</v>
      </c>
    </row>
    <row r="33" spans="2:5" ht="15.75" thickBot="1">
      <c r="B33" s="43" t="s">
        <v>989</v>
      </c>
      <c r="C33" s="49" t="s">
        <v>110</v>
      </c>
      <c r="D33" s="50">
        <v>0.24</v>
      </c>
      <c r="E33" s="50">
        <v>0.04</v>
      </c>
    </row>
    <row r="34" spans="2:5" ht="15.75" thickBot="1">
      <c r="B34" s="43" t="s">
        <v>989</v>
      </c>
      <c r="C34" s="49" t="s">
        <v>765</v>
      </c>
      <c r="D34" s="50">
        <v>0.12</v>
      </c>
      <c r="E34" s="50">
        <v>0.05</v>
      </c>
    </row>
    <row r="35" spans="2:5" ht="15.75" thickBot="1">
      <c r="B35" s="43" t="s">
        <v>989</v>
      </c>
      <c r="C35" s="49" t="s">
        <v>782</v>
      </c>
      <c r="D35" s="50">
        <v>0.12</v>
      </c>
      <c r="E35" s="50">
        <v>0.03</v>
      </c>
    </row>
    <row r="36" spans="2:5" ht="15.75" thickBot="1">
      <c r="B36" s="43" t="s">
        <v>989</v>
      </c>
      <c r="C36" s="49" t="s">
        <v>32</v>
      </c>
      <c r="D36" s="50">
        <v>0.67</v>
      </c>
      <c r="E36" s="50">
        <v>0.12</v>
      </c>
    </row>
    <row r="37" spans="2:5" ht="15.75" thickBot="1">
      <c r="B37" s="43" t="s">
        <v>989</v>
      </c>
      <c r="C37" s="49" t="s">
        <v>98</v>
      </c>
      <c r="D37" s="50">
        <v>0.08</v>
      </c>
      <c r="E37" s="50">
        <v>0.02</v>
      </c>
    </row>
    <row r="38" spans="2:5" ht="15.75" thickBot="1">
      <c r="B38" s="43" t="s">
        <v>989</v>
      </c>
      <c r="C38" s="49" t="s">
        <v>777</v>
      </c>
      <c r="D38" s="50">
        <v>0.42</v>
      </c>
      <c r="E38" s="50">
        <v>0.11</v>
      </c>
    </row>
    <row r="39" spans="2:5" ht="15.75" thickBot="1">
      <c r="B39" s="43" t="s">
        <v>989</v>
      </c>
      <c r="C39" s="49" t="s">
        <v>97</v>
      </c>
      <c r="D39" s="50">
        <v>0.26</v>
      </c>
      <c r="E39" s="50">
        <v>0.08</v>
      </c>
    </row>
    <row r="40" spans="2:5" ht="15.75" thickBot="1">
      <c r="B40" s="43" t="s">
        <v>989</v>
      </c>
      <c r="C40" s="49" t="s">
        <v>30</v>
      </c>
      <c r="D40" s="50">
        <v>0.14000000000000001</v>
      </c>
      <c r="E40" s="50">
        <v>0.05</v>
      </c>
    </row>
    <row r="41" spans="2:5" ht="15.75" thickBot="1">
      <c r="B41" s="43" t="s">
        <v>989</v>
      </c>
      <c r="C41" s="49" t="s">
        <v>29</v>
      </c>
      <c r="D41" s="50">
        <v>0.06</v>
      </c>
      <c r="E41" s="50">
        <v>0.06</v>
      </c>
    </row>
    <row r="42" spans="2:5" ht="15.75" thickBot="1">
      <c r="B42" s="43" t="s">
        <v>989</v>
      </c>
      <c r="C42" s="49" t="s">
        <v>766</v>
      </c>
      <c r="D42" s="50">
        <v>0.23</v>
      </c>
      <c r="E42" s="50">
        <v>0.03</v>
      </c>
    </row>
    <row r="43" spans="2:5" ht="15.75" thickBot="1">
      <c r="B43" s="43" t="s">
        <v>989</v>
      </c>
      <c r="C43" s="49" t="s">
        <v>772</v>
      </c>
      <c r="D43" s="50">
        <v>0.27</v>
      </c>
      <c r="E43" s="50">
        <v>0.06</v>
      </c>
    </row>
    <row r="44" spans="2:5" ht="15.75" thickBot="1">
      <c r="B44" s="43" t="s">
        <v>989</v>
      </c>
      <c r="C44" s="49" t="s">
        <v>27</v>
      </c>
      <c r="D44" s="50">
        <v>7.0000000000000007E-2</v>
      </c>
      <c r="E44" s="50">
        <v>0.05</v>
      </c>
    </row>
    <row r="45" spans="2:5" ht="15.75" thickBot="1">
      <c r="B45" s="43" t="s">
        <v>989</v>
      </c>
      <c r="C45" s="49" t="s">
        <v>112</v>
      </c>
      <c r="D45" s="50">
        <v>0.33</v>
      </c>
      <c r="E45" s="50">
        <v>0.06</v>
      </c>
    </row>
    <row r="46" spans="2:5" ht="15.75" thickBot="1">
      <c r="B46" s="43" t="s">
        <v>989</v>
      </c>
      <c r="C46" s="49" t="s">
        <v>108</v>
      </c>
      <c r="D46" s="50">
        <v>0.05</v>
      </c>
      <c r="E46" s="50">
        <v>0.08</v>
      </c>
    </row>
    <row r="47" spans="2:5" ht="15.75" thickBot="1">
      <c r="B47" s="43" t="s">
        <v>989</v>
      </c>
      <c r="C47" s="49" t="s">
        <v>767</v>
      </c>
      <c r="D47" s="50">
        <v>0</v>
      </c>
      <c r="E47" s="50">
        <v>0.03</v>
      </c>
    </row>
    <row r="48" spans="2:5" ht="15.75" thickBot="1">
      <c r="B48" s="43" t="s">
        <v>989</v>
      </c>
      <c r="C48" s="49" t="s">
        <v>780</v>
      </c>
      <c r="D48" s="50">
        <v>0.2</v>
      </c>
      <c r="E48" s="50">
        <v>0.11</v>
      </c>
    </row>
    <row r="49" spans="2:5" ht="15.75" thickBot="1">
      <c r="B49" s="43" t="s">
        <v>989</v>
      </c>
      <c r="C49" s="49" t="s">
        <v>781</v>
      </c>
      <c r="D49" s="50">
        <v>0.25</v>
      </c>
      <c r="E49" s="50">
        <v>0.03</v>
      </c>
    </row>
    <row r="50" spans="2:5" ht="15.75" thickBot="1">
      <c r="B50" s="43" t="s">
        <v>989</v>
      </c>
      <c r="C50" s="49" t="s">
        <v>34</v>
      </c>
      <c r="D50" s="50">
        <v>0.17</v>
      </c>
      <c r="E50" s="50">
        <v>0.04</v>
      </c>
    </row>
    <row r="51" spans="2:5" ht="15.75" thickBot="1">
      <c r="B51" s="43" t="s">
        <v>989</v>
      </c>
      <c r="C51" s="49" t="s">
        <v>776</v>
      </c>
      <c r="D51" s="50">
        <v>0.03</v>
      </c>
      <c r="E51" s="50">
        <v>0.06</v>
      </c>
    </row>
    <row r="52" spans="2:5" ht="15.75" thickBot="1">
      <c r="B52" s="43" t="s">
        <v>989</v>
      </c>
      <c r="C52" s="49" t="s">
        <v>768</v>
      </c>
      <c r="D52" s="50">
        <v>0.03</v>
      </c>
      <c r="E52" s="50">
        <v>0.06</v>
      </c>
    </row>
    <row r="53" spans="2:5" ht="15.75" thickBot="1">
      <c r="B53" s="43" t="s">
        <v>989</v>
      </c>
      <c r="C53" s="49" t="s">
        <v>769</v>
      </c>
      <c r="D53" s="50">
        <v>0.09</v>
      </c>
      <c r="E53" s="50">
        <v>0.04</v>
      </c>
    </row>
    <row r="54" spans="2:5" ht="15.75" thickBot="1">
      <c r="B54" s="43" t="s">
        <v>989</v>
      </c>
      <c r="C54" s="49" t="s">
        <v>775</v>
      </c>
      <c r="D54" s="50">
        <v>0.02</v>
      </c>
      <c r="E54" s="50">
        <v>0.04</v>
      </c>
    </row>
    <row r="55" spans="2:5" ht="15.75" thickBot="1">
      <c r="B55" s="43" t="s">
        <v>989</v>
      </c>
      <c r="C55" s="49" t="s">
        <v>770</v>
      </c>
      <c r="D55" s="50">
        <v>0.11</v>
      </c>
      <c r="E55" s="50">
        <v>0.04</v>
      </c>
    </row>
    <row r="56" spans="2:5" ht="15.75" thickBot="1">
      <c r="B56" s="43" t="s">
        <v>989</v>
      </c>
      <c r="C56" s="49" t="s">
        <v>103</v>
      </c>
      <c r="D56" s="50">
        <v>0.16</v>
      </c>
      <c r="E56" s="50">
        <v>0.06</v>
      </c>
    </row>
    <row r="57" spans="2:5" ht="15.75" thickBot="1">
      <c r="B57" s="43" t="s">
        <v>989</v>
      </c>
      <c r="C57" s="49" t="s">
        <v>38</v>
      </c>
      <c r="D57" s="50">
        <v>0.33</v>
      </c>
      <c r="E57" s="50">
        <v>0.09</v>
      </c>
    </row>
  </sheetData>
  <sortState xmlns:xlrd2="http://schemas.microsoft.com/office/spreadsheetml/2017/richdata2" ref="C6:E57">
    <sortCondition ref="C6:C57"/>
  </sortState>
  <pageMargins left="0.7" right="0.7" top="0.75" bottom="0.75" header="0.3" footer="0.3"/>
  <drawing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CBAF986-492E-4583-B695-47D0B91A8A2B}">
  <sheetPr codeName="Feuil11"/>
  <dimension ref="D6:Q18"/>
  <sheetViews>
    <sheetView workbookViewId="0">
      <selection activeCell="G38" sqref="G38"/>
    </sheetView>
  </sheetViews>
  <sheetFormatPr baseColWidth="10" defaultRowHeight="12.75"/>
  <cols>
    <col min="4" max="4" width="11.42578125" style="76"/>
    <col min="7" max="7" width="9.28515625" bestFit="1" customWidth="1"/>
    <col min="8" max="8" width="2" customWidth="1"/>
    <col min="9" max="9" width="7" hidden="1" customWidth="1"/>
    <col min="10" max="10" width="6" hidden="1" customWidth="1"/>
    <col min="11" max="11" width="7" hidden="1" customWidth="1"/>
    <col min="12" max="12" width="10" hidden="1" customWidth="1"/>
    <col min="13" max="13" width="9" hidden="1" customWidth="1"/>
    <col min="14" max="14" width="10" hidden="1" customWidth="1"/>
    <col min="15" max="15" width="7" style="71" bestFit="1" customWidth="1"/>
    <col min="16" max="16" width="11.42578125" style="77"/>
    <col min="17" max="17" width="11.42578125" style="71"/>
  </cols>
  <sheetData>
    <row r="6" spans="4:17">
      <c r="D6" s="76" t="s">
        <v>985</v>
      </c>
    </row>
    <row r="8" spans="4:17">
      <c r="F8" t="s">
        <v>983</v>
      </c>
      <c r="G8" t="s">
        <v>984</v>
      </c>
      <c r="O8" s="71" t="s">
        <v>981</v>
      </c>
      <c r="P8" s="77" t="s">
        <v>980</v>
      </c>
      <c r="Q8" s="71" t="s">
        <v>982</v>
      </c>
    </row>
    <row r="10" spans="4:17">
      <c r="D10" s="76" t="s">
        <v>24</v>
      </c>
      <c r="F10">
        <v>1.486</v>
      </c>
      <c r="G10">
        <v>3.8899999999999997E-2</v>
      </c>
      <c r="I10">
        <f>+F10-G10</f>
        <v>1.4471000000000001</v>
      </c>
      <c r="J10">
        <f>+F10</f>
        <v>1.486</v>
      </c>
      <c r="K10">
        <f>+F10+G10</f>
        <v>1.5248999999999999</v>
      </c>
      <c r="L10">
        <f>+I10/1000</f>
        <v>1.4471E-3</v>
      </c>
      <c r="M10">
        <f t="shared" ref="M10:N10" si="0">+J10/1000</f>
        <v>1.4859999999999999E-3</v>
      </c>
      <c r="N10">
        <f t="shared" si="0"/>
        <v>1.5248999999999998E-3</v>
      </c>
      <c r="O10" s="78">
        <f>1/L10</f>
        <v>691.03724690760828</v>
      </c>
      <c r="P10" s="79">
        <f>1/M10</f>
        <v>672.9475100942127</v>
      </c>
      <c r="Q10" s="78">
        <f>1/N10</f>
        <v>655.78070693160214</v>
      </c>
    </row>
    <row r="11" spans="4:17">
      <c r="D11" s="76" t="s">
        <v>36</v>
      </c>
      <c r="F11">
        <v>0.55959999999999999</v>
      </c>
      <c r="G11">
        <v>0.05</v>
      </c>
      <c r="I11">
        <f t="shared" ref="I11:I12" si="1">+F11-G11</f>
        <v>0.50959999999999994</v>
      </c>
      <c r="J11">
        <f t="shared" ref="J11:J12" si="2">+F11</f>
        <v>0.55959999999999999</v>
      </c>
      <c r="K11">
        <f t="shared" ref="K11:K12" si="3">+F11+G11</f>
        <v>0.60960000000000003</v>
      </c>
      <c r="L11">
        <f t="shared" ref="L11:L12" si="4">+I11/1000</f>
        <v>5.0959999999999992E-4</v>
      </c>
      <c r="M11">
        <f t="shared" ref="M11:M12" si="5">+J11/1000</f>
        <v>5.5959999999999994E-4</v>
      </c>
      <c r="N11">
        <f t="shared" ref="N11:N12" si="6">+K11/1000</f>
        <v>6.0960000000000007E-4</v>
      </c>
      <c r="O11" s="78">
        <f t="shared" ref="O11:O12" si="7">1/L11</f>
        <v>1962.3233908948198</v>
      </c>
      <c r="P11" s="79">
        <f t="shared" ref="P11:P12" si="8">1/M11</f>
        <v>1786.9907076483205</v>
      </c>
      <c r="Q11" s="78">
        <f t="shared" ref="Q11:Q12" si="9">1/N11</f>
        <v>1640.4199475065616</v>
      </c>
    </row>
    <row r="12" spans="4:17">
      <c r="D12" s="76" t="s">
        <v>25</v>
      </c>
      <c r="F12">
        <v>0.2979</v>
      </c>
      <c r="G12">
        <v>5.7000000000000002E-2</v>
      </c>
      <c r="I12">
        <f t="shared" si="1"/>
        <v>0.2409</v>
      </c>
      <c r="J12">
        <f t="shared" si="2"/>
        <v>0.2979</v>
      </c>
      <c r="K12">
        <f t="shared" si="3"/>
        <v>0.35489999999999999</v>
      </c>
      <c r="L12">
        <f t="shared" si="4"/>
        <v>2.409E-4</v>
      </c>
      <c r="M12">
        <f t="shared" si="5"/>
        <v>2.9789999999999998E-4</v>
      </c>
      <c r="N12">
        <f t="shared" si="6"/>
        <v>3.5490000000000001E-4</v>
      </c>
      <c r="O12" s="78">
        <f t="shared" si="7"/>
        <v>4151.1000415110002</v>
      </c>
      <c r="P12" s="79">
        <f t="shared" si="8"/>
        <v>3356.8311513930853</v>
      </c>
      <c r="Q12" s="78">
        <f t="shared" si="9"/>
        <v>2817.6951253874331</v>
      </c>
    </row>
    <row r="13" spans="4:17">
      <c r="D13" s="76" t="s">
        <v>37</v>
      </c>
      <c r="F13">
        <v>0.38030000000000003</v>
      </c>
      <c r="G13">
        <v>8.2000000000000003E-2</v>
      </c>
      <c r="I13">
        <f t="shared" ref="I13:I18" si="10">+F13-G13</f>
        <v>0.29830000000000001</v>
      </c>
      <c r="J13">
        <f t="shared" ref="J13:J18" si="11">+F13</f>
        <v>0.38030000000000003</v>
      </c>
      <c r="K13">
        <f t="shared" ref="K13:K18" si="12">+F13+G13</f>
        <v>0.46230000000000004</v>
      </c>
      <c r="L13">
        <f t="shared" ref="L13:L18" si="13">+I13/1000</f>
        <v>2.9829999999999999E-4</v>
      </c>
      <c r="M13">
        <f t="shared" ref="M13:M18" si="14">+J13/1000</f>
        <v>3.8030000000000003E-4</v>
      </c>
      <c r="N13">
        <f t="shared" ref="N13:N18" si="15">+K13/1000</f>
        <v>4.6230000000000007E-4</v>
      </c>
      <c r="O13" s="78">
        <f t="shared" ref="O13:O18" si="16">1/L13</f>
        <v>3352.3298692591352</v>
      </c>
      <c r="P13" s="79">
        <f t="shared" ref="P13:P18" si="17">1/M13</f>
        <v>2629.5030239284774</v>
      </c>
      <c r="Q13" s="78">
        <f t="shared" ref="Q13:Q18" si="18">1/N13</f>
        <v>2163.0975556997619</v>
      </c>
    </row>
    <row r="14" spans="4:17">
      <c r="D14" s="76" t="s">
        <v>765</v>
      </c>
      <c r="F14">
        <v>3.1223000000000001</v>
      </c>
      <c r="G14">
        <v>0.27760000000000001</v>
      </c>
      <c r="I14">
        <f t="shared" si="10"/>
        <v>2.8447</v>
      </c>
      <c r="J14">
        <f t="shared" si="11"/>
        <v>3.1223000000000001</v>
      </c>
      <c r="K14">
        <f t="shared" si="12"/>
        <v>3.3999000000000001</v>
      </c>
      <c r="L14">
        <f t="shared" si="13"/>
        <v>2.8446999999999999E-3</v>
      </c>
      <c r="M14">
        <f t="shared" si="14"/>
        <v>3.1223000000000002E-3</v>
      </c>
      <c r="N14">
        <f t="shared" si="15"/>
        <v>3.3999E-3</v>
      </c>
      <c r="O14" s="78">
        <f t="shared" si="16"/>
        <v>351.53091714416286</v>
      </c>
      <c r="P14" s="79">
        <f t="shared" si="17"/>
        <v>320.2767190852897</v>
      </c>
      <c r="Q14" s="78">
        <f t="shared" si="18"/>
        <v>294.1262978322892</v>
      </c>
    </row>
    <row r="15" spans="4:17">
      <c r="D15" s="76" t="s">
        <v>30</v>
      </c>
      <c r="F15">
        <v>1.2126999999999999</v>
      </c>
      <c r="G15">
        <v>4.8800000000000003E-2</v>
      </c>
      <c r="I15">
        <f t="shared" si="10"/>
        <v>1.1638999999999999</v>
      </c>
      <c r="J15">
        <f t="shared" si="11"/>
        <v>1.2126999999999999</v>
      </c>
      <c r="K15">
        <f t="shared" si="12"/>
        <v>1.2614999999999998</v>
      </c>
      <c r="L15">
        <f t="shared" si="13"/>
        <v>1.1638999999999998E-3</v>
      </c>
      <c r="M15">
        <f t="shared" si="14"/>
        <v>1.2126999999999999E-3</v>
      </c>
      <c r="N15">
        <f t="shared" si="15"/>
        <v>1.2614999999999998E-3</v>
      </c>
      <c r="O15" s="78">
        <f t="shared" si="16"/>
        <v>859.18034195377618</v>
      </c>
      <c r="P15" s="79">
        <f t="shared" si="17"/>
        <v>824.60625051537897</v>
      </c>
      <c r="Q15" s="78">
        <f t="shared" si="18"/>
        <v>792.70709472849796</v>
      </c>
    </row>
    <row r="16" spans="4:17">
      <c r="D16" s="76" t="s">
        <v>38</v>
      </c>
      <c r="F16">
        <v>0.51229999999999998</v>
      </c>
      <c r="G16">
        <v>0.03</v>
      </c>
      <c r="I16">
        <f t="shared" si="10"/>
        <v>0.48229999999999995</v>
      </c>
      <c r="J16">
        <f t="shared" si="11"/>
        <v>0.51229999999999998</v>
      </c>
      <c r="K16">
        <f t="shared" si="12"/>
        <v>0.5423</v>
      </c>
      <c r="L16">
        <f t="shared" si="13"/>
        <v>4.8229999999999996E-4</v>
      </c>
      <c r="M16">
        <f t="shared" si="14"/>
        <v>5.1229999999999993E-4</v>
      </c>
      <c r="N16">
        <f t="shared" si="15"/>
        <v>5.4230000000000001E-4</v>
      </c>
      <c r="O16" s="78">
        <f t="shared" si="16"/>
        <v>2073.3982998133943</v>
      </c>
      <c r="P16" s="79">
        <f t="shared" si="17"/>
        <v>1951.9812609798948</v>
      </c>
      <c r="Q16" s="78">
        <f t="shared" si="18"/>
        <v>1843.9977872026552</v>
      </c>
    </row>
    <row r="17" spans="4:17">
      <c r="D17" s="76" t="s">
        <v>34</v>
      </c>
      <c r="F17">
        <v>0.47160000000000002</v>
      </c>
      <c r="G17">
        <v>4.1099999999999998E-2</v>
      </c>
      <c r="I17">
        <f t="shared" si="10"/>
        <v>0.43049999999999999</v>
      </c>
      <c r="J17">
        <f t="shared" si="11"/>
        <v>0.47160000000000002</v>
      </c>
      <c r="K17">
        <f t="shared" si="12"/>
        <v>0.51270000000000004</v>
      </c>
      <c r="L17">
        <f t="shared" si="13"/>
        <v>4.305E-4</v>
      </c>
      <c r="M17">
        <f t="shared" si="14"/>
        <v>4.7160000000000002E-4</v>
      </c>
      <c r="N17">
        <f t="shared" si="15"/>
        <v>5.1270000000000005E-4</v>
      </c>
      <c r="O17" s="71">
        <f t="shared" si="16"/>
        <v>2322.8803716608595</v>
      </c>
      <c r="P17" s="79">
        <f t="shared" si="17"/>
        <v>2120.4410517387614</v>
      </c>
      <c r="Q17" s="78">
        <f t="shared" si="18"/>
        <v>1950.4583577140627</v>
      </c>
    </row>
    <row r="18" spans="4:17">
      <c r="D18" s="76" t="s">
        <v>35</v>
      </c>
      <c r="F18">
        <v>5.4641999999999999</v>
      </c>
      <c r="G18">
        <v>0.217</v>
      </c>
      <c r="I18">
        <f t="shared" si="10"/>
        <v>5.2472000000000003</v>
      </c>
      <c r="J18">
        <f t="shared" si="11"/>
        <v>5.4641999999999999</v>
      </c>
      <c r="K18">
        <f t="shared" si="12"/>
        <v>5.6811999999999996</v>
      </c>
      <c r="L18">
        <f t="shared" si="13"/>
        <v>5.2472000000000005E-3</v>
      </c>
      <c r="M18">
        <f t="shared" si="14"/>
        <v>5.4641999999999998E-3</v>
      </c>
      <c r="N18">
        <f t="shared" si="15"/>
        <v>5.6812E-3</v>
      </c>
      <c r="O18" s="78">
        <f t="shared" si="16"/>
        <v>190.57783198658331</v>
      </c>
      <c r="P18" s="79">
        <f t="shared" si="17"/>
        <v>183.00940668350353</v>
      </c>
      <c r="Q18" s="78">
        <f t="shared" si="18"/>
        <v>176.01915088361613</v>
      </c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Feuil6"/>
  <dimension ref="B2:V97"/>
  <sheetViews>
    <sheetView topLeftCell="A10" workbookViewId="0">
      <selection activeCell="D17" sqref="D17"/>
    </sheetView>
  </sheetViews>
  <sheetFormatPr baseColWidth="10" defaultRowHeight="12.75"/>
  <sheetData>
    <row r="2" spans="2:22">
      <c r="K2" s="57"/>
      <c r="L2" s="57"/>
      <c r="M2" s="57"/>
      <c r="N2" s="57"/>
      <c r="O2" s="57"/>
      <c r="P2" s="57"/>
      <c r="Q2" s="57"/>
      <c r="R2" s="57"/>
      <c r="S2" s="57"/>
      <c r="T2" s="57"/>
      <c r="U2" s="57"/>
      <c r="V2" s="57"/>
    </row>
    <row r="3" spans="2:22">
      <c r="K3" s="57"/>
      <c r="L3" s="57" t="s">
        <v>793</v>
      </c>
      <c r="M3" s="57"/>
      <c r="N3" s="57"/>
      <c r="O3" s="57"/>
      <c r="P3" s="57"/>
      <c r="Q3" s="57"/>
      <c r="R3" s="57"/>
      <c r="S3" s="57"/>
      <c r="T3" s="57"/>
      <c r="U3" s="57"/>
      <c r="V3" s="57"/>
    </row>
    <row r="4" spans="2:22">
      <c r="K4" s="57"/>
      <c r="L4" s="57" t="s">
        <v>794</v>
      </c>
      <c r="M4" s="57"/>
      <c r="N4" s="57"/>
      <c r="O4" s="57"/>
      <c r="P4" s="57"/>
      <c r="Q4" s="57"/>
      <c r="R4" s="57"/>
      <c r="S4" s="57"/>
      <c r="T4" s="57"/>
      <c r="U4" s="57"/>
      <c r="V4" s="57"/>
    </row>
    <row r="5" spans="2:22">
      <c r="K5" s="57"/>
      <c r="L5" s="57" t="s">
        <v>795</v>
      </c>
      <c r="M5" s="57"/>
      <c r="N5" s="57"/>
      <c r="O5" s="57"/>
      <c r="P5" s="57"/>
      <c r="Q5" s="57"/>
      <c r="R5" s="57"/>
      <c r="S5" s="57"/>
      <c r="T5" s="57"/>
      <c r="U5" s="57"/>
      <c r="V5" s="57"/>
    </row>
    <row r="6" spans="2:22">
      <c r="K6" s="57"/>
      <c r="L6" s="57" t="s">
        <v>796</v>
      </c>
      <c r="M6" s="57"/>
      <c r="N6" s="57"/>
      <c r="O6" s="57"/>
      <c r="P6" s="57"/>
      <c r="Q6" s="57"/>
      <c r="R6" s="57"/>
      <c r="S6" s="57"/>
      <c r="T6" s="57"/>
      <c r="U6" s="57"/>
      <c r="V6" s="57"/>
    </row>
    <row r="7" spans="2:22">
      <c r="B7" s="51" t="s">
        <v>31</v>
      </c>
      <c r="C7" s="51" t="s">
        <v>804</v>
      </c>
      <c r="D7" s="51"/>
      <c r="K7" s="57"/>
      <c r="L7" s="57"/>
      <c r="M7" s="57"/>
      <c r="N7" s="57"/>
      <c r="O7" s="57"/>
      <c r="P7" s="57"/>
      <c r="Q7" s="57"/>
      <c r="R7" s="57"/>
      <c r="S7" s="57"/>
      <c r="T7" s="57"/>
      <c r="U7" s="57"/>
      <c r="V7" s="57"/>
    </row>
    <row r="8" spans="2:22">
      <c r="B8" s="51" t="s">
        <v>37</v>
      </c>
      <c r="C8" s="51" t="s">
        <v>812</v>
      </c>
      <c r="D8" s="51" t="s">
        <v>813</v>
      </c>
      <c r="K8" s="57"/>
      <c r="L8" s="57"/>
      <c r="M8" s="57"/>
      <c r="N8" s="57"/>
      <c r="O8" s="57"/>
      <c r="P8" s="57"/>
      <c r="Q8" s="57"/>
      <c r="R8" s="57"/>
      <c r="S8" s="57"/>
      <c r="T8" s="57"/>
      <c r="U8" s="57"/>
      <c r="V8" s="57"/>
    </row>
    <row r="9" spans="2:22">
      <c r="B9" s="51" t="s">
        <v>24</v>
      </c>
      <c r="C9" s="51" t="s">
        <v>800</v>
      </c>
      <c r="D9" s="51"/>
      <c r="K9" s="57"/>
      <c r="L9" s="57"/>
      <c r="M9" s="57"/>
      <c r="N9" s="57"/>
      <c r="O9" s="57"/>
      <c r="P9" s="57"/>
      <c r="Q9" s="57"/>
      <c r="R9" s="57"/>
      <c r="S9" s="57"/>
      <c r="T9" s="57"/>
      <c r="U9" s="57"/>
      <c r="V9" s="57"/>
    </row>
    <row r="10" spans="2:22">
      <c r="B10" s="51" t="s">
        <v>109</v>
      </c>
      <c r="C10" s="51" t="s">
        <v>809</v>
      </c>
      <c r="D10" s="51"/>
      <c r="K10" s="57"/>
      <c r="L10" s="57"/>
      <c r="M10" s="57"/>
      <c r="N10" s="57"/>
      <c r="O10" s="57"/>
      <c r="P10" s="57"/>
      <c r="Q10" s="57"/>
      <c r="R10" s="57"/>
      <c r="S10" s="57"/>
      <c r="T10" s="57"/>
      <c r="U10" s="57"/>
      <c r="V10" s="57"/>
    </row>
    <row r="11" spans="2:22">
      <c r="B11" s="51" t="s">
        <v>30</v>
      </c>
      <c r="C11" s="51" t="s">
        <v>803</v>
      </c>
      <c r="D11" s="51"/>
      <c r="K11" s="57"/>
      <c r="L11" s="57"/>
      <c r="M11" s="57"/>
      <c r="N11" s="57"/>
      <c r="O11" s="57"/>
      <c r="P11" s="57"/>
      <c r="Q11" s="57"/>
      <c r="R11" s="57"/>
      <c r="S11" s="57"/>
      <c r="T11" s="57"/>
      <c r="U11" s="57"/>
      <c r="V11" s="57"/>
    </row>
    <row r="12" spans="2:22">
      <c r="B12" s="51" t="s">
        <v>814</v>
      </c>
      <c r="C12" s="51" t="s">
        <v>815</v>
      </c>
      <c r="D12" s="51" t="s">
        <v>816</v>
      </c>
      <c r="K12" s="57"/>
      <c r="L12" s="57"/>
      <c r="M12" s="57"/>
      <c r="N12" s="57"/>
      <c r="O12" s="57"/>
      <c r="P12" s="57"/>
      <c r="Q12" s="57"/>
      <c r="R12" s="57"/>
      <c r="S12" s="57"/>
      <c r="T12" s="57"/>
      <c r="U12" s="57"/>
      <c r="V12" s="57"/>
    </row>
    <row r="13" spans="2:22">
      <c r="B13" s="51" t="s">
        <v>25</v>
      </c>
      <c r="C13" s="51" t="s">
        <v>801</v>
      </c>
      <c r="D13" s="51" t="s">
        <v>802</v>
      </c>
      <c r="K13" s="57"/>
      <c r="L13" s="57"/>
      <c r="M13" s="57"/>
      <c r="N13" s="57"/>
      <c r="O13" s="57"/>
      <c r="P13" s="57"/>
      <c r="Q13" s="57"/>
      <c r="R13" s="57"/>
      <c r="S13" s="57"/>
      <c r="T13" s="57"/>
      <c r="U13" s="57"/>
      <c r="V13" s="57"/>
    </row>
    <row r="14" spans="2:22">
      <c r="B14" s="51" t="s">
        <v>36</v>
      </c>
      <c r="C14" s="51" t="s">
        <v>801</v>
      </c>
      <c r="D14" s="51"/>
      <c r="K14" s="57"/>
      <c r="L14" s="57"/>
      <c r="M14" s="57"/>
      <c r="N14" s="57"/>
      <c r="O14" s="57"/>
      <c r="P14" s="57"/>
      <c r="Q14" s="57"/>
      <c r="R14" s="57"/>
      <c r="S14" s="57"/>
      <c r="T14" s="57"/>
      <c r="U14" s="57"/>
      <c r="V14" s="57"/>
    </row>
    <row r="15" spans="2:22">
      <c r="B15" s="51" t="s">
        <v>34</v>
      </c>
      <c r="C15" s="51" t="s">
        <v>805</v>
      </c>
      <c r="D15" s="51" t="s">
        <v>806</v>
      </c>
      <c r="K15" s="57"/>
      <c r="L15" s="57"/>
      <c r="M15" s="57"/>
      <c r="N15" s="57"/>
      <c r="O15" s="57"/>
      <c r="P15" s="57"/>
      <c r="Q15" s="57"/>
      <c r="R15" s="57"/>
      <c r="S15" s="57"/>
      <c r="T15" s="57"/>
      <c r="U15" s="57"/>
      <c r="V15" s="57"/>
    </row>
    <row r="16" spans="2:22">
      <c r="B16" s="51" t="s">
        <v>103</v>
      </c>
      <c r="D16" s="51"/>
      <c r="K16" s="57"/>
      <c r="L16" s="57"/>
      <c r="M16" s="57"/>
      <c r="N16" s="57"/>
      <c r="O16" s="57"/>
      <c r="P16" s="57"/>
      <c r="Q16" s="57"/>
      <c r="R16" s="57"/>
      <c r="S16" s="57"/>
      <c r="T16" s="57"/>
      <c r="U16" s="57"/>
      <c r="V16" s="57"/>
    </row>
    <row r="17" spans="2:22">
      <c r="D17" s="51"/>
      <c r="K17" s="57"/>
      <c r="L17" s="57"/>
      <c r="M17" s="57"/>
      <c r="N17" s="57"/>
      <c r="O17" s="57"/>
      <c r="P17" s="57"/>
      <c r="Q17" s="57"/>
      <c r="R17" s="57"/>
      <c r="S17" s="57"/>
      <c r="T17" s="57"/>
      <c r="U17" s="57"/>
      <c r="V17" s="57"/>
    </row>
    <row r="18" spans="2:22">
      <c r="K18" s="57"/>
      <c r="L18" s="57"/>
      <c r="M18" s="57"/>
      <c r="N18" s="57"/>
      <c r="O18" s="57"/>
      <c r="P18" s="57"/>
      <c r="Q18" s="57"/>
      <c r="R18" s="57"/>
      <c r="S18" s="57"/>
      <c r="T18" s="57"/>
      <c r="U18" s="57"/>
      <c r="V18" s="57"/>
    </row>
    <row r="19" spans="2:22">
      <c r="K19" s="57"/>
      <c r="L19" s="57"/>
      <c r="M19" s="57"/>
      <c r="N19" s="57"/>
      <c r="O19" s="57"/>
      <c r="P19" s="57"/>
      <c r="Q19" s="57"/>
      <c r="R19" s="57"/>
      <c r="S19" s="57"/>
      <c r="T19" s="57"/>
      <c r="U19" s="57"/>
      <c r="V19" s="57"/>
    </row>
    <row r="20" spans="2:22">
      <c r="B20" s="51" t="s">
        <v>810</v>
      </c>
      <c r="C20" s="51" t="s">
        <v>811</v>
      </c>
      <c r="K20" s="57"/>
      <c r="L20" s="57"/>
      <c r="M20" s="57"/>
      <c r="N20" s="57"/>
      <c r="O20" s="57"/>
      <c r="P20" s="57"/>
      <c r="Q20" s="57"/>
      <c r="R20" s="57"/>
      <c r="S20" s="57"/>
      <c r="T20" s="57"/>
      <c r="U20" s="57"/>
      <c r="V20" s="57"/>
    </row>
    <row r="21" spans="2:22">
      <c r="B21" s="51" t="s">
        <v>807</v>
      </c>
      <c r="C21" s="51" t="s">
        <v>808</v>
      </c>
      <c r="K21" s="57"/>
      <c r="L21" s="57"/>
      <c r="M21" s="57"/>
      <c r="N21" s="57"/>
      <c r="O21" s="57"/>
      <c r="P21" s="57"/>
      <c r="Q21" s="57"/>
      <c r="R21" s="57"/>
      <c r="S21" s="57"/>
      <c r="T21" s="57"/>
      <c r="U21" s="57"/>
      <c r="V21" s="57"/>
    </row>
    <row r="22" spans="2:22">
      <c r="K22" s="57"/>
      <c r="L22" s="57"/>
      <c r="M22" s="57"/>
      <c r="N22" s="57"/>
      <c r="O22" s="57"/>
      <c r="P22" s="57"/>
      <c r="Q22" s="57"/>
      <c r="R22" s="57"/>
      <c r="S22" s="57"/>
      <c r="T22" s="57"/>
      <c r="U22" s="57"/>
      <c r="V22" s="57"/>
    </row>
    <row r="23" spans="2:22">
      <c r="K23" s="57"/>
      <c r="L23" s="57"/>
      <c r="M23" s="57"/>
      <c r="N23" s="57"/>
      <c r="O23" s="57"/>
      <c r="P23" s="57"/>
      <c r="Q23" s="57"/>
      <c r="R23" s="57"/>
      <c r="S23" s="57"/>
      <c r="T23" s="57"/>
      <c r="U23" s="57"/>
      <c r="V23" s="57"/>
    </row>
    <row r="24" spans="2:22">
      <c r="K24" s="57"/>
      <c r="L24" s="57"/>
      <c r="M24" s="57"/>
      <c r="N24" s="57"/>
      <c r="O24" s="57"/>
      <c r="P24" s="57"/>
      <c r="Q24" s="57"/>
      <c r="R24" s="57"/>
      <c r="S24" s="57"/>
      <c r="T24" s="57"/>
      <c r="U24" s="57"/>
      <c r="V24" s="57"/>
    </row>
    <row r="25" spans="2:22">
      <c r="K25" s="57"/>
      <c r="L25" s="57"/>
      <c r="M25" s="57"/>
      <c r="N25" s="57"/>
      <c r="O25" s="57"/>
      <c r="P25" s="57"/>
      <c r="Q25" s="57"/>
      <c r="R25" s="57"/>
      <c r="S25" s="57"/>
      <c r="T25" s="57"/>
      <c r="U25" s="57"/>
      <c r="V25" s="57"/>
    </row>
    <row r="26" spans="2:22">
      <c r="K26" s="57"/>
      <c r="L26" s="57"/>
      <c r="M26" s="57"/>
      <c r="N26" s="57"/>
      <c r="O26" s="57"/>
      <c r="P26" s="57"/>
      <c r="Q26" s="57"/>
      <c r="R26" s="57"/>
      <c r="S26" s="57"/>
      <c r="T26" s="57"/>
      <c r="U26" s="57"/>
      <c r="V26" s="57"/>
    </row>
    <row r="27" spans="2:22">
      <c r="K27" s="57"/>
      <c r="L27" s="57"/>
      <c r="M27" s="57"/>
      <c r="N27" s="57"/>
      <c r="O27" s="57"/>
      <c r="P27" s="57"/>
      <c r="Q27" s="57"/>
      <c r="R27" s="57"/>
      <c r="S27" s="57"/>
      <c r="T27" s="57"/>
      <c r="U27" s="57"/>
      <c r="V27" s="57"/>
    </row>
    <row r="28" spans="2:22">
      <c r="C28" t="s">
        <v>827</v>
      </c>
      <c r="K28" s="57"/>
      <c r="L28" s="57"/>
      <c r="M28" s="57"/>
      <c r="N28" s="57"/>
      <c r="O28" s="57"/>
      <c r="P28" s="57"/>
      <c r="Q28" s="57"/>
      <c r="R28" s="57"/>
      <c r="S28" s="57"/>
      <c r="T28" s="57"/>
      <c r="U28" s="57"/>
      <c r="V28" s="57"/>
    </row>
    <row r="29" spans="2:22">
      <c r="K29" s="57"/>
      <c r="L29" s="57"/>
      <c r="M29" s="57"/>
      <c r="N29" s="57"/>
      <c r="O29" s="57"/>
      <c r="P29" s="57"/>
      <c r="Q29" s="57"/>
      <c r="R29" s="57"/>
      <c r="S29" s="57"/>
      <c r="T29" s="57"/>
      <c r="U29" s="57"/>
      <c r="V29" s="57"/>
    </row>
    <row r="30" spans="2:22">
      <c r="K30" s="57"/>
      <c r="L30" s="57"/>
      <c r="M30" s="57"/>
      <c r="N30" s="57"/>
      <c r="O30" s="57"/>
      <c r="P30" s="57"/>
      <c r="Q30" s="57"/>
      <c r="R30" s="57"/>
      <c r="S30" s="57"/>
      <c r="T30" s="57"/>
      <c r="U30" s="57"/>
      <c r="V30" s="57"/>
    </row>
    <row r="34" spans="5:12">
      <c r="E34" t="s">
        <v>817</v>
      </c>
    </row>
    <row r="35" spans="5:12">
      <c r="L35" t="s">
        <v>797</v>
      </c>
    </row>
    <row r="36" spans="5:12">
      <c r="L36" t="s">
        <v>798</v>
      </c>
    </row>
    <row r="37" spans="5:12">
      <c r="L37" t="s">
        <v>799</v>
      </c>
    </row>
    <row r="89" spans="3:14">
      <c r="C89" t="s">
        <v>818</v>
      </c>
      <c r="D89">
        <v>20</v>
      </c>
      <c r="E89">
        <v>2</v>
      </c>
    </row>
    <row r="90" spans="3:14">
      <c r="C90" t="s">
        <v>819</v>
      </c>
      <c r="D90">
        <v>17</v>
      </c>
      <c r="E90">
        <v>2</v>
      </c>
      <c r="N90">
        <v>0.18</v>
      </c>
    </row>
    <row r="91" spans="3:14">
      <c r="C91" t="s">
        <v>820</v>
      </c>
      <c r="D91">
        <v>20</v>
      </c>
      <c r="E91">
        <v>2</v>
      </c>
      <c r="N91">
        <v>5</v>
      </c>
    </row>
    <row r="92" spans="3:14">
      <c r="C92" t="s">
        <v>821</v>
      </c>
      <c r="D92">
        <v>16</v>
      </c>
      <c r="E92">
        <v>11</v>
      </c>
      <c r="N92">
        <f>+N90*N91</f>
        <v>0.89999999999999991</v>
      </c>
    </row>
    <row r="93" spans="3:14">
      <c r="C93" t="s">
        <v>822</v>
      </c>
      <c r="D93">
        <v>16</v>
      </c>
      <c r="E93">
        <v>11</v>
      </c>
    </row>
    <row r="94" spans="3:14">
      <c r="C94" t="s">
        <v>823</v>
      </c>
      <c r="D94">
        <v>13</v>
      </c>
      <c r="E94">
        <v>22</v>
      </c>
    </row>
    <row r="95" spans="3:14">
      <c r="C95" t="s">
        <v>824</v>
      </c>
      <c r="D95">
        <v>8</v>
      </c>
      <c r="E95">
        <v>11</v>
      </c>
    </row>
    <row r="96" spans="3:14">
      <c r="C96" t="s">
        <v>825</v>
      </c>
      <c r="D96">
        <v>5</v>
      </c>
      <c r="E96">
        <v>5</v>
      </c>
    </row>
    <row r="97" spans="3:5">
      <c r="C97" t="s">
        <v>826</v>
      </c>
      <c r="D97">
        <v>5</v>
      </c>
      <c r="E97">
        <v>0</v>
      </c>
    </row>
  </sheetData>
  <sortState xmlns:xlrd2="http://schemas.microsoft.com/office/spreadsheetml/2017/richdata2" ref="B7:D18">
    <sortCondition ref="C7:C18"/>
  </sortState>
  <pageMargins left="0.7" right="0.7" top="0.75" bottom="0.75" header="0.3" footer="0.3"/>
  <drawing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B213363-1A1B-44E2-98AA-A766F264584F}">
  <sheetPr codeName="Feuil10"/>
  <dimension ref="B4:I9"/>
  <sheetViews>
    <sheetView workbookViewId="0">
      <selection activeCell="D43" sqref="D43"/>
    </sheetView>
  </sheetViews>
  <sheetFormatPr baseColWidth="10" defaultRowHeight="12"/>
  <cols>
    <col min="1" max="3" width="11.42578125" style="58"/>
    <col min="4" max="5" width="11" style="58" customWidth="1"/>
    <col min="6" max="6" width="6.5703125" style="58" customWidth="1"/>
    <col min="7" max="7" width="38.5703125" style="58" bestFit="1" customWidth="1"/>
    <col min="8" max="16384" width="11.42578125" style="58"/>
  </cols>
  <sheetData>
    <row r="4" spans="2:9">
      <c r="B4" s="58">
        <v>1</v>
      </c>
    </row>
    <row r="5" spans="2:9">
      <c r="B5" s="58">
        <v>2</v>
      </c>
      <c r="D5" s="61" t="s">
        <v>836</v>
      </c>
      <c r="E5" s="61" t="s">
        <v>835</v>
      </c>
      <c r="F5" s="61">
        <v>1994</v>
      </c>
      <c r="G5" s="58" t="s">
        <v>831</v>
      </c>
      <c r="H5" s="59" t="s">
        <v>830</v>
      </c>
      <c r="I5" s="58" t="s">
        <v>832</v>
      </c>
    </row>
    <row r="6" spans="2:9">
      <c r="B6" s="58">
        <v>3</v>
      </c>
      <c r="D6" s="60" t="s">
        <v>833</v>
      </c>
      <c r="E6" s="60" t="s">
        <v>834</v>
      </c>
      <c r="F6" s="60">
        <v>2004</v>
      </c>
      <c r="G6" s="60"/>
    </row>
    <row r="7" spans="2:9">
      <c r="B7" s="58">
        <v>4</v>
      </c>
      <c r="D7" s="61" t="s">
        <v>837</v>
      </c>
      <c r="E7" s="61" t="s">
        <v>838</v>
      </c>
      <c r="F7" s="61">
        <v>1999</v>
      </c>
      <c r="G7" s="61"/>
    </row>
    <row r="8" spans="2:9" ht="15.75">
      <c r="B8" s="58">
        <v>5</v>
      </c>
      <c r="D8" s="42" t="s">
        <v>761</v>
      </c>
    </row>
    <row r="9" spans="2:9">
      <c r="B9" s="58">
        <v>6</v>
      </c>
      <c r="D9" s="58" t="s">
        <v>837</v>
      </c>
      <c r="F9" s="58">
        <v>1991</v>
      </c>
    </row>
  </sheetData>
  <hyperlinks>
    <hyperlink ref="D5" r:id="rId1" location="search/q=author:%22Kenyon%2C+S.+J.%22&amp;sort=date%20desc,%20bibcode%20desc" display="search/q=author:%22Kenyon%2C+S.+J.%22&amp;sort=date%20desc,%20bibcode%20desc" xr:uid="{07241B20-E4E4-47FF-AF2C-3B2CF520BA36}"/>
  </hyperlinks>
  <pageMargins left="0.7" right="0.7" top="0.75" bottom="0.75" header="0.3" footer="0.3"/>
  <drawing r:id="rId2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Feuil7"/>
  <dimension ref="A1"/>
  <sheetViews>
    <sheetView topLeftCell="A28" workbookViewId="0">
      <selection activeCell="M13" sqref="M13"/>
    </sheetView>
  </sheetViews>
  <sheetFormatPr baseColWidth="10" defaultRowHeight="12.75"/>
  <sheetData/>
  <pageMargins left="0.7" right="0.7" top="0.75" bottom="0.75" header="0.3" footer="0.3"/>
  <drawing r:id="rId1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5A19564-AFE3-457E-99CE-F39CBEBF8B7D}">
  <dimension ref="B4:D14"/>
  <sheetViews>
    <sheetView workbookViewId="0">
      <selection activeCell="I12" sqref="I12"/>
    </sheetView>
  </sheetViews>
  <sheetFormatPr baseColWidth="10" defaultRowHeight="12.75"/>
  <sheetData>
    <row r="4" spans="2:4">
      <c r="B4" t="s">
        <v>21</v>
      </c>
      <c r="C4">
        <v>2450197.2999999998</v>
      </c>
    </row>
    <row r="5" spans="2:4">
      <c r="B5" t="s">
        <v>0</v>
      </c>
      <c r="C5">
        <v>599.4</v>
      </c>
      <c r="D5" t="s">
        <v>39</v>
      </c>
    </row>
    <row r="6" spans="2:4">
      <c r="B6" t="s">
        <v>0</v>
      </c>
      <c r="C6">
        <v>1.6410677618069816</v>
      </c>
      <c r="D6" t="s">
        <v>746</v>
      </c>
    </row>
    <row r="7" spans="2:4">
      <c r="B7" t="s">
        <v>40</v>
      </c>
      <c r="C7">
        <v>1.3013013013324581E-2</v>
      </c>
    </row>
    <row r="8" spans="2:4">
      <c r="B8" t="s">
        <v>43</v>
      </c>
      <c r="C8">
        <v>16</v>
      </c>
    </row>
    <row r="10" spans="2:4">
      <c r="B10" t="s">
        <v>130</v>
      </c>
      <c r="C10">
        <v>45368.099999999627</v>
      </c>
    </row>
    <row r="12" spans="2:4">
      <c r="B12" t="s">
        <v>58</v>
      </c>
    </row>
    <row r="14" spans="2:4">
      <c r="B14" s="83" t="s">
        <v>738</v>
      </c>
    </row>
  </sheetData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1DB40C9-438B-470B-9EB2-885FB0F151A5}">
  <sheetPr codeName="Feuil12"/>
  <dimension ref="B2:G61"/>
  <sheetViews>
    <sheetView workbookViewId="0">
      <selection activeCell="G5" sqref="G5"/>
    </sheetView>
  </sheetViews>
  <sheetFormatPr baseColWidth="10" defaultRowHeight="12.75"/>
  <cols>
    <col min="2" max="2" width="23.85546875" bestFit="1" customWidth="1"/>
    <col min="3" max="3" width="10.7109375" bestFit="1" customWidth="1"/>
    <col min="4" max="4" width="12.42578125" bestFit="1" customWidth="1"/>
    <col min="5" max="6" width="12.42578125" style="71" customWidth="1"/>
    <col min="7" max="7" width="11.42578125" style="71"/>
  </cols>
  <sheetData>
    <row r="2" spans="2:7">
      <c r="F2" s="71" t="s">
        <v>986</v>
      </c>
      <c r="G2" s="71" t="s">
        <v>978</v>
      </c>
    </row>
    <row r="4" spans="2:7" ht="15.75">
      <c r="B4" s="63" t="s">
        <v>24</v>
      </c>
      <c r="C4" s="64" t="s">
        <v>839</v>
      </c>
      <c r="D4" s="64" t="s">
        <v>840</v>
      </c>
      <c r="E4" s="72"/>
      <c r="F4" s="72"/>
    </row>
    <row r="5" spans="2:7" ht="15.75">
      <c r="B5" s="63" t="s">
        <v>25</v>
      </c>
      <c r="C5" s="64" t="s">
        <v>841</v>
      </c>
      <c r="D5" s="64" t="s">
        <v>842</v>
      </c>
      <c r="E5" s="72" t="s">
        <v>979</v>
      </c>
      <c r="F5" s="72"/>
      <c r="G5" s="71">
        <v>-110</v>
      </c>
    </row>
    <row r="6" spans="2:7" ht="15.75">
      <c r="B6" s="63" t="s">
        <v>776</v>
      </c>
      <c r="C6" s="64" t="s">
        <v>843</v>
      </c>
      <c r="D6" s="64" t="s">
        <v>844</v>
      </c>
      <c r="E6" s="72"/>
      <c r="F6" s="72"/>
    </row>
    <row r="7" spans="2:7" ht="15.75">
      <c r="B7" s="65" t="s">
        <v>845</v>
      </c>
      <c r="C7" s="64" t="s">
        <v>846</v>
      </c>
      <c r="D7" s="64" t="s">
        <v>847</v>
      </c>
      <c r="E7" s="72"/>
      <c r="F7" s="72"/>
    </row>
    <row r="8" spans="2:7" ht="15.75">
      <c r="B8" s="63" t="s">
        <v>26</v>
      </c>
      <c r="C8" s="64" t="s">
        <v>848</v>
      </c>
      <c r="D8" s="64" t="s">
        <v>849</v>
      </c>
      <c r="E8" s="72"/>
      <c r="F8" s="72"/>
    </row>
    <row r="9" spans="2:7" ht="15.75">
      <c r="B9" s="63" t="s">
        <v>850</v>
      </c>
      <c r="C9" s="64" t="s">
        <v>851</v>
      </c>
      <c r="D9" s="66" t="s">
        <v>852</v>
      </c>
      <c r="E9" s="73"/>
      <c r="F9" s="73"/>
    </row>
    <row r="10" spans="2:7" ht="15.75">
      <c r="B10" s="63" t="s">
        <v>766</v>
      </c>
      <c r="C10" s="64" t="s">
        <v>853</v>
      </c>
      <c r="D10" s="64" t="s">
        <v>854</v>
      </c>
      <c r="E10" s="72"/>
      <c r="F10" s="72"/>
    </row>
    <row r="11" spans="2:7" ht="15.75">
      <c r="B11" s="65" t="s">
        <v>27</v>
      </c>
      <c r="C11" s="64" t="s">
        <v>855</v>
      </c>
      <c r="D11" s="64" t="s">
        <v>856</v>
      </c>
      <c r="E11" s="72"/>
      <c r="F11" s="72"/>
    </row>
    <row r="12" spans="2:7" ht="15.75">
      <c r="B12" s="65" t="s">
        <v>857</v>
      </c>
      <c r="C12" s="64" t="s">
        <v>858</v>
      </c>
      <c r="D12" s="64" t="s">
        <v>859</v>
      </c>
      <c r="E12" s="72"/>
      <c r="F12" s="72"/>
    </row>
    <row r="13" spans="2:7" ht="15.75">
      <c r="B13" s="63" t="s">
        <v>860</v>
      </c>
      <c r="C13" s="67" t="s">
        <v>861</v>
      </c>
      <c r="D13" s="67" t="s">
        <v>862</v>
      </c>
      <c r="E13" s="74"/>
      <c r="F13" s="74"/>
    </row>
    <row r="14" spans="2:7" ht="15.75">
      <c r="B14" s="63" t="s">
        <v>863</v>
      </c>
      <c r="C14" s="64" t="s">
        <v>864</v>
      </c>
      <c r="D14" s="64" t="s">
        <v>865</v>
      </c>
      <c r="E14" s="72"/>
      <c r="F14" s="72"/>
    </row>
    <row r="15" spans="2:7" ht="15.75">
      <c r="B15" s="63" t="s">
        <v>28</v>
      </c>
      <c r="C15" s="64" t="s">
        <v>866</v>
      </c>
      <c r="D15" s="64" t="s">
        <v>867</v>
      </c>
      <c r="E15" s="72"/>
      <c r="F15" s="72"/>
    </row>
    <row r="16" spans="2:7" ht="15.75">
      <c r="B16" s="63" t="s">
        <v>96</v>
      </c>
      <c r="C16" s="64" t="s">
        <v>868</v>
      </c>
      <c r="D16" s="64" t="s">
        <v>869</v>
      </c>
      <c r="E16" s="72"/>
      <c r="F16" s="72"/>
    </row>
    <row r="17" spans="2:6" ht="15.75">
      <c r="B17" s="63" t="s">
        <v>774</v>
      </c>
      <c r="C17" s="64" t="s">
        <v>870</v>
      </c>
      <c r="D17" s="64" t="s">
        <v>871</v>
      </c>
      <c r="E17" s="72"/>
      <c r="F17" s="72"/>
    </row>
    <row r="18" spans="2:6" ht="15.75">
      <c r="B18" s="65" t="s">
        <v>872</v>
      </c>
      <c r="C18" s="64" t="s">
        <v>873</v>
      </c>
      <c r="D18" s="64" t="s">
        <v>874</v>
      </c>
      <c r="E18" s="72"/>
      <c r="F18" s="72"/>
    </row>
    <row r="19" spans="2:6" ht="15.75">
      <c r="B19" s="63" t="s">
        <v>875</v>
      </c>
      <c r="C19" s="64" t="s">
        <v>876</v>
      </c>
      <c r="D19" s="64" t="s">
        <v>877</v>
      </c>
      <c r="E19" s="72"/>
      <c r="F19" s="72"/>
    </row>
    <row r="20" spans="2:6" ht="15.75">
      <c r="B20" s="63" t="s">
        <v>29</v>
      </c>
      <c r="C20" s="64" t="s">
        <v>878</v>
      </c>
      <c r="D20" s="64" t="s">
        <v>879</v>
      </c>
      <c r="E20" s="72"/>
      <c r="F20" s="72"/>
    </row>
    <row r="21" spans="2:6" ht="15.75">
      <c r="B21" s="63" t="s">
        <v>98</v>
      </c>
      <c r="C21" s="64" t="s">
        <v>880</v>
      </c>
      <c r="D21" s="66" t="s">
        <v>881</v>
      </c>
      <c r="E21" s="73"/>
      <c r="F21" s="73"/>
    </row>
    <row r="22" spans="2:6" ht="15.75">
      <c r="B22" s="63" t="s">
        <v>882</v>
      </c>
      <c r="C22" s="67" t="s">
        <v>883</v>
      </c>
      <c r="D22" s="64" t="s">
        <v>884</v>
      </c>
      <c r="E22" s="72"/>
      <c r="F22" s="72"/>
    </row>
    <row r="23" spans="2:6" ht="15.75">
      <c r="B23" s="63" t="s">
        <v>30</v>
      </c>
      <c r="C23" s="64" t="s">
        <v>885</v>
      </c>
      <c r="D23" s="64" t="s">
        <v>886</v>
      </c>
      <c r="E23" s="72"/>
      <c r="F23" s="72"/>
    </row>
    <row r="24" spans="2:6" ht="15.75">
      <c r="B24" s="63" t="s">
        <v>31</v>
      </c>
      <c r="C24" s="64" t="s">
        <v>887</v>
      </c>
      <c r="D24" s="64" t="s">
        <v>888</v>
      </c>
      <c r="E24" s="72"/>
      <c r="F24" s="72"/>
    </row>
    <row r="25" spans="2:6" ht="15.75">
      <c r="B25" s="63" t="s">
        <v>785</v>
      </c>
      <c r="C25" s="64" t="s">
        <v>889</v>
      </c>
      <c r="D25" s="66" t="s">
        <v>890</v>
      </c>
      <c r="E25" s="73"/>
      <c r="F25" s="73"/>
    </row>
    <row r="26" spans="2:6" ht="15.75">
      <c r="B26" s="63" t="s">
        <v>891</v>
      </c>
      <c r="C26" s="64" t="s">
        <v>892</v>
      </c>
      <c r="D26" s="64" t="s">
        <v>893</v>
      </c>
      <c r="E26" s="72"/>
      <c r="F26" s="72"/>
    </row>
    <row r="27" spans="2:6" ht="15.75">
      <c r="B27" s="63" t="s">
        <v>32</v>
      </c>
      <c r="C27" s="64" t="s">
        <v>894</v>
      </c>
      <c r="D27" s="64" t="s">
        <v>895</v>
      </c>
      <c r="E27" s="72"/>
      <c r="F27" s="72"/>
    </row>
    <row r="28" spans="2:6" ht="15.75">
      <c r="B28" s="63" t="s">
        <v>775</v>
      </c>
      <c r="C28" s="64" t="s">
        <v>896</v>
      </c>
      <c r="D28" s="66" t="s">
        <v>897</v>
      </c>
      <c r="E28" s="73"/>
      <c r="F28" s="73"/>
    </row>
    <row r="29" spans="2:6" ht="15.75">
      <c r="B29" s="68" t="s">
        <v>101</v>
      </c>
      <c r="C29" s="64" t="s">
        <v>898</v>
      </c>
      <c r="D29" s="66" t="s">
        <v>899</v>
      </c>
      <c r="E29" s="73"/>
      <c r="F29" s="73"/>
    </row>
    <row r="30" spans="2:6" ht="15.75">
      <c r="B30" s="63" t="s">
        <v>900</v>
      </c>
      <c r="C30" s="64" t="s">
        <v>901</v>
      </c>
      <c r="D30" s="66" t="s">
        <v>902</v>
      </c>
      <c r="E30" s="73"/>
      <c r="F30" s="73"/>
    </row>
    <row r="31" spans="2:6" ht="15.75">
      <c r="B31" s="63" t="s">
        <v>903</v>
      </c>
      <c r="C31" s="64" t="s">
        <v>904</v>
      </c>
      <c r="D31" s="64" t="s">
        <v>905</v>
      </c>
      <c r="E31" s="72"/>
      <c r="F31" s="72"/>
    </row>
    <row r="32" spans="2:6" ht="15.75">
      <c r="B32" s="63" t="s">
        <v>906</v>
      </c>
      <c r="C32" s="64" t="s">
        <v>907</v>
      </c>
      <c r="D32" s="66" t="s">
        <v>908</v>
      </c>
      <c r="E32" s="73"/>
      <c r="F32" s="73"/>
    </row>
    <row r="33" spans="2:6" ht="15.75">
      <c r="B33" s="63" t="s">
        <v>103</v>
      </c>
      <c r="C33" s="64" t="s">
        <v>909</v>
      </c>
      <c r="D33" s="64" t="s">
        <v>910</v>
      </c>
      <c r="E33" s="72"/>
      <c r="F33" s="72"/>
    </row>
    <row r="34" spans="2:6" ht="15.75">
      <c r="B34" s="63" t="s">
        <v>33</v>
      </c>
      <c r="C34" s="64" t="s">
        <v>911</v>
      </c>
      <c r="D34" s="64" t="s">
        <v>912</v>
      </c>
      <c r="E34" s="72"/>
      <c r="F34" s="72"/>
    </row>
    <row r="35" spans="2:6" ht="15.75">
      <c r="B35" s="63" t="s">
        <v>913</v>
      </c>
      <c r="C35" s="64" t="s">
        <v>914</v>
      </c>
      <c r="D35" s="64" t="s">
        <v>915</v>
      </c>
      <c r="E35" s="72"/>
      <c r="F35" s="72"/>
    </row>
    <row r="36" spans="2:6" ht="15.75">
      <c r="B36" s="63" t="s">
        <v>34</v>
      </c>
      <c r="C36" s="64" t="s">
        <v>916</v>
      </c>
      <c r="D36" s="64" t="s">
        <v>917</v>
      </c>
      <c r="E36" s="72"/>
      <c r="F36" s="72"/>
    </row>
    <row r="37" spans="2:6" ht="15.75">
      <c r="B37" s="63" t="s">
        <v>107</v>
      </c>
      <c r="C37" s="64" t="s">
        <v>918</v>
      </c>
      <c r="D37" s="64" t="s">
        <v>919</v>
      </c>
      <c r="E37" s="72"/>
      <c r="F37" s="72"/>
    </row>
    <row r="38" spans="2:6" ht="15.75">
      <c r="B38" s="63" t="s">
        <v>920</v>
      </c>
      <c r="C38" s="66" t="s">
        <v>921</v>
      </c>
      <c r="D38" s="64" t="s">
        <v>922</v>
      </c>
      <c r="E38" s="72"/>
      <c r="F38" s="72"/>
    </row>
    <row r="39" spans="2:6" ht="15.75">
      <c r="B39" s="63" t="s">
        <v>108</v>
      </c>
      <c r="C39" s="64" t="s">
        <v>923</v>
      </c>
      <c r="D39" s="64" t="s">
        <v>924</v>
      </c>
      <c r="E39" s="72"/>
      <c r="F39" s="72"/>
    </row>
    <row r="40" spans="2:6" ht="15.75">
      <c r="B40" s="63" t="s">
        <v>925</v>
      </c>
      <c r="C40" s="64" t="s">
        <v>926</v>
      </c>
      <c r="D40" s="66" t="s">
        <v>927</v>
      </c>
      <c r="E40" s="73"/>
      <c r="F40" s="73"/>
    </row>
    <row r="41" spans="2:6" ht="15.75">
      <c r="B41" s="63" t="s">
        <v>109</v>
      </c>
      <c r="C41" s="64" t="s">
        <v>928</v>
      </c>
      <c r="D41" s="64" t="s">
        <v>929</v>
      </c>
      <c r="E41" s="72"/>
      <c r="F41" s="72"/>
    </row>
    <row r="42" spans="2:6" ht="15.75">
      <c r="B42" s="63" t="s">
        <v>35</v>
      </c>
      <c r="C42" s="64" t="s">
        <v>930</v>
      </c>
      <c r="D42" s="64" t="s">
        <v>931</v>
      </c>
      <c r="E42" s="72"/>
      <c r="F42" s="72"/>
    </row>
    <row r="43" spans="2:6" ht="15.75">
      <c r="B43" s="63" t="s">
        <v>779</v>
      </c>
      <c r="C43" s="64" t="s">
        <v>932</v>
      </c>
      <c r="D43" s="64" t="s">
        <v>933</v>
      </c>
      <c r="E43" s="72"/>
      <c r="F43" s="72"/>
    </row>
    <row r="44" spans="2:6" ht="15.75">
      <c r="B44" s="65" t="s">
        <v>934</v>
      </c>
      <c r="C44" s="64" t="s">
        <v>935</v>
      </c>
      <c r="D44" s="64" t="s">
        <v>936</v>
      </c>
      <c r="E44" s="72"/>
      <c r="F44" s="72"/>
    </row>
    <row r="45" spans="2:6" ht="15.75">
      <c r="B45" s="69" t="s">
        <v>937</v>
      </c>
      <c r="C45" s="64" t="s">
        <v>938</v>
      </c>
      <c r="D45" s="66" t="s">
        <v>939</v>
      </c>
      <c r="E45" s="73"/>
      <c r="F45" s="73"/>
    </row>
    <row r="46" spans="2:6" ht="15.75">
      <c r="B46" s="63" t="s">
        <v>36</v>
      </c>
      <c r="C46" s="64" t="s">
        <v>940</v>
      </c>
      <c r="D46" s="64" t="s">
        <v>941</v>
      </c>
      <c r="E46" s="72"/>
      <c r="F46" s="72"/>
    </row>
    <row r="47" spans="2:6" ht="15.75">
      <c r="B47" s="65" t="s">
        <v>942</v>
      </c>
      <c r="C47" s="64" t="s">
        <v>943</v>
      </c>
      <c r="D47" s="64" t="s">
        <v>944</v>
      </c>
      <c r="E47" s="72"/>
      <c r="F47" s="72"/>
    </row>
    <row r="48" spans="2:6" ht="15.75">
      <c r="B48" s="65" t="s">
        <v>945</v>
      </c>
      <c r="C48" s="64" t="s">
        <v>946</v>
      </c>
      <c r="D48" s="66" t="s">
        <v>947</v>
      </c>
      <c r="E48" s="73"/>
      <c r="F48" s="73"/>
    </row>
    <row r="49" spans="2:6" ht="15.75">
      <c r="B49" s="63" t="s">
        <v>948</v>
      </c>
      <c r="C49" s="70" t="s">
        <v>949</v>
      </c>
      <c r="D49" s="70" t="s">
        <v>950</v>
      </c>
      <c r="E49" s="75"/>
      <c r="F49" s="75"/>
    </row>
    <row r="50" spans="2:6" ht="15.75">
      <c r="B50" s="63" t="s">
        <v>772</v>
      </c>
      <c r="C50" s="64" t="s">
        <v>951</v>
      </c>
      <c r="D50" s="64" t="s">
        <v>952</v>
      </c>
      <c r="E50" s="72"/>
      <c r="F50" s="72"/>
    </row>
    <row r="51" spans="2:6" ht="15.75">
      <c r="B51" s="63" t="s">
        <v>782</v>
      </c>
      <c r="C51" s="64" t="s">
        <v>953</v>
      </c>
      <c r="D51" s="66" t="s">
        <v>954</v>
      </c>
      <c r="E51" s="73"/>
      <c r="F51" s="73"/>
    </row>
    <row r="52" spans="2:6" ht="15.75">
      <c r="B52" s="63" t="s">
        <v>110</v>
      </c>
      <c r="C52" s="64" t="s">
        <v>955</v>
      </c>
      <c r="D52" s="64" t="s">
        <v>956</v>
      </c>
      <c r="E52" s="72"/>
      <c r="F52" s="72"/>
    </row>
    <row r="53" spans="2:6" ht="15.75">
      <c r="B53" s="65" t="s">
        <v>111</v>
      </c>
      <c r="C53" s="64" t="s">
        <v>957</v>
      </c>
      <c r="D53" s="66" t="s">
        <v>958</v>
      </c>
      <c r="E53" s="73"/>
      <c r="F53" s="73"/>
    </row>
    <row r="54" spans="2:6" ht="15.75">
      <c r="B54" s="63" t="s">
        <v>773</v>
      </c>
      <c r="C54" s="64" t="s">
        <v>959</v>
      </c>
      <c r="D54" s="64" t="s">
        <v>960</v>
      </c>
      <c r="E54" s="72"/>
      <c r="F54" s="72"/>
    </row>
    <row r="55" spans="2:6" ht="15.75">
      <c r="B55" s="63" t="s">
        <v>112</v>
      </c>
      <c r="C55" s="64" t="s">
        <v>961</v>
      </c>
      <c r="D55" s="64" t="s">
        <v>962</v>
      </c>
      <c r="E55" s="72"/>
      <c r="F55" s="72"/>
    </row>
    <row r="56" spans="2:6" ht="15.75">
      <c r="B56" s="63" t="s">
        <v>963</v>
      </c>
      <c r="C56" s="64" t="s">
        <v>964</v>
      </c>
      <c r="D56" s="64" t="s">
        <v>965</v>
      </c>
      <c r="E56" s="72"/>
      <c r="F56" s="72"/>
    </row>
    <row r="57" spans="2:6" ht="15.75">
      <c r="B57" s="63" t="s">
        <v>966</v>
      </c>
      <c r="C57" s="64" t="s">
        <v>967</v>
      </c>
      <c r="D57" s="64" t="s">
        <v>968</v>
      </c>
      <c r="E57" s="72"/>
      <c r="F57" s="72"/>
    </row>
    <row r="58" spans="2:6" ht="15.75">
      <c r="B58" s="63" t="s">
        <v>37</v>
      </c>
      <c r="C58" s="64" t="s">
        <v>969</v>
      </c>
      <c r="D58" s="64" t="s">
        <v>970</v>
      </c>
      <c r="E58" s="72"/>
      <c r="F58" s="72"/>
    </row>
    <row r="59" spans="2:6" ht="15.75">
      <c r="B59" s="63" t="s">
        <v>971</v>
      </c>
      <c r="C59" s="64" t="s">
        <v>972</v>
      </c>
      <c r="D59" s="64" t="s">
        <v>973</v>
      </c>
      <c r="E59" s="72"/>
      <c r="F59" s="72"/>
    </row>
    <row r="60" spans="2:6" ht="15.75">
      <c r="B60" s="63" t="s">
        <v>38</v>
      </c>
      <c r="C60" s="64" t="s">
        <v>974</v>
      </c>
      <c r="D60" s="64" t="s">
        <v>975</v>
      </c>
      <c r="E60" s="72"/>
      <c r="F60" s="72"/>
    </row>
    <row r="61" spans="2:6" ht="15.75">
      <c r="B61" s="63" t="s">
        <v>765</v>
      </c>
      <c r="C61" s="64" t="s">
        <v>976</v>
      </c>
      <c r="D61" s="64" t="s">
        <v>977</v>
      </c>
      <c r="E61" s="72"/>
      <c r="F61" s="72"/>
    </row>
  </sheetData>
  <hyperlinks>
    <hyperlink ref="B4" r:id="rId1" xr:uid="{AA87C149-68C2-4A6A-B549-4B152059ABDD}"/>
    <hyperlink ref="B5" r:id="rId2" xr:uid="{5A9E46A4-38B8-479B-86B4-D7E27B66509A}"/>
    <hyperlink ref="B8" r:id="rId3" xr:uid="{4EA3507C-D2B6-4C81-AC5C-9D74436FE154}"/>
    <hyperlink ref="B10" r:id="rId4" xr:uid="{ED7E4870-0A79-493B-9B3D-FAFA05B2250B}"/>
    <hyperlink ref="B14" r:id="rId5" xr:uid="{EB320860-8620-430F-BB08-39C1A64B676C}"/>
    <hyperlink ref="B15" r:id="rId6" xr:uid="{FB0E19B6-F15D-42CD-9E8C-1BEBFA043108}"/>
    <hyperlink ref="B16" r:id="rId7" xr:uid="{FFB7714F-13A0-446D-AFFF-69E3E250DC98}"/>
    <hyperlink ref="B17" r:id="rId8" xr:uid="{649C1679-AE17-4D5F-9F85-1969EF05ACE4}"/>
    <hyperlink ref="B61" r:id="rId9" xr:uid="{2DE1BAD7-4925-4E10-BD71-1BAA3B448C2A}"/>
    <hyperlink ref="B60" r:id="rId10" xr:uid="{82D8BCF4-0713-4BB7-9F9A-CA6A1A6B3AD9}"/>
    <hyperlink ref="B59" r:id="rId11" xr:uid="{BD152444-8ED6-4A64-B82B-FAE2673E5D6A}"/>
    <hyperlink ref="B58" r:id="rId12" xr:uid="{666FE7E1-2F74-4240-891C-FFEA53D194C5}"/>
    <hyperlink ref="B57" r:id="rId13" display="StHA 190" xr:uid="{078935F6-8F8E-4FD6-9B07-D6D2B81526C4}"/>
    <hyperlink ref="B55" r:id="rId14" xr:uid="{ACE7616F-FEC1-4135-8E5C-8AFAC925FA5E}"/>
    <hyperlink ref="B54" r:id="rId15" xr:uid="{D80771A8-D5EA-4686-AB34-999FCEC84510}"/>
    <hyperlink ref="B52" r:id="rId16" xr:uid="{C46766E4-C43E-4217-B7CB-6696260744C3}"/>
    <hyperlink ref="B50" r:id="rId17" xr:uid="{92003C76-0BEB-4516-910B-E8565D69AE2D}"/>
    <hyperlink ref="B46" r:id="rId18" xr:uid="{25FFD5CF-3027-4C59-A3D2-2D12DB32367C}"/>
    <hyperlink ref="B43" r:id="rId19" xr:uid="{02DFABBF-28C8-406A-B593-3A813110EFD2}"/>
    <hyperlink ref="B39" r:id="rId20" xr:uid="{C9B93505-5A3B-4FEE-A94B-1F0CB450B12E}"/>
    <hyperlink ref="B19" r:id="rId21" xr:uid="{7AEE4F5D-6250-49D4-B5FD-3E1E8774C4A4}"/>
    <hyperlink ref="B20" r:id="rId22" xr:uid="{A1C3F199-0FC9-4B06-9973-866C8CE03FDC}"/>
    <hyperlink ref="B38" r:id="rId23" xr:uid="{E6207D7C-0EDD-4DC0-9ACD-5A95F6C80FEE}"/>
    <hyperlink ref="B42" r:id="rId24" xr:uid="{1269489A-A9C0-433A-A52E-53C76A5C6F81}"/>
    <hyperlink ref="B41" r:id="rId25" xr:uid="{D1D8F7D9-1CA1-4BD7-B93E-368C09B1242C}"/>
    <hyperlink ref="B37" r:id="rId26" xr:uid="{4B14CEBB-9C29-48BB-AC72-2B631C1A1756}"/>
    <hyperlink ref="B36" r:id="rId27" xr:uid="{F3EABE1F-EA36-44E4-ACB9-FF03FA62B079}"/>
    <hyperlink ref="B35" r:id="rId28" xr:uid="{8477AFFD-7369-4269-BBF4-B0249E532772}"/>
    <hyperlink ref="B34" r:id="rId29" xr:uid="{1EC40F16-9197-4077-9014-E81975126788}"/>
    <hyperlink ref="B33" r:id="rId30" xr:uid="{4172BE5D-2BF0-44B8-99A2-B4C9105EFCD7}"/>
    <hyperlink ref="B31" r:id="rId31" xr:uid="{4922FCC7-6E10-4325-8486-54C72EC20BD0}"/>
    <hyperlink ref="B28" r:id="rId32" xr:uid="{87594304-F987-415E-811C-13BEFBF12AC9}"/>
    <hyperlink ref="B27" r:id="rId33" xr:uid="{E22704BA-A59A-4937-9E7E-2F5AEC8FD3C6}"/>
    <hyperlink ref="B26" r:id="rId34" xr:uid="{846CF0E3-772C-4238-B3B4-F1444199167C}"/>
    <hyperlink ref="B24" r:id="rId35" xr:uid="{45177C03-A6FB-4760-9A20-5384828FACDA}"/>
    <hyperlink ref="B23" r:id="rId36" xr:uid="{FFAFC9E2-2D36-4334-A99D-A0D27B2D7ADC}"/>
    <hyperlink ref="B22" r:id="rId37" xr:uid="{ED198E05-57D6-4445-8DEE-85D1498F358E}"/>
    <hyperlink ref="B53" r:id="rId38" xr:uid="{1E4EA5ED-7695-48BF-86F8-EA89406492B3}"/>
    <hyperlink ref="B11" r:id="rId39" xr:uid="{64FB3349-41EA-4A28-AD0D-D81C3AD6C7D7}"/>
    <hyperlink ref="B12" r:id="rId40" xr:uid="{880ABC69-D3BF-4E12-A826-39C223D6B4A7}"/>
    <hyperlink ref="B7" r:id="rId41" display="o Ceti" xr:uid="{CDCE133F-1349-4244-AE1C-108A2854C192}"/>
    <hyperlink ref="B56" r:id="rId42" xr:uid="{64BCB6D9-45A5-4D8B-882B-F8274F6DEFCE}"/>
    <hyperlink ref="B6" r:id="rId43" xr:uid="{756C2F1B-8464-4BBB-9F91-6C6A1CB5D6E3}"/>
    <hyperlink ref="B18" r:id="rId44" location="GHGem!A1" xr:uid="{A97D8AFB-4E6E-4E4B-B926-56EA114B4A6D}"/>
    <hyperlink ref="B47" r:id="rId45" xr:uid="{4E890E6C-487F-4388-ABC0-9980A39527C7}"/>
    <hyperlink ref="B44" r:id="rId46" xr:uid="{479318AD-0B0E-4FAE-B3B7-F6957A76B813}"/>
    <hyperlink ref="B40" r:id="rId47" xr:uid="{0771CE9C-F9D1-444F-883F-8B7C7408D4B6}"/>
    <hyperlink ref="B13" r:id="rId48" xr:uid="{63ED75AB-F6BC-4F46-BD45-01E276A039D8}"/>
    <hyperlink ref="B21" r:id="rId49" xr:uid="{693307C8-7548-4028-BFE3-F89D66BD36B7}"/>
    <hyperlink ref="B51" r:id="rId50" xr:uid="{A3A5355B-7F65-4B8D-864F-6DF212A158BE}"/>
    <hyperlink ref="B25" r:id="rId51" xr:uid="{F626DD92-EE75-4F40-98AA-EF13E0D2595F}"/>
    <hyperlink ref="B30" r:id="rId52" xr:uid="{B7EEB1DE-3F6A-4131-A9AF-952AE1329528}"/>
    <hyperlink ref="B48" r:id="rId53" xr:uid="{CCF2E6BF-CA08-46AD-89F3-22C64FB62387}"/>
    <hyperlink ref="B9" r:id="rId54" xr:uid="{2CC2407D-C3C9-471D-AC0D-F4825C61DC4E}"/>
    <hyperlink ref="B32" r:id="rId55" xr:uid="{B25B2379-CCF0-40F5-B827-1D982FFC40C7}"/>
    <hyperlink ref="B49" r:id="rId56" xr:uid="{DF046ACD-4053-43AA-9A02-CC3ED98474D5}"/>
    <hyperlink ref="B29" r:id="rId57" xr:uid="{E3F546BB-DB2D-4239-93F1-D0885961C7A1}"/>
    <hyperlink ref="B45" r:id="rId58" xr:uid="{2C05150B-5E47-4A54-B425-A8E9445A9839}"/>
  </hyperlinks>
  <pageMargins left="0.7" right="0.7" top="0.75" bottom="0.75" header="0.3" footer="0.3"/>
  <ignoredErrors>
    <ignoredError sqref="D18 D53 C56 C38" twoDigitTextYear="1"/>
  </ignoredErrors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2EC4585-C85F-462D-8F8F-A879BD8208F5}">
  <sheetPr codeName="Feuil8"/>
  <dimension ref="F8:G8"/>
  <sheetViews>
    <sheetView workbookViewId="0">
      <selection activeCell="N31" sqref="N31"/>
    </sheetView>
  </sheetViews>
  <sheetFormatPr baseColWidth="10" defaultRowHeight="12.75"/>
  <sheetData>
    <row r="8" spans="6:7">
      <c r="F8" s="53"/>
      <c r="G8" s="54"/>
    </row>
  </sheetData>
  <pageMargins left="0.7" right="0.7" top="0.75" bottom="0.75" header="0.3" footer="0.3"/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4" baseType="variant">
      <vt:variant>
        <vt:lpstr>Feuilles de calcul</vt:lpstr>
      </vt:variant>
      <vt:variant>
        <vt:i4>12</vt:i4>
      </vt:variant>
      <vt:variant>
        <vt:lpstr>Plages nommées</vt:lpstr>
      </vt:variant>
      <vt:variant>
        <vt:i4>2</vt:i4>
      </vt:variant>
    </vt:vector>
  </HeadingPairs>
  <TitlesOfParts>
    <vt:vector size="14" baseType="lpstr">
      <vt:lpstr>Index</vt:lpstr>
      <vt:lpstr>SySt_Orb</vt:lpstr>
      <vt:lpstr>Refs</vt:lpstr>
      <vt:lpstr>Phase</vt:lpstr>
      <vt:lpstr>Ext</vt:lpstr>
      <vt:lpstr>d</vt:lpstr>
      <vt:lpstr>CS</vt:lpstr>
      <vt:lpstr>Ref</vt:lpstr>
      <vt:lpstr>Feuil1</vt:lpstr>
      <vt:lpstr>Feuil2</vt:lpstr>
      <vt:lpstr>Feuil3</vt:lpstr>
      <vt:lpstr>Hot</vt:lpstr>
      <vt:lpstr>Date0</vt:lpstr>
      <vt:lpstr>JD0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Francois Teyssier</dc:creator>
  <cp:lastModifiedBy>francois teyssier</cp:lastModifiedBy>
  <dcterms:created xsi:type="dcterms:W3CDTF">2015-09-07T11:59:52Z</dcterms:created>
  <dcterms:modified xsi:type="dcterms:W3CDTF">2023-11-20T22:01:25Z</dcterms:modified>
</cp:coreProperties>
</file>