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485C4B91-6920-40E4-95F1-D447E76A10F1}" xr6:coauthVersionLast="45" xr6:coauthVersionMax="45" xr10:uidLastSave="{00000000-0000-0000-0000-000000000000}"/>
  <bookViews>
    <workbookView xWindow="3075" yWindow="3060" windowWidth="21600" windowHeight="11385" xr2:uid="{00000000-000D-0000-FFFF-FFFF00000000}"/>
  </bookViews>
  <sheets>
    <sheet name="Index" sheetId="2" r:id="rId1"/>
    <sheet name="V" sheetId="6" r:id="rId2"/>
    <sheet name="Vis" sheetId="1" r:id="rId3"/>
    <sheet name="B_V" sheetId="4" r:id="rId4"/>
    <sheet name="M" sheetId="3" r:id="rId5"/>
    <sheet name="M_phot" sheetId="7" r:id="rId6"/>
    <sheet name="Feuil1" sheetId="5" r:id="rId7"/>
  </sheets>
  <externalReferences>
    <externalReference r:id="rId8"/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5" i="2" l="1"/>
  <c r="D195" i="2"/>
  <c r="E195" i="2"/>
  <c r="F195" i="2"/>
  <c r="G195" i="2"/>
  <c r="H195" i="2"/>
  <c r="I195" i="2"/>
  <c r="J195" i="2"/>
  <c r="K195" i="2"/>
  <c r="L195" i="2"/>
  <c r="M195" i="2"/>
  <c r="N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C189" i="2"/>
  <c r="D189" i="2"/>
  <c r="E189" i="2"/>
  <c r="M189" i="2" s="1"/>
  <c r="F189" i="2"/>
  <c r="G189" i="2"/>
  <c r="H189" i="2"/>
  <c r="I189" i="2"/>
  <c r="J189" i="2"/>
  <c r="K189" i="2"/>
  <c r="L189" i="2"/>
  <c r="N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C191" i="2"/>
  <c r="D191" i="2"/>
  <c r="E191" i="2"/>
  <c r="M191" i="2" s="1"/>
  <c r="F191" i="2"/>
  <c r="G191" i="2"/>
  <c r="H191" i="2"/>
  <c r="I191" i="2"/>
  <c r="J191" i="2"/>
  <c r="K191" i="2"/>
  <c r="L191" i="2"/>
  <c r="N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C193" i="2"/>
  <c r="D193" i="2"/>
  <c r="E193" i="2"/>
  <c r="M193" i="2" s="1"/>
  <c r="F193" i="2"/>
  <c r="G193" i="2"/>
  <c r="H193" i="2"/>
  <c r="I193" i="2"/>
  <c r="J193" i="2"/>
  <c r="K193" i="2"/>
  <c r="L193" i="2"/>
  <c r="N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C179" i="2" l="1"/>
  <c r="D179" i="2"/>
  <c r="E179" i="2"/>
  <c r="F179" i="2"/>
  <c r="G179" i="2"/>
  <c r="H179" i="2"/>
  <c r="I179" i="2"/>
  <c r="J179" i="2"/>
  <c r="K179" i="2"/>
  <c r="L179" i="2"/>
  <c r="C180" i="2"/>
  <c r="D180" i="2"/>
  <c r="E180" i="2"/>
  <c r="F180" i="2"/>
  <c r="G180" i="2"/>
  <c r="H180" i="2"/>
  <c r="I180" i="2"/>
  <c r="J180" i="2"/>
  <c r="K180" i="2"/>
  <c r="L180" i="2"/>
  <c r="C181" i="2"/>
  <c r="D181" i="2"/>
  <c r="E181" i="2"/>
  <c r="F181" i="2"/>
  <c r="G181" i="2"/>
  <c r="H181" i="2"/>
  <c r="I181" i="2"/>
  <c r="J181" i="2"/>
  <c r="K181" i="2"/>
  <c r="L181" i="2"/>
  <c r="M181" i="2"/>
  <c r="C182" i="2"/>
  <c r="D182" i="2"/>
  <c r="E182" i="2"/>
  <c r="M182" i="2" s="1"/>
  <c r="F182" i="2"/>
  <c r="G182" i="2"/>
  <c r="H182" i="2"/>
  <c r="I182" i="2"/>
  <c r="J182" i="2"/>
  <c r="K182" i="2"/>
  <c r="L182" i="2"/>
  <c r="C183" i="2"/>
  <c r="D183" i="2"/>
  <c r="E183" i="2"/>
  <c r="F183" i="2"/>
  <c r="G183" i="2"/>
  <c r="H183" i="2"/>
  <c r="I183" i="2"/>
  <c r="J183" i="2"/>
  <c r="K183" i="2"/>
  <c r="L183" i="2"/>
  <c r="M183" i="2"/>
  <c r="C184" i="2"/>
  <c r="D184" i="2"/>
  <c r="E184" i="2"/>
  <c r="F184" i="2"/>
  <c r="G184" i="2"/>
  <c r="H184" i="2"/>
  <c r="I184" i="2"/>
  <c r="J184" i="2"/>
  <c r="K184" i="2"/>
  <c r="L184" i="2"/>
  <c r="M184" i="2"/>
  <c r="C185" i="2"/>
  <c r="D185" i="2"/>
  <c r="E185" i="2"/>
  <c r="M185" i="2" s="1"/>
  <c r="F185" i="2"/>
  <c r="G185" i="2"/>
  <c r="H185" i="2"/>
  <c r="I185" i="2"/>
  <c r="J185" i="2"/>
  <c r="K185" i="2"/>
  <c r="L185" i="2"/>
  <c r="C186" i="2"/>
  <c r="D186" i="2"/>
  <c r="E186" i="2"/>
  <c r="F186" i="2"/>
  <c r="G186" i="2"/>
  <c r="H186" i="2"/>
  <c r="I186" i="2"/>
  <c r="J186" i="2"/>
  <c r="K186" i="2"/>
  <c r="L186" i="2"/>
  <c r="M186" i="2"/>
  <c r="C187" i="2"/>
  <c r="D187" i="2"/>
  <c r="E187" i="2"/>
  <c r="M187" i="2" s="1"/>
  <c r="F187" i="2"/>
  <c r="G187" i="2"/>
  <c r="H187" i="2"/>
  <c r="I187" i="2"/>
  <c r="J187" i="2"/>
  <c r="K187" i="2"/>
  <c r="L187" i="2"/>
  <c r="N182" i="2" l="1"/>
  <c r="N183" i="2" s="1"/>
  <c r="N184" i="2" s="1"/>
  <c r="N185" i="2" s="1"/>
  <c r="N186" i="2" s="1"/>
  <c r="N187" i="2" s="1"/>
  <c r="C173" i="2" l="1"/>
  <c r="D173" i="2"/>
  <c r="E173" i="2"/>
  <c r="F173" i="2"/>
  <c r="G173" i="2"/>
  <c r="H173" i="2"/>
  <c r="I173" i="2"/>
  <c r="J173" i="2"/>
  <c r="K173" i="2"/>
  <c r="L173" i="2"/>
  <c r="C174" i="2"/>
  <c r="D174" i="2"/>
  <c r="E174" i="2"/>
  <c r="F174" i="2"/>
  <c r="G174" i="2"/>
  <c r="H174" i="2"/>
  <c r="I174" i="2"/>
  <c r="J174" i="2"/>
  <c r="K174" i="2"/>
  <c r="L174" i="2"/>
  <c r="C175" i="2"/>
  <c r="D175" i="2"/>
  <c r="E175" i="2"/>
  <c r="F175" i="2"/>
  <c r="G175" i="2"/>
  <c r="H175" i="2"/>
  <c r="I175" i="2"/>
  <c r="J175" i="2"/>
  <c r="K175" i="2"/>
  <c r="L175" i="2"/>
  <c r="C176" i="2"/>
  <c r="D176" i="2"/>
  <c r="E176" i="2"/>
  <c r="F176" i="2"/>
  <c r="G176" i="2"/>
  <c r="H176" i="2"/>
  <c r="I176" i="2"/>
  <c r="J176" i="2"/>
  <c r="K176" i="2"/>
  <c r="L176" i="2"/>
  <c r="C177" i="2"/>
  <c r="D177" i="2"/>
  <c r="E177" i="2"/>
  <c r="F177" i="2"/>
  <c r="G177" i="2"/>
  <c r="H177" i="2"/>
  <c r="I177" i="2"/>
  <c r="J177" i="2"/>
  <c r="K177" i="2"/>
  <c r="L177" i="2"/>
  <c r="C178" i="2"/>
  <c r="D178" i="2"/>
  <c r="E178" i="2"/>
  <c r="F178" i="2"/>
  <c r="G178" i="2"/>
  <c r="H178" i="2"/>
  <c r="I178" i="2"/>
  <c r="J178" i="2"/>
  <c r="K178" i="2"/>
  <c r="L178" i="2"/>
  <c r="C164" i="2" l="1"/>
  <c r="D164" i="2"/>
  <c r="E164" i="2"/>
  <c r="F164" i="2"/>
  <c r="G164" i="2"/>
  <c r="H164" i="2"/>
  <c r="I164" i="2"/>
  <c r="J164" i="2"/>
  <c r="K164" i="2"/>
  <c r="L164" i="2"/>
  <c r="C165" i="2"/>
  <c r="D165" i="2"/>
  <c r="E165" i="2"/>
  <c r="F165" i="2"/>
  <c r="G165" i="2"/>
  <c r="H165" i="2"/>
  <c r="I165" i="2"/>
  <c r="J165" i="2"/>
  <c r="K165" i="2"/>
  <c r="L165" i="2"/>
  <c r="C166" i="2"/>
  <c r="D166" i="2"/>
  <c r="E166" i="2"/>
  <c r="F166" i="2"/>
  <c r="G166" i="2"/>
  <c r="H166" i="2"/>
  <c r="I166" i="2"/>
  <c r="J166" i="2"/>
  <c r="K166" i="2"/>
  <c r="L166" i="2"/>
  <c r="C167" i="2"/>
  <c r="D167" i="2"/>
  <c r="E167" i="2"/>
  <c r="F167" i="2"/>
  <c r="G167" i="2"/>
  <c r="H167" i="2"/>
  <c r="I167" i="2"/>
  <c r="J167" i="2"/>
  <c r="K167" i="2"/>
  <c r="L167" i="2"/>
  <c r="C168" i="2"/>
  <c r="D168" i="2"/>
  <c r="E168" i="2"/>
  <c r="F168" i="2"/>
  <c r="G168" i="2"/>
  <c r="H168" i="2"/>
  <c r="I168" i="2"/>
  <c r="J168" i="2"/>
  <c r="K168" i="2"/>
  <c r="L168" i="2"/>
  <c r="C169" i="2"/>
  <c r="D169" i="2"/>
  <c r="E169" i="2"/>
  <c r="F169" i="2"/>
  <c r="G169" i="2"/>
  <c r="H169" i="2"/>
  <c r="I169" i="2"/>
  <c r="J169" i="2"/>
  <c r="K169" i="2"/>
  <c r="L169" i="2"/>
  <c r="C170" i="2"/>
  <c r="D170" i="2"/>
  <c r="E170" i="2"/>
  <c r="F170" i="2"/>
  <c r="G170" i="2"/>
  <c r="H170" i="2"/>
  <c r="I170" i="2"/>
  <c r="J170" i="2"/>
  <c r="K170" i="2"/>
  <c r="L170" i="2"/>
  <c r="C171" i="2"/>
  <c r="D171" i="2"/>
  <c r="E171" i="2"/>
  <c r="F171" i="2"/>
  <c r="G171" i="2"/>
  <c r="H171" i="2"/>
  <c r="I171" i="2"/>
  <c r="J171" i="2"/>
  <c r="K171" i="2"/>
  <c r="L171" i="2"/>
  <c r="C172" i="2"/>
  <c r="D172" i="2"/>
  <c r="E172" i="2"/>
  <c r="F172" i="2"/>
  <c r="G172" i="2"/>
  <c r="H172" i="2"/>
  <c r="I172" i="2"/>
  <c r="J172" i="2"/>
  <c r="K172" i="2"/>
  <c r="L172" i="2"/>
  <c r="C154" i="2" l="1"/>
  <c r="D154" i="2"/>
  <c r="E154" i="2"/>
  <c r="F154" i="2"/>
  <c r="G154" i="2"/>
  <c r="H154" i="2"/>
  <c r="I154" i="2"/>
  <c r="J154" i="2"/>
  <c r="K154" i="2"/>
  <c r="L154" i="2"/>
  <c r="C155" i="2"/>
  <c r="D155" i="2"/>
  <c r="E155" i="2"/>
  <c r="F155" i="2"/>
  <c r="G155" i="2"/>
  <c r="H155" i="2"/>
  <c r="I155" i="2"/>
  <c r="J155" i="2"/>
  <c r="K155" i="2"/>
  <c r="L155" i="2"/>
  <c r="C156" i="2"/>
  <c r="D156" i="2"/>
  <c r="E156" i="2"/>
  <c r="F156" i="2"/>
  <c r="G156" i="2"/>
  <c r="H156" i="2"/>
  <c r="I156" i="2"/>
  <c r="J156" i="2"/>
  <c r="K156" i="2"/>
  <c r="L156" i="2"/>
  <c r="C157" i="2"/>
  <c r="D157" i="2"/>
  <c r="E157" i="2"/>
  <c r="F157" i="2"/>
  <c r="G157" i="2"/>
  <c r="H157" i="2"/>
  <c r="I157" i="2"/>
  <c r="J157" i="2"/>
  <c r="K157" i="2"/>
  <c r="L157" i="2"/>
  <c r="C158" i="2"/>
  <c r="D158" i="2"/>
  <c r="E158" i="2"/>
  <c r="F158" i="2"/>
  <c r="G158" i="2"/>
  <c r="H158" i="2"/>
  <c r="I158" i="2"/>
  <c r="J158" i="2"/>
  <c r="K158" i="2"/>
  <c r="L158" i="2"/>
  <c r="C159" i="2"/>
  <c r="D159" i="2"/>
  <c r="E159" i="2"/>
  <c r="F159" i="2"/>
  <c r="G159" i="2"/>
  <c r="H159" i="2"/>
  <c r="I159" i="2"/>
  <c r="J159" i="2"/>
  <c r="K159" i="2"/>
  <c r="L159" i="2"/>
  <c r="C160" i="2"/>
  <c r="D160" i="2"/>
  <c r="E160" i="2"/>
  <c r="F160" i="2"/>
  <c r="G160" i="2"/>
  <c r="H160" i="2"/>
  <c r="I160" i="2"/>
  <c r="J160" i="2"/>
  <c r="K160" i="2"/>
  <c r="L160" i="2"/>
  <c r="C161" i="2"/>
  <c r="D161" i="2"/>
  <c r="E161" i="2"/>
  <c r="F161" i="2"/>
  <c r="G161" i="2"/>
  <c r="H161" i="2"/>
  <c r="I161" i="2"/>
  <c r="J161" i="2"/>
  <c r="K161" i="2"/>
  <c r="L161" i="2"/>
  <c r="C162" i="2"/>
  <c r="D162" i="2"/>
  <c r="E162" i="2"/>
  <c r="F162" i="2"/>
  <c r="G162" i="2"/>
  <c r="H162" i="2"/>
  <c r="I162" i="2"/>
  <c r="J162" i="2"/>
  <c r="K162" i="2"/>
  <c r="L162" i="2"/>
  <c r="C163" i="2"/>
  <c r="D163" i="2"/>
  <c r="E163" i="2"/>
  <c r="F163" i="2"/>
  <c r="G163" i="2"/>
  <c r="H163" i="2"/>
  <c r="I163" i="2"/>
  <c r="J163" i="2"/>
  <c r="K163" i="2"/>
  <c r="L163" i="2"/>
  <c r="C146" i="2"/>
  <c r="D146" i="2"/>
  <c r="E146" i="2"/>
  <c r="F146" i="2"/>
  <c r="G146" i="2"/>
  <c r="H146" i="2"/>
  <c r="I146" i="2"/>
  <c r="J146" i="2"/>
  <c r="K146" i="2"/>
  <c r="L146" i="2"/>
  <c r="C147" i="2"/>
  <c r="D147" i="2"/>
  <c r="E147" i="2"/>
  <c r="F147" i="2"/>
  <c r="G147" i="2"/>
  <c r="H147" i="2"/>
  <c r="I147" i="2"/>
  <c r="J147" i="2"/>
  <c r="K147" i="2"/>
  <c r="L147" i="2"/>
  <c r="C148" i="2"/>
  <c r="D148" i="2"/>
  <c r="E148" i="2"/>
  <c r="F148" i="2"/>
  <c r="G148" i="2"/>
  <c r="H148" i="2"/>
  <c r="I148" i="2"/>
  <c r="J148" i="2"/>
  <c r="K148" i="2"/>
  <c r="L148" i="2"/>
  <c r="C149" i="2"/>
  <c r="D149" i="2"/>
  <c r="E149" i="2"/>
  <c r="F149" i="2"/>
  <c r="G149" i="2"/>
  <c r="H149" i="2"/>
  <c r="I149" i="2"/>
  <c r="J149" i="2"/>
  <c r="K149" i="2"/>
  <c r="L149" i="2"/>
  <c r="C150" i="2"/>
  <c r="D150" i="2"/>
  <c r="E150" i="2"/>
  <c r="F150" i="2"/>
  <c r="G150" i="2"/>
  <c r="H150" i="2"/>
  <c r="I150" i="2"/>
  <c r="J150" i="2"/>
  <c r="K150" i="2"/>
  <c r="L150" i="2"/>
  <c r="C151" i="2"/>
  <c r="D151" i="2"/>
  <c r="E151" i="2"/>
  <c r="F151" i="2"/>
  <c r="G151" i="2"/>
  <c r="H151" i="2"/>
  <c r="I151" i="2"/>
  <c r="J151" i="2"/>
  <c r="K151" i="2"/>
  <c r="L151" i="2"/>
  <c r="C152" i="2"/>
  <c r="D152" i="2"/>
  <c r="E152" i="2"/>
  <c r="F152" i="2"/>
  <c r="G152" i="2"/>
  <c r="H152" i="2"/>
  <c r="I152" i="2"/>
  <c r="J152" i="2"/>
  <c r="K152" i="2"/>
  <c r="L152" i="2"/>
  <c r="C153" i="2"/>
  <c r="D153" i="2"/>
  <c r="E153" i="2"/>
  <c r="F153" i="2"/>
  <c r="G153" i="2"/>
  <c r="H153" i="2"/>
  <c r="I153" i="2"/>
  <c r="J153" i="2"/>
  <c r="K153" i="2"/>
  <c r="L153" i="2"/>
  <c r="C143" i="2" l="1"/>
  <c r="D143" i="2"/>
  <c r="E143" i="2"/>
  <c r="F143" i="2"/>
  <c r="G143" i="2"/>
  <c r="H143" i="2"/>
  <c r="I143" i="2"/>
  <c r="J143" i="2"/>
  <c r="K143" i="2"/>
  <c r="L143" i="2"/>
  <c r="C144" i="2"/>
  <c r="D144" i="2"/>
  <c r="E144" i="2"/>
  <c r="F144" i="2"/>
  <c r="G144" i="2"/>
  <c r="H144" i="2"/>
  <c r="I144" i="2"/>
  <c r="J144" i="2"/>
  <c r="K144" i="2"/>
  <c r="L144" i="2"/>
  <c r="C145" i="2"/>
  <c r="D145" i="2"/>
  <c r="E145" i="2"/>
  <c r="F145" i="2"/>
  <c r="G145" i="2"/>
  <c r="H145" i="2"/>
  <c r="I145" i="2"/>
  <c r="J145" i="2"/>
  <c r="K145" i="2"/>
  <c r="L145" i="2"/>
  <c r="C142" i="2" l="1"/>
  <c r="D142" i="2"/>
  <c r="E142" i="2"/>
  <c r="F142" i="2"/>
  <c r="G142" i="2"/>
  <c r="H142" i="2"/>
  <c r="I142" i="2"/>
  <c r="J142" i="2"/>
  <c r="K142" i="2"/>
  <c r="L142" i="2"/>
  <c r="C138" i="2"/>
  <c r="D138" i="2"/>
  <c r="E138" i="2"/>
  <c r="F138" i="2"/>
  <c r="G138" i="2"/>
  <c r="H138" i="2"/>
  <c r="I138" i="2"/>
  <c r="J138" i="2"/>
  <c r="K138" i="2"/>
  <c r="L138" i="2"/>
  <c r="C139" i="2"/>
  <c r="D139" i="2"/>
  <c r="E139" i="2"/>
  <c r="F139" i="2"/>
  <c r="G139" i="2"/>
  <c r="H139" i="2"/>
  <c r="I139" i="2"/>
  <c r="J139" i="2"/>
  <c r="K139" i="2"/>
  <c r="L139" i="2"/>
  <c r="C140" i="2"/>
  <c r="D140" i="2"/>
  <c r="E140" i="2"/>
  <c r="F140" i="2"/>
  <c r="G140" i="2"/>
  <c r="H140" i="2"/>
  <c r="I140" i="2"/>
  <c r="J140" i="2"/>
  <c r="K140" i="2"/>
  <c r="L140" i="2"/>
  <c r="C141" i="2"/>
  <c r="D141" i="2"/>
  <c r="E141" i="2"/>
  <c r="F141" i="2"/>
  <c r="G141" i="2"/>
  <c r="H141" i="2"/>
  <c r="I141" i="2"/>
  <c r="J141" i="2"/>
  <c r="K141" i="2"/>
  <c r="L141" i="2"/>
  <c r="C131" i="2"/>
  <c r="D131" i="2"/>
  <c r="E131" i="2"/>
  <c r="F131" i="2"/>
  <c r="G131" i="2"/>
  <c r="H131" i="2"/>
  <c r="I131" i="2"/>
  <c r="J131" i="2"/>
  <c r="K131" i="2"/>
  <c r="L131" i="2"/>
  <c r="C132" i="2"/>
  <c r="D132" i="2"/>
  <c r="E132" i="2"/>
  <c r="F132" i="2"/>
  <c r="G132" i="2"/>
  <c r="H132" i="2"/>
  <c r="I132" i="2"/>
  <c r="J132" i="2"/>
  <c r="K132" i="2"/>
  <c r="L132" i="2"/>
  <c r="C133" i="2"/>
  <c r="D133" i="2"/>
  <c r="E133" i="2"/>
  <c r="F133" i="2"/>
  <c r="G133" i="2"/>
  <c r="H133" i="2"/>
  <c r="I133" i="2"/>
  <c r="J133" i="2"/>
  <c r="K133" i="2"/>
  <c r="L133" i="2"/>
  <c r="C134" i="2"/>
  <c r="D134" i="2"/>
  <c r="E134" i="2"/>
  <c r="F134" i="2"/>
  <c r="G134" i="2"/>
  <c r="H134" i="2"/>
  <c r="I134" i="2"/>
  <c r="J134" i="2"/>
  <c r="K134" i="2"/>
  <c r="L134" i="2"/>
  <c r="C135" i="2"/>
  <c r="D135" i="2"/>
  <c r="E135" i="2"/>
  <c r="F135" i="2"/>
  <c r="G135" i="2"/>
  <c r="H135" i="2"/>
  <c r="I135" i="2"/>
  <c r="J135" i="2"/>
  <c r="K135" i="2"/>
  <c r="L135" i="2"/>
  <c r="C136" i="2"/>
  <c r="D136" i="2"/>
  <c r="E136" i="2"/>
  <c r="F136" i="2"/>
  <c r="G136" i="2"/>
  <c r="H136" i="2"/>
  <c r="I136" i="2"/>
  <c r="J136" i="2"/>
  <c r="K136" i="2"/>
  <c r="L136" i="2"/>
  <c r="C137" i="2"/>
  <c r="D137" i="2"/>
  <c r="E137" i="2"/>
  <c r="F137" i="2"/>
  <c r="G137" i="2"/>
  <c r="H137" i="2"/>
  <c r="I137" i="2"/>
  <c r="J137" i="2"/>
  <c r="K137" i="2"/>
  <c r="L137" i="2"/>
  <c r="C129" i="2" l="1"/>
  <c r="D129" i="2"/>
  <c r="E129" i="2"/>
  <c r="F129" i="2"/>
  <c r="G129" i="2"/>
  <c r="H129" i="2"/>
  <c r="I129" i="2"/>
  <c r="J129" i="2"/>
  <c r="K129" i="2"/>
  <c r="L129" i="2"/>
  <c r="C130" i="2"/>
  <c r="D130" i="2"/>
  <c r="E130" i="2"/>
  <c r="F130" i="2"/>
  <c r="G130" i="2"/>
  <c r="H130" i="2"/>
  <c r="I130" i="2"/>
  <c r="J130" i="2"/>
  <c r="K130" i="2"/>
  <c r="L130" i="2"/>
  <c r="C124" i="2" l="1"/>
  <c r="D124" i="2"/>
  <c r="E124" i="2"/>
  <c r="F124" i="2"/>
  <c r="G124" i="2"/>
  <c r="H124" i="2"/>
  <c r="I124" i="2"/>
  <c r="J124" i="2"/>
  <c r="K124" i="2"/>
  <c r="L124" i="2"/>
  <c r="C125" i="2"/>
  <c r="D125" i="2"/>
  <c r="E125" i="2"/>
  <c r="F125" i="2"/>
  <c r="G125" i="2"/>
  <c r="H125" i="2"/>
  <c r="I125" i="2"/>
  <c r="J125" i="2"/>
  <c r="K125" i="2"/>
  <c r="L125" i="2"/>
  <c r="C126" i="2"/>
  <c r="D126" i="2"/>
  <c r="E126" i="2"/>
  <c r="F126" i="2"/>
  <c r="G126" i="2"/>
  <c r="H126" i="2"/>
  <c r="I126" i="2"/>
  <c r="J126" i="2"/>
  <c r="K126" i="2"/>
  <c r="L126" i="2"/>
  <c r="C127" i="2"/>
  <c r="D127" i="2"/>
  <c r="E127" i="2"/>
  <c r="F127" i="2"/>
  <c r="G127" i="2"/>
  <c r="H127" i="2"/>
  <c r="I127" i="2"/>
  <c r="J127" i="2"/>
  <c r="K127" i="2"/>
  <c r="L127" i="2"/>
  <c r="C128" i="2"/>
  <c r="D128" i="2"/>
  <c r="E128" i="2"/>
  <c r="F128" i="2"/>
  <c r="G128" i="2"/>
  <c r="H128" i="2"/>
  <c r="I128" i="2"/>
  <c r="J128" i="2"/>
  <c r="K128" i="2"/>
  <c r="L128" i="2"/>
  <c r="C121" i="2" l="1"/>
  <c r="D121" i="2"/>
  <c r="E121" i="2"/>
  <c r="F121" i="2"/>
  <c r="G121" i="2"/>
  <c r="H121" i="2"/>
  <c r="I121" i="2"/>
  <c r="J121" i="2"/>
  <c r="K121" i="2"/>
  <c r="L121" i="2"/>
  <c r="C122" i="2"/>
  <c r="D122" i="2"/>
  <c r="E122" i="2"/>
  <c r="F122" i="2"/>
  <c r="G122" i="2"/>
  <c r="H122" i="2"/>
  <c r="I122" i="2"/>
  <c r="J122" i="2"/>
  <c r="K122" i="2"/>
  <c r="L122" i="2"/>
  <c r="C123" i="2"/>
  <c r="D123" i="2"/>
  <c r="E123" i="2"/>
  <c r="F123" i="2"/>
  <c r="G123" i="2"/>
  <c r="H123" i="2"/>
  <c r="I123" i="2"/>
  <c r="J123" i="2"/>
  <c r="K123" i="2"/>
  <c r="L123" i="2"/>
  <c r="C119" i="2" l="1"/>
  <c r="D119" i="2"/>
  <c r="E119" i="2"/>
  <c r="F119" i="2"/>
  <c r="G119" i="2"/>
  <c r="H119" i="2"/>
  <c r="I119" i="2"/>
  <c r="J119" i="2"/>
  <c r="K119" i="2"/>
  <c r="L119" i="2"/>
  <c r="C120" i="2"/>
  <c r="D120" i="2"/>
  <c r="E120" i="2"/>
  <c r="F120" i="2"/>
  <c r="G120" i="2"/>
  <c r="H120" i="2"/>
  <c r="I120" i="2"/>
  <c r="J120" i="2"/>
  <c r="K120" i="2"/>
  <c r="L120" i="2"/>
  <c r="H23" i="1"/>
  <c r="H22" i="1"/>
  <c r="H25" i="1"/>
  <c r="C113" i="2" l="1"/>
  <c r="D113" i="2"/>
  <c r="E113" i="2"/>
  <c r="F113" i="2"/>
  <c r="G113" i="2"/>
  <c r="H113" i="2"/>
  <c r="I113" i="2"/>
  <c r="J113" i="2"/>
  <c r="K113" i="2"/>
  <c r="L113" i="2"/>
  <c r="C114" i="2"/>
  <c r="D114" i="2"/>
  <c r="E114" i="2"/>
  <c r="F114" i="2"/>
  <c r="G114" i="2"/>
  <c r="H114" i="2"/>
  <c r="I114" i="2"/>
  <c r="J114" i="2"/>
  <c r="K114" i="2"/>
  <c r="L114" i="2"/>
  <c r="C115" i="2"/>
  <c r="D115" i="2"/>
  <c r="E115" i="2"/>
  <c r="F115" i="2"/>
  <c r="G115" i="2"/>
  <c r="H115" i="2"/>
  <c r="I115" i="2"/>
  <c r="J115" i="2"/>
  <c r="K115" i="2"/>
  <c r="L115" i="2"/>
  <c r="C116" i="2"/>
  <c r="D116" i="2"/>
  <c r="E116" i="2"/>
  <c r="F116" i="2"/>
  <c r="G116" i="2"/>
  <c r="H116" i="2"/>
  <c r="I116" i="2"/>
  <c r="J116" i="2"/>
  <c r="K116" i="2"/>
  <c r="L116" i="2"/>
  <c r="C117" i="2"/>
  <c r="D117" i="2"/>
  <c r="E117" i="2"/>
  <c r="F117" i="2"/>
  <c r="G117" i="2"/>
  <c r="H117" i="2"/>
  <c r="I117" i="2"/>
  <c r="J117" i="2"/>
  <c r="K117" i="2"/>
  <c r="L117" i="2"/>
  <c r="C118" i="2"/>
  <c r="D118" i="2"/>
  <c r="E118" i="2"/>
  <c r="F118" i="2"/>
  <c r="G118" i="2"/>
  <c r="H118" i="2"/>
  <c r="I118" i="2"/>
  <c r="J118" i="2"/>
  <c r="K118" i="2"/>
  <c r="L118" i="2"/>
  <c r="C110" i="2" l="1"/>
  <c r="D110" i="2"/>
  <c r="E110" i="2"/>
  <c r="F110" i="2"/>
  <c r="G110" i="2"/>
  <c r="H110" i="2"/>
  <c r="I110" i="2"/>
  <c r="J110" i="2"/>
  <c r="K110" i="2"/>
  <c r="L110" i="2"/>
  <c r="C111" i="2"/>
  <c r="D111" i="2"/>
  <c r="E111" i="2"/>
  <c r="F111" i="2"/>
  <c r="G111" i="2"/>
  <c r="H111" i="2"/>
  <c r="I111" i="2"/>
  <c r="J111" i="2"/>
  <c r="K111" i="2"/>
  <c r="L111" i="2"/>
  <c r="C112" i="2"/>
  <c r="D112" i="2"/>
  <c r="E112" i="2"/>
  <c r="F112" i="2"/>
  <c r="G112" i="2"/>
  <c r="H112" i="2"/>
  <c r="I112" i="2"/>
  <c r="J112" i="2"/>
  <c r="K112" i="2"/>
  <c r="L112" i="2"/>
  <c r="K7" i="7" l="1"/>
  <c r="K4" i="7"/>
  <c r="K6" i="7"/>
  <c r="G7" i="7"/>
  <c r="G6" i="7"/>
  <c r="E7" i="7"/>
  <c r="E6" i="7"/>
  <c r="D7" i="7"/>
  <c r="D6" i="7"/>
  <c r="G4" i="7"/>
  <c r="E4" i="7"/>
  <c r="D4" i="7"/>
  <c r="L7" i="7"/>
  <c r="L6" i="7"/>
  <c r="H7" i="7"/>
  <c r="H6" i="7"/>
  <c r="L4" i="7"/>
  <c r="F7" i="7"/>
  <c r="F6" i="7"/>
  <c r="F4" i="7"/>
  <c r="H4" i="7"/>
  <c r="M6" i="7" l="1"/>
  <c r="M7" i="7"/>
  <c r="M4" i="7"/>
  <c r="D13" i="3"/>
  <c r="C108" i="2" l="1"/>
  <c r="D108" i="2"/>
  <c r="E108" i="2"/>
  <c r="F108" i="2"/>
  <c r="G108" i="2"/>
  <c r="H108" i="2"/>
  <c r="I108" i="2"/>
  <c r="J108" i="2"/>
  <c r="K108" i="2"/>
  <c r="L108" i="2"/>
  <c r="C109" i="2"/>
  <c r="D109" i="2"/>
  <c r="E109" i="2"/>
  <c r="F109" i="2"/>
  <c r="G109" i="2"/>
  <c r="H109" i="2"/>
  <c r="I109" i="2"/>
  <c r="J109" i="2"/>
  <c r="K109" i="2"/>
  <c r="L109" i="2"/>
  <c r="C107" i="2"/>
  <c r="D107" i="2"/>
  <c r="E107" i="2"/>
  <c r="F107" i="2"/>
  <c r="G107" i="2"/>
  <c r="H107" i="2"/>
  <c r="I107" i="2"/>
  <c r="J107" i="2"/>
  <c r="K107" i="2"/>
  <c r="L107" i="2"/>
  <c r="C103" i="2"/>
  <c r="D103" i="2"/>
  <c r="E103" i="2"/>
  <c r="F103" i="2"/>
  <c r="G103" i="2"/>
  <c r="H103" i="2"/>
  <c r="I103" i="2"/>
  <c r="J103" i="2"/>
  <c r="K103" i="2"/>
  <c r="L103" i="2"/>
  <c r="C104" i="2"/>
  <c r="D104" i="2"/>
  <c r="E104" i="2"/>
  <c r="F104" i="2"/>
  <c r="G104" i="2"/>
  <c r="H104" i="2"/>
  <c r="I104" i="2"/>
  <c r="J104" i="2"/>
  <c r="K104" i="2"/>
  <c r="L104" i="2"/>
  <c r="C105" i="2"/>
  <c r="D105" i="2"/>
  <c r="E105" i="2"/>
  <c r="F105" i="2"/>
  <c r="G105" i="2"/>
  <c r="H105" i="2"/>
  <c r="I105" i="2"/>
  <c r="J105" i="2"/>
  <c r="K105" i="2"/>
  <c r="L105" i="2"/>
  <c r="C106" i="2"/>
  <c r="D106" i="2"/>
  <c r="E106" i="2"/>
  <c r="F106" i="2"/>
  <c r="G106" i="2"/>
  <c r="H106" i="2"/>
  <c r="I106" i="2"/>
  <c r="J106" i="2"/>
  <c r="K106" i="2"/>
  <c r="L106" i="2"/>
  <c r="C100" i="2" l="1"/>
  <c r="D100" i="2"/>
  <c r="E100" i="2"/>
  <c r="F100" i="2"/>
  <c r="G100" i="2"/>
  <c r="H100" i="2"/>
  <c r="I100" i="2"/>
  <c r="J100" i="2"/>
  <c r="K100" i="2"/>
  <c r="L100" i="2"/>
  <c r="C101" i="2"/>
  <c r="D101" i="2"/>
  <c r="E101" i="2"/>
  <c r="F101" i="2"/>
  <c r="G101" i="2"/>
  <c r="H101" i="2"/>
  <c r="I101" i="2"/>
  <c r="J101" i="2"/>
  <c r="K101" i="2"/>
  <c r="L101" i="2"/>
  <c r="C102" i="2"/>
  <c r="D102" i="2"/>
  <c r="E102" i="2"/>
  <c r="F102" i="2"/>
  <c r="G102" i="2"/>
  <c r="H102" i="2"/>
  <c r="I102" i="2"/>
  <c r="J102" i="2"/>
  <c r="K102" i="2"/>
  <c r="L102" i="2"/>
  <c r="C24" i="2" l="1"/>
  <c r="D24" i="2"/>
  <c r="E24" i="2"/>
  <c r="F24" i="2"/>
  <c r="G24" i="2"/>
  <c r="H24" i="2"/>
  <c r="I24" i="2"/>
  <c r="J24" i="2"/>
  <c r="K24" i="2"/>
  <c r="L24" i="2"/>
  <c r="C25" i="2"/>
  <c r="D25" i="2"/>
  <c r="E25" i="2"/>
  <c r="F25" i="2"/>
  <c r="G25" i="2"/>
  <c r="H25" i="2"/>
  <c r="I25" i="2"/>
  <c r="J25" i="2"/>
  <c r="K25" i="2"/>
  <c r="L25" i="2"/>
  <c r="C26" i="2"/>
  <c r="D26" i="2"/>
  <c r="E26" i="2"/>
  <c r="F26" i="2"/>
  <c r="G26" i="2"/>
  <c r="H26" i="2"/>
  <c r="I26" i="2"/>
  <c r="J26" i="2"/>
  <c r="K26" i="2"/>
  <c r="L26" i="2"/>
  <c r="C27" i="2"/>
  <c r="D27" i="2"/>
  <c r="E27" i="2"/>
  <c r="F27" i="2"/>
  <c r="G27" i="2"/>
  <c r="H27" i="2"/>
  <c r="I27" i="2"/>
  <c r="J27" i="2"/>
  <c r="K27" i="2"/>
  <c r="L27" i="2"/>
  <c r="C28" i="2"/>
  <c r="D28" i="2"/>
  <c r="E28" i="2"/>
  <c r="F28" i="2"/>
  <c r="G28" i="2"/>
  <c r="H28" i="2"/>
  <c r="I28" i="2"/>
  <c r="J28" i="2"/>
  <c r="K28" i="2"/>
  <c r="L28" i="2"/>
  <c r="C29" i="2"/>
  <c r="D29" i="2"/>
  <c r="E29" i="2"/>
  <c r="F29" i="2"/>
  <c r="G29" i="2"/>
  <c r="H29" i="2"/>
  <c r="I29" i="2"/>
  <c r="J29" i="2"/>
  <c r="K29" i="2"/>
  <c r="L29" i="2"/>
  <c r="C30" i="2"/>
  <c r="D30" i="2"/>
  <c r="E30" i="2"/>
  <c r="F30" i="2"/>
  <c r="G30" i="2"/>
  <c r="H30" i="2"/>
  <c r="I30" i="2"/>
  <c r="J30" i="2"/>
  <c r="K30" i="2"/>
  <c r="L30" i="2"/>
  <c r="C31" i="2"/>
  <c r="D31" i="2"/>
  <c r="E31" i="2"/>
  <c r="F31" i="2"/>
  <c r="G31" i="2"/>
  <c r="H31" i="2"/>
  <c r="I31" i="2"/>
  <c r="J31" i="2"/>
  <c r="K31" i="2"/>
  <c r="L31" i="2"/>
  <c r="C32" i="2"/>
  <c r="D32" i="2"/>
  <c r="E32" i="2"/>
  <c r="F32" i="2"/>
  <c r="G32" i="2"/>
  <c r="H32" i="2"/>
  <c r="I32" i="2"/>
  <c r="J32" i="2"/>
  <c r="K32" i="2"/>
  <c r="L32" i="2"/>
  <c r="C33" i="2"/>
  <c r="D33" i="2"/>
  <c r="E33" i="2"/>
  <c r="F33" i="2"/>
  <c r="G33" i="2"/>
  <c r="H33" i="2"/>
  <c r="I33" i="2"/>
  <c r="J33" i="2"/>
  <c r="K33" i="2"/>
  <c r="L33" i="2"/>
  <c r="C34" i="2"/>
  <c r="D34" i="2"/>
  <c r="E34" i="2"/>
  <c r="F34" i="2"/>
  <c r="G34" i="2"/>
  <c r="H34" i="2"/>
  <c r="I34" i="2"/>
  <c r="J34" i="2"/>
  <c r="K34" i="2"/>
  <c r="L34" i="2"/>
  <c r="C35" i="2"/>
  <c r="D35" i="2"/>
  <c r="E35" i="2"/>
  <c r="F35" i="2"/>
  <c r="G35" i="2"/>
  <c r="H35" i="2"/>
  <c r="I35" i="2"/>
  <c r="J35" i="2"/>
  <c r="K35" i="2"/>
  <c r="L35" i="2"/>
  <c r="C36" i="2"/>
  <c r="D36" i="2"/>
  <c r="E36" i="2"/>
  <c r="F36" i="2"/>
  <c r="G36" i="2"/>
  <c r="H36" i="2"/>
  <c r="I36" i="2"/>
  <c r="J36" i="2"/>
  <c r="K36" i="2"/>
  <c r="L36" i="2"/>
  <c r="C37" i="2"/>
  <c r="D37" i="2"/>
  <c r="E37" i="2"/>
  <c r="F37" i="2"/>
  <c r="G37" i="2"/>
  <c r="H37" i="2"/>
  <c r="I37" i="2"/>
  <c r="J37" i="2"/>
  <c r="K37" i="2"/>
  <c r="L37" i="2"/>
  <c r="C38" i="2"/>
  <c r="D38" i="2"/>
  <c r="E38" i="2"/>
  <c r="F38" i="2"/>
  <c r="G38" i="2"/>
  <c r="H38" i="2"/>
  <c r="I38" i="2"/>
  <c r="J38" i="2"/>
  <c r="K38" i="2"/>
  <c r="L38" i="2"/>
  <c r="C39" i="2"/>
  <c r="D39" i="2"/>
  <c r="E39" i="2"/>
  <c r="F39" i="2"/>
  <c r="G39" i="2"/>
  <c r="H39" i="2"/>
  <c r="I39" i="2"/>
  <c r="J39" i="2"/>
  <c r="K39" i="2"/>
  <c r="L39" i="2"/>
  <c r="C40" i="2"/>
  <c r="D40" i="2"/>
  <c r="E40" i="2"/>
  <c r="F40" i="2"/>
  <c r="G40" i="2"/>
  <c r="H40" i="2"/>
  <c r="I40" i="2"/>
  <c r="J40" i="2"/>
  <c r="K40" i="2"/>
  <c r="L40" i="2"/>
  <c r="C41" i="2"/>
  <c r="D41" i="2"/>
  <c r="E41" i="2"/>
  <c r="F41" i="2"/>
  <c r="G41" i="2"/>
  <c r="H41" i="2"/>
  <c r="I41" i="2"/>
  <c r="J41" i="2"/>
  <c r="K41" i="2"/>
  <c r="L41" i="2"/>
  <c r="C42" i="2"/>
  <c r="D42" i="2"/>
  <c r="E42" i="2"/>
  <c r="F42" i="2"/>
  <c r="G42" i="2"/>
  <c r="H42" i="2"/>
  <c r="I42" i="2"/>
  <c r="J42" i="2"/>
  <c r="K42" i="2"/>
  <c r="L42" i="2"/>
  <c r="C43" i="2"/>
  <c r="D43" i="2"/>
  <c r="E43" i="2"/>
  <c r="F43" i="2"/>
  <c r="G43" i="2"/>
  <c r="H43" i="2"/>
  <c r="I43" i="2"/>
  <c r="J43" i="2"/>
  <c r="K43" i="2"/>
  <c r="L43" i="2"/>
  <c r="C44" i="2"/>
  <c r="D44" i="2"/>
  <c r="E44" i="2"/>
  <c r="F44" i="2"/>
  <c r="G44" i="2"/>
  <c r="H44" i="2"/>
  <c r="I44" i="2"/>
  <c r="J44" i="2"/>
  <c r="K44" i="2"/>
  <c r="L44" i="2"/>
  <c r="C45" i="2"/>
  <c r="D45" i="2"/>
  <c r="E45" i="2"/>
  <c r="F45" i="2"/>
  <c r="G45" i="2"/>
  <c r="H45" i="2"/>
  <c r="I45" i="2"/>
  <c r="J45" i="2"/>
  <c r="K45" i="2"/>
  <c r="L45" i="2"/>
  <c r="C46" i="2"/>
  <c r="D46" i="2"/>
  <c r="E46" i="2"/>
  <c r="F46" i="2"/>
  <c r="G46" i="2"/>
  <c r="H46" i="2"/>
  <c r="I46" i="2"/>
  <c r="J46" i="2"/>
  <c r="K46" i="2"/>
  <c r="L46" i="2"/>
  <c r="C47" i="2"/>
  <c r="D47" i="2"/>
  <c r="E47" i="2"/>
  <c r="F47" i="2"/>
  <c r="G47" i="2"/>
  <c r="H47" i="2"/>
  <c r="I47" i="2"/>
  <c r="J47" i="2"/>
  <c r="K47" i="2"/>
  <c r="L47" i="2"/>
  <c r="C48" i="2"/>
  <c r="D48" i="2"/>
  <c r="E48" i="2"/>
  <c r="F48" i="2"/>
  <c r="G48" i="2"/>
  <c r="H48" i="2"/>
  <c r="I48" i="2"/>
  <c r="J48" i="2"/>
  <c r="K48" i="2"/>
  <c r="L48" i="2"/>
  <c r="C49" i="2"/>
  <c r="D49" i="2"/>
  <c r="E49" i="2"/>
  <c r="F49" i="2"/>
  <c r="G49" i="2"/>
  <c r="H49" i="2"/>
  <c r="I49" i="2"/>
  <c r="J49" i="2"/>
  <c r="K49" i="2"/>
  <c r="L49" i="2"/>
  <c r="C50" i="2"/>
  <c r="D50" i="2"/>
  <c r="E50" i="2"/>
  <c r="F50" i="2"/>
  <c r="G50" i="2"/>
  <c r="H50" i="2"/>
  <c r="I50" i="2"/>
  <c r="J50" i="2"/>
  <c r="K50" i="2"/>
  <c r="L50" i="2"/>
  <c r="C51" i="2"/>
  <c r="D51" i="2"/>
  <c r="E51" i="2"/>
  <c r="F51" i="2"/>
  <c r="G51" i="2"/>
  <c r="H51" i="2"/>
  <c r="I51" i="2"/>
  <c r="J51" i="2"/>
  <c r="K51" i="2"/>
  <c r="L51" i="2"/>
  <c r="C52" i="2"/>
  <c r="D52" i="2"/>
  <c r="E52" i="2"/>
  <c r="F52" i="2"/>
  <c r="G52" i="2"/>
  <c r="H52" i="2"/>
  <c r="I52" i="2"/>
  <c r="J52" i="2"/>
  <c r="K52" i="2"/>
  <c r="L52" i="2"/>
  <c r="C53" i="2"/>
  <c r="D53" i="2"/>
  <c r="E53" i="2"/>
  <c r="F53" i="2"/>
  <c r="G53" i="2"/>
  <c r="H53" i="2"/>
  <c r="I53" i="2"/>
  <c r="J53" i="2"/>
  <c r="K53" i="2"/>
  <c r="L53" i="2"/>
  <c r="C54" i="2"/>
  <c r="D54" i="2"/>
  <c r="E54" i="2"/>
  <c r="F54" i="2"/>
  <c r="G54" i="2"/>
  <c r="H54" i="2"/>
  <c r="I54" i="2"/>
  <c r="J54" i="2"/>
  <c r="K54" i="2"/>
  <c r="L54" i="2"/>
  <c r="C55" i="2"/>
  <c r="D55" i="2"/>
  <c r="E55" i="2"/>
  <c r="F55" i="2"/>
  <c r="G55" i="2"/>
  <c r="H55" i="2"/>
  <c r="I55" i="2"/>
  <c r="J55" i="2"/>
  <c r="K55" i="2"/>
  <c r="L55" i="2"/>
  <c r="C56" i="2"/>
  <c r="D56" i="2"/>
  <c r="E56" i="2"/>
  <c r="F56" i="2"/>
  <c r="G56" i="2"/>
  <c r="H56" i="2"/>
  <c r="I56" i="2"/>
  <c r="J56" i="2"/>
  <c r="K56" i="2"/>
  <c r="L56" i="2"/>
  <c r="C57" i="2"/>
  <c r="D57" i="2"/>
  <c r="E57" i="2"/>
  <c r="F57" i="2"/>
  <c r="G57" i="2"/>
  <c r="H57" i="2"/>
  <c r="I57" i="2"/>
  <c r="J57" i="2"/>
  <c r="K57" i="2"/>
  <c r="L57" i="2"/>
  <c r="C58" i="2"/>
  <c r="D58" i="2"/>
  <c r="E58" i="2"/>
  <c r="F58" i="2"/>
  <c r="G58" i="2"/>
  <c r="H58" i="2"/>
  <c r="I58" i="2"/>
  <c r="J58" i="2"/>
  <c r="K58" i="2"/>
  <c r="L58" i="2"/>
  <c r="C59" i="2"/>
  <c r="D59" i="2"/>
  <c r="E59" i="2"/>
  <c r="F59" i="2"/>
  <c r="G59" i="2"/>
  <c r="H59" i="2"/>
  <c r="I59" i="2"/>
  <c r="J59" i="2"/>
  <c r="K59" i="2"/>
  <c r="L59" i="2"/>
  <c r="C60" i="2"/>
  <c r="D60" i="2"/>
  <c r="E60" i="2"/>
  <c r="F60" i="2"/>
  <c r="G60" i="2"/>
  <c r="H60" i="2"/>
  <c r="I60" i="2"/>
  <c r="J60" i="2"/>
  <c r="K60" i="2"/>
  <c r="L60" i="2"/>
  <c r="C61" i="2"/>
  <c r="D61" i="2"/>
  <c r="E61" i="2"/>
  <c r="F61" i="2"/>
  <c r="G61" i="2"/>
  <c r="H61" i="2"/>
  <c r="I61" i="2"/>
  <c r="J61" i="2"/>
  <c r="K61" i="2"/>
  <c r="L61" i="2"/>
  <c r="C62" i="2"/>
  <c r="D62" i="2"/>
  <c r="E62" i="2"/>
  <c r="F62" i="2"/>
  <c r="G62" i="2"/>
  <c r="H62" i="2"/>
  <c r="I62" i="2"/>
  <c r="J62" i="2"/>
  <c r="K62" i="2"/>
  <c r="L62" i="2"/>
  <c r="C63" i="2"/>
  <c r="D63" i="2"/>
  <c r="E63" i="2"/>
  <c r="F63" i="2"/>
  <c r="G63" i="2"/>
  <c r="H63" i="2"/>
  <c r="I63" i="2"/>
  <c r="J63" i="2"/>
  <c r="K63" i="2"/>
  <c r="L63" i="2"/>
  <c r="C64" i="2"/>
  <c r="D64" i="2"/>
  <c r="E64" i="2"/>
  <c r="F64" i="2"/>
  <c r="G64" i="2"/>
  <c r="H64" i="2"/>
  <c r="I64" i="2"/>
  <c r="J64" i="2"/>
  <c r="K64" i="2"/>
  <c r="L64" i="2"/>
  <c r="C65" i="2"/>
  <c r="D65" i="2"/>
  <c r="E65" i="2"/>
  <c r="F65" i="2"/>
  <c r="G65" i="2"/>
  <c r="H65" i="2"/>
  <c r="I65" i="2"/>
  <c r="J65" i="2"/>
  <c r="K65" i="2"/>
  <c r="L65" i="2"/>
  <c r="C66" i="2"/>
  <c r="D66" i="2"/>
  <c r="E66" i="2"/>
  <c r="F66" i="2"/>
  <c r="G66" i="2"/>
  <c r="H66" i="2"/>
  <c r="I66" i="2"/>
  <c r="J66" i="2"/>
  <c r="K66" i="2"/>
  <c r="L66" i="2"/>
  <c r="C67" i="2"/>
  <c r="D67" i="2"/>
  <c r="E67" i="2"/>
  <c r="F67" i="2"/>
  <c r="G67" i="2"/>
  <c r="H67" i="2"/>
  <c r="I67" i="2"/>
  <c r="J67" i="2"/>
  <c r="K67" i="2"/>
  <c r="L67" i="2"/>
  <c r="C68" i="2"/>
  <c r="D68" i="2"/>
  <c r="E68" i="2"/>
  <c r="F68" i="2"/>
  <c r="G68" i="2"/>
  <c r="H68" i="2"/>
  <c r="I68" i="2"/>
  <c r="J68" i="2"/>
  <c r="K68" i="2"/>
  <c r="L68" i="2"/>
  <c r="C69" i="2"/>
  <c r="D69" i="2"/>
  <c r="E69" i="2"/>
  <c r="F69" i="2"/>
  <c r="G69" i="2"/>
  <c r="H69" i="2"/>
  <c r="I69" i="2"/>
  <c r="J69" i="2"/>
  <c r="K69" i="2"/>
  <c r="L69" i="2"/>
  <c r="C70" i="2"/>
  <c r="D70" i="2"/>
  <c r="E70" i="2"/>
  <c r="F70" i="2"/>
  <c r="O70" i="2" s="1"/>
  <c r="G70" i="2"/>
  <c r="H70" i="2"/>
  <c r="I70" i="2"/>
  <c r="J70" i="2"/>
  <c r="K70" i="2"/>
  <c r="L70" i="2"/>
  <c r="C71" i="2"/>
  <c r="D71" i="2"/>
  <c r="E71" i="2"/>
  <c r="F71" i="2"/>
  <c r="G71" i="2"/>
  <c r="H71" i="2"/>
  <c r="I71" i="2"/>
  <c r="J71" i="2"/>
  <c r="K71" i="2"/>
  <c r="L71" i="2"/>
  <c r="C72" i="2"/>
  <c r="D72" i="2"/>
  <c r="E72" i="2"/>
  <c r="F72" i="2"/>
  <c r="O72" i="2" s="1"/>
  <c r="G72" i="2"/>
  <c r="H72" i="2"/>
  <c r="I72" i="2"/>
  <c r="J72" i="2"/>
  <c r="K72" i="2"/>
  <c r="L72" i="2"/>
  <c r="C73" i="2"/>
  <c r="D73" i="2"/>
  <c r="E73" i="2"/>
  <c r="F73" i="2"/>
  <c r="G73" i="2"/>
  <c r="H73" i="2"/>
  <c r="I73" i="2"/>
  <c r="J73" i="2"/>
  <c r="K73" i="2"/>
  <c r="L73" i="2"/>
  <c r="C74" i="2"/>
  <c r="D74" i="2"/>
  <c r="E74" i="2"/>
  <c r="F74" i="2"/>
  <c r="O74" i="2" s="1"/>
  <c r="G74" i="2"/>
  <c r="H74" i="2"/>
  <c r="I74" i="2"/>
  <c r="J74" i="2"/>
  <c r="K74" i="2"/>
  <c r="L74" i="2"/>
  <c r="C75" i="2"/>
  <c r="D75" i="2"/>
  <c r="E75" i="2"/>
  <c r="F75" i="2"/>
  <c r="G75" i="2"/>
  <c r="H75" i="2"/>
  <c r="I75" i="2"/>
  <c r="J75" i="2"/>
  <c r="K75" i="2"/>
  <c r="L75" i="2"/>
  <c r="C76" i="2"/>
  <c r="D76" i="2"/>
  <c r="E76" i="2"/>
  <c r="F76" i="2"/>
  <c r="O76" i="2" s="1"/>
  <c r="G76" i="2"/>
  <c r="H76" i="2"/>
  <c r="I76" i="2"/>
  <c r="J76" i="2"/>
  <c r="K76" i="2"/>
  <c r="L76" i="2"/>
  <c r="C77" i="2"/>
  <c r="D77" i="2"/>
  <c r="E77" i="2"/>
  <c r="F77" i="2"/>
  <c r="G77" i="2"/>
  <c r="H77" i="2"/>
  <c r="I77" i="2"/>
  <c r="J77" i="2"/>
  <c r="K77" i="2"/>
  <c r="L77" i="2"/>
  <c r="C78" i="2"/>
  <c r="D78" i="2"/>
  <c r="E78" i="2"/>
  <c r="F78" i="2"/>
  <c r="O78" i="2" s="1"/>
  <c r="G78" i="2"/>
  <c r="H78" i="2"/>
  <c r="I78" i="2"/>
  <c r="J78" i="2"/>
  <c r="K78" i="2"/>
  <c r="L78" i="2"/>
  <c r="C79" i="2"/>
  <c r="D79" i="2"/>
  <c r="E79" i="2"/>
  <c r="F79" i="2"/>
  <c r="G79" i="2"/>
  <c r="H79" i="2"/>
  <c r="I79" i="2"/>
  <c r="J79" i="2"/>
  <c r="K79" i="2"/>
  <c r="L79" i="2"/>
  <c r="C80" i="2"/>
  <c r="D80" i="2"/>
  <c r="E80" i="2"/>
  <c r="F80" i="2"/>
  <c r="O80" i="2" s="1"/>
  <c r="G80" i="2"/>
  <c r="H80" i="2"/>
  <c r="I80" i="2"/>
  <c r="J80" i="2"/>
  <c r="K80" i="2"/>
  <c r="L80" i="2"/>
  <c r="C81" i="2"/>
  <c r="D81" i="2"/>
  <c r="E81" i="2"/>
  <c r="F81" i="2"/>
  <c r="G81" i="2"/>
  <c r="H81" i="2"/>
  <c r="I81" i="2"/>
  <c r="J81" i="2"/>
  <c r="K81" i="2"/>
  <c r="L81" i="2"/>
  <c r="C82" i="2"/>
  <c r="D82" i="2"/>
  <c r="E82" i="2"/>
  <c r="F82" i="2"/>
  <c r="O82" i="2" s="1"/>
  <c r="G82" i="2"/>
  <c r="H82" i="2"/>
  <c r="I82" i="2"/>
  <c r="J82" i="2"/>
  <c r="K82" i="2"/>
  <c r="L82" i="2"/>
  <c r="C83" i="2"/>
  <c r="D83" i="2"/>
  <c r="E83" i="2"/>
  <c r="F83" i="2"/>
  <c r="G83" i="2"/>
  <c r="H83" i="2"/>
  <c r="I83" i="2"/>
  <c r="J83" i="2"/>
  <c r="K83" i="2"/>
  <c r="L83" i="2"/>
  <c r="C84" i="2"/>
  <c r="D84" i="2"/>
  <c r="E84" i="2"/>
  <c r="F84" i="2"/>
  <c r="O84" i="2" s="1"/>
  <c r="G84" i="2"/>
  <c r="H84" i="2"/>
  <c r="I84" i="2"/>
  <c r="J84" i="2"/>
  <c r="K84" i="2"/>
  <c r="L84" i="2"/>
  <c r="C85" i="2"/>
  <c r="D85" i="2"/>
  <c r="E85" i="2"/>
  <c r="F85" i="2"/>
  <c r="G85" i="2"/>
  <c r="H85" i="2"/>
  <c r="I85" i="2"/>
  <c r="J85" i="2"/>
  <c r="K85" i="2"/>
  <c r="L85" i="2"/>
  <c r="C86" i="2"/>
  <c r="D86" i="2"/>
  <c r="E86" i="2"/>
  <c r="F86" i="2"/>
  <c r="O86" i="2" s="1"/>
  <c r="G86" i="2"/>
  <c r="H86" i="2"/>
  <c r="I86" i="2"/>
  <c r="J86" i="2"/>
  <c r="K86" i="2"/>
  <c r="L86" i="2"/>
  <c r="C87" i="2"/>
  <c r="D87" i="2"/>
  <c r="E87" i="2"/>
  <c r="F87" i="2"/>
  <c r="G87" i="2"/>
  <c r="H87" i="2"/>
  <c r="I87" i="2"/>
  <c r="J87" i="2"/>
  <c r="K87" i="2"/>
  <c r="L87" i="2"/>
  <c r="C88" i="2"/>
  <c r="D88" i="2"/>
  <c r="E88" i="2"/>
  <c r="F88" i="2"/>
  <c r="O88" i="2" s="1"/>
  <c r="G88" i="2"/>
  <c r="H88" i="2"/>
  <c r="I88" i="2"/>
  <c r="J88" i="2"/>
  <c r="K88" i="2"/>
  <c r="L88" i="2"/>
  <c r="C89" i="2"/>
  <c r="D89" i="2"/>
  <c r="E89" i="2"/>
  <c r="F89" i="2"/>
  <c r="G89" i="2"/>
  <c r="H89" i="2"/>
  <c r="I89" i="2"/>
  <c r="J89" i="2"/>
  <c r="K89" i="2"/>
  <c r="L89" i="2"/>
  <c r="C90" i="2"/>
  <c r="D90" i="2"/>
  <c r="E90" i="2"/>
  <c r="F90" i="2"/>
  <c r="O90" i="2" s="1"/>
  <c r="G90" i="2"/>
  <c r="H90" i="2"/>
  <c r="I90" i="2"/>
  <c r="J90" i="2"/>
  <c r="K90" i="2"/>
  <c r="L90" i="2"/>
  <c r="C91" i="2"/>
  <c r="D91" i="2"/>
  <c r="E91" i="2"/>
  <c r="F91" i="2"/>
  <c r="G91" i="2"/>
  <c r="H91" i="2"/>
  <c r="I91" i="2"/>
  <c r="J91" i="2"/>
  <c r="K91" i="2"/>
  <c r="L91" i="2"/>
  <c r="C92" i="2"/>
  <c r="D92" i="2"/>
  <c r="E92" i="2"/>
  <c r="F92" i="2"/>
  <c r="O92" i="2" s="1"/>
  <c r="G92" i="2"/>
  <c r="H92" i="2"/>
  <c r="I92" i="2"/>
  <c r="J92" i="2"/>
  <c r="K92" i="2"/>
  <c r="L92" i="2"/>
  <c r="C93" i="2"/>
  <c r="D93" i="2"/>
  <c r="E93" i="2"/>
  <c r="F93" i="2"/>
  <c r="G93" i="2"/>
  <c r="H93" i="2"/>
  <c r="I93" i="2"/>
  <c r="J93" i="2"/>
  <c r="K93" i="2"/>
  <c r="L93" i="2"/>
  <c r="C94" i="2"/>
  <c r="D94" i="2"/>
  <c r="E94" i="2"/>
  <c r="F94" i="2"/>
  <c r="O94" i="2" s="1"/>
  <c r="G94" i="2"/>
  <c r="H94" i="2"/>
  <c r="I94" i="2"/>
  <c r="J94" i="2"/>
  <c r="K94" i="2"/>
  <c r="L94" i="2"/>
  <c r="C95" i="2"/>
  <c r="D95" i="2"/>
  <c r="E95" i="2"/>
  <c r="F95" i="2"/>
  <c r="G95" i="2"/>
  <c r="H95" i="2"/>
  <c r="I95" i="2"/>
  <c r="J95" i="2"/>
  <c r="K95" i="2"/>
  <c r="L95" i="2"/>
  <c r="C96" i="2"/>
  <c r="D96" i="2"/>
  <c r="E96" i="2"/>
  <c r="F96" i="2"/>
  <c r="O96" i="2" s="1"/>
  <c r="G96" i="2"/>
  <c r="H96" i="2"/>
  <c r="I96" i="2"/>
  <c r="J96" i="2"/>
  <c r="K96" i="2"/>
  <c r="L96" i="2"/>
  <c r="C97" i="2"/>
  <c r="D97" i="2"/>
  <c r="E97" i="2"/>
  <c r="F97" i="2"/>
  <c r="G97" i="2"/>
  <c r="H97" i="2"/>
  <c r="I97" i="2"/>
  <c r="J97" i="2"/>
  <c r="K97" i="2"/>
  <c r="L97" i="2"/>
  <c r="C98" i="2"/>
  <c r="D98" i="2"/>
  <c r="E98" i="2"/>
  <c r="F98" i="2"/>
  <c r="O98" i="2" s="1"/>
  <c r="G98" i="2"/>
  <c r="H98" i="2"/>
  <c r="I98" i="2"/>
  <c r="J98" i="2"/>
  <c r="K98" i="2"/>
  <c r="L98" i="2"/>
  <c r="L99" i="2"/>
  <c r="K99" i="2"/>
  <c r="J99" i="2"/>
  <c r="I99" i="2"/>
  <c r="H99" i="2"/>
  <c r="G99" i="2"/>
  <c r="F99" i="2"/>
  <c r="O99" i="2" s="1"/>
  <c r="E99" i="2"/>
  <c r="D99" i="2"/>
  <c r="C99" i="2"/>
  <c r="O105" i="2" l="1"/>
  <c r="O104" i="2"/>
  <c r="O103" i="2"/>
  <c r="O101" i="2"/>
  <c r="O97" i="2"/>
  <c r="O95" i="2"/>
  <c r="O93" i="2"/>
  <c r="O91" i="2"/>
  <c r="O89" i="2"/>
  <c r="O87" i="2"/>
  <c r="O85" i="2"/>
  <c r="O83" i="2"/>
  <c r="O81" i="2"/>
  <c r="O79" i="2"/>
  <c r="O77" i="2"/>
  <c r="O75" i="2"/>
  <c r="O73" i="2"/>
  <c r="O71" i="2"/>
  <c r="O102" i="2"/>
  <c r="O100" i="2"/>
  <c r="C29" i="3" l="1"/>
  <c r="C30" i="3"/>
  <c r="C34" i="3" l="1"/>
  <c r="C33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 s="1"/>
  <c r="G13" i="3"/>
  <c r="G12" i="3"/>
  <c r="G10" i="3"/>
  <c r="G9" i="3"/>
  <c r="G7" i="3"/>
  <c r="E5" i="3"/>
  <c r="E4" i="3" l="1"/>
  <c r="H4" i="3"/>
  <c r="T3" i="2" s="1"/>
  <c r="T4" i="2" s="1"/>
</calcChain>
</file>

<file path=xl/sharedStrings.xml><?xml version="1.0" encoding="utf-8"?>
<sst xmlns="http://schemas.openxmlformats.org/spreadsheetml/2006/main" count="2369" uniqueCount="2150">
  <si>
    <t>2015 APR 1</t>
  </si>
  <si>
    <t>2015 APR 8</t>
  </si>
  <si>
    <t>2015 APR 10</t>
  </si>
  <si>
    <t>2015 APR 14</t>
  </si>
  <si>
    <t>2015 APR 15</t>
  </si>
  <si>
    <t>2015 APR 17</t>
  </si>
  <si>
    <t>2015 APR 18</t>
  </si>
  <si>
    <t>2015 APR 20</t>
  </si>
  <si>
    <t>2015 APR 22</t>
  </si>
  <si>
    <t>2015 APR 23</t>
  </si>
  <si>
    <t>2015 APR 25</t>
  </si>
  <si>
    <t>2015 APR 30</t>
  </si>
  <si>
    <t>2015 MAR 9</t>
  </si>
  <si>
    <t>2015 MAR 16</t>
  </si>
  <si>
    <t>2015 MAR 20</t>
  </si>
  <si>
    <t>2015 MAR 23</t>
  </si>
  <si>
    <t>2015 MAR 25</t>
  </si>
  <si>
    <t>2015 MAR 28</t>
  </si>
  <si>
    <t>2014 DEC 26</t>
  </si>
  <si>
    <t>2015 FEB 3</t>
  </si>
  <si>
    <t>2015 FEB 6</t>
  </si>
  <si>
    <t>2015 MAY 1</t>
  </si>
  <si>
    <t>2015 MAY 2</t>
  </si>
  <si>
    <t>2015 MAY 8</t>
  </si>
  <si>
    <t>2015 MAY 11</t>
  </si>
  <si>
    <t>2015 MAY 18</t>
  </si>
  <si>
    <t>2015 MAY 20</t>
  </si>
  <si>
    <t>2015 MAY 25</t>
  </si>
  <si>
    <t>2015 MAY 28</t>
  </si>
  <si>
    <t>2015 MAY 29</t>
  </si>
  <si>
    <t>2015 JUN 3</t>
  </si>
  <si>
    <t>2015 JUN 4</t>
  </si>
  <si>
    <t>2015 JUN 10</t>
  </si>
  <si>
    <t>2015 JUN 21</t>
  </si>
  <si>
    <t>2015 MAY 3</t>
  </si>
  <si>
    <t>2015 MAY 27</t>
  </si>
  <si>
    <t>2015 JUN 12</t>
  </si>
  <si>
    <t>2015 JUN 13</t>
  </si>
  <si>
    <t>2015 MAY 14</t>
  </si>
  <si>
    <t>2015 JUN 17</t>
  </si>
  <si>
    <t>2015 JUL 1</t>
  </si>
  <si>
    <t>2015 JUL 2</t>
  </si>
  <si>
    <t>2015 JUL 15</t>
  </si>
  <si>
    <t>2015 JUL 18</t>
  </si>
  <si>
    <t>2015 JUL 21</t>
  </si>
  <si>
    <t>2015 AUG 9</t>
  </si>
  <si>
    <t>2015 AUG 17</t>
  </si>
  <si>
    <t>2015 SEP 29</t>
  </si>
  <si>
    <t>2014 SEP 26</t>
  </si>
  <si>
    <t>2014 OCT 1</t>
  </si>
  <si>
    <t>2014 OCT 5</t>
  </si>
  <si>
    <t>2014 OCT 14</t>
  </si>
  <si>
    <t>2014 OCT 24</t>
  </si>
  <si>
    <t>2014 OCT 27</t>
  </si>
  <si>
    <t>2014 OCT 30</t>
  </si>
  <si>
    <t>2014 NOV 9</t>
  </si>
  <si>
    <t>2014 NOV 29</t>
  </si>
  <si>
    <t>2015 OCT 12</t>
  </si>
  <si>
    <t>2015 OCT 14</t>
  </si>
  <si>
    <t>2015 OCT 23</t>
  </si>
  <si>
    <t>2014 OCT 11</t>
  </si>
  <si>
    <t>2014 DEC 12</t>
  </si>
  <si>
    <t>2015 OCT 1</t>
  </si>
  <si>
    <t>2015 NOV 6</t>
  </si>
  <si>
    <t>2015 NOV 12</t>
  </si>
  <si>
    <t>2015 SEP 25</t>
  </si>
  <si>
    <t>2016 FEB 8</t>
  </si>
  <si>
    <t>2016 MAR 1</t>
  </si>
  <si>
    <t>2016 FEB 19</t>
  </si>
  <si>
    <t>2016 MAR 11</t>
  </si>
  <si>
    <t>2016 MAR 24</t>
  </si>
  <si>
    <t>2016 APR 1</t>
  </si>
  <si>
    <t>2016 APR 26</t>
  </si>
  <si>
    <t>2016 MAY 1</t>
  </si>
  <si>
    <t>2016 MAY 6</t>
  </si>
  <si>
    <t>2016 MAY 15</t>
  </si>
  <si>
    <t>2016 MAY 20</t>
  </si>
  <si>
    <t>2016 MAY 25</t>
  </si>
  <si>
    <t>2016 MAY 31</t>
  </si>
  <si>
    <t>2016 JUN 21</t>
  </si>
  <si>
    <t>2016 JUL 6</t>
  </si>
  <si>
    <t>2016 JUL 13</t>
  </si>
  <si>
    <t>2016 AUG 17</t>
  </si>
  <si>
    <t>2016 AUG 24</t>
  </si>
  <si>
    <t>2016 AUG 25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</si>
  <si>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</si>
  <si>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</si>
  <si>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</si>
  <si>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</si>
  <si>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</si>
  <si>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</si>
  <si>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</si>
  <si>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</si>
  <si>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</si>
  <si>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</si>
  <si>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</si>
  <si>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</si>
  <si>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</si>
  <si>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</si>
  <si>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</si>
  <si>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</si>
  <si>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</si>
  <si>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</si>
  <si>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</si>
  <si>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</si>
  <si>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</si>
  <si>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xdate</t>
  </si>
  <si>
    <t>Raie{6,1} = 'He I 5875';</t>
  </si>
  <si>
    <t>ymax</t>
  </si>
  <si>
    <t>Raie{6,2} = 5875.65;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</si>
  <si>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</si>
  <si>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</si>
  <si>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</si>
  <si>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</si>
  <si>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</si>
  <si>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</si>
  <si>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</si>
  <si>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</si>
  <si>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</si>
  <si>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</si>
  <si>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</si>
  <si>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</si>
  <si>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</si>
  <si>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</si>
  <si>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</si>
  <si>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</si>
  <si>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</si>
  <si>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</si>
  <si>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</si>
  <si>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</si>
  <si>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</si>
  <si>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</si>
  <si>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</si>
  <si>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</si>
  <si>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</si>
  <si>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[Fe VII]</t>
  </si>
  <si>
    <t>Raie {16,1} = 'Na I D';</t>
  </si>
  <si>
    <t>Raie {16,2} = 5889.95;</t>
  </si>
  <si>
    <t>Raie {17,1} = 'Fe II 4924';</t>
  </si>
  <si>
    <t>Raman OVI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</si>
  <si>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</si>
  <si>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</si>
  <si>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</si>
  <si>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</si>
  <si>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</si>
  <si>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</si>
  <si>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</si>
  <si>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Fe II</t>
  </si>
  <si>
    <t>BF Cyg</t>
  </si>
  <si>
    <t>BF Cygni (V)</t>
  </si>
  <si>
    <t>2014 DEC 17</t>
  </si>
  <si>
    <t>2015 FEB 11</t>
  </si>
  <si>
    <t>2015 FEB 15</t>
  </si>
  <si>
    <t>2015 FEB 22</t>
  </si>
  <si>
    <t>2015 MAR 14</t>
  </si>
  <si>
    <t>2015 MAR 17</t>
  </si>
  <si>
    <t>2015 MAR 18</t>
  </si>
  <si>
    <t>2015 MAR 31</t>
  </si>
  <si>
    <t>2015 APR 11</t>
  </si>
  <si>
    <t>2015 APR 28</t>
  </si>
  <si>
    <t>2015 MAY 22</t>
  </si>
  <si>
    <t>2015 JUL 29</t>
  </si>
  <si>
    <t>2015 JUL 30</t>
  </si>
  <si>
    <t>2015 AUG 1</t>
  </si>
  <si>
    <t>2015 AUG 11</t>
  </si>
  <si>
    <t>2015 AUG 26</t>
  </si>
  <si>
    <t>2015 AUG 29</t>
  </si>
  <si>
    <t>2015 SEP 10</t>
  </si>
  <si>
    <t>2015 SEP 11</t>
  </si>
  <si>
    <t>2015 SEP 18</t>
  </si>
  <si>
    <t>2015 OCT 2</t>
  </si>
  <si>
    <t>2015 OCT 7</t>
  </si>
  <si>
    <t>2015 DEC 17</t>
  </si>
  <si>
    <t>2016 MAR 6</t>
  </si>
  <si>
    <t>2016 APR 9</t>
  </si>
  <si>
    <t>2016 JUL 17</t>
  </si>
  <si>
    <t>2016 AUG 2</t>
  </si>
  <si>
    <t>2016 SEP 9</t>
  </si>
  <si>
    <t>2016 SEP 24</t>
  </si>
  <si>
    <t>2016 OCT 6</t>
  </si>
  <si>
    <t>2016 OCT 9</t>
  </si>
  <si>
    <t>2016 OCT 20</t>
  </si>
  <si>
    <t>2016 NOV 10</t>
  </si>
  <si>
    <t>2016 NOV 15</t>
  </si>
  <si>
    <t>2016 NOV 20</t>
  </si>
  <si>
    <t>2016 NOV 22</t>
  </si>
  <si>
    <t>2016 NOV 27</t>
  </si>
  <si>
    <t>x</t>
  </si>
  <si>
    <t>y</t>
  </si>
  <si>
    <t>couleur</t>
  </si>
  <si>
    <t>b</t>
  </si>
  <si>
    <t>r</t>
  </si>
  <si>
    <t>k</t>
  </si>
  <si>
    <t>g</t>
  </si>
  <si>
    <t>1941 JUL 8</t>
  </si>
  <si>
    <t>1941 JUL 24</t>
  </si>
  <si>
    <t>1941 AUG 9</t>
  </si>
  <si>
    <t>1941 AUG 25</t>
  </si>
  <si>
    <t>1941 SEP 15</t>
  </si>
  <si>
    <t>1941 OCT 4</t>
  </si>
  <si>
    <t>1941 OCT 16</t>
  </si>
  <si>
    <t>1941 NOV 15</t>
  </si>
  <si>
    <t>1956 JUN 13</t>
  </si>
  <si>
    <t>1956 SEP 11</t>
  </si>
  <si>
    <t>1956 OCT 3</t>
  </si>
  <si>
    <t>1956 NOV 30</t>
  </si>
  <si>
    <t>1957 JUN 21</t>
  </si>
  <si>
    <t>1957 JUL 7</t>
  </si>
  <si>
    <t>1957 SEP 22</t>
  </si>
  <si>
    <t>1957 NOV 16</t>
  </si>
  <si>
    <t>1957 DEC 26</t>
  </si>
  <si>
    <t>1958 MAY 31</t>
  </si>
  <si>
    <t>1958 JUN 25</t>
  </si>
  <si>
    <t>1958 JUL 20</t>
  </si>
  <si>
    <t>1958 SEP 8</t>
  </si>
  <si>
    <t>1958 OCT 22</t>
  </si>
  <si>
    <t>1958 NOV 19</t>
  </si>
  <si>
    <t>1959 APR 12</t>
  </si>
  <si>
    <t>1959 JUN 1</t>
  </si>
  <si>
    <t>1959 JUL 26</t>
  </si>
  <si>
    <t>1959 SEP 28</t>
  </si>
  <si>
    <t>1959 OCT 24</t>
  </si>
  <si>
    <t>1959 NOV 25</t>
  </si>
  <si>
    <t>1960 JUN 21</t>
  </si>
  <si>
    <t>1960 JUL 31</t>
  </si>
  <si>
    <t>1960 AUG 21</t>
  </si>
  <si>
    <t>1960 SEP 12</t>
  </si>
  <si>
    <t>1960 OCT 18</t>
  </si>
  <si>
    <t>1960 NOV 19</t>
  </si>
  <si>
    <t>1961 JUN 26</t>
  </si>
  <si>
    <t>1961 AUG 6</t>
  </si>
  <si>
    <t>1961 SEP 18</t>
  </si>
  <si>
    <t>1962 JUN 30</t>
  </si>
  <si>
    <t>1962 JUL 29</t>
  </si>
  <si>
    <t>1962 SEP 24</t>
  </si>
  <si>
    <t>1962 OCT 21</t>
  </si>
  <si>
    <t>1962 DEC 7</t>
  </si>
  <si>
    <t>1963 MAY 20</t>
  </si>
  <si>
    <t>1963 JUL 1</t>
  </si>
  <si>
    <t>1963 JUL 26</t>
  </si>
  <si>
    <t>1963 SEP 18</t>
  </si>
  <si>
    <t>1963 OCT 25</t>
  </si>
  <si>
    <t>1963 NOV 23</t>
  </si>
  <si>
    <t>1964 MAY 23</t>
  </si>
  <si>
    <t>1964 JUN 28</t>
  </si>
  <si>
    <t>1964 JUL 16</t>
  </si>
  <si>
    <t>1964 AUG 14</t>
  </si>
  <si>
    <t>1964 OCT 1</t>
  </si>
  <si>
    <t>1964 OCT 20</t>
  </si>
  <si>
    <t>1964 NOV 8</t>
  </si>
  <si>
    <t>1964 NOV 19</t>
  </si>
  <si>
    <t>1964 DEC 8</t>
  </si>
  <si>
    <t>1965 APR 7</t>
  </si>
  <si>
    <t>1965 APR 29</t>
  </si>
  <si>
    <t>1965 MAY 30</t>
  </si>
  <si>
    <t>1965 JUN 10</t>
  </si>
  <si>
    <t>1965 JUN 23</t>
  </si>
  <si>
    <t>1965 JUL 12</t>
  </si>
  <si>
    <t>1965 JUL 29</t>
  </si>
  <si>
    <t>1965 AUG 12</t>
  </si>
  <si>
    <t>1965 AUG 28</t>
  </si>
  <si>
    <t>1965 SEP 24</t>
  </si>
  <si>
    <t>1965 OCT 2</t>
  </si>
  <si>
    <t>1965 OCT 23</t>
  </si>
  <si>
    <t>1965 NOV 6</t>
  </si>
  <si>
    <t>1965 DEC 1</t>
  </si>
  <si>
    <t>1965 DEC 29</t>
  </si>
  <si>
    <t>1966 FEB 17</t>
  </si>
  <si>
    <t>1966 FEB 28</t>
  </si>
  <si>
    <t>1966 MAR 23</t>
  </si>
  <si>
    <t>1966 APR 7</t>
  </si>
  <si>
    <t>1966 APR 26</t>
  </si>
  <si>
    <t>1966 MAY 7</t>
  </si>
  <si>
    <t>1966 MAY 25</t>
  </si>
  <si>
    <t>1966 JUN 12</t>
  </si>
  <si>
    <t>1966 JUL 2</t>
  </si>
  <si>
    <t>1966 JUL 20</t>
  </si>
  <si>
    <t>1966 AUG 4</t>
  </si>
  <si>
    <t>1966 AUG 20</t>
  </si>
  <si>
    <t>1966 SEP 3</t>
  </si>
  <si>
    <t>1966 SEP 20</t>
  </si>
  <si>
    <t>1966 OCT 8</t>
  </si>
  <si>
    <t>1966 OCT 27</t>
  </si>
  <si>
    <t>1966 NOV 13</t>
  </si>
  <si>
    <t>1966 NOV 30</t>
  </si>
  <si>
    <t>1966 DEC 15</t>
  </si>
  <si>
    <t>1967 MAR 18</t>
  </si>
  <si>
    <t>1967 MAR 31</t>
  </si>
  <si>
    <t>1967 APR 11</t>
  </si>
  <si>
    <t>1967 APR 30</t>
  </si>
  <si>
    <t>1967 MAY 14</t>
  </si>
  <si>
    <t>1967 MAY 30</t>
  </si>
  <si>
    <t>1967 JUN 18</t>
  </si>
  <si>
    <t>1967 JUL 3</t>
  </si>
  <si>
    <t>1967 JUL 20</t>
  </si>
  <si>
    <t>1967 AUG 8</t>
  </si>
  <si>
    <t>1967 SEP 2</t>
  </si>
  <si>
    <t>1967 SEP 16</t>
  </si>
  <si>
    <t>1967 OCT 3</t>
  </si>
  <si>
    <t>1967 OCT 22</t>
  </si>
  <si>
    <t>1967 NOV 3</t>
  </si>
  <si>
    <t>1967 NOV 22</t>
  </si>
  <si>
    <t>1968 FEB 28</t>
  </si>
  <si>
    <t>1968 MAR 13</t>
  </si>
  <si>
    <t>1968 APR 2</t>
  </si>
  <si>
    <t>1968 APR 29</t>
  </si>
  <si>
    <t>1968 MAY 23</t>
  </si>
  <si>
    <t>1968 JUN 11</t>
  </si>
  <si>
    <t>1968 JUN 29</t>
  </si>
  <si>
    <t>1968 JUL 19</t>
  </si>
  <si>
    <t>1968 JUL 29</t>
  </si>
  <si>
    <t>1968 AUG 20</t>
  </si>
  <si>
    <t>1968 SEP 6</t>
  </si>
  <si>
    <t>1968 SEP 22</t>
  </si>
  <si>
    <t>1968 OCT 10</t>
  </si>
  <si>
    <t>1968 OCT 28</t>
  </si>
  <si>
    <t>1968 NOV 17</t>
  </si>
  <si>
    <t>1968 DEC 7</t>
  </si>
  <si>
    <t>1969 FEB 13</t>
  </si>
  <si>
    <t>1969 MAR 16</t>
  </si>
  <si>
    <t>1969 APR 16</t>
  </si>
  <si>
    <t>1969 MAY 13</t>
  </si>
  <si>
    <t>1969 MAY 30</t>
  </si>
  <si>
    <t>1969 JUN 13</t>
  </si>
  <si>
    <t>1969 JUL 4</t>
  </si>
  <si>
    <t>1969 JUL 19</t>
  </si>
  <si>
    <t>1969 AUG 6</t>
  </si>
  <si>
    <t>1969 AUG 24</t>
  </si>
  <si>
    <t>1969 SEP 13</t>
  </si>
  <si>
    <t>1969 SEP 30</t>
  </si>
  <si>
    <t>1969 OCT 15</t>
  </si>
  <si>
    <t>1969 NOV 2</t>
  </si>
  <si>
    <t>1969 NOV 24</t>
  </si>
  <si>
    <t>1969 DEC 12</t>
  </si>
  <si>
    <t>1970 JAN 5</t>
  </si>
  <si>
    <t>1970 FEB 21</t>
  </si>
  <si>
    <t>1970 MAR 10</t>
  </si>
  <si>
    <t>1970 APR 9</t>
  </si>
  <si>
    <t>1970 APR 23</t>
  </si>
  <si>
    <t>1970 MAY 10</t>
  </si>
  <si>
    <t>1970 JUN 1</t>
  </si>
  <si>
    <t>1970 JUN 17</t>
  </si>
  <si>
    <t>1970 JUL 4</t>
  </si>
  <si>
    <t>1970 JUL 20</t>
  </si>
  <si>
    <t>1970 AUG 7</t>
  </si>
  <si>
    <t>1970 AUG 29</t>
  </si>
  <si>
    <t>1970 SEP 12</t>
  </si>
  <si>
    <t>1970 OCT 1</t>
  </si>
  <si>
    <t>1970 OCT 20</t>
  </si>
  <si>
    <t>1970 NOV 1</t>
  </si>
  <si>
    <t>1970 NOV 20</t>
  </si>
  <si>
    <t>1970 DEC 9</t>
  </si>
  <si>
    <t>1970 DEC 31</t>
  </si>
  <si>
    <t>1971 FEB 24</t>
  </si>
  <si>
    <t>1971 MAR 20</t>
  </si>
  <si>
    <t>1971 APR 1</t>
  </si>
  <si>
    <t>1971 APR 25</t>
  </si>
  <si>
    <t>1971 MAY 11</t>
  </si>
  <si>
    <t>1971 MAY 29</t>
  </si>
  <si>
    <t>1971 JUN 16</t>
  </si>
  <si>
    <t>1971 JUL 9</t>
  </si>
  <si>
    <t>1971 JUL 28</t>
  </si>
  <si>
    <t>1971 AUG 13</t>
  </si>
  <si>
    <t>1971 SEP 6</t>
  </si>
  <si>
    <t>1971 SEP 18</t>
  </si>
  <si>
    <t>1971 OCT 9</t>
  </si>
  <si>
    <t>1971 OCT 23</t>
  </si>
  <si>
    <t>1971 NOV 9</t>
  </si>
  <si>
    <t>1971 NOV 24</t>
  </si>
  <si>
    <t>1971 DEC 10</t>
  </si>
  <si>
    <t>1972 JAN 10</t>
  </si>
  <si>
    <t>1972 MAR 22</t>
  </si>
  <si>
    <t>1972 APR 3</t>
  </si>
  <si>
    <t>1972 APR 20</t>
  </si>
  <si>
    <t>1972 MAY 6</t>
  </si>
  <si>
    <t>1972 MAY 24</t>
  </si>
  <si>
    <t>1972 JUN 7</t>
  </si>
  <si>
    <t>1972 JUN 26</t>
  </si>
  <si>
    <t>1972 JUL 11</t>
  </si>
  <si>
    <t>1972 JUL 30</t>
  </si>
  <si>
    <t>1972 AUG 16</t>
  </si>
  <si>
    <t>1972 SEP 3</t>
  </si>
  <si>
    <t>1972 SEP 20</t>
  </si>
  <si>
    <t>1972 OCT 6</t>
  </si>
  <si>
    <t>1972 OCT 25</t>
  </si>
  <si>
    <t>1972 NOV 11</t>
  </si>
  <si>
    <t>1972 NOV 25</t>
  </si>
  <si>
    <t>1972 DEC 13</t>
  </si>
  <si>
    <t>1973 JAN 3</t>
  </si>
  <si>
    <t>1973 FEB 14</t>
  </si>
  <si>
    <t>1973 MAR 10</t>
  </si>
  <si>
    <t>1973 MAR 19</t>
  </si>
  <si>
    <t>1973 APR 15</t>
  </si>
  <si>
    <t>1973 MAY 2</t>
  </si>
  <si>
    <t>1973 MAY 26</t>
  </si>
  <si>
    <t>1973 JUN 9</t>
  </si>
  <si>
    <t>1973 JUN 24</t>
  </si>
  <si>
    <t>1973 JUL 10</t>
  </si>
  <si>
    <t>1973 JUL 31</t>
  </si>
  <si>
    <t>1973 AUG 16</t>
  </si>
  <si>
    <t>1973 SEP 6</t>
  </si>
  <si>
    <t>1973 SEP 21</t>
  </si>
  <si>
    <t>1973 OCT 8</t>
  </si>
  <si>
    <t>1973 OCT 25</t>
  </si>
  <si>
    <t>1973 NOV 12</t>
  </si>
  <si>
    <t>1973 NOV 29</t>
  </si>
  <si>
    <t>1973 DEC 17</t>
  </si>
  <si>
    <t>1974 JAN 13</t>
  </si>
  <si>
    <t>1974 APR 24</t>
  </si>
  <si>
    <t>1974 MAY 19</t>
  </si>
  <si>
    <t>1974 JUN 17</t>
  </si>
  <si>
    <t>1974 JUL 3</t>
  </si>
  <si>
    <t>1974 JUL 19</t>
  </si>
  <si>
    <t>1974 AUG 5</t>
  </si>
  <si>
    <t>1974 AUG 17</t>
  </si>
  <si>
    <t>1974 SEP 9</t>
  </si>
  <si>
    <t>1974 SEP 25</t>
  </si>
  <si>
    <t>1974 OCT 11</t>
  </si>
  <si>
    <t>1974 OCT 29</t>
  </si>
  <si>
    <t>1974 NOV 13</t>
  </si>
  <si>
    <t>1974 DEC 1</t>
  </si>
  <si>
    <t>1974 DEC 19</t>
  </si>
  <si>
    <t>1975 JAN 4</t>
  </si>
  <si>
    <t>1975 APR 15</t>
  </si>
  <si>
    <t>1975 MAY 5</t>
  </si>
  <si>
    <t>1975 MAY 24</t>
  </si>
  <si>
    <t>1975 JUN 9</t>
  </si>
  <si>
    <t>1975 JUN 29</t>
  </si>
  <si>
    <t>1975 JUL 10</t>
  </si>
  <si>
    <t>1975 JUL 30</t>
  </si>
  <si>
    <t>1975 AUG 9</t>
  </si>
  <si>
    <t>1975 SEP 1</t>
  </si>
  <si>
    <t>1975 SEP 13</t>
  </si>
  <si>
    <t>1975 OCT 2</t>
  </si>
  <si>
    <t>1975 OCT 21</t>
  </si>
  <si>
    <t>1975 NOV 2</t>
  </si>
  <si>
    <t>1975 NOV 18</t>
  </si>
  <si>
    <t>1975 DEC 3</t>
  </si>
  <si>
    <t>1975 DEC 24</t>
  </si>
  <si>
    <t>1976 JAN 3</t>
  </si>
  <si>
    <t>1976 FEB 21</t>
  </si>
  <si>
    <t>1976 APR 5</t>
  </si>
  <si>
    <t>1976 APR 28</t>
  </si>
  <si>
    <t>1976 MAY 24</t>
  </si>
  <si>
    <t>1976 JUN 5</t>
  </si>
  <si>
    <t>1976 JUN 25</t>
  </si>
  <si>
    <t>1976 JUL 7</t>
  </si>
  <si>
    <t>1976 JUL 24</t>
  </si>
  <si>
    <t>1976 AUG 8</t>
  </si>
  <si>
    <t>1976 AUG 25</t>
  </si>
  <si>
    <t>1976 SEP 12</t>
  </si>
  <si>
    <t>1976 SEP 28</t>
  </si>
  <si>
    <t>1976 OCT 13</t>
  </si>
  <si>
    <t>1976 NOV 1</t>
  </si>
  <si>
    <t>1976 NOV 17</t>
  </si>
  <si>
    <t>1976 DEC 2</t>
  </si>
  <si>
    <t>1976 DEC 20</t>
  </si>
  <si>
    <t>1977 MAR 2</t>
  </si>
  <si>
    <t>1977 MAR 27</t>
  </si>
  <si>
    <t>1977 APR 20</t>
  </si>
  <si>
    <t>1977 MAY 16</t>
  </si>
  <si>
    <t>1977 MAY 30</t>
  </si>
  <si>
    <t>1977 JUN 14</t>
  </si>
  <si>
    <t>1977 JUL 10</t>
  </si>
  <si>
    <t>1977 JUL 28</t>
  </si>
  <si>
    <t>1977 AUG 14</t>
  </si>
  <si>
    <t>1977 SEP 5</t>
  </si>
  <si>
    <t>1977 SEP 22</t>
  </si>
  <si>
    <t>1977 OCT 7</t>
  </si>
  <si>
    <t>1977 OCT 28</t>
  </si>
  <si>
    <t>1977 NOV 12</t>
  </si>
  <si>
    <t>1977 NOV 26</t>
  </si>
  <si>
    <t>1977 DEC 15</t>
  </si>
  <si>
    <t>1978 JAN 6</t>
  </si>
  <si>
    <t>1978 APR 17</t>
  </si>
  <si>
    <t>1978 MAY 6</t>
  </si>
  <si>
    <t>1978 MAY 27</t>
  </si>
  <si>
    <t>1978 JUN 9</t>
  </si>
  <si>
    <t>1978 JUN 25</t>
  </si>
  <si>
    <t>1978 JUL 9</t>
  </si>
  <si>
    <t>1978 AUG 2</t>
  </si>
  <si>
    <t>1978 AUG 16</t>
  </si>
  <si>
    <t>1978 SEP 2</t>
  </si>
  <si>
    <t>1978 SEP 25</t>
  </si>
  <si>
    <t>1978 OCT 10</t>
  </si>
  <si>
    <t>1978 OCT 28</t>
  </si>
  <si>
    <t>1978 NOV 13</t>
  </si>
  <si>
    <t>1978 DEC 11</t>
  </si>
  <si>
    <t>1979 JAN 3</t>
  </si>
  <si>
    <t>1979 MAR 22</t>
  </si>
  <si>
    <t>1979 APR 25</t>
  </si>
  <si>
    <t>1979 MAY 10</t>
  </si>
  <si>
    <t>1979 MAY 24</t>
  </si>
  <si>
    <t>1979 JUN 14</t>
  </si>
  <si>
    <t>1979 JUL 2</t>
  </si>
  <si>
    <t>1979 JUL 22</t>
  </si>
  <si>
    <t>1979 AUG 2</t>
  </si>
  <si>
    <t>1979 AUG 16</t>
  </si>
  <si>
    <t>1979 SEP 4</t>
  </si>
  <si>
    <t>1979 SEP 18</t>
  </si>
  <si>
    <t>1979 OCT 2</t>
  </si>
  <si>
    <t>1979 OCT 19</t>
  </si>
  <si>
    <t>1979 NOV 5</t>
  </si>
  <si>
    <t>1979 NOV 19</t>
  </si>
  <si>
    <t>1979 DEC 5</t>
  </si>
  <si>
    <t>1979 DEC 28</t>
  </si>
  <si>
    <t>1980 MAR 15</t>
  </si>
  <si>
    <t>1980 MAY 12</t>
  </si>
  <si>
    <t>1980 JUN 2</t>
  </si>
  <si>
    <t>1980 JUN 17</t>
  </si>
  <si>
    <t>1980 JUL 5</t>
  </si>
  <si>
    <t>1980 JUL 19</t>
  </si>
  <si>
    <t>1980 AUG 2</t>
  </si>
  <si>
    <t>1980 AUG 19</t>
  </si>
  <si>
    <t>1980 SEP 3</t>
  </si>
  <si>
    <t>1980 SEP 18</t>
  </si>
  <si>
    <t>1980 OCT 4</t>
  </si>
  <si>
    <t>1980 OCT 18</t>
  </si>
  <si>
    <t>1980 NOV 7</t>
  </si>
  <si>
    <t>1980 NOV 21</t>
  </si>
  <si>
    <t>1980 DEC 7</t>
  </si>
  <si>
    <t>1981 JAN 1</t>
  </si>
  <si>
    <t>1981 JAN 24</t>
  </si>
  <si>
    <t>1981 APR 30</t>
  </si>
  <si>
    <t>1981 MAY 30</t>
  </si>
  <si>
    <t>1981 JUN 10</t>
  </si>
  <si>
    <t>1981 JUN 29</t>
  </si>
  <si>
    <t>1981 JUL 13</t>
  </si>
  <si>
    <t>1981 JUL 28</t>
  </si>
  <si>
    <t>1981 AUG 14</t>
  </si>
  <si>
    <t>1981 AUG 26</t>
  </si>
  <si>
    <t>1981 SEP 13</t>
  </si>
  <si>
    <t>1981 SEP 30</t>
  </si>
  <si>
    <t>1981 OCT 23</t>
  </si>
  <si>
    <t>1981 NOV 10</t>
  </si>
  <si>
    <t>1981 NOV 28</t>
  </si>
  <si>
    <t>1981 DEC 15</t>
  </si>
  <si>
    <t>1982 JAN 27</t>
  </si>
  <si>
    <t>1982 MAR 4</t>
  </si>
  <si>
    <t>1982 MAY 21</t>
  </si>
  <si>
    <t>1982 JUN 14</t>
  </si>
  <si>
    <t>1982 JUL 1</t>
  </si>
  <si>
    <t>1982 JUL 16</t>
  </si>
  <si>
    <t>1982 JUL 29</t>
  </si>
  <si>
    <t>1982 AUG 17</t>
  </si>
  <si>
    <t>1982 SEP 4</t>
  </si>
  <si>
    <t>1982 SEP 17</t>
  </si>
  <si>
    <t>1982 OCT 2</t>
  </si>
  <si>
    <t>1982 OCT 19</t>
  </si>
  <si>
    <t>1982 NOV 9</t>
  </si>
  <si>
    <t>1982 NOV 22</t>
  </si>
  <si>
    <t>1982 DEC 12</t>
  </si>
  <si>
    <t>1983 JAN 5</t>
  </si>
  <si>
    <t>1983 MAR 16</t>
  </si>
  <si>
    <t>1983 APR 13</t>
  </si>
  <si>
    <t>1983 MAY 10</t>
  </si>
  <si>
    <t>1983 MAY 23</t>
  </si>
  <si>
    <t>1983 JUN 11</t>
  </si>
  <si>
    <t>1983 JUN 28</t>
  </si>
  <si>
    <t>1983 JUL 11</t>
  </si>
  <si>
    <t>1983 JUL 28</t>
  </si>
  <si>
    <t>1983 AUG 14</t>
  </si>
  <si>
    <t>1983 AUG 30</t>
  </si>
  <si>
    <t>1983 SEP 12</t>
  </si>
  <si>
    <t>1983 SEP 29</t>
  </si>
  <si>
    <t>1983 OCT 11</t>
  </si>
  <si>
    <t>1983 OCT 29</t>
  </si>
  <si>
    <t>1983 NOV 15</t>
  </si>
  <si>
    <t>1983 NOV 29</t>
  </si>
  <si>
    <t>1983 DEC 13</t>
  </si>
  <si>
    <t>1984 JAN 2</t>
  </si>
  <si>
    <t>1984 FEB 23</t>
  </si>
  <si>
    <t>1984 MAR 29</t>
  </si>
  <si>
    <t>1984 MAY 1</t>
  </si>
  <si>
    <t>1984 MAY 20</t>
  </si>
  <si>
    <t>1984 JUN 1</t>
  </si>
  <si>
    <t>1984 JUN 18</t>
  </si>
  <si>
    <t>1984 JUL 1</t>
  </si>
  <si>
    <t>1984 JUL 17</t>
  </si>
  <si>
    <t>1984 AUG 1</t>
  </si>
  <si>
    <t>1984 AUG 18</t>
  </si>
  <si>
    <t>1984 AUG 31</t>
  </si>
  <si>
    <t>1984 SEP 16</t>
  </si>
  <si>
    <t>1984 OCT 1</t>
  </si>
  <si>
    <t>1984 OCT 16</t>
  </si>
  <si>
    <t>1984 NOV 1</t>
  </si>
  <si>
    <t>1984 NOV 18</t>
  </si>
  <si>
    <t>1984 DEC 2</t>
  </si>
  <si>
    <t>1984 DEC 20</t>
  </si>
  <si>
    <t>1985 JAN 22</t>
  </si>
  <si>
    <t>1985 FEB 8</t>
  </si>
  <si>
    <t>1985 FEB 21</t>
  </si>
  <si>
    <t>1985 MAR 12</t>
  </si>
  <si>
    <t>1985 MAR 29</t>
  </si>
  <si>
    <t>1985 APR 14</t>
  </si>
  <si>
    <t>1985 APR 25</t>
  </si>
  <si>
    <t>1985 MAY 14</t>
  </si>
  <si>
    <t>1985 MAY 29</t>
  </si>
  <si>
    <t>1985 JUN 12</t>
  </si>
  <si>
    <t>1985 JUN 27</t>
  </si>
  <si>
    <t>1985 JUL 12</t>
  </si>
  <si>
    <t>1985 JUL 27</t>
  </si>
  <si>
    <t>1985 AUG 12</t>
  </si>
  <si>
    <t>1985 AUG 25</t>
  </si>
  <si>
    <t>1985 SEP 11</t>
  </si>
  <si>
    <t>1985 SEP 28</t>
  </si>
  <si>
    <t>1985 OCT 11</t>
  </si>
  <si>
    <t>1985 OCT 26</t>
  </si>
  <si>
    <t>1985 NOV 13</t>
  </si>
  <si>
    <t>1985 DEC 3</t>
  </si>
  <si>
    <t>1985 DEC 21</t>
  </si>
  <si>
    <t>1986 JAN 5</t>
  </si>
  <si>
    <t>1986 MAR 19</t>
  </si>
  <si>
    <t>1986 APR 3</t>
  </si>
  <si>
    <t>1986 APR 19</t>
  </si>
  <si>
    <t>1986 MAY 10</t>
  </si>
  <si>
    <t>1986 JUN 1</t>
  </si>
  <si>
    <t>1986 JUN 12</t>
  </si>
  <si>
    <t>1986 JUL 1</t>
  </si>
  <si>
    <t>1986 JUL 14</t>
  </si>
  <si>
    <t>1986 JUL 31</t>
  </si>
  <si>
    <t>1986 AUG 14</t>
  </si>
  <si>
    <t>1986 SEP 1</t>
  </si>
  <si>
    <t>1986 SEP 14</t>
  </si>
  <si>
    <t>1986 OCT 1</t>
  </si>
  <si>
    <t>1986 OCT 14</t>
  </si>
  <si>
    <t>1986 OCT 30</t>
  </si>
  <si>
    <t>1986 NOV 13</t>
  </si>
  <si>
    <t>1986 DEC 1</t>
  </si>
  <si>
    <t>1986 DEC 20</t>
  </si>
  <si>
    <t>1987 JAN 1</t>
  </si>
  <si>
    <t>1987 JAN 31</t>
  </si>
  <si>
    <t>1987 FEB 24</t>
  </si>
  <si>
    <t>1987 MAR 16</t>
  </si>
  <si>
    <t>1987 APR 3</t>
  </si>
  <si>
    <t>1987 APR 22</t>
  </si>
  <si>
    <t>1987 MAY 3</t>
  </si>
  <si>
    <t>1987 MAY 23</t>
  </si>
  <si>
    <t>1987 JUN 3</t>
  </si>
  <si>
    <t>1987 JUN 20</t>
  </si>
  <si>
    <t>1987 JUL 4</t>
  </si>
  <si>
    <t>1987 JUL 20</t>
  </si>
  <si>
    <t>1987 AUG 2</t>
  </si>
  <si>
    <t>1987 AUG 19</t>
  </si>
  <si>
    <t>1987 SEP 4</t>
  </si>
  <si>
    <t>1987 SEP 20</t>
  </si>
  <si>
    <t>1987 OCT 3</t>
  </si>
  <si>
    <t>1987 OCT 18</t>
  </si>
  <si>
    <t>1987 NOV 4</t>
  </si>
  <si>
    <t>1987 NOV 19</t>
  </si>
  <si>
    <t>1987 DEC 7</t>
  </si>
  <si>
    <t>1987 DEC 22</t>
  </si>
  <si>
    <t>1988 JAN 5</t>
  </si>
  <si>
    <t>1988 JAN 24</t>
  </si>
  <si>
    <t>1988 FEB 17</t>
  </si>
  <si>
    <t>1988 FEB 28</t>
  </si>
  <si>
    <t>1988 MAR 17</t>
  </si>
  <si>
    <t>1988 APR 7</t>
  </si>
  <si>
    <t>1988 APR 21</t>
  </si>
  <si>
    <t>1988 MAY 11</t>
  </si>
  <si>
    <t>1988 MAY 23</t>
  </si>
  <si>
    <t>1988 JUN 10</t>
  </si>
  <si>
    <t>1988 JUN 25</t>
  </si>
  <si>
    <t>1988 JUL 10</t>
  </si>
  <si>
    <t>1988 JUL 25</t>
  </si>
  <si>
    <t>1988 AUG 9</t>
  </si>
  <si>
    <t>1988 AUG 24</t>
  </si>
  <si>
    <t>1988 SEP 8</t>
  </si>
  <si>
    <t>1988 SEP 24</t>
  </si>
  <si>
    <t>1988 OCT 9</t>
  </si>
  <si>
    <t>1988 OCT 28</t>
  </si>
  <si>
    <t>1988 NOV 9</t>
  </si>
  <si>
    <t>1988 NOV 26</t>
  </si>
  <si>
    <t>1988 DEC 12</t>
  </si>
  <si>
    <t>1988 DEC 31</t>
  </si>
  <si>
    <t>1989 JAN 15</t>
  </si>
  <si>
    <t>1989 MAR 7</t>
  </si>
  <si>
    <t>1989 APR 2</t>
  </si>
  <si>
    <t>1989 APR 19</t>
  </si>
  <si>
    <t>1989 MAY 5</t>
  </si>
  <si>
    <t>1989 MAY 24</t>
  </si>
  <si>
    <t>1989 JUN 10</t>
  </si>
  <si>
    <t>1989 JUN 24</t>
  </si>
  <si>
    <t>1989 JUL 8</t>
  </si>
  <si>
    <t>1989 JUL 25</t>
  </si>
  <si>
    <t>1989 AUG 9</t>
  </si>
  <si>
    <t>1989 AUG 24</t>
  </si>
  <si>
    <t>1989 SEP 8</t>
  </si>
  <si>
    <t>1989 SEP 25</t>
  </si>
  <si>
    <t>1989 OCT 9</t>
  </si>
  <si>
    <t>1989 OCT 25</t>
  </si>
  <si>
    <t>1989 NOV 10</t>
  </si>
  <si>
    <t>1989 NOV 25</t>
  </si>
  <si>
    <t>1989 DEC 10</t>
  </si>
  <si>
    <t>1989 DEC 26</t>
  </si>
  <si>
    <t>1990 JAN 8</t>
  </si>
  <si>
    <t>1990 FEB 3</t>
  </si>
  <si>
    <t>1990 MAR 1</t>
  </si>
  <si>
    <t>1990 MAR 16</t>
  </si>
  <si>
    <t>1990 MAR 31</t>
  </si>
  <si>
    <t>1990 APR 16</t>
  </si>
  <si>
    <t>1990 MAY 2</t>
  </si>
  <si>
    <t>1990 MAY 20</t>
  </si>
  <si>
    <t>1990 JUN 1</t>
  </si>
  <si>
    <t>1990 JUN 20</t>
  </si>
  <si>
    <t>1990 JUL 4</t>
  </si>
  <si>
    <t>1990 JUL 20</t>
  </si>
  <si>
    <t>1990 AUG 3</t>
  </si>
  <si>
    <t>1990 AUG 20</t>
  </si>
  <si>
    <t>1990 SEP 3</t>
  </si>
  <si>
    <t>1990 SEP 18</t>
  </si>
  <si>
    <t>1990 OCT 5</t>
  </si>
  <si>
    <t>1990 OCT 20</t>
  </si>
  <si>
    <t>1990 NOV 6</t>
  </si>
  <si>
    <t>1990 NOV 18</t>
  </si>
  <si>
    <t>1990 DEC 5</t>
  </si>
  <si>
    <t>1990 DEC 19</t>
  </si>
  <si>
    <t>1991 JAN 4</t>
  </si>
  <si>
    <t>1991 JAN 20</t>
  </si>
  <si>
    <t>1991 FEB 21</t>
  </si>
  <si>
    <t>1991 MAR 13</t>
  </si>
  <si>
    <t>1991 MAR 29</t>
  </si>
  <si>
    <t>1991 APR 13</t>
  </si>
  <si>
    <t>1991 MAY 2</t>
  </si>
  <si>
    <t>1991 MAY 15</t>
  </si>
  <si>
    <t>1991 MAY 31</t>
  </si>
  <si>
    <t>1991 JUN 15</t>
  </si>
  <si>
    <t>1991 JUL 1</t>
  </si>
  <si>
    <t>1991 JUL 15</t>
  </si>
  <si>
    <t>1991 JUL 31</t>
  </si>
  <si>
    <t>1991 AUG 14</t>
  </si>
  <si>
    <t>1991 AUG 31</t>
  </si>
  <si>
    <t>1991 SEP 13</t>
  </si>
  <si>
    <t>1991 OCT 1</t>
  </si>
  <si>
    <t>1991 OCT 14</t>
  </si>
  <si>
    <t>1991 OCT 29</t>
  </si>
  <si>
    <t>1991 NOV 13</t>
  </si>
  <si>
    <t>1991 DEC 1</t>
  </si>
  <si>
    <t>1991 DEC 14</t>
  </si>
  <si>
    <t>1991 DEC 29</t>
  </si>
  <si>
    <t>1992 JAN 15</t>
  </si>
  <si>
    <t>1992 FEB 4</t>
  </si>
  <si>
    <t>1992 MAR 6</t>
  </si>
  <si>
    <t>1992 MAR 28</t>
  </si>
  <si>
    <t>1992 APR 8</t>
  </si>
  <si>
    <t>1992 APR 27</t>
  </si>
  <si>
    <t>1992 MAY 10</t>
  </si>
  <si>
    <t>1992 MAY 24</t>
  </si>
  <si>
    <t>1992 JUN 11</t>
  </si>
  <si>
    <t>1992 JUN 27</t>
  </si>
  <si>
    <t>1992 JUL 12</t>
  </si>
  <si>
    <t>1992 JUL 27</t>
  </si>
  <si>
    <t>1992 AUG 11</t>
  </si>
  <si>
    <t>1992 AUG 27</t>
  </si>
  <si>
    <t>1992 SEP 11</t>
  </si>
  <si>
    <t>1992 SEP 26</t>
  </si>
  <si>
    <t>1992 OCT 12</t>
  </si>
  <si>
    <t>1992 OCT 26</t>
  </si>
  <si>
    <t>1992 NOV 10</t>
  </si>
  <si>
    <t>1992 NOV 25</t>
  </si>
  <si>
    <t>1992 DEC 11</t>
  </si>
  <si>
    <t>1992 DEC 26</t>
  </si>
  <si>
    <t>1993 JAN 11</t>
  </si>
  <si>
    <t>1993 FEB 4</t>
  </si>
  <si>
    <t>1993 FEB 22</t>
  </si>
  <si>
    <t>1993 MAR 20</t>
  </si>
  <si>
    <t>1993 MAR 27</t>
  </si>
  <si>
    <t>1993 APR 17</t>
  </si>
  <si>
    <t>1993 MAY 1</t>
  </si>
  <si>
    <t>1993 MAY 16</t>
  </si>
  <si>
    <t>1993 MAY 31</t>
  </si>
  <si>
    <t>1993 JUN 16</t>
  </si>
  <si>
    <t>1993 JUN 30</t>
  </si>
  <si>
    <t>1993 JUL 15</t>
  </si>
  <si>
    <t>1993 JUL 30</t>
  </si>
  <si>
    <t>1993 AUG 15</t>
  </si>
  <si>
    <t>1993 AUG 29</t>
  </si>
  <si>
    <t>1993 SEP 15</t>
  </si>
  <si>
    <t>1993 SEP 29</t>
  </si>
  <si>
    <t>1993 OCT 14</t>
  </si>
  <si>
    <t>1993 OCT 29</t>
  </si>
  <si>
    <t>1993 NOV 14</t>
  </si>
  <si>
    <t>1993 DEC 1</t>
  </si>
  <si>
    <t>1993 DEC 13</t>
  </si>
  <si>
    <t>1994 JAN 1</t>
  </si>
  <si>
    <t>1994 JAN 13</t>
  </si>
  <si>
    <t>1994 FEB 20</t>
  </si>
  <si>
    <t>1994 MAR 11</t>
  </si>
  <si>
    <t>1994 MAR 30</t>
  </si>
  <si>
    <t>1994 APR 15</t>
  </si>
  <si>
    <t>1994 MAY 4</t>
  </si>
  <si>
    <t>1994 MAY 17</t>
  </si>
  <si>
    <t>1994 JUN 2</t>
  </si>
  <si>
    <t>1994 JUN 17</t>
  </si>
  <si>
    <t>1994 JUL 3</t>
  </si>
  <si>
    <t>1994 JUL 16</t>
  </si>
  <si>
    <t>1994 AUG 3</t>
  </si>
  <si>
    <t>1994 AUG 17</t>
  </si>
  <si>
    <t>1994 SEP 1</t>
  </si>
  <si>
    <t>1994 SEP 16</t>
  </si>
  <si>
    <t>1994 OCT 2</t>
  </si>
  <si>
    <t>1994 OCT 16</t>
  </si>
  <si>
    <t>1994 NOV 1</t>
  </si>
  <si>
    <t>1994 NOV 18</t>
  </si>
  <si>
    <t>1994 DEC 2</t>
  </si>
  <si>
    <t>1994 DEC 19</t>
  </si>
  <si>
    <t>1995 JAN 2</t>
  </si>
  <si>
    <t>1995 JAN 16</t>
  </si>
  <si>
    <t>1995 FEB 6</t>
  </si>
  <si>
    <t>1995 MAR 5</t>
  </si>
  <si>
    <t>1995 MAR 17</t>
  </si>
  <si>
    <t>1995 APR 3</t>
  </si>
  <si>
    <t>1995 APR 21</t>
  </si>
  <si>
    <t>1995 MAY 4</t>
  </si>
  <si>
    <t>1995 MAY 23</t>
  </si>
  <si>
    <t>1995 JUN 4</t>
  </si>
  <si>
    <t>1995 JUN 23</t>
  </si>
  <si>
    <t>1995 JUL 5</t>
  </si>
  <si>
    <t>1995 JUL 23</t>
  </si>
  <si>
    <t>1995 AUG 5</t>
  </si>
  <si>
    <t>1995 AUG 22</t>
  </si>
  <si>
    <t>1995 SEP 6</t>
  </si>
  <si>
    <t>1995 SEP 24</t>
  </si>
  <si>
    <t>1995 OCT 8</t>
  </si>
  <si>
    <t>1995 OCT 23</t>
  </si>
  <si>
    <t>1995 NOV 8</t>
  </si>
  <si>
    <t>1995 NOV 20</t>
  </si>
  <si>
    <t>1995 DEC 8</t>
  </si>
  <si>
    <t>1995 DEC 24</t>
  </si>
  <si>
    <t>1996 JAN 11</t>
  </si>
  <si>
    <t>1996 JAN 29</t>
  </si>
  <si>
    <t>1996 FEB 23</t>
  </si>
  <si>
    <t>1996 MAR 1</t>
  </si>
  <si>
    <t>1996 MAR 22</t>
  </si>
  <si>
    <t>1996 APR 7</t>
  </si>
  <si>
    <t>1996 APR 21</t>
  </si>
  <si>
    <t>1996 MAY 10</t>
  </si>
  <si>
    <t>1996 MAY 25</t>
  </si>
  <si>
    <t>1996 JUN 11</t>
  </si>
  <si>
    <t>1996 JUN 24</t>
  </si>
  <si>
    <t>1996 JUL 10</t>
  </si>
  <si>
    <t>1996 JUL 23</t>
  </si>
  <si>
    <t>1996 AUG 8</t>
  </si>
  <si>
    <t>1996 AUG 22</t>
  </si>
  <si>
    <t>1996 SEP 10</t>
  </si>
  <si>
    <t>1996 SEP 23</t>
  </si>
  <si>
    <t>1996 OCT 8</t>
  </si>
  <si>
    <t>1996 OCT 22</t>
  </si>
  <si>
    <t>1996 NOV 9</t>
  </si>
  <si>
    <t>1996 NOV 23</t>
  </si>
  <si>
    <t>1996 DEC 9</t>
  </si>
  <si>
    <t>1996 DEC 25</t>
  </si>
  <si>
    <t>1997 JAN 11</t>
  </si>
  <si>
    <t>1997 JAN 31</t>
  </si>
  <si>
    <t>1997 FEB 11</t>
  </si>
  <si>
    <t>1997 MAR 4</t>
  </si>
  <si>
    <t>1997 MAR 20</t>
  </si>
  <si>
    <t>1997 APR 8</t>
  </si>
  <si>
    <t>1997 APR 27</t>
  </si>
  <si>
    <t>1997 MAY 9</t>
  </si>
  <si>
    <t>1997 MAY 27</t>
  </si>
  <si>
    <t>1997 JUN 10</t>
  </si>
  <si>
    <t>1997 JUN 28</t>
  </si>
  <si>
    <t>1997 JUL 11</t>
  </si>
  <si>
    <t>1997 JUL 29</t>
  </si>
  <si>
    <t>1997 AUG 12</t>
  </si>
  <si>
    <t>1997 AUG 28</t>
  </si>
  <si>
    <t>1997 SEP 10</t>
  </si>
  <si>
    <t>1997 SEP 26</t>
  </si>
  <si>
    <t>1997 OCT 10</t>
  </si>
  <si>
    <t>1997 OCT 27</t>
  </si>
  <si>
    <t>1997 NOV 14</t>
  </si>
  <si>
    <t>1997 NOV 28</t>
  </si>
  <si>
    <t>1997 DEC 14</t>
  </si>
  <si>
    <t>1998 JAN 5</t>
  </si>
  <si>
    <t>1998 JAN 27</t>
  </si>
  <si>
    <t>1998 FEB 22</t>
  </si>
  <si>
    <t>1998 MAR 3</t>
  </si>
  <si>
    <t>1998 MAR 26</t>
  </si>
  <si>
    <t>1998 APR 11</t>
  </si>
  <si>
    <t>1998 APR 28</t>
  </si>
  <si>
    <t>1998 MAY 15</t>
  </si>
  <si>
    <t>1998 MAY 29</t>
  </si>
  <si>
    <t>1998 JUN 13</t>
  </si>
  <si>
    <t>1998 JUN 28</t>
  </si>
  <si>
    <t>1998 JUL 15</t>
  </si>
  <si>
    <t>1998 JUL 29</t>
  </si>
  <si>
    <t>1998 AUG 14</t>
  </si>
  <si>
    <t>1998 AUG 26</t>
  </si>
  <si>
    <t>1998 SEP 13</t>
  </si>
  <si>
    <t>1998 SEP 26</t>
  </si>
  <si>
    <t>1998 OCT 16</t>
  </si>
  <si>
    <t>1998 OCT 30</t>
  </si>
  <si>
    <t>1998 NOV 15</t>
  </si>
  <si>
    <t>1998 DEC 1</t>
  </si>
  <si>
    <t>1998 DEC 15</t>
  </si>
  <si>
    <t>1998 DEC 31</t>
  </si>
  <si>
    <t>1999 JAN 17</t>
  </si>
  <si>
    <t>1999 FEB 11</t>
  </si>
  <si>
    <t>1999 MAR 7</t>
  </si>
  <si>
    <t>1999 MAR 21</t>
  </si>
  <si>
    <t>1999 APR 9</t>
  </si>
  <si>
    <t>1999 APR 21</t>
  </si>
  <si>
    <t>1999 MAY 7</t>
  </si>
  <si>
    <t>1999 MAY 22</t>
  </si>
  <si>
    <t>1999 JUN 9</t>
  </si>
  <si>
    <t>1999 JUN 20</t>
  </si>
  <si>
    <t>1999 JUL 10</t>
  </si>
  <si>
    <t>1999 JUL 23</t>
  </si>
  <si>
    <t>1999 AUG 7</t>
  </si>
  <si>
    <t>1999 AUG 23</t>
  </si>
  <si>
    <t>1999 SEP 8</t>
  </si>
  <si>
    <t>1999 SEP 23</t>
  </si>
  <si>
    <t>1999 OCT 9</t>
  </si>
  <si>
    <t>1999 OCT 23</t>
  </si>
  <si>
    <t>1999 NOV 7</t>
  </si>
  <si>
    <t>1999 NOV 26</t>
  </si>
  <si>
    <t>1999 DEC 8</t>
  </si>
  <si>
    <t>1999 DEC 24</t>
  </si>
  <si>
    <t>2000 JAN 8</t>
  </si>
  <si>
    <t>2000 FEB 5</t>
  </si>
  <si>
    <t>2000 MAR 4</t>
  </si>
  <si>
    <t>2000 MAR 20</t>
  </si>
  <si>
    <t>2000 APR 2</t>
  </si>
  <si>
    <t>2000 APR 23</t>
  </si>
  <si>
    <t>2000 MAY 5</t>
  </si>
  <si>
    <t>2000 MAY 23</t>
  </si>
  <si>
    <t>2000 JUN 7</t>
  </si>
  <si>
    <t>2000 JUN 22</t>
  </si>
  <si>
    <t>2000 JUL 8</t>
  </si>
  <si>
    <t>2000 JUL 23</t>
  </si>
  <si>
    <t>2000 AUG 6</t>
  </si>
  <si>
    <t>2000 AUG 24</t>
  </si>
  <si>
    <t>2000 SEP 6</t>
  </si>
  <si>
    <t>2000 SEP 24</t>
  </si>
  <si>
    <t>2000 OCT 10</t>
  </si>
  <si>
    <t>2000 OCT 25</t>
  </si>
  <si>
    <t>2000 NOV 10</t>
  </si>
  <si>
    <t>2000 NOV 26</t>
  </si>
  <si>
    <t>2000 DEC 9</t>
  </si>
  <si>
    <t>2000 DEC 28</t>
  </si>
  <si>
    <t>2001 JAN 9</t>
  </si>
  <si>
    <t>2001 JAN 23</t>
  </si>
  <si>
    <t>2001 FEB 18</t>
  </si>
  <si>
    <t>2001 MAR 2</t>
  </si>
  <si>
    <t>2001 MAR 23</t>
  </si>
  <si>
    <t>2001 APR 9</t>
  </si>
  <si>
    <t>2001 APR 27</t>
  </si>
  <si>
    <t>2001 MAY 14</t>
  </si>
  <si>
    <t>2001 MAY 25</t>
  </si>
  <si>
    <t>2001 JUN 11</t>
  </si>
  <si>
    <t>2001 JUN 27</t>
  </si>
  <si>
    <t>2001 JUL 16</t>
  </si>
  <si>
    <t>2001 JUL 31</t>
  </si>
  <si>
    <t>2001 AUG 16</t>
  </si>
  <si>
    <t>2001 AUG 31</t>
  </si>
  <si>
    <t>2001 SEP 16</t>
  </si>
  <si>
    <t>2001 OCT 2</t>
  </si>
  <si>
    <t>2001 OCT 16</t>
  </si>
  <si>
    <t>2001 NOV 2</t>
  </si>
  <si>
    <t>2001 NOV 14</t>
  </si>
  <si>
    <t>2001 DEC 4</t>
  </si>
  <si>
    <t>2001 DEC 18</t>
  </si>
  <si>
    <t>2002 JAN 3</t>
  </si>
  <si>
    <t>2002 FEB 15</t>
  </si>
  <si>
    <t>2002 MAR 11</t>
  </si>
  <si>
    <t>2002 APR 7</t>
  </si>
  <si>
    <t>2002 MAY 4</t>
  </si>
  <si>
    <t>2002 MAY 18</t>
  </si>
  <si>
    <t>2002 JUN 5</t>
  </si>
  <si>
    <t>2002 JUN 24</t>
  </si>
  <si>
    <t>2002 JUL 11</t>
  </si>
  <si>
    <t>2002 JUL 26</t>
  </si>
  <si>
    <t>2002 AUG 10</t>
  </si>
  <si>
    <t>2002 AUG 27</t>
  </si>
  <si>
    <t>2002 SEP 10</t>
  </si>
  <si>
    <t>2002 SEP 29</t>
  </si>
  <si>
    <t>2002 OCT 13</t>
  </si>
  <si>
    <t>2002 OCT 30</t>
  </si>
  <si>
    <t>2002 NOV 12</t>
  </si>
  <si>
    <t>2002 NOV 27</t>
  </si>
  <si>
    <t>2002 DEC 11</t>
  </si>
  <si>
    <t>2003 JAN 1</t>
  </si>
  <si>
    <t>2003 JAN 10</t>
  </si>
  <si>
    <t>2003 FEB 25</t>
  </si>
  <si>
    <t>2003 MAR 15</t>
  </si>
  <si>
    <t>2003 APR 5</t>
  </si>
  <si>
    <t>2003 APR 28</t>
  </si>
  <si>
    <t>2003 MAY 17</t>
  </si>
  <si>
    <t>2003 JUN 2</t>
  </si>
  <si>
    <t>2003 JUN 21</t>
  </si>
  <si>
    <t>2003 JUL 6</t>
  </si>
  <si>
    <t>2003 JUL 20</t>
  </si>
  <si>
    <t>2003 AUG 3</t>
  </si>
  <si>
    <t>2003 AUG 21</t>
  </si>
  <si>
    <t>2003 SEP 3</t>
  </si>
  <si>
    <t>2003 SEP 20</t>
  </si>
  <si>
    <t>2003 OCT 5</t>
  </si>
  <si>
    <t>2003 OCT 21</t>
  </si>
  <si>
    <t>2003 NOV 7</t>
  </si>
  <si>
    <t>2003 NOV 22</t>
  </si>
  <si>
    <t>2003 DEC 9</t>
  </si>
  <si>
    <t>2003 DEC 23</t>
  </si>
  <si>
    <t>2004 JAN 16</t>
  </si>
  <si>
    <t>2004 FEB 25</t>
  </si>
  <si>
    <t>2004 MAR 19</t>
  </si>
  <si>
    <t>2004 APR 5</t>
  </si>
  <si>
    <t>2004 APR 25</t>
  </si>
  <si>
    <t>2004 MAY 16</t>
  </si>
  <si>
    <t>2004 MAY 26</t>
  </si>
  <si>
    <t>2004 JUN 13</t>
  </si>
  <si>
    <t>2004 JUN 27</t>
  </si>
  <si>
    <t>2004 JUL 14</t>
  </si>
  <si>
    <t>2004 JUL 31</t>
  </si>
  <si>
    <t>2004 AUG 17</t>
  </si>
  <si>
    <t>2004 SEP 1</t>
  </si>
  <si>
    <t>2004 SEP 15</t>
  </si>
  <si>
    <t>2004 OCT 2</t>
  </si>
  <si>
    <t>2004 OCT 15</t>
  </si>
  <si>
    <t>2004 OCT 31</t>
  </si>
  <si>
    <t>2004 NOV 13</t>
  </si>
  <si>
    <t>2004 DEC 2</t>
  </si>
  <si>
    <t>2004 DEC 16</t>
  </si>
  <si>
    <t>2005 JAN 4</t>
  </si>
  <si>
    <t>2005 JAN 14</t>
  </si>
  <si>
    <t>2005 FEB 11</t>
  </si>
  <si>
    <t>2005 MAR 22</t>
  </si>
  <si>
    <t>2005 APR 8</t>
  </si>
  <si>
    <t>2005 APR 25</t>
  </si>
  <si>
    <t>2005 MAY 14</t>
  </si>
  <si>
    <t>2005 JUN 1</t>
  </si>
  <si>
    <t>2005 JUN 15</t>
  </si>
  <si>
    <t>2005 JUL 2</t>
  </si>
  <si>
    <t>2005 JUL 17</t>
  </si>
  <si>
    <t>2005 AUG 4</t>
  </si>
  <si>
    <t>2005 AUG 18</t>
  </si>
  <si>
    <t>2005 SEP 3</t>
  </si>
  <si>
    <t>2005 SEP 18</t>
  </si>
  <si>
    <t>2005 OCT 2</t>
  </si>
  <si>
    <t>2005 OCT 17</t>
  </si>
  <si>
    <t>2005 NOV 2</t>
  </si>
  <si>
    <t>2005 NOV 20</t>
  </si>
  <si>
    <t>2005 DEC 7</t>
  </si>
  <si>
    <t>2005 DEC 21</t>
  </si>
  <si>
    <t>2006 JAN 9</t>
  </si>
  <si>
    <t>2006 FEB 1</t>
  </si>
  <si>
    <t>2006 MAR 9</t>
  </si>
  <si>
    <t>2006 MAR 27</t>
  </si>
  <si>
    <t>2006 APR 11</t>
  </si>
  <si>
    <t>2006 APR 29</t>
  </si>
  <si>
    <t>2006 MAY 14</t>
  </si>
  <si>
    <t>2006 MAY 30</t>
  </si>
  <si>
    <t>2006 JUN 14</t>
  </si>
  <si>
    <t>2006 JUN 29</t>
  </si>
  <si>
    <t>2006 JUL 15</t>
  </si>
  <si>
    <t>2006 JUL 29</t>
  </si>
  <si>
    <t>2006 AUG 17</t>
  </si>
  <si>
    <t>2006 AUG 28</t>
  </si>
  <si>
    <t>2006 SEP 13</t>
  </si>
  <si>
    <t>2006 SEP 27</t>
  </si>
  <si>
    <t>2006 OCT 12</t>
  </si>
  <si>
    <t>2006 OCT 28</t>
  </si>
  <si>
    <t>2006 NOV 13</t>
  </si>
  <si>
    <t>2006 NOV 28</t>
  </si>
  <si>
    <t>2006 DEC 13</t>
  </si>
  <si>
    <t>2006 DEC 27</t>
  </si>
  <si>
    <t>2007 JAN 11</t>
  </si>
  <si>
    <t>2007 FEB 2</t>
  </si>
  <si>
    <t>2007 MAR 13</t>
  </si>
  <si>
    <t>2007 MAR 26</t>
  </si>
  <si>
    <t>2007 APR 13</t>
  </si>
  <si>
    <t>2007 APR 30</t>
  </si>
  <si>
    <t>2007 MAY 16</t>
  </si>
  <si>
    <t>2007 MAY 31</t>
  </si>
  <si>
    <t>2007 JUN 16</t>
  </si>
  <si>
    <t>2007 JUL 3</t>
  </si>
  <si>
    <t>2007 JUL 17</t>
  </si>
  <si>
    <t>2007 AUG 1</t>
  </si>
  <si>
    <t>2007 AUG 15</t>
  </si>
  <si>
    <t>2007 AUG 31</t>
  </si>
  <si>
    <t>2007 SEP 15</t>
  </si>
  <si>
    <t>2007 SEP 30</t>
  </si>
  <si>
    <t>2007 OCT 15</t>
  </si>
  <si>
    <t>2007 NOV 1</t>
  </si>
  <si>
    <t>2007 NOV 15</t>
  </si>
  <si>
    <t>2007 DEC 1</t>
  </si>
  <si>
    <t>2007 DEC 14</t>
  </si>
  <si>
    <t>2008 JAN 2</t>
  </si>
  <si>
    <t>2008 FEB 4</t>
  </si>
  <si>
    <t>2008 FEB 22</t>
  </si>
  <si>
    <t>2008 MAR 9</t>
  </si>
  <si>
    <t>2008 MAR 29</t>
  </si>
  <si>
    <t>2008 APR 10</t>
  </si>
  <si>
    <t>2008 APR 30</t>
  </si>
  <si>
    <t>2008 MAY 12</t>
  </si>
  <si>
    <t>2008 MAY 30</t>
  </si>
  <si>
    <t>2008 JUN 13</t>
  </si>
  <si>
    <t>2008 JUN 30</t>
  </si>
  <si>
    <t>2008 JUL 15</t>
  </si>
  <si>
    <t>2008 JUL 31</t>
  </si>
  <si>
    <t>2008 AUG 14</t>
  </si>
  <si>
    <t>2008 AUG 30</t>
  </si>
  <si>
    <t>2008 SEP 14</t>
  </si>
  <si>
    <t>2008 SEP 30</t>
  </si>
  <si>
    <t>2008 OCT 16</t>
  </si>
  <si>
    <t>2008 OCT 29</t>
  </si>
  <si>
    <t>2008 NOV 15</t>
  </si>
  <si>
    <t>2008 NOV 28</t>
  </si>
  <si>
    <t>2008 DEC 13</t>
  </si>
  <si>
    <t>2008 DEC 31</t>
  </si>
  <si>
    <t>2009 JAN 16</t>
  </si>
  <si>
    <t>2009 JAN 30</t>
  </si>
  <si>
    <t>2009 FEB 26</t>
  </si>
  <si>
    <t>2009 MAR 18</t>
  </si>
  <si>
    <t>2009 APR 4</t>
  </si>
  <si>
    <t>2009 APR 22</t>
  </si>
  <si>
    <t>2009 MAY 5</t>
  </si>
  <si>
    <t>2009 MAY 23</t>
  </si>
  <si>
    <t>2009 JUN 7</t>
  </si>
  <si>
    <t>2009 JUN 22</t>
  </si>
  <si>
    <t>2009 JUL 8</t>
  </si>
  <si>
    <t>2009 JUL 24</t>
  </si>
  <si>
    <t>2009 AUG 8</t>
  </si>
  <si>
    <t>2009 AUG 21</t>
  </si>
  <si>
    <t>2009 SEP 7</t>
  </si>
  <si>
    <t>2009 SEP 21</t>
  </si>
  <si>
    <t>2009 OCT 8</t>
  </si>
  <si>
    <t>2009 OCT 22</t>
  </si>
  <si>
    <t>2009 NOV 9</t>
  </si>
  <si>
    <t>2009 NOV 24</t>
  </si>
  <si>
    <t>2009 DEC 8</t>
  </si>
  <si>
    <t>2009 DEC 24</t>
  </si>
  <si>
    <t>2010 JAN 8</t>
  </si>
  <si>
    <t>2010 JAN 23</t>
  </si>
  <si>
    <t>2010 FEB 18</t>
  </si>
  <si>
    <t>2010 MAR 6</t>
  </si>
  <si>
    <t>2010 MAR 25</t>
  </si>
  <si>
    <t>2010 APR 14</t>
  </si>
  <si>
    <t>2010 APR 28</t>
  </si>
  <si>
    <t>2010 MAY 18</t>
  </si>
  <si>
    <t>2010 JUN 1</t>
  </si>
  <si>
    <t>2010 JUN 13</t>
  </si>
  <si>
    <t>2010 JUL 2</t>
  </si>
  <si>
    <t>2010 JUL 15</t>
  </si>
  <si>
    <t>2010 AUG 3</t>
  </si>
  <si>
    <t>2010 AUG 15</t>
  </si>
  <si>
    <t>2010 SEP 1</t>
  </si>
  <si>
    <t>2010 SEP 14</t>
  </si>
  <si>
    <t>2010 OCT 2</t>
  </si>
  <si>
    <t>2010 OCT 14</t>
  </si>
  <si>
    <t>2010 OCT 30</t>
  </si>
  <si>
    <t>2010 NOV 14</t>
  </si>
  <si>
    <t>2010 NOV 30</t>
  </si>
  <si>
    <t>2010 DEC 12</t>
  </si>
  <si>
    <t>2011 JAN 2</t>
  </si>
  <si>
    <t>2011 JAN 16</t>
  </si>
  <si>
    <t>2011 FEB 3</t>
  </si>
  <si>
    <t>2011 MAR 2</t>
  </si>
  <si>
    <t>2011 MAR 24</t>
  </si>
  <si>
    <t>2011 APR 8</t>
  </si>
  <si>
    <t>2011 MAY 1</t>
  </si>
  <si>
    <t>2011 MAY 13</t>
  </si>
  <si>
    <t>2011 MAY 28</t>
  </si>
  <si>
    <t>2011 JUN 14</t>
  </si>
  <si>
    <t>2011 JUN 30</t>
  </si>
  <si>
    <t>2011 JUL 15</t>
  </si>
  <si>
    <t>2011 JUL 31</t>
  </si>
  <si>
    <t>2011 AUG 16</t>
  </si>
  <si>
    <t>2011 AUG 29</t>
  </si>
  <si>
    <t>2011 SEP 14</t>
  </si>
  <si>
    <t>2011 SEP 28</t>
  </si>
  <si>
    <t>2011 OCT 15</t>
  </si>
  <si>
    <t>2011 OCT 29</t>
  </si>
  <si>
    <t>2011 NOV 13</t>
  </si>
  <si>
    <t>2011 NOV 30</t>
  </si>
  <si>
    <t>2011 DEC 14</t>
  </si>
  <si>
    <t>2011 DEC 31</t>
  </si>
  <si>
    <t>2012 JAN 17</t>
  </si>
  <si>
    <t>2012 FEB 9</t>
  </si>
  <si>
    <t>2012 MAR 2</t>
  </si>
  <si>
    <t>2012 MAR 22</t>
  </si>
  <si>
    <t>2012 APR 7</t>
  </si>
  <si>
    <t>2012 APR 27</t>
  </si>
  <si>
    <t>2012 MAY 12</t>
  </si>
  <si>
    <t>2012 MAY 24</t>
  </si>
  <si>
    <t>2012 JUN 13</t>
  </si>
  <si>
    <t>2012 JUN 26</t>
  </si>
  <si>
    <t>2012 JUL 14</t>
  </si>
  <si>
    <t>2012 JUL 27</t>
  </si>
  <si>
    <t>2012 AUG 14</t>
  </si>
  <si>
    <t>2012 AUG 28</t>
  </si>
  <si>
    <t>2012 SEP 13</t>
  </si>
  <si>
    <t>2012 SEP 27</t>
  </si>
  <si>
    <t>2012 OCT 14</t>
  </si>
  <si>
    <t>2012 OCT 29</t>
  </si>
  <si>
    <t>2012 NOV 12</t>
  </si>
  <si>
    <t>2012 NOV 28</t>
  </si>
  <si>
    <t>2012 DEC 12</t>
  </si>
  <si>
    <t>2013 JAN 1</t>
  </si>
  <si>
    <t>2013 JAN 10</t>
  </si>
  <si>
    <t>2013 JAN 30</t>
  </si>
  <si>
    <t>2013 MAR 7</t>
  </si>
  <si>
    <t>2013 APR 7</t>
  </si>
  <si>
    <t>2013 APR 21</t>
  </si>
  <si>
    <t>2013 MAY 10</t>
  </si>
  <si>
    <t>2013 MAY 25</t>
  </si>
  <si>
    <t>2013 JUN 11</t>
  </si>
  <si>
    <t>2013 JUN 27</t>
  </si>
  <si>
    <t>2013 JUL 10</t>
  </si>
  <si>
    <t>2013 JUL 27</t>
  </si>
  <si>
    <t>2013 AUG 11</t>
  </si>
  <si>
    <t>2013 AUG 28</t>
  </si>
  <si>
    <t>2013 SEP 9</t>
  </si>
  <si>
    <t>2013 SEP 26</t>
  </si>
  <si>
    <t>2013 OCT 9</t>
  </si>
  <si>
    <t>2013 OCT 27</t>
  </si>
  <si>
    <t>2013 NOV 8</t>
  </si>
  <si>
    <t>2013 NOV 28</t>
  </si>
  <si>
    <t>2013 DEC 8</t>
  </si>
  <si>
    <t>2013 DEC 28</t>
  </si>
  <si>
    <t>2014 JAN 9</t>
  </si>
  <si>
    <t>2014 FEB 1</t>
  </si>
  <si>
    <t>2014 FEB 25</t>
  </si>
  <si>
    <t>2014 MAR 10</t>
  </si>
  <si>
    <t>2014 APR 3</t>
  </si>
  <si>
    <t>2014 APR 23</t>
  </si>
  <si>
    <t>2014 MAY 14</t>
  </si>
  <si>
    <t>2014 MAY 25</t>
  </si>
  <si>
    <t>2014 JUN 9</t>
  </si>
  <si>
    <t>2014 JUN 26</t>
  </si>
  <si>
    <t>2014 JUL 10</t>
  </si>
  <si>
    <t>2014 JUL 26</t>
  </si>
  <si>
    <t>2014 AUG 13</t>
  </si>
  <si>
    <t>2014 AUG 25</t>
  </si>
  <si>
    <t>2014 SEP 10</t>
  </si>
  <si>
    <t>2014 SEP 25</t>
  </si>
  <si>
    <t>2014 OCT 25</t>
  </si>
  <si>
    <t>2014 NOV 23</t>
  </si>
  <si>
    <t>2014 DEC 10</t>
  </si>
  <si>
    <t>2015 JAN 8</t>
  </si>
  <si>
    <t>2015 JAN 31</t>
  </si>
  <si>
    <t>2015 FEB 21</t>
  </si>
  <si>
    <t>2015 MAY 19</t>
  </si>
  <si>
    <t>2015 JUN 5</t>
  </si>
  <si>
    <t>2015 JUN 19</t>
  </si>
  <si>
    <t>2015 JUL 5</t>
  </si>
  <si>
    <t>2015 JUL 20</t>
  </si>
  <si>
    <t>2015 AUG 6</t>
  </si>
  <si>
    <t>2015 AUG 20</t>
  </si>
  <si>
    <t>2015 SEP 6</t>
  </si>
  <si>
    <t>2015 SEP 20</t>
  </si>
  <si>
    <t>2015 OCT 6</t>
  </si>
  <si>
    <t>2015 OCT 20</t>
  </si>
  <si>
    <t>2015 NOV 4</t>
  </si>
  <si>
    <t>2015 NOV 19</t>
  </si>
  <si>
    <t>2015 DEC 5</t>
  </si>
  <si>
    <t>2015 DEC 22</t>
  </si>
  <si>
    <t>2016 JAN 1</t>
  </si>
  <si>
    <t>2016 JAN 23</t>
  </si>
  <si>
    <t>2016 FEB 12</t>
  </si>
  <si>
    <t>2016 FEB 29</t>
  </si>
  <si>
    <t>2016 MAR 19</t>
  </si>
  <si>
    <t>2016 APR 5</t>
  </si>
  <si>
    <t>2016 APR 25</t>
  </si>
  <si>
    <t>2016 MAY 8</t>
  </si>
  <si>
    <t>2016 MAY 28</t>
  </si>
  <si>
    <t>2016 JUN 11</t>
  </si>
  <si>
    <t>2016 JUN 28</t>
  </si>
  <si>
    <t>2016 JUL 12</t>
  </si>
  <si>
    <t>2016 JUL 29</t>
  </si>
  <si>
    <t>2016 AUG 10</t>
  </si>
  <si>
    <t>2016 AUG 28</t>
  </si>
  <si>
    <t>2016 SEP 10</t>
  </si>
  <si>
    <t>2016 SEP 27</t>
  </si>
  <si>
    <t>2016 OCT 12</t>
  </si>
  <si>
    <t>2016 OCT 26</t>
  </si>
  <si>
    <t>2016 NOV 11</t>
  </si>
  <si>
    <t>2016 NOV 28</t>
  </si>
  <si>
    <t>2016 DEC 13</t>
  </si>
  <si>
    <t>2016 DEC 24</t>
  </si>
  <si>
    <t>2000 AUG 5</t>
  </si>
  <si>
    <t>2000 AUG 15</t>
  </si>
  <si>
    <t>2000 SEP 1</t>
  </si>
  <si>
    <t>2000 SEP 12</t>
  </si>
  <si>
    <t>2000 SEP 17</t>
  </si>
  <si>
    <t>2000 SEP 27</t>
  </si>
  <si>
    <t>2000 OCT 14</t>
  </si>
  <si>
    <t>2000 OCT 19</t>
  </si>
  <si>
    <t>2000 OCT 31</t>
  </si>
  <si>
    <t>2000 NOV 5</t>
  </si>
  <si>
    <t>2000 NOV 16</t>
  </si>
  <si>
    <t>2001 APR 7</t>
  </si>
  <si>
    <t>2001 MAY 3</t>
  </si>
  <si>
    <t>2001 MAY 6</t>
  </si>
  <si>
    <t>2001 MAY 8</t>
  </si>
  <si>
    <t>2001 MAY 12</t>
  </si>
  <si>
    <t>2001 MAY 24</t>
  </si>
  <si>
    <t>2001 MAY 30</t>
  </si>
  <si>
    <t>2001 JUN 3</t>
  </si>
  <si>
    <t>2001 JUN 18</t>
  </si>
  <si>
    <t>2001 JUN 25</t>
  </si>
  <si>
    <t>2001 JUL 4</t>
  </si>
  <si>
    <t>2001 JUL 8</t>
  </si>
  <si>
    <t>2001 AUG 12</t>
  </si>
  <si>
    <t>2001 AUG 20</t>
  </si>
  <si>
    <t>2001 AUG 24</t>
  </si>
  <si>
    <t>2001 AUG 28</t>
  </si>
  <si>
    <t>2001 SEP 1</t>
  </si>
  <si>
    <t>2001 SEP 6</t>
  </si>
  <si>
    <t>2001 SEP 10</t>
  </si>
  <si>
    <t>2001 SEP 18</t>
  </si>
  <si>
    <t>2001 SEP 24</t>
  </si>
  <si>
    <t>2001 SEP 28</t>
  </si>
  <si>
    <t>2001 OCT 3</t>
  </si>
  <si>
    <t>2001 OCT 20</t>
  </si>
  <si>
    <t>2001 OCT 24</t>
  </si>
  <si>
    <t>2001 OCT 28</t>
  </si>
  <si>
    <t>2001 NOV 8</t>
  </si>
  <si>
    <t>2001 NOV 13</t>
  </si>
  <si>
    <t>2001 NOV 19</t>
  </si>
  <si>
    <t>2002 FEB 12</t>
  </si>
  <si>
    <t>2002 FEB 22</t>
  </si>
  <si>
    <t>2002 MAR 6</t>
  </si>
  <si>
    <t>2002 MAR 13</t>
  </si>
  <si>
    <t>2002 MAR 25</t>
  </si>
  <si>
    <t>2002 APR 9</t>
  </si>
  <si>
    <t>2002 APR 14</t>
  </si>
  <si>
    <t>2002 APR 19</t>
  </si>
  <si>
    <t>2002 APR 27</t>
  </si>
  <si>
    <t>2002 JUN 3</t>
  </si>
  <si>
    <t>2002 JUN 8</t>
  </si>
  <si>
    <t>2002 JUN 12</t>
  </si>
  <si>
    <t>2002 JUN 16</t>
  </si>
  <si>
    <t>2002 JUN 23</t>
  </si>
  <si>
    <t>2002 JUN 27</t>
  </si>
  <si>
    <t>2002 JUL 1</t>
  </si>
  <si>
    <t>2002 JUL 6</t>
  </si>
  <si>
    <t>2002 JUL 14</t>
  </si>
  <si>
    <t>2002 JUL 24</t>
  </si>
  <si>
    <t>2002 AUG 1</t>
  </si>
  <si>
    <t>2002 AUG 12</t>
  </si>
  <si>
    <t>2002 AUG 18</t>
  </si>
  <si>
    <t>2002 AUG 26</t>
  </si>
  <si>
    <t>2002 SEP 18</t>
  </si>
  <si>
    <t>2002 SEP 22</t>
  </si>
  <si>
    <t>2002 SEP 27</t>
  </si>
  <si>
    <t>2002 OCT 2</t>
  </si>
  <si>
    <t>2002 OCT 6</t>
  </si>
  <si>
    <t>2002 OCT 10</t>
  </si>
  <si>
    <t>2002 OCT 19</t>
  </si>
  <si>
    <t>2002 OCT 25</t>
  </si>
  <si>
    <t>2002 OCT 29</t>
  </si>
  <si>
    <t>2002 NOV 2</t>
  </si>
  <si>
    <t>2002 NOV 6</t>
  </si>
  <si>
    <t>2002 NOV 11</t>
  </si>
  <si>
    <t>2002 NOV 16</t>
  </si>
  <si>
    <t>2002 NOV 19</t>
  </si>
  <si>
    <t>2002 NOV 23</t>
  </si>
  <si>
    <t>2003 FEB 10</t>
  </si>
  <si>
    <t>2003 MAR 2</t>
  </si>
  <si>
    <t>2003 MAR 6</t>
  </si>
  <si>
    <t>2003 MAR 10</t>
  </si>
  <si>
    <t>2003 MAR 23</t>
  </si>
  <si>
    <t>2003 MAR 26</t>
  </si>
  <si>
    <t>2003 MAR 30</t>
  </si>
  <si>
    <t>2003 MAY 2</t>
  </si>
  <si>
    <t>2003 MAY 7</t>
  </si>
  <si>
    <t>2003 MAY 10</t>
  </si>
  <si>
    <t>2003 MAY 13</t>
  </si>
  <si>
    <t>2003 MAY 18</t>
  </si>
  <si>
    <t>2003 MAY 22</t>
  </si>
  <si>
    <t>2003 MAY 25</t>
  </si>
  <si>
    <t>2003 MAY 28</t>
  </si>
  <si>
    <t>2003 JUN 1</t>
  </si>
  <si>
    <t>2003 JUN 5</t>
  </si>
  <si>
    <t>2003 JUN 8</t>
  </si>
  <si>
    <t>2003 JUN 11</t>
  </si>
  <si>
    <t>2003 JUN 14</t>
  </si>
  <si>
    <t>2003 JUN 24</t>
  </si>
  <si>
    <t>2003 JUN 27</t>
  </si>
  <si>
    <t>2003 JUL 1</t>
  </si>
  <si>
    <t>2003 JUL 9</t>
  </si>
  <si>
    <t>2003 JUL 13</t>
  </si>
  <si>
    <t>2003 JUL 16</t>
  </si>
  <si>
    <t>2003 JUL 19</t>
  </si>
  <si>
    <t>2003 JUL 23</t>
  </si>
  <si>
    <t>2003 JUL 26</t>
  </si>
  <si>
    <t>2003 JUL 29</t>
  </si>
  <si>
    <t>2003 AUG 1</t>
  </si>
  <si>
    <t>2003 AUG 4</t>
  </si>
  <si>
    <t>2003 AUG 12</t>
  </si>
  <si>
    <t>2003 AUG 20</t>
  </si>
  <si>
    <t>2003 AUG 23</t>
  </si>
  <si>
    <t>2003 SEP 2</t>
  </si>
  <si>
    <t>2003 SEP 5</t>
  </si>
  <si>
    <t>2003 SEP 8</t>
  </si>
  <si>
    <t>2003 SEP 14</t>
  </si>
  <si>
    <t>2003 SEP 17</t>
  </si>
  <si>
    <t>2003 SEP 27</t>
  </si>
  <si>
    <t>2003 SEP 30</t>
  </si>
  <si>
    <t>2003 OCT 6</t>
  </si>
  <si>
    <t>2003 OCT 13</t>
  </si>
  <si>
    <t>2003 OCT 16</t>
  </si>
  <si>
    <t>2003 OCT 19</t>
  </si>
  <si>
    <t>2003 OCT 22</t>
  </si>
  <si>
    <t>2003 OCT 25</t>
  </si>
  <si>
    <t>2003 OCT 28</t>
  </si>
  <si>
    <t>2003 OCT 31</t>
  </si>
  <si>
    <t>2003 NOV 3</t>
  </si>
  <si>
    <t>2003 NOV 6</t>
  </si>
  <si>
    <t>2003 NOV 9</t>
  </si>
  <si>
    <t>2003 NOV 15</t>
  </si>
  <si>
    <t>2003 NOV 20</t>
  </si>
  <si>
    <t>2003 NOV 27</t>
  </si>
  <si>
    <t>2003 DEC 1</t>
  </si>
  <si>
    <t>2003 DEC 5</t>
  </si>
  <si>
    <t>2004 FEB 27</t>
  </si>
  <si>
    <t>2004 MAR 16</t>
  </si>
  <si>
    <t>2004 MAR 27</t>
  </si>
  <si>
    <t>2004 MAR 30</t>
  </si>
  <si>
    <t>2004 APR 7</t>
  </si>
  <si>
    <t>2004 APR 21</t>
  </si>
  <si>
    <t>2004 MAY 1</t>
  </si>
  <si>
    <t>2004 MAY 4</t>
  </si>
  <si>
    <t>2004 MAY 7</t>
  </si>
  <si>
    <t>2004 MAY 10</t>
  </si>
  <si>
    <t>2004 MAY 14</t>
  </si>
  <si>
    <t>2004 MAY 18</t>
  </si>
  <si>
    <t>2004 MAY 22</t>
  </si>
  <si>
    <t>2004 MAY 28</t>
  </si>
  <si>
    <t>2004 JUN 1</t>
  </si>
  <si>
    <t>2004 JUN 6</t>
  </si>
  <si>
    <t>2004 JUN 10</t>
  </si>
  <si>
    <t>2004 JUN 15</t>
  </si>
  <si>
    <t>2004 JUN 30</t>
  </si>
  <si>
    <t>2004 JUL 4</t>
  </si>
  <si>
    <t>2004 JUL 8</t>
  </si>
  <si>
    <t>2004 JUL 15</t>
  </si>
  <si>
    <t>2004 JUL 29</t>
  </si>
  <si>
    <t>2004 AUG 2</t>
  </si>
  <si>
    <t>2004 AUG 4</t>
  </si>
  <si>
    <t>2004 AUG 8</t>
  </si>
  <si>
    <t>2004 AUG 20</t>
  </si>
  <si>
    <t>2004 AUG 24</t>
  </si>
  <si>
    <t>2004 AUG 28</t>
  </si>
  <si>
    <t>2004 SEP 3</t>
  </si>
  <si>
    <t>2004 SEP 8</t>
  </si>
  <si>
    <t>2004 SEP 12</t>
  </si>
  <si>
    <t>2004 SEP 16</t>
  </si>
  <si>
    <t>2004 SEP 22</t>
  </si>
  <si>
    <t>2004 SEP 25</t>
  </si>
  <si>
    <t>2004 SEP 28</t>
  </si>
  <si>
    <t>2004 OCT 8</t>
  </si>
  <si>
    <t>2004 OCT 13</t>
  </si>
  <si>
    <t>2004 OCT 17</t>
  </si>
  <si>
    <t>2004 OCT 21</t>
  </si>
  <si>
    <t>2004 OCT 29</t>
  </si>
  <si>
    <t>2004 NOV 10</t>
  </si>
  <si>
    <t>2004 NOV 19</t>
  </si>
  <si>
    <t>2005 MAR 10</t>
  </si>
  <si>
    <t>2005 MAR 30</t>
  </si>
  <si>
    <t>2005 APR 12</t>
  </si>
  <si>
    <t>2005 APR 16</t>
  </si>
  <si>
    <t>2005 APR 21</t>
  </si>
  <si>
    <t>2005 APR 27</t>
  </si>
  <si>
    <t>2005 MAY 6</t>
  </si>
  <si>
    <t>2005 MAY 10</t>
  </si>
  <si>
    <t>2005 MAY 13</t>
  </si>
  <si>
    <t>2005 MAY 18</t>
  </si>
  <si>
    <t>2005 MAY 20</t>
  </si>
  <si>
    <t>2005 MAY 21</t>
  </si>
  <si>
    <t>2005 MAY 30</t>
  </si>
  <si>
    <t>2005 JUN 5</t>
  </si>
  <si>
    <t>2005 JUN 6</t>
  </si>
  <si>
    <t>2005 JUN 9</t>
  </si>
  <si>
    <t>2005 JUN 13</t>
  </si>
  <si>
    <t>2005 JUN 18</t>
  </si>
  <si>
    <t>2005 JUN 30</t>
  </si>
  <si>
    <t>2005 JUL 5</t>
  </si>
  <si>
    <t>2005 JUL 13</t>
  </si>
  <si>
    <t>2005 JUL 21</t>
  </si>
  <si>
    <t>2005 JUL 25</t>
  </si>
  <si>
    <t>2005 AUG 2</t>
  </si>
  <si>
    <t>2005 AUG 10</t>
  </si>
  <si>
    <t>2005 AUG 21</t>
  </si>
  <si>
    <t>2005 AUG 25</t>
  </si>
  <si>
    <t>2005 AUG 29</t>
  </si>
  <si>
    <t>2005 SEP 9</t>
  </si>
  <si>
    <t>2005 SEP 13</t>
  </si>
  <si>
    <t>2005 SEP 17</t>
  </si>
  <si>
    <t>2005 OCT 1</t>
  </si>
  <si>
    <t>2005 OCT 5</t>
  </si>
  <si>
    <t>2005 OCT 7</t>
  </si>
  <si>
    <t>2005 OCT 18</t>
  </si>
  <si>
    <t>2005 OCT 23</t>
  </si>
  <si>
    <t>2005 OCT 27</t>
  </si>
  <si>
    <t>2005 OCT 31</t>
  </si>
  <si>
    <t>2005 NOV 5</t>
  </si>
  <si>
    <t>2005 NOV 21</t>
  </si>
  <si>
    <t>2006 FEB 21</t>
  </si>
  <si>
    <t>2006 FEB 27</t>
  </si>
  <si>
    <t>2006 MAR 3</t>
  </si>
  <si>
    <t>2006 MAR 11</t>
  </si>
  <si>
    <t>2006 MAR 14</t>
  </si>
  <si>
    <t>2006 MAR 22</t>
  </si>
  <si>
    <t>2006 MAR 26</t>
  </si>
  <si>
    <t>2006 MAR 29</t>
  </si>
  <si>
    <t>2006 MAR 30</t>
  </si>
  <si>
    <t>2006 APR 8</t>
  </si>
  <si>
    <t>2006 APR 13</t>
  </si>
  <si>
    <t>2006 APR 17</t>
  </si>
  <si>
    <t>2006 APR 21</t>
  </si>
  <si>
    <t>2006 APR 23</t>
  </si>
  <si>
    <t>2006 APR 24</t>
  </si>
  <si>
    <t>2006 APR 26</t>
  </si>
  <si>
    <t>2006 APR 30</t>
  </si>
  <si>
    <t>2006 MAY 5</t>
  </si>
  <si>
    <t>2006 MAY 9</t>
  </si>
  <si>
    <t>2006 MAY 11</t>
  </si>
  <si>
    <t>2006 MAY 19</t>
  </si>
  <si>
    <t>2006 MAY 23</t>
  </si>
  <si>
    <t>2006 MAY 27</t>
  </si>
  <si>
    <t>2006 MAY 31</t>
  </si>
  <si>
    <t>2006 JUN 4</t>
  </si>
  <si>
    <t>2006 JUN 11</t>
  </si>
  <si>
    <t>2006 JUN 13</t>
  </si>
  <si>
    <t>2006 JUN 16</t>
  </si>
  <si>
    <t>2006 JUL 3</t>
  </si>
  <si>
    <t>2006 JUL 11</t>
  </si>
  <si>
    <t>2006 JUL 17</t>
  </si>
  <si>
    <t>2006 JUL 21</t>
  </si>
  <si>
    <t>2006 AUG 8</t>
  </si>
  <si>
    <t>2006 AUG 15</t>
  </si>
  <si>
    <t>2006 AUG 20</t>
  </si>
  <si>
    <t>2006 AUG 21</t>
  </si>
  <si>
    <t>2006 AUG 23</t>
  </si>
  <si>
    <t>2006 AUG 27</t>
  </si>
  <si>
    <t>2006 AUG 29</t>
  </si>
  <si>
    <t>2006 SEP 1</t>
  </si>
  <si>
    <t>2006 SEP 7</t>
  </si>
  <si>
    <t>2006 SEP 11</t>
  </si>
  <si>
    <t>2006 SEP 12</t>
  </si>
  <si>
    <t>2006 SEP 15</t>
  </si>
  <si>
    <t>2006 SEP 19</t>
  </si>
  <si>
    <t>2006 SEP 20</t>
  </si>
  <si>
    <t>2006 SEP 23</t>
  </si>
  <si>
    <t>2006 OCT 1</t>
  </si>
  <si>
    <t>2006 OCT 10</t>
  </si>
  <si>
    <t>2006 OCT 15</t>
  </si>
  <si>
    <t>2006 NOV 2</t>
  </si>
  <si>
    <t>2006 NOV 6</t>
  </si>
  <si>
    <t>2006 NOV 10</t>
  </si>
  <si>
    <t>2006 NOV 14</t>
  </si>
  <si>
    <t>2006 NOV 17</t>
  </si>
  <si>
    <t>2006 NOV 24</t>
  </si>
  <si>
    <t>2007 JAN 4</t>
  </si>
  <si>
    <t>2007 FEB 21</t>
  </si>
  <si>
    <t>2007 FEB 26</t>
  </si>
  <si>
    <t>2007 MAR 3</t>
  </si>
  <si>
    <t>2007 MAR 7</t>
  </si>
  <si>
    <t>2007 MAR 12</t>
  </si>
  <si>
    <t>2007 MAR 16</t>
  </si>
  <si>
    <t>2007 MAR 19</t>
  </si>
  <si>
    <t>2007 MAR 30</t>
  </si>
  <si>
    <t>2007 APR 3</t>
  </si>
  <si>
    <t>2007 APR 15</t>
  </si>
  <si>
    <t>2007 APR 19</t>
  </si>
  <si>
    <t>2007 APR 24</t>
  </si>
  <si>
    <t>2007 APR 27</t>
  </si>
  <si>
    <t>2007 MAY 4</t>
  </si>
  <si>
    <t>2007 MAY 10</t>
  </si>
  <si>
    <t>2007 MAY 14</t>
  </si>
  <si>
    <t>2007 MAY 19</t>
  </si>
  <si>
    <t>2007 MAY 23</t>
  </si>
  <si>
    <t>2007 MAY 24</t>
  </si>
  <si>
    <t>2007 MAY 26</t>
  </si>
  <si>
    <t>2007 MAY 29</t>
  </si>
  <si>
    <t>2007 JUN 2</t>
  </si>
  <si>
    <t>2007 JUN 5</t>
  </si>
  <si>
    <t>2007 JUN 6</t>
  </si>
  <si>
    <t>2007 JUN 13</t>
  </si>
  <si>
    <t>2007 JUN 18</t>
  </si>
  <si>
    <t>2007 JUN 22</t>
  </si>
  <si>
    <t>2007 JUN 26</t>
  </si>
  <si>
    <t>2007 JUL 2</t>
  </si>
  <si>
    <t>2007 JUL 4</t>
  </si>
  <si>
    <t>2007 JUL 7</t>
  </si>
  <si>
    <t>2007 JUL 8</t>
  </si>
  <si>
    <t>2007 JUL 13</t>
  </si>
  <si>
    <t>2007 JUL 16</t>
  </si>
  <si>
    <t>2007 JUL 19</t>
  </si>
  <si>
    <t>2007 JUL 21</t>
  </si>
  <si>
    <t>2007 JUL 23</t>
  </si>
  <si>
    <t>2007 JUL 24</t>
  </si>
  <si>
    <t>2007 JUL 26</t>
  </si>
  <si>
    <t>2007 JUL 27</t>
  </si>
  <si>
    <t>2007 AUG 2</t>
  </si>
  <si>
    <t>2007 AUG 3</t>
  </si>
  <si>
    <t>2007 AUG 5</t>
  </si>
  <si>
    <t>2007 AUG 6</t>
  </si>
  <si>
    <t>2007 AUG 11</t>
  </si>
  <si>
    <t>2007 AUG 19</t>
  </si>
  <si>
    <t>2007 AUG 23</t>
  </si>
  <si>
    <t>2007 AUG 24</t>
  </si>
  <si>
    <t>2007 AUG 27</t>
  </si>
  <si>
    <t>2007 AUG 29</t>
  </si>
  <si>
    <t>2007 SEP 4</t>
  </si>
  <si>
    <t>2007 SEP 6</t>
  </si>
  <si>
    <t>2007 SEP 7</t>
  </si>
  <si>
    <t>2007 SEP 12</t>
  </si>
  <si>
    <t>2007 SEP 16</t>
  </si>
  <si>
    <t>2007 SEP 19</t>
  </si>
  <si>
    <t>2007 SEP 23</t>
  </si>
  <si>
    <t>2007 SEP 25</t>
  </si>
  <si>
    <t>2007 SEP 26</t>
  </si>
  <si>
    <t>2007 OCT 3</t>
  </si>
  <si>
    <t>2007 OCT 5</t>
  </si>
  <si>
    <t>2007 OCT 6</t>
  </si>
  <si>
    <t>2007 OCT 10</t>
  </si>
  <si>
    <t>2007 OCT 11</t>
  </si>
  <si>
    <t>2007 OCT 16</t>
  </si>
  <si>
    <t>2007 OCT 18</t>
  </si>
  <si>
    <t>2007 OCT 21</t>
  </si>
  <si>
    <t>2007 OCT 23</t>
  </si>
  <si>
    <t>2007 OCT 27</t>
  </si>
  <si>
    <t>2007 OCT 31</t>
  </si>
  <si>
    <t>2007 NOV 4</t>
  </si>
  <si>
    <t>2007 NOV 8</t>
  </si>
  <si>
    <t>2007 NOV 12</t>
  </si>
  <si>
    <t>2007 NOV 16</t>
  </si>
  <si>
    <t>2007 NOV 19</t>
  </si>
  <si>
    <t>2008 FEB 13</t>
  </si>
  <si>
    <t>2008 FEB 25</t>
  </si>
  <si>
    <t>2008 FEB 29</t>
  </si>
  <si>
    <t>2008 MAR 4</t>
  </si>
  <si>
    <t>2008 MAR 8</t>
  </si>
  <si>
    <t>2008 MAR 12</t>
  </si>
  <si>
    <t>2008 MAR 18</t>
  </si>
  <si>
    <t>2008 MAR 22</t>
  </si>
  <si>
    <t>2008 MAR 26</t>
  </si>
  <si>
    <t>2008 MAR 31</t>
  </si>
  <si>
    <t>2008 APR 4</t>
  </si>
  <si>
    <t>2008 APR 9</t>
  </si>
  <si>
    <t>2008 APR 12</t>
  </si>
  <si>
    <t>2008 APR 17</t>
  </si>
  <si>
    <t>2008 APR 21</t>
  </si>
  <si>
    <t>2008 APR 25</t>
  </si>
  <si>
    <t>2008 APR 29</t>
  </si>
  <si>
    <t>2008 MAY 3</t>
  </si>
  <si>
    <t>2008 MAY 8</t>
  </si>
  <si>
    <t>2008 MAY 10</t>
  </si>
  <si>
    <t>2008 MAY 19</t>
  </si>
  <si>
    <t>2008 MAY 24</t>
  </si>
  <si>
    <t>2008 MAY 28</t>
  </si>
  <si>
    <t>2008 JUN 1</t>
  </si>
  <si>
    <t>2008 JUN 4</t>
  </si>
  <si>
    <t>2008 JUN 6</t>
  </si>
  <si>
    <t>2008 JUN 10</t>
  </si>
  <si>
    <t>2008 JUN 14</t>
  </si>
  <si>
    <t>2008 JUN 18</t>
  </si>
  <si>
    <t>2008 JUN 26</t>
  </si>
  <si>
    <t>2008 JUL 2</t>
  </si>
  <si>
    <t>2008 JUL 4</t>
  </si>
  <si>
    <t>2008 JUL 13</t>
  </si>
  <si>
    <t>2008 JUL 16</t>
  </si>
  <si>
    <t>2008 JUL 18</t>
  </si>
  <si>
    <t>2008 JUL 26</t>
  </si>
  <si>
    <t>2008 JUL 28</t>
  </si>
  <si>
    <t>2008 JUL 29</t>
  </si>
  <si>
    <t>2008 JUL 30</t>
  </si>
  <si>
    <t>2008 AUG 1</t>
  </si>
  <si>
    <t>2008 AUG 17</t>
  </si>
  <si>
    <t>2008 AUG 21</t>
  </si>
  <si>
    <t>2008 AUG 22</t>
  </si>
  <si>
    <t>2008 SEP 1</t>
  </si>
  <si>
    <t>2008 SEP 2</t>
  </si>
  <si>
    <t>2008 SEP 6</t>
  </si>
  <si>
    <t>2008 SEP 10</t>
  </si>
  <si>
    <t>2008 SEP 12</t>
  </si>
  <si>
    <t>2008 SEP 18</t>
  </si>
  <si>
    <t>2008 SEP 19</t>
  </si>
  <si>
    <t>2008 SEP 21</t>
  </si>
  <si>
    <t>2008 SEP 22</t>
  </si>
  <si>
    <t>2008 SEP 23</t>
  </si>
  <si>
    <t>2008 SEP 25</t>
  </si>
  <si>
    <t>2008 SEP 26</t>
  </si>
  <si>
    <t>2008 SEP 28</t>
  </si>
  <si>
    <t>2008 OCT 9</t>
  </si>
  <si>
    <t>2008 OCT 10</t>
  </si>
  <si>
    <t>2008 OCT 13</t>
  </si>
  <si>
    <t>2008 OCT 15</t>
  </si>
  <si>
    <t>2008 OCT 19</t>
  </si>
  <si>
    <t>2008 OCT 22</t>
  </si>
  <si>
    <t>2008 OCT 24</t>
  </si>
  <si>
    <t>2008 OCT 28</t>
  </si>
  <si>
    <t>2008 OCT 30</t>
  </si>
  <si>
    <t>2008 NOV 1</t>
  </si>
  <si>
    <t>2008 NOV 4</t>
  </si>
  <si>
    <t>2008 NOV 7</t>
  </si>
  <si>
    <t>2008 NOV 11</t>
  </si>
  <si>
    <t>2008 NOV 17</t>
  </si>
  <si>
    <t>2008 NOV 21</t>
  </si>
  <si>
    <t>2008 NOV 24</t>
  </si>
  <si>
    <t>2008 DEC 23</t>
  </si>
  <si>
    <t>2009 MAR 16</t>
  </si>
  <si>
    <t>2009 MAR 24</t>
  </si>
  <si>
    <t>2009 APR 9</t>
  </si>
  <si>
    <t>2009 MAY 1</t>
  </si>
  <si>
    <t>2009 MAY 20</t>
  </si>
  <si>
    <t>2009 MAY 24</t>
  </si>
  <si>
    <t>2009 MAY 25</t>
  </si>
  <si>
    <t>2009 MAY 30</t>
  </si>
  <si>
    <t>2009 MAY 31</t>
  </si>
  <si>
    <t>2009 JUN 1</t>
  </si>
  <si>
    <t>2009 JUN 2</t>
  </si>
  <si>
    <t>2009 JUN 25</t>
  </si>
  <si>
    <t>2009 JUN 29</t>
  </si>
  <si>
    <t>2009 JUL 7</t>
  </si>
  <si>
    <t>2009 JUL 11</t>
  </si>
  <si>
    <t>2009 JUL 13</t>
  </si>
  <si>
    <t>2009 JUL 14</t>
  </si>
  <si>
    <t>2009 JUL 16</t>
  </si>
  <si>
    <t>2009 JUL 21</t>
  </si>
  <si>
    <t>2009 JUL 22</t>
  </si>
  <si>
    <t>2009 JUL 27</t>
  </si>
  <si>
    <t>2009 JUL 29</t>
  </si>
  <si>
    <t>2009 JUL 31</t>
  </si>
  <si>
    <t>2009 AUG 1</t>
  </si>
  <si>
    <t>2009 AUG 6</t>
  </si>
  <si>
    <t>2009 AUG 7</t>
  </si>
  <si>
    <t>2009 AUG 9</t>
  </si>
  <si>
    <t>2009 AUG 10</t>
  </si>
  <si>
    <t>2009 AUG 12</t>
  </si>
  <si>
    <t>2009 AUG 16</t>
  </si>
  <si>
    <t>2009 AUG 18</t>
  </si>
  <si>
    <t>2009 AUG 20</t>
  </si>
  <si>
    <t>2009 AUG 22</t>
  </si>
  <si>
    <t>2009 AUG 24</t>
  </si>
  <si>
    <t>2009 AUG 27</t>
  </si>
  <si>
    <t>2009 AUG 29</t>
  </si>
  <si>
    <t>2009 AUG 30</t>
  </si>
  <si>
    <t>2009 SEP 2</t>
  </si>
  <si>
    <t>2009 SEP 5</t>
  </si>
  <si>
    <t>2009 SEP 11</t>
  </si>
  <si>
    <t>2009 SEP 13</t>
  </si>
  <si>
    <t>2009 SEP 14</t>
  </si>
  <si>
    <t>2009 SEP 16</t>
  </si>
  <si>
    <t>2009 SEP 19</t>
  </si>
  <si>
    <t>2009 SEP 20</t>
  </si>
  <si>
    <t>2009 SEP 22</t>
  </si>
  <si>
    <t>2009 SEP 26</t>
  </si>
  <si>
    <t>2009 SEP 27</t>
  </si>
  <si>
    <t>2009 SEP 29</t>
  </si>
  <si>
    <t>2009 OCT 2</t>
  </si>
  <si>
    <t>2009 OCT 17</t>
  </si>
  <si>
    <t>2009 OCT 23</t>
  </si>
  <si>
    <t>2009 OCT 27</t>
  </si>
  <si>
    <t>2009 NOV 21</t>
  </si>
  <si>
    <t>2009 NOV 30</t>
  </si>
  <si>
    <t>2009 DEC 6</t>
  </si>
  <si>
    <t>2009 DEC 13</t>
  </si>
  <si>
    <t>2009 DEC 17</t>
  </si>
  <si>
    <t>2009 DEC 18</t>
  </si>
  <si>
    <t>2009 DEC 20</t>
  </si>
  <si>
    <t>2009 DEC 22</t>
  </si>
  <si>
    <t>2010 APR 10</t>
  </si>
  <si>
    <t>2010 MAY 21</t>
  </si>
  <si>
    <t>2010 JUL 19</t>
  </si>
  <si>
    <t>2010 JUL 21</t>
  </si>
  <si>
    <t>2010 JUL 28</t>
  </si>
  <si>
    <t>2010 AUG 1</t>
  </si>
  <si>
    <t>2010 AUG 16</t>
  </si>
  <si>
    <t>2010 AUG 20</t>
  </si>
  <si>
    <t>2010 AUG 24</t>
  </si>
  <si>
    <t>2010 AUG 28</t>
  </si>
  <si>
    <t>2010 AUG 31</t>
  </si>
  <si>
    <t>2010 SEP 2</t>
  </si>
  <si>
    <t>2010 SEP 5</t>
  </si>
  <si>
    <t>2010 SEP 8</t>
  </si>
  <si>
    <t>2010 SEP 10</t>
  </si>
  <si>
    <t>2010 SEP 18</t>
  </si>
  <si>
    <t>2010 SEP 19</t>
  </si>
  <si>
    <t>2010 SEP 22</t>
  </si>
  <si>
    <t>2010 SEP 23</t>
  </si>
  <si>
    <t>2010 SEP 28</t>
  </si>
  <si>
    <t>2010 OCT 10</t>
  </si>
  <si>
    <t>2010 OCT 12</t>
  </si>
  <si>
    <t>2010 OCT 29</t>
  </si>
  <si>
    <t>2010 NOV 24</t>
  </si>
  <si>
    <t>2011 MAY 8</t>
  </si>
  <si>
    <t>2011 JUN 19</t>
  </si>
  <si>
    <t>2011 JUL 3</t>
  </si>
  <si>
    <t>2011 JUL 14</t>
  </si>
  <si>
    <t>2011 JUL 20</t>
  </si>
  <si>
    <t>2011 JUL 23</t>
  </si>
  <si>
    <t>2011 JUL 26</t>
  </si>
  <si>
    <t>2011 JUL 27</t>
  </si>
  <si>
    <t>2011 AUG 2</t>
  </si>
  <si>
    <t>2011 AUG 8</t>
  </si>
  <si>
    <t>2011 AUG 12</t>
  </si>
  <si>
    <t>2011 AUG 26</t>
  </si>
  <si>
    <t>2011 SEP 4</t>
  </si>
  <si>
    <t>2011 SEP 10</t>
  </si>
  <si>
    <t>2011 SEP 19</t>
  </si>
  <si>
    <t>2011 SEP 23</t>
  </si>
  <si>
    <t>2011 SEP 27</t>
  </si>
  <si>
    <t>2011 OCT 1</t>
  </si>
  <si>
    <t>2011 OCT 5</t>
  </si>
  <si>
    <t>2011 OCT 8</t>
  </si>
  <si>
    <t>2011 OCT 14</t>
  </si>
  <si>
    <t>2011 OCT 21</t>
  </si>
  <si>
    <t>2011 OCT 31</t>
  </si>
  <si>
    <t>2011 NOV 9</t>
  </si>
  <si>
    <t>2011 NOV 24</t>
  </si>
  <si>
    <t>2011 NOV 26</t>
  </si>
  <si>
    <t>2011 DEC 27</t>
  </si>
  <si>
    <t>2012 MAR 15</t>
  </si>
  <si>
    <t>2012 MAY 19</t>
  </si>
  <si>
    <t>2012 MAY 20</t>
  </si>
  <si>
    <t>2012 MAY 26</t>
  </si>
  <si>
    <t>2012 MAY 29</t>
  </si>
  <si>
    <t>2012 JUN 4</t>
  </si>
  <si>
    <t>2012 JUN 16</t>
  </si>
  <si>
    <t>2012 JUN 18</t>
  </si>
  <si>
    <t>2012 JUN 24</t>
  </si>
  <si>
    <t>2012 JUN 28</t>
  </si>
  <si>
    <t>2012 JUL 2</t>
  </si>
  <si>
    <t>2012 JUL 6</t>
  </si>
  <si>
    <t>2012 JUL 12</t>
  </si>
  <si>
    <t>2012 JUL 22</t>
  </si>
  <si>
    <t>2012 JUL 23</t>
  </si>
  <si>
    <t>2012 JUL 26</t>
  </si>
  <si>
    <t>2012 AUG 1</t>
  </si>
  <si>
    <t>2012 AUG 3</t>
  </si>
  <si>
    <t>2012 AUG 6</t>
  </si>
  <si>
    <t>2012 AUG 8</t>
  </si>
  <si>
    <t>2012 AUG 10</t>
  </si>
  <si>
    <t>2012 AUG 13</t>
  </si>
  <si>
    <t>2012 AUG 16</t>
  </si>
  <si>
    <t>2012 AUG 26</t>
  </si>
  <si>
    <t>2012 AUG 29</t>
  </si>
  <si>
    <t>2012 SEP 3</t>
  </si>
  <si>
    <t>2012 SEP 11</t>
  </si>
  <si>
    <t>2012 SEP 14</t>
  </si>
  <si>
    <t>2012 SEP 23</t>
  </si>
  <si>
    <t>2012 SEP 25</t>
  </si>
  <si>
    <t>2012 OCT 7</t>
  </si>
  <si>
    <t>2012 OCT 24</t>
  </si>
  <si>
    <t>2013 MAR 8</t>
  </si>
  <si>
    <t>2013 MAR 14</t>
  </si>
  <si>
    <t>2013 APR 10</t>
  </si>
  <si>
    <t>2013 APR 25</t>
  </si>
  <si>
    <t>2013 APR 27</t>
  </si>
  <si>
    <t>2013 MAY 5</t>
  </si>
  <si>
    <t>2013 MAY 15</t>
  </si>
  <si>
    <t>2013 MAY 18</t>
  </si>
  <si>
    <t>2013 MAY 26</t>
  </si>
  <si>
    <t>2013 JUN 1</t>
  </si>
  <si>
    <t>2013 JUN 3</t>
  </si>
  <si>
    <t>2013 JUN 9</t>
  </si>
  <si>
    <t>2013 JUN 25</t>
  </si>
  <si>
    <t>2013 JUL 31</t>
  </si>
  <si>
    <t>2013 AUG 4</t>
  </si>
  <si>
    <t>2013 AUG 5</t>
  </si>
  <si>
    <t>2013 AUG 15</t>
  </si>
  <si>
    <t>2013 AUG 21</t>
  </si>
  <si>
    <t>2013 AUG 22</t>
  </si>
  <si>
    <t>2013 AUG 24</t>
  </si>
  <si>
    <t>2013 SEP 2</t>
  </si>
  <si>
    <t>2013 SEP 5</t>
  </si>
  <si>
    <t>2013 SEP 7</t>
  </si>
  <si>
    <t>2013 SEP 14</t>
  </si>
  <si>
    <t>2013 SEP 18</t>
  </si>
  <si>
    <t>2013 OCT 1</t>
  </si>
  <si>
    <t>2013 OCT 3</t>
  </si>
  <si>
    <t>2013 OCT 11</t>
  </si>
  <si>
    <t>2013 NOV 29</t>
  </si>
  <si>
    <t>2013 DEC 29</t>
  </si>
  <si>
    <t>2014 FEB 18</t>
  </si>
  <si>
    <t>2014 MAR 2</t>
  </si>
  <si>
    <t>2014 MAR 14</t>
  </si>
  <si>
    <t>2014 MAR 23</t>
  </si>
  <si>
    <t>2014 MAR 25</t>
  </si>
  <si>
    <t>2014 MAR 26</t>
  </si>
  <si>
    <t>2014 APR 13</t>
  </si>
  <si>
    <t>2014 APR 17</t>
  </si>
  <si>
    <t>2014 APR 20</t>
  </si>
  <si>
    <t>2014 MAY 5</t>
  </si>
  <si>
    <t>2014 MAY 18</t>
  </si>
  <si>
    <t>2014 MAY 21</t>
  </si>
  <si>
    <t>2014 MAY 29</t>
  </si>
  <si>
    <t>2014 MAY 31</t>
  </si>
  <si>
    <t>2014 JUN 5</t>
  </si>
  <si>
    <t>2014 JUN 8</t>
  </si>
  <si>
    <t>2014 JUN 15</t>
  </si>
  <si>
    <t>2014 JUN 17</t>
  </si>
  <si>
    <t>2014 JUN 20</t>
  </si>
  <si>
    <t>2014 JUN 22</t>
  </si>
  <si>
    <t>2014 JUN 27</t>
  </si>
  <si>
    <t>2014 JUL 6</t>
  </si>
  <si>
    <t>2014 JUL 16</t>
  </si>
  <si>
    <t>2014 JUL 18</t>
  </si>
  <si>
    <t>2014 JUL 24</t>
  </si>
  <si>
    <t>2014 JUL 27</t>
  </si>
  <si>
    <t>2014 JUL 30</t>
  </si>
  <si>
    <t>2014 AUG 1</t>
  </si>
  <si>
    <t>2014 AUG 3</t>
  </si>
  <si>
    <t>2014 AUG 5</t>
  </si>
  <si>
    <t>2014 AUG 10</t>
  </si>
  <si>
    <t>2014 AUG 17</t>
  </si>
  <si>
    <t>2014 AUG 21</t>
  </si>
  <si>
    <t>2014 AUG 24</t>
  </si>
  <si>
    <t>2014 SEP 1</t>
  </si>
  <si>
    <t>2014 SEP 13</t>
  </si>
  <si>
    <t>2014 SEP 14</t>
  </si>
  <si>
    <t>2016 DEC 5</t>
  </si>
  <si>
    <t>2016 DEC 15</t>
  </si>
  <si>
    <t>2006 MAY 28</t>
  </si>
  <si>
    <t>2008 JUL 5</t>
  </si>
  <si>
    <t>2008 SEP 24</t>
  </si>
  <si>
    <t>2008 OCT 20</t>
  </si>
  <si>
    <t>2009 MAY 26</t>
  </si>
  <si>
    <t>2009 JUL 12</t>
  </si>
  <si>
    <t>2009 JUL 15</t>
  </si>
  <si>
    <t>2009 JUL 23</t>
  </si>
  <si>
    <t>2009 AUG 5</t>
  </si>
  <si>
    <t>2009 AUG 15</t>
  </si>
  <si>
    <t>2009 SEP 6</t>
  </si>
  <si>
    <t>2009 SEP 12</t>
  </si>
  <si>
    <t>2011 SEP 30</t>
  </si>
  <si>
    <t>2012 JUL 13</t>
  </si>
  <si>
    <t>2014 JUL 31</t>
  </si>
  <si>
    <t>2014 AUG 4</t>
  </si>
  <si>
    <t>2014 AUG 20</t>
  </si>
  <si>
    <t>V</t>
  </si>
  <si>
    <t>B</t>
  </si>
  <si>
    <t>B-V</t>
  </si>
  <si>
    <t>Vis</t>
  </si>
  <si>
    <t>min</t>
  </si>
  <si>
    <t>max</t>
  </si>
  <si>
    <t>Nb</t>
  </si>
  <si>
    <t>2017 JAN 31</t>
  </si>
  <si>
    <t>2017 FEB 20</t>
  </si>
  <si>
    <t>2017 FEB 27</t>
  </si>
  <si>
    <t>2017 MAR 18</t>
  </si>
  <si>
    <t>2017 MAR 20</t>
  </si>
  <si>
    <t>2017 MAR 26</t>
  </si>
  <si>
    <t>2017 APR 14</t>
  </si>
  <si>
    <t>2017 APR 27</t>
  </si>
  <si>
    <t>2017 JAN 3</t>
  </si>
  <si>
    <t>2017 JAN 23</t>
  </si>
  <si>
    <t>2017 FEB 13</t>
  </si>
  <si>
    <t>2017 MAR 10</t>
  </si>
  <si>
    <t>2017 MAR 28</t>
  </si>
  <si>
    <t>2017 APR 19</t>
  </si>
  <si>
    <t>2017 MAY 9</t>
  </si>
  <si>
    <t>2017 MAY 14</t>
  </si>
  <si>
    <t>2017 JUL 5</t>
  </si>
  <si>
    <t>2017 JUL 6</t>
  </si>
  <si>
    <t>2017 JUL 7</t>
  </si>
  <si>
    <t>2017 JUL 19</t>
  </si>
  <si>
    <t>2017 AUG 7</t>
  </si>
  <si>
    <t>2017 AUG 19</t>
  </si>
  <si>
    <t>2017 AUG 25</t>
  </si>
  <si>
    <t>2017 AUG 28</t>
  </si>
  <si>
    <t>2017 AUG 31</t>
  </si>
  <si>
    <t>2017 SEP 1</t>
  </si>
  <si>
    <t>2017 SEP 9</t>
  </si>
  <si>
    <t>2017 SEP 11</t>
  </si>
  <si>
    <t>2017 SEP 15</t>
  </si>
  <si>
    <t>2017 SEP 21</t>
  </si>
  <si>
    <t>2017 SEP 22</t>
  </si>
  <si>
    <t>2017 SEP 26</t>
  </si>
  <si>
    <t>2017 SEP 28</t>
  </si>
  <si>
    <t>2017 OCT 12</t>
  </si>
  <si>
    <t>2017 OCT 14</t>
  </si>
  <si>
    <t>2017 OCT 27</t>
  </si>
  <si>
    <t>2017 OCT 31</t>
  </si>
  <si>
    <t>2017 NOV 2</t>
  </si>
  <si>
    <t>2017 NOV 5</t>
  </si>
  <si>
    <t>2017 NOV 6</t>
  </si>
  <si>
    <t>2017 NOV 8</t>
  </si>
  <si>
    <t>2017 NOV 10</t>
  </si>
  <si>
    <t>2017 NOV 19</t>
  </si>
  <si>
    <t>2017 NOV 26</t>
  </si>
  <si>
    <t>2017 NOV 28</t>
  </si>
  <si>
    <t>2017 DEC 8</t>
  </si>
  <si>
    <t>2017 DEC 15</t>
  </si>
  <si>
    <t>2017 DEC 28</t>
  </si>
  <si>
    <t>2018 JAN 31</t>
  </si>
  <si>
    <t>2018 FEB 13</t>
  </si>
  <si>
    <t>2018 FEB 19</t>
  </si>
  <si>
    <t>2018 FEB 28</t>
  </si>
  <si>
    <t>2018 MAR 10</t>
  </si>
  <si>
    <t>2018 MAR 23</t>
  </si>
  <si>
    <t>2018 MAR 27</t>
  </si>
  <si>
    <t>2018 MAR 28</t>
  </si>
  <si>
    <t>2018 APR 6</t>
  </si>
  <si>
    <t>2018 APR 13</t>
  </si>
  <si>
    <t>2018 APR 14</t>
  </si>
  <si>
    <t>2018 APR 16</t>
  </si>
  <si>
    <t>2018 MAY 1</t>
  </si>
  <si>
    <t>2018 MAY 3</t>
  </si>
  <si>
    <t>2018 MAY 4</t>
  </si>
  <si>
    <t>2018 MAY 8</t>
  </si>
  <si>
    <t>2018 MAY 17</t>
  </si>
  <si>
    <t>2018 JUN 5</t>
  </si>
  <si>
    <t>2018 JUN 14</t>
  </si>
  <si>
    <t>2018 JUN 20</t>
  </si>
  <si>
    <t>2018 JUN 25</t>
  </si>
  <si>
    <t>2018 JUN 28</t>
  </si>
  <si>
    <t>2018 JUL 2</t>
  </si>
  <si>
    <t>2018 JUL 4</t>
  </si>
  <si>
    <t>2018 JUL 5</t>
  </si>
  <si>
    <t>2018 JUL 8</t>
  </si>
  <si>
    <t>2018 JUL 11</t>
  </si>
  <si>
    <t>2018 JUL 13</t>
  </si>
  <si>
    <t>2018 JUL 18</t>
  </si>
  <si>
    <t>2018 JUL 21</t>
  </si>
  <si>
    <t>2018 JUL 25</t>
  </si>
  <si>
    <t>2018 JUL 31</t>
  </si>
  <si>
    <t>2018 AUG 5</t>
  </si>
  <si>
    <t>2018 AUG 7</t>
  </si>
  <si>
    <t>2018 AUG 14</t>
  </si>
  <si>
    <t>2018 AUG 21</t>
  </si>
  <si>
    <t>2018 AUG 28</t>
  </si>
  <si>
    <t>2018 SEP 23</t>
  </si>
  <si>
    <t>2018 OCT 12</t>
  </si>
  <si>
    <t>2018 OCT 31</t>
  </si>
  <si>
    <t>2019 FEB 9</t>
  </si>
  <si>
    <t>2019 MAR 8</t>
  </si>
  <si>
    <t>2019 MAR 29</t>
  </si>
  <si>
    <t>2019 APR 16</t>
  </si>
  <si>
    <t>2019 APR 23</t>
  </si>
  <si>
    <t>2019 MAY 11</t>
  </si>
  <si>
    <t>2019 MAY 25</t>
  </si>
  <si>
    <t>2019 JUN 1</t>
  </si>
  <si>
    <t>2019 AUG 24</t>
  </si>
  <si>
    <t>2019 AUG 25</t>
  </si>
  <si>
    <t>2019 OCT 2</t>
  </si>
  <si>
    <t>2019 NOV 12</t>
  </si>
  <si>
    <t>2019 NOV 18</t>
  </si>
  <si>
    <t>2017 APR 28</t>
  </si>
  <si>
    <t>2017 MAY 13</t>
  </si>
  <si>
    <t>2017 MAY 27</t>
  </si>
  <si>
    <t>2017 JUN 13</t>
  </si>
  <si>
    <t>2017 JUN 26</t>
  </si>
  <si>
    <t>2017 JUL 12</t>
  </si>
  <si>
    <t>2017 JUL 26</t>
  </si>
  <si>
    <t>2017 AUG 12</t>
  </si>
  <si>
    <t>2017 AUG 26</t>
  </si>
  <si>
    <t>2017 SEP 25</t>
  </si>
  <si>
    <t>2017 OCT 26</t>
  </si>
  <si>
    <t>2017 NOV 12</t>
  </si>
  <si>
    <t>2017 DEC 12</t>
  </si>
  <si>
    <t>2017 DEC 23</t>
  </si>
  <si>
    <t>2018 JAN 10</t>
  </si>
  <si>
    <t>2018 JAN 29</t>
  </si>
  <si>
    <t>2018 FEB 20</t>
  </si>
  <si>
    <t>2018 MAR 8</t>
  </si>
  <si>
    <t>2018 MAR 21</t>
  </si>
  <si>
    <t>2018 APR 9</t>
  </si>
  <si>
    <t>2018 APR 20</t>
  </si>
  <si>
    <t>2018 MAY 10</t>
  </si>
  <si>
    <t>2018 MAY 24</t>
  </si>
  <si>
    <t>2018 JUN 9</t>
  </si>
  <si>
    <t>2018 JUN 27</t>
  </si>
  <si>
    <t>2018 JUL 12</t>
  </si>
  <si>
    <t>2018 JUL 27</t>
  </si>
  <si>
    <t>2018 AUG 10</t>
  </si>
  <si>
    <t>2018 AUG 25</t>
  </si>
  <si>
    <t>2018 SEP 10</t>
  </si>
  <si>
    <t>2018 SEP 26</t>
  </si>
  <si>
    <t>2018 OCT 10</t>
  </si>
  <si>
    <t>2018 OCT 27</t>
  </si>
  <si>
    <t>2018 NOV 11</t>
  </si>
  <si>
    <t>2018 NOV 26</t>
  </si>
  <si>
    <t>2018 DEC 10</t>
  </si>
  <si>
    <t>2018 DEC 27</t>
  </si>
  <si>
    <t>2019 JAN 11</t>
  </si>
  <si>
    <t>2019 JAN 23</t>
  </si>
  <si>
    <t>2019 FEB 13</t>
  </si>
  <si>
    <t>2019 FEB 28</t>
  </si>
  <si>
    <t>2019 MAR 24</t>
  </si>
  <si>
    <t>2019 APR 7</t>
  </si>
  <si>
    <t>2019 APR 25</t>
  </si>
  <si>
    <t>2019 MAY 10</t>
  </si>
  <si>
    <t>2019 MAY 29</t>
  </si>
  <si>
    <t>2019 JUN 12</t>
  </si>
  <si>
    <t>2019 JUN 28</t>
  </si>
  <si>
    <t>2019 JUL 14</t>
  </si>
  <si>
    <t>2019 JUL 28</t>
  </si>
  <si>
    <t>2019 AUG 15</t>
  </si>
  <si>
    <t>2019 AUG 31</t>
  </si>
  <si>
    <t>2019 SEP 16</t>
  </si>
  <si>
    <t>2019 OCT 20</t>
  </si>
  <si>
    <t>2019 NOV 2</t>
  </si>
  <si>
    <t>2019 DEC 4</t>
  </si>
  <si>
    <t>2019 DEC 25</t>
  </si>
  <si>
    <t>2020 JAN 4</t>
  </si>
  <si>
    <t>2020 FEB 1</t>
  </si>
  <si>
    <t>2020 FEB 3</t>
  </si>
  <si>
    <t>2020 APR 7</t>
  </si>
  <si>
    <t>2020 MAY 22</t>
  </si>
  <si>
    <t>2020 MAY 25</t>
  </si>
  <si>
    <t>2020 MAY 28</t>
  </si>
  <si>
    <t>2020 MAY 29</t>
  </si>
  <si>
    <t>2020 JUN 1</t>
  </si>
  <si>
    <t>2020 JUN 21</t>
  </si>
  <si>
    <t>2020 JUL 19</t>
  </si>
  <si>
    <t>2020 AUG 11</t>
  </si>
  <si>
    <t>2020 AUG 12</t>
  </si>
  <si>
    <t>2020 AUG 19</t>
  </si>
  <si>
    <t>2020 AUG 21</t>
  </si>
  <si>
    <t>2020 AUG 23</t>
  </si>
  <si>
    <t>2020 AUG 24</t>
  </si>
  <si>
    <t>2020 AUG 27</t>
  </si>
  <si>
    <t>2020 AUG 28</t>
  </si>
  <si>
    <t>2020 AUG 29</t>
  </si>
  <si>
    <t>2020 AUG 30</t>
  </si>
  <si>
    <t>2020 SEP 1</t>
  </si>
  <si>
    <t>2020 SEP 2</t>
  </si>
  <si>
    <t>2020 SEP 4</t>
  </si>
  <si>
    <t>2020 SEP 6</t>
  </si>
  <si>
    <t>2020 SEP 7</t>
  </si>
  <si>
    <t>2020 SEP 14</t>
  </si>
  <si>
    <t>2020 SEP 17</t>
  </si>
  <si>
    <t>2020 SEP 18</t>
  </si>
  <si>
    <t>2020 SEP 21</t>
  </si>
  <si>
    <t>2020 SEP 23</t>
  </si>
  <si>
    <t>2020 SEP 26</t>
  </si>
  <si>
    <t>2020 SEP 27</t>
  </si>
  <si>
    <t>2020 SEP 29</t>
  </si>
  <si>
    <t>2020 SEP 30</t>
  </si>
  <si>
    <t>2020 OCT 2</t>
  </si>
  <si>
    <t>2020 OCT 4</t>
  </si>
  <si>
    <t>2020 OCT 6</t>
  </si>
  <si>
    <t>2020 OCT 7</t>
  </si>
  <si>
    <t>2020 OCT 10</t>
  </si>
  <si>
    <t>2020 OCT 12</t>
  </si>
  <si>
    <t>2020 OCT 14</t>
  </si>
  <si>
    <t>2020 OCT 16</t>
  </si>
  <si>
    <t>2020 OCT 18</t>
  </si>
  <si>
    <t>2020 OCT 20</t>
  </si>
  <si>
    <t>2020 OCT 22</t>
  </si>
  <si>
    <t>2020 OCT 24</t>
  </si>
  <si>
    <t>2020 OCT 25</t>
  </si>
  <si>
    <t>2020 OCT 29</t>
  </si>
  <si>
    <t>2020 OCT 31</t>
  </si>
  <si>
    <t>2020 NOV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</si>
</sst>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h:m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17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3" borderId="2" xfId="0" applyFont="1" applyFill="1" applyBorder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4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1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/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5" borderId="0" xfId="0" applyFill="1"/>
    <xf numFmtId="1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0" fontId="0" fillId="0" borderId="0" xfId="0" applyAlignment="1">
      <alignment wrapText="1"/>
    </xf>
    <xf numFmtId="14" fontId="0" fillId="6" borderId="1" xfId="0" applyNumberFormat="1" applyFill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Index!$A$1</c:f>
          <c:strCache>
            <c:ptCount val="1"/>
            <c:pt idx="0">
              <c:v>BF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V!$A$1:$A$6000</c:f>
              <c:numCache>
                <c:formatCode>General</c:formatCode>
                <c:ptCount val="6000"/>
                <c:pt idx="0">
                  <c:v>2451761.6087000002</c:v>
                </c:pt>
                <c:pt idx="1">
                  <c:v>2451771.6083</c:v>
                </c:pt>
                <c:pt idx="2">
                  <c:v>2451788.6923000002</c:v>
                </c:pt>
                <c:pt idx="3">
                  <c:v>2451799.6817000001</c:v>
                </c:pt>
                <c:pt idx="4">
                  <c:v>2451804.6523000002</c:v>
                </c:pt>
                <c:pt idx="5">
                  <c:v>2451814.5761000002</c:v>
                </c:pt>
                <c:pt idx="6">
                  <c:v>2451831.6069999998</c:v>
                </c:pt>
                <c:pt idx="7">
                  <c:v>2451836.6549999998</c:v>
                </c:pt>
                <c:pt idx="8">
                  <c:v>2451842.605</c:v>
                </c:pt>
                <c:pt idx="9">
                  <c:v>2451848.6069999998</c:v>
                </c:pt>
                <c:pt idx="10">
                  <c:v>2451853.6260000002</c:v>
                </c:pt>
                <c:pt idx="11">
                  <c:v>2451864.5890000002</c:v>
                </c:pt>
                <c:pt idx="12">
                  <c:v>2452006.9810000001</c:v>
                </c:pt>
                <c:pt idx="13">
                  <c:v>2452026.9739999999</c:v>
                </c:pt>
                <c:pt idx="14">
                  <c:v>2452032.98</c:v>
                </c:pt>
                <c:pt idx="15">
                  <c:v>2452035.9530000002</c:v>
                </c:pt>
                <c:pt idx="16">
                  <c:v>2452037.9640000002</c:v>
                </c:pt>
                <c:pt idx="17">
                  <c:v>2452041.9539999999</c:v>
                </c:pt>
                <c:pt idx="18">
                  <c:v>2452053.9210000001</c:v>
                </c:pt>
                <c:pt idx="19">
                  <c:v>2452059.9240000001</c:v>
                </c:pt>
                <c:pt idx="20">
                  <c:v>2452063.9509999999</c:v>
                </c:pt>
                <c:pt idx="21">
                  <c:v>2452078.9419999998</c:v>
                </c:pt>
                <c:pt idx="22">
                  <c:v>2452085.9369999999</c:v>
                </c:pt>
                <c:pt idx="23">
                  <c:v>2452094.6469999999</c:v>
                </c:pt>
                <c:pt idx="24">
                  <c:v>2452098.9580000001</c:v>
                </c:pt>
                <c:pt idx="25">
                  <c:v>2452133.6740000001</c:v>
                </c:pt>
                <c:pt idx="26">
                  <c:v>2452141.6880000001</c:v>
                </c:pt>
                <c:pt idx="27">
                  <c:v>2452145.6609999998</c:v>
                </c:pt>
                <c:pt idx="28">
                  <c:v>2452149.6359999999</c:v>
                </c:pt>
                <c:pt idx="29">
                  <c:v>2452153.6510000001</c:v>
                </c:pt>
                <c:pt idx="30">
                  <c:v>2452158.6529999999</c:v>
                </c:pt>
                <c:pt idx="31">
                  <c:v>2452162.6329999999</c:v>
                </c:pt>
                <c:pt idx="32">
                  <c:v>2452170.5759999999</c:v>
                </c:pt>
                <c:pt idx="33">
                  <c:v>2452176.6009999998</c:v>
                </c:pt>
                <c:pt idx="34">
                  <c:v>2452180.5690000001</c:v>
                </c:pt>
                <c:pt idx="35">
                  <c:v>2452185.639</c:v>
                </c:pt>
                <c:pt idx="36">
                  <c:v>2452202.5580000002</c:v>
                </c:pt>
                <c:pt idx="37">
                  <c:v>2452206.6329999999</c:v>
                </c:pt>
                <c:pt idx="38">
                  <c:v>2452210.639</c:v>
                </c:pt>
                <c:pt idx="39">
                  <c:v>2452215.605</c:v>
                </c:pt>
                <c:pt idx="40">
                  <c:v>2452221.6129999999</c:v>
                </c:pt>
                <c:pt idx="41">
                  <c:v>2452226.6060000001</c:v>
                </c:pt>
                <c:pt idx="42">
                  <c:v>2452232.5729999999</c:v>
                </c:pt>
                <c:pt idx="43">
                  <c:v>2452318.0350000001</c:v>
                </c:pt>
                <c:pt idx="44">
                  <c:v>2452328.0099999998</c:v>
                </c:pt>
                <c:pt idx="45">
                  <c:v>2452339.9730000002</c:v>
                </c:pt>
                <c:pt idx="46">
                  <c:v>2452346.9909999999</c:v>
                </c:pt>
                <c:pt idx="47">
                  <c:v>2452358.997</c:v>
                </c:pt>
                <c:pt idx="48">
                  <c:v>2452374.0010000002</c:v>
                </c:pt>
                <c:pt idx="49">
                  <c:v>2452378.9890000001</c:v>
                </c:pt>
                <c:pt idx="50">
                  <c:v>2452383.963</c:v>
                </c:pt>
                <c:pt idx="51">
                  <c:v>2452391.9550000001</c:v>
                </c:pt>
                <c:pt idx="52">
                  <c:v>2452428.9309999999</c:v>
                </c:pt>
                <c:pt idx="53">
                  <c:v>2452433.9449999998</c:v>
                </c:pt>
                <c:pt idx="54">
                  <c:v>2452437.9449999998</c:v>
                </c:pt>
                <c:pt idx="55">
                  <c:v>2452441.6839999999</c:v>
                </c:pt>
                <c:pt idx="56">
                  <c:v>2452448.659</c:v>
                </c:pt>
                <c:pt idx="57">
                  <c:v>2452452.952</c:v>
                </c:pt>
                <c:pt idx="58">
                  <c:v>2452456.6430000002</c:v>
                </c:pt>
                <c:pt idx="59">
                  <c:v>2452461.67</c:v>
                </c:pt>
                <c:pt idx="60">
                  <c:v>2452469.6630000002</c:v>
                </c:pt>
                <c:pt idx="61">
                  <c:v>2452479.8050000002</c:v>
                </c:pt>
                <c:pt idx="62">
                  <c:v>2452487.7820000001</c:v>
                </c:pt>
                <c:pt idx="63">
                  <c:v>2452498.7480000001</c:v>
                </c:pt>
                <c:pt idx="64">
                  <c:v>2452504.7379999999</c:v>
                </c:pt>
                <c:pt idx="65">
                  <c:v>2452512.7230000002</c:v>
                </c:pt>
                <c:pt idx="66">
                  <c:v>2452535.6830000002</c:v>
                </c:pt>
                <c:pt idx="67">
                  <c:v>2452539.71</c:v>
                </c:pt>
                <c:pt idx="68">
                  <c:v>2452544.6379999998</c:v>
                </c:pt>
                <c:pt idx="69">
                  <c:v>2452549.6209999998</c:v>
                </c:pt>
                <c:pt idx="70">
                  <c:v>2452553.5890000002</c:v>
                </c:pt>
                <c:pt idx="71">
                  <c:v>2452557.591</c:v>
                </c:pt>
                <c:pt idx="72">
                  <c:v>2452566.6269999999</c:v>
                </c:pt>
                <c:pt idx="73">
                  <c:v>2452572.63</c:v>
                </c:pt>
                <c:pt idx="74">
                  <c:v>2452576.6349999998</c:v>
                </c:pt>
                <c:pt idx="75">
                  <c:v>2452580.6140000001</c:v>
                </c:pt>
                <c:pt idx="76">
                  <c:v>2452584.5959999999</c:v>
                </c:pt>
                <c:pt idx="77">
                  <c:v>2452589.5830000001</c:v>
                </c:pt>
                <c:pt idx="78">
                  <c:v>2452594.5869999998</c:v>
                </c:pt>
                <c:pt idx="79">
                  <c:v>2452597.56</c:v>
                </c:pt>
                <c:pt idx="80">
                  <c:v>2452601.5630000001</c:v>
                </c:pt>
                <c:pt idx="81">
                  <c:v>2452681.0329999998</c:v>
                </c:pt>
                <c:pt idx="82">
                  <c:v>2452700.9879999999</c:v>
                </c:pt>
                <c:pt idx="83">
                  <c:v>2452704.9649999999</c:v>
                </c:pt>
                <c:pt idx="84">
                  <c:v>2452708.9410000001</c:v>
                </c:pt>
                <c:pt idx="85">
                  <c:v>2452721.9070000001</c:v>
                </c:pt>
                <c:pt idx="86">
                  <c:v>2452724.8990000002</c:v>
                </c:pt>
                <c:pt idx="87">
                  <c:v>2452728.9019999998</c:v>
                </c:pt>
                <c:pt idx="88">
                  <c:v>2452761.8089999999</c:v>
                </c:pt>
                <c:pt idx="89">
                  <c:v>2452766.784</c:v>
                </c:pt>
                <c:pt idx="90">
                  <c:v>2452769.773</c:v>
                </c:pt>
                <c:pt idx="91">
                  <c:v>2452772.7799999998</c:v>
                </c:pt>
                <c:pt idx="92">
                  <c:v>2452777.753</c:v>
                </c:pt>
                <c:pt idx="93">
                  <c:v>2452781.7429999998</c:v>
                </c:pt>
                <c:pt idx="94">
                  <c:v>2452784.9539999999</c:v>
                </c:pt>
                <c:pt idx="95">
                  <c:v>2452787.9360000002</c:v>
                </c:pt>
                <c:pt idx="96">
                  <c:v>2452791.9300000002</c:v>
                </c:pt>
                <c:pt idx="97">
                  <c:v>2452795.9389999998</c:v>
                </c:pt>
                <c:pt idx="98">
                  <c:v>2452798.8909999998</c:v>
                </c:pt>
                <c:pt idx="99">
                  <c:v>2452801.9309999999</c:v>
                </c:pt>
                <c:pt idx="100">
                  <c:v>2452804.912</c:v>
                </c:pt>
                <c:pt idx="101">
                  <c:v>2452811.89</c:v>
                </c:pt>
                <c:pt idx="102">
                  <c:v>2452814.8960000002</c:v>
                </c:pt>
                <c:pt idx="103">
                  <c:v>2452817.8739999998</c:v>
                </c:pt>
                <c:pt idx="104">
                  <c:v>2452821.8849999998</c:v>
                </c:pt>
                <c:pt idx="105">
                  <c:v>2452829.8879999998</c:v>
                </c:pt>
                <c:pt idx="106">
                  <c:v>2452833.8739999998</c:v>
                </c:pt>
                <c:pt idx="107">
                  <c:v>2452836.889</c:v>
                </c:pt>
                <c:pt idx="108">
                  <c:v>2452839.8739999998</c:v>
                </c:pt>
                <c:pt idx="109">
                  <c:v>2452843.8829999999</c:v>
                </c:pt>
                <c:pt idx="110">
                  <c:v>2452846.8360000001</c:v>
                </c:pt>
                <c:pt idx="111">
                  <c:v>2452849.8420000002</c:v>
                </c:pt>
                <c:pt idx="112">
                  <c:v>2452852.855</c:v>
                </c:pt>
                <c:pt idx="113">
                  <c:v>2452855.8590000002</c:v>
                </c:pt>
                <c:pt idx="114">
                  <c:v>2452863.8130000001</c:v>
                </c:pt>
                <c:pt idx="115">
                  <c:v>2452871.807</c:v>
                </c:pt>
                <c:pt idx="116">
                  <c:v>2452874.8059999999</c:v>
                </c:pt>
                <c:pt idx="117">
                  <c:v>2452884.6490000002</c:v>
                </c:pt>
                <c:pt idx="118">
                  <c:v>2452887.6609999998</c:v>
                </c:pt>
                <c:pt idx="119">
                  <c:v>2452890.7749999999</c:v>
                </c:pt>
                <c:pt idx="120">
                  <c:v>2452896.7680000002</c:v>
                </c:pt>
                <c:pt idx="121">
                  <c:v>2452899.7560000001</c:v>
                </c:pt>
                <c:pt idx="122">
                  <c:v>2452902.7629999998</c:v>
                </c:pt>
                <c:pt idx="123">
                  <c:v>2452909.7420000001</c:v>
                </c:pt>
                <c:pt idx="124">
                  <c:v>2452912.733</c:v>
                </c:pt>
                <c:pt idx="125">
                  <c:v>2452918.6540000001</c:v>
                </c:pt>
                <c:pt idx="126">
                  <c:v>2452925.6529999999</c:v>
                </c:pt>
                <c:pt idx="127">
                  <c:v>2452928.6290000002</c:v>
                </c:pt>
                <c:pt idx="128">
                  <c:v>2452931.645</c:v>
                </c:pt>
                <c:pt idx="129">
                  <c:v>2452934.64</c:v>
                </c:pt>
                <c:pt idx="130">
                  <c:v>2452937.6310000001</c:v>
                </c:pt>
                <c:pt idx="131">
                  <c:v>2452940.6469999999</c:v>
                </c:pt>
                <c:pt idx="132">
                  <c:v>2452943.6409999998</c:v>
                </c:pt>
                <c:pt idx="133">
                  <c:v>2452946.6239999998</c:v>
                </c:pt>
                <c:pt idx="134">
                  <c:v>2452949.6290000002</c:v>
                </c:pt>
                <c:pt idx="135">
                  <c:v>2452952.6189999999</c:v>
                </c:pt>
                <c:pt idx="136">
                  <c:v>2452958.62</c:v>
                </c:pt>
                <c:pt idx="137">
                  <c:v>2452963.608</c:v>
                </c:pt>
                <c:pt idx="138">
                  <c:v>2452970.5839999998</c:v>
                </c:pt>
                <c:pt idx="139">
                  <c:v>2452974.58</c:v>
                </c:pt>
                <c:pt idx="140">
                  <c:v>2452978.5630000001</c:v>
                </c:pt>
                <c:pt idx="141">
                  <c:v>2453063.0131000001</c:v>
                </c:pt>
                <c:pt idx="142">
                  <c:v>2453081.0025999998</c:v>
                </c:pt>
                <c:pt idx="143">
                  <c:v>2453083.9855</c:v>
                </c:pt>
                <c:pt idx="144">
                  <c:v>2453091.9273999999</c:v>
                </c:pt>
                <c:pt idx="145">
                  <c:v>2453094.9509999999</c:v>
                </c:pt>
                <c:pt idx="146">
                  <c:v>2453102.98</c:v>
                </c:pt>
                <c:pt idx="147">
                  <c:v>2453116.9599000001</c:v>
                </c:pt>
                <c:pt idx="148">
                  <c:v>2453126.8472000002</c:v>
                </c:pt>
                <c:pt idx="149">
                  <c:v>2453129.8372</c:v>
                </c:pt>
                <c:pt idx="150">
                  <c:v>2453132.838</c:v>
                </c:pt>
                <c:pt idx="151">
                  <c:v>2453135.9306000001</c:v>
                </c:pt>
                <c:pt idx="152">
                  <c:v>2453139.8070999999</c:v>
                </c:pt>
                <c:pt idx="153">
                  <c:v>2453143.8015000001</c:v>
                </c:pt>
                <c:pt idx="154">
                  <c:v>2453147.8311999999</c:v>
                </c:pt>
                <c:pt idx="155">
                  <c:v>2453153.8286000001</c:v>
                </c:pt>
                <c:pt idx="156">
                  <c:v>2453157.8302000002</c:v>
                </c:pt>
                <c:pt idx="157">
                  <c:v>2453162.7796</c:v>
                </c:pt>
                <c:pt idx="158">
                  <c:v>2453166.781</c:v>
                </c:pt>
                <c:pt idx="159">
                  <c:v>2453171.8594999998</c:v>
                </c:pt>
                <c:pt idx="160">
                  <c:v>2453186.9484000001</c:v>
                </c:pt>
                <c:pt idx="161">
                  <c:v>2453190.7707000002</c:v>
                </c:pt>
                <c:pt idx="162">
                  <c:v>2453194.7592000002</c:v>
                </c:pt>
                <c:pt idx="163">
                  <c:v>2453201.9238999998</c:v>
                </c:pt>
                <c:pt idx="164">
                  <c:v>2453215.8791999999</c:v>
                </c:pt>
                <c:pt idx="165">
                  <c:v>2453219.8163200002</c:v>
                </c:pt>
                <c:pt idx="166">
                  <c:v>2453221.8119999999</c:v>
                </c:pt>
                <c:pt idx="167">
                  <c:v>2453225.8420000002</c:v>
                </c:pt>
                <c:pt idx="168">
                  <c:v>2453237.8424</c:v>
                </c:pt>
                <c:pt idx="169">
                  <c:v>2453241.8026000001</c:v>
                </c:pt>
                <c:pt idx="170">
                  <c:v>2453245.8139</c:v>
                </c:pt>
                <c:pt idx="171">
                  <c:v>2453251.7801999999</c:v>
                </c:pt>
                <c:pt idx="172">
                  <c:v>2453256.7667</c:v>
                </c:pt>
                <c:pt idx="173">
                  <c:v>2453260.7549000001</c:v>
                </c:pt>
                <c:pt idx="174">
                  <c:v>2453264.7458000001</c:v>
                </c:pt>
                <c:pt idx="175">
                  <c:v>2453270.7459</c:v>
                </c:pt>
                <c:pt idx="176">
                  <c:v>2453273.6343999999</c:v>
                </c:pt>
                <c:pt idx="177">
                  <c:v>2453276.7327000001</c:v>
                </c:pt>
                <c:pt idx="178">
                  <c:v>2453286.7220000001</c:v>
                </c:pt>
                <c:pt idx="179">
                  <c:v>2453291.7074000002</c:v>
                </c:pt>
                <c:pt idx="180">
                  <c:v>2453295.6943000001</c:v>
                </c:pt>
                <c:pt idx="181">
                  <c:v>2453299.6825999999</c:v>
                </c:pt>
                <c:pt idx="182">
                  <c:v>2453307.6677000001</c:v>
                </c:pt>
                <c:pt idx="183">
                  <c:v>2453319.6732700001</c:v>
                </c:pt>
                <c:pt idx="184">
                  <c:v>2453329.4991000001</c:v>
                </c:pt>
                <c:pt idx="185">
                  <c:v>2453439.9599000001</c:v>
                </c:pt>
                <c:pt idx="186">
                  <c:v>2453459.8997</c:v>
                </c:pt>
                <c:pt idx="187">
                  <c:v>2453472.8684</c:v>
                </c:pt>
                <c:pt idx="188">
                  <c:v>2453476.8583999998</c:v>
                </c:pt>
                <c:pt idx="189">
                  <c:v>2453481.8404000001</c:v>
                </c:pt>
                <c:pt idx="190">
                  <c:v>2453487.8527500001</c:v>
                </c:pt>
                <c:pt idx="191">
                  <c:v>2453496.8276800001</c:v>
                </c:pt>
                <c:pt idx="192">
                  <c:v>2453500.7949999999</c:v>
                </c:pt>
                <c:pt idx="193">
                  <c:v>2453504.1924200002</c:v>
                </c:pt>
                <c:pt idx="194">
                  <c:v>2453508.7653000001</c:v>
                </c:pt>
                <c:pt idx="195">
                  <c:v>2453510.7993200002</c:v>
                </c:pt>
                <c:pt idx="196">
                  <c:v>2453512.49486</c:v>
                </c:pt>
                <c:pt idx="197">
                  <c:v>2453520.7497999999</c:v>
                </c:pt>
                <c:pt idx="198">
                  <c:v>2453521.3708299999</c:v>
                </c:pt>
                <c:pt idx="199">
                  <c:v>2453526.7938799998</c:v>
                </c:pt>
                <c:pt idx="200">
                  <c:v>2453527.7948500002</c:v>
                </c:pt>
                <c:pt idx="201">
                  <c:v>2453530.7541</c:v>
                </c:pt>
                <c:pt idx="202">
                  <c:v>2453535.2913700002</c:v>
                </c:pt>
                <c:pt idx="203">
                  <c:v>2453536.7266299999</c:v>
                </c:pt>
                <c:pt idx="204">
                  <c:v>2453539.80063</c:v>
                </c:pt>
                <c:pt idx="205">
                  <c:v>2453551.8865</c:v>
                </c:pt>
                <c:pt idx="206">
                  <c:v>2453556.8577999999</c:v>
                </c:pt>
                <c:pt idx="207">
                  <c:v>2453564.8261000002</c:v>
                </c:pt>
                <c:pt idx="208">
                  <c:v>2453572.8953999998</c:v>
                </c:pt>
                <c:pt idx="209">
                  <c:v>2453576.9286000002</c:v>
                </c:pt>
                <c:pt idx="210">
                  <c:v>2453584.7710000002</c:v>
                </c:pt>
                <c:pt idx="211">
                  <c:v>2453592.8339</c:v>
                </c:pt>
                <c:pt idx="212">
                  <c:v>2453603.8256000001</c:v>
                </c:pt>
                <c:pt idx="213">
                  <c:v>2453607.8173000002</c:v>
                </c:pt>
                <c:pt idx="214">
                  <c:v>2453611.8232</c:v>
                </c:pt>
                <c:pt idx="215">
                  <c:v>2453622.7779999999</c:v>
                </c:pt>
                <c:pt idx="216">
                  <c:v>2453626.7979000001</c:v>
                </c:pt>
                <c:pt idx="217">
                  <c:v>2453631.2634000001</c:v>
                </c:pt>
                <c:pt idx="218">
                  <c:v>2453644.7176000001</c:v>
                </c:pt>
                <c:pt idx="219">
                  <c:v>2453648.7472999999</c:v>
                </c:pt>
                <c:pt idx="220">
                  <c:v>2453651.32705</c:v>
                </c:pt>
                <c:pt idx="221">
                  <c:v>2453661.6954999999</c:v>
                </c:pt>
                <c:pt idx="222">
                  <c:v>2453666.6853999998</c:v>
                </c:pt>
                <c:pt idx="223">
                  <c:v>2453670.6847999999</c:v>
                </c:pt>
                <c:pt idx="224">
                  <c:v>2453674.6812999998</c:v>
                </c:pt>
                <c:pt idx="225">
                  <c:v>2453679.6608000002</c:v>
                </c:pt>
                <c:pt idx="226">
                  <c:v>2453695.58849</c:v>
                </c:pt>
                <c:pt idx="227">
                  <c:v>2453788.0145999999</c:v>
                </c:pt>
                <c:pt idx="228">
                  <c:v>2453793.9972000001</c:v>
                </c:pt>
                <c:pt idx="229">
                  <c:v>2453797.9904999998</c:v>
                </c:pt>
                <c:pt idx="230">
                  <c:v>2453805.6153799999</c:v>
                </c:pt>
                <c:pt idx="231">
                  <c:v>2453808.9564</c:v>
                </c:pt>
                <c:pt idx="232">
                  <c:v>2453816.9445000002</c:v>
                </c:pt>
                <c:pt idx="233">
                  <c:v>2453820.9273999999</c:v>
                </c:pt>
                <c:pt idx="234">
                  <c:v>2453823.5776999998</c:v>
                </c:pt>
                <c:pt idx="235">
                  <c:v>2453824.9172999999</c:v>
                </c:pt>
                <c:pt idx="236">
                  <c:v>2453833.8961</c:v>
                </c:pt>
                <c:pt idx="237">
                  <c:v>2453838.8840999999</c:v>
                </c:pt>
                <c:pt idx="238">
                  <c:v>2453842.9197</c:v>
                </c:pt>
                <c:pt idx="239">
                  <c:v>2453846.8643</c:v>
                </c:pt>
                <c:pt idx="240">
                  <c:v>2453848.5142000001</c:v>
                </c:pt>
                <c:pt idx="241">
                  <c:v>2453849.5680999998</c:v>
                </c:pt>
                <c:pt idx="242">
                  <c:v>2453851.8354000002</c:v>
                </c:pt>
                <c:pt idx="243">
                  <c:v>2453855.8404999999</c:v>
                </c:pt>
                <c:pt idx="244">
                  <c:v>2453860.8166999999</c:v>
                </c:pt>
                <c:pt idx="245">
                  <c:v>2453864.7993000001</c:v>
                </c:pt>
                <c:pt idx="246">
                  <c:v>2453867.4890000001</c:v>
                </c:pt>
                <c:pt idx="247">
                  <c:v>2453869.7913000002</c:v>
                </c:pt>
                <c:pt idx="248">
                  <c:v>2453874.7952999999</c:v>
                </c:pt>
                <c:pt idx="249">
                  <c:v>2453878.7702000001</c:v>
                </c:pt>
                <c:pt idx="250">
                  <c:v>2453883.1784999999</c:v>
                </c:pt>
                <c:pt idx="251">
                  <c:v>2453886.8018999998</c:v>
                </c:pt>
                <c:pt idx="252">
                  <c:v>2453890.7189500001</c:v>
                </c:pt>
                <c:pt idx="253">
                  <c:v>2453897.8464000002</c:v>
                </c:pt>
                <c:pt idx="254">
                  <c:v>2453899.5299</c:v>
                </c:pt>
                <c:pt idx="255">
                  <c:v>2453902.8906</c:v>
                </c:pt>
                <c:pt idx="256">
                  <c:v>2453915.8786999998</c:v>
                </c:pt>
                <c:pt idx="257">
                  <c:v>2453919.8741000001</c:v>
                </c:pt>
                <c:pt idx="258">
                  <c:v>2453927.8443999998</c:v>
                </c:pt>
                <c:pt idx="259">
                  <c:v>2453933.8339</c:v>
                </c:pt>
                <c:pt idx="260">
                  <c:v>2453937.8103</c:v>
                </c:pt>
                <c:pt idx="261">
                  <c:v>2453955.8124899999</c:v>
                </c:pt>
                <c:pt idx="262">
                  <c:v>2453962.85561</c:v>
                </c:pt>
                <c:pt idx="263">
                  <c:v>2453964.79268</c:v>
                </c:pt>
                <c:pt idx="264">
                  <c:v>2453967.75826</c:v>
                </c:pt>
                <c:pt idx="265">
                  <c:v>2453969.1334799998</c:v>
                </c:pt>
                <c:pt idx="266">
                  <c:v>2453970.7588</c:v>
                </c:pt>
                <c:pt idx="267">
                  <c:v>2453975.1195499999</c:v>
                </c:pt>
                <c:pt idx="268">
                  <c:v>2453977.37947</c:v>
                </c:pt>
                <c:pt idx="269">
                  <c:v>2453979.8227400002</c:v>
                </c:pt>
                <c:pt idx="270">
                  <c:v>2453985.7941999999</c:v>
                </c:pt>
                <c:pt idx="271">
                  <c:v>2453989.5743</c:v>
                </c:pt>
                <c:pt idx="272">
                  <c:v>2453991.3206000002</c:v>
                </c:pt>
                <c:pt idx="273">
                  <c:v>2453993.7785</c:v>
                </c:pt>
                <c:pt idx="274">
                  <c:v>2453997.7590999999</c:v>
                </c:pt>
                <c:pt idx="275">
                  <c:v>2453998.80394</c:v>
                </c:pt>
                <c:pt idx="276">
                  <c:v>2454001.7549999999</c:v>
                </c:pt>
                <c:pt idx="277">
                  <c:v>2454005.7675999999</c:v>
                </c:pt>
                <c:pt idx="278">
                  <c:v>2454009.7599999998</c:v>
                </c:pt>
                <c:pt idx="279">
                  <c:v>2454019.2999</c:v>
                </c:pt>
                <c:pt idx="280">
                  <c:v>2454020.7445299998</c:v>
                </c:pt>
                <c:pt idx="281">
                  <c:v>2454024.2423999999</c:v>
                </c:pt>
                <c:pt idx="282">
                  <c:v>2454041.6855000001</c:v>
                </c:pt>
                <c:pt idx="283">
                  <c:v>2454045.6723000002</c:v>
                </c:pt>
                <c:pt idx="284">
                  <c:v>2454049.6606999999</c:v>
                </c:pt>
                <c:pt idx="285">
                  <c:v>2454053.6603000001</c:v>
                </c:pt>
                <c:pt idx="286">
                  <c:v>2454056.6206</c:v>
                </c:pt>
                <c:pt idx="287">
                  <c:v>2454063.6463000001</c:v>
                </c:pt>
                <c:pt idx="288">
                  <c:v>2454104.5464400002</c:v>
                </c:pt>
                <c:pt idx="289">
                  <c:v>2454153.0199000002</c:v>
                </c:pt>
                <c:pt idx="290">
                  <c:v>2454158.0074999998</c:v>
                </c:pt>
                <c:pt idx="291">
                  <c:v>2454162.9948</c:v>
                </c:pt>
                <c:pt idx="292">
                  <c:v>2454166.9874999998</c:v>
                </c:pt>
                <c:pt idx="293">
                  <c:v>2454171.9657000001</c:v>
                </c:pt>
                <c:pt idx="294">
                  <c:v>2454175.9547000001</c:v>
                </c:pt>
                <c:pt idx="295">
                  <c:v>2454179.4637099998</c:v>
                </c:pt>
                <c:pt idx="296">
                  <c:v>2454185.9286000002</c:v>
                </c:pt>
                <c:pt idx="297">
                  <c:v>2454189.9202000001</c:v>
                </c:pt>
                <c:pt idx="298">
                  <c:v>2454193.9053000002</c:v>
                </c:pt>
                <c:pt idx="299">
                  <c:v>2454205.8820000002</c:v>
                </c:pt>
                <c:pt idx="300">
                  <c:v>2454209.8834000002</c:v>
                </c:pt>
                <c:pt idx="301">
                  <c:v>2454214.5797000001</c:v>
                </c:pt>
                <c:pt idx="302">
                  <c:v>2454217.8424999998</c:v>
                </c:pt>
                <c:pt idx="303">
                  <c:v>2454224.8149999999</c:v>
                </c:pt>
                <c:pt idx="304">
                  <c:v>2454230.8048999999</c:v>
                </c:pt>
                <c:pt idx="305">
                  <c:v>2454234.7892999998</c:v>
                </c:pt>
                <c:pt idx="306">
                  <c:v>2454239.5115999999</c:v>
                </c:pt>
                <c:pt idx="307">
                  <c:v>2454243.6557999998</c:v>
                </c:pt>
                <c:pt idx="308">
                  <c:v>2454244.9336000001</c:v>
                </c:pt>
                <c:pt idx="309">
                  <c:v>2454246.6264999998</c:v>
                </c:pt>
                <c:pt idx="310">
                  <c:v>2454249.9213999999</c:v>
                </c:pt>
                <c:pt idx="311">
                  <c:v>2454253.78682</c:v>
                </c:pt>
                <c:pt idx="312">
                  <c:v>2454256.8150499999</c:v>
                </c:pt>
                <c:pt idx="313">
                  <c:v>2454257.9177000001</c:v>
                </c:pt>
                <c:pt idx="314">
                  <c:v>2454265.2826</c:v>
                </c:pt>
                <c:pt idx="315">
                  <c:v>2454269.8901999998</c:v>
                </c:pt>
                <c:pt idx="316">
                  <c:v>2454273.9024</c:v>
                </c:pt>
                <c:pt idx="317">
                  <c:v>2454277.8703000001</c:v>
                </c:pt>
                <c:pt idx="318">
                  <c:v>2454283.5510999998</c:v>
                </c:pt>
                <c:pt idx="319">
                  <c:v>2454285.9572000001</c:v>
                </c:pt>
                <c:pt idx="320">
                  <c:v>2454288.6</c:v>
                </c:pt>
                <c:pt idx="321">
                  <c:v>2454289.6518999999</c:v>
                </c:pt>
                <c:pt idx="322">
                  <c:v>2454295.4358999999</c:v>
                </c:pt>
                <c:pt idx="323">
                  <c:v>2454297.5195499999</c:v>
                </c:pt>
                <c:pt idx="324">
                  <c:v>2454299.0065000001</c:v>
                </c:pt>
                <c:pt idx="325">
                  <c:v>2454301.0698500001</c:v>
                </c:pt>
                <c:pt idx="326">
                  <c:v>2454302.8075999999</c:v>
                </c:pt>
                <c:pt idx="327">
                  <c:v>2454304.72389</c:v>
                </c:pt>
                <c:pt idx="328">
                  <c:v>2454306.3834699998</c:v>
                </c:pt>
                <c:pt idx="329">
                  <c:v>2454308.03155</c:v>
                </c:pt>
                <c:pt idx="330">
                  <c:v>2454309.2968899999</c:v>
                </c:pt>
                <c:pt idx="331">
                  <c:v>2454313.5482999999</c:v>
                </c:pt>
                <c:pt idx="332">
                  <c:v>2454314.6044999999</c:v>
                </c:pt>
                <c:pt idx="333">
                  <c:v>2454316.2202499998</c:v>
                </c:pt>
                <c:pt idx="334">
                  <c:v>2454318.0814999999</c:v>
                </c:pt>
                <c:pt idx="335">
                  <c:v>2454319.415</c:v>
                </c:pt>
                <c:pt idx="336">
                  <c:v>2454323.8834000002</c:v>
                </c:pt>
                <c:pt idx="337">
                  <c:v>2454328.44166</c:v>
                </c:pt>
                <c:pt idx="338">
                  <c:v>2454332.2013500002</c:v>
                </c:pt>
                <c:pt idx="339">
                  <c:v>2454335.5548999999</c:v>
                </c:pt>
                <c:pt idx="340">
                  <c:v>2454337.2012999998</c:v>
                </c:pt>
                <c:pt idx="341">
                  <c:v>2454339.6904000002</c:v>
                </c:pt>
                <c:pt idx="342">
                  <c:v>2454341.7976199999</c:v>
                </c:pt>
                <c:pt idx="343">
                  <c:v>2454343.8465</c:v>
                </c:pt>
                <c:pt idx="344">
                  <c:v>2454347.9512999998</c:v>
                </c:pt>
                <c:pt idx="345">
                  <c:v>2454349.5093</c:v>
                </c:pt>
                <c:pt idx="346">
                  <c:v>2454350.5745999999</c:v>
                </c:pt>
                <c:pt idx="347">
                  <c:v>2454355.7911</c:v>
                </c:pt>
                <c:pt idx="348">
                  <c:v>2454359.7925</c:v>
                </c:pt>
                <c:pt idx="349">
                  <c:v>2454363.4619</c:v>
                </c:pt>
                <c:pt idx="350">
                  <c:v>2454367.4273999999</c:v>
                </c:pt>
                <c:pt idx="351">
                  <c:v>2454368.7483299999</c:v>
                </c:pt>
                <c:pt idx="352">
                  <c:v>2454369.7683999999</c:v>
                </c:pt>
                <c:pt idx="353">
                  <c:v>2454374.2796700001</c:v>
                </c:pt>
                <c:pt idx="354">
                  <c:v>2454377.4509000001</c:v>
                </c:pt>
                <c:pt idx="355">
                  <c:v>2454378.6560200001</c:v>
                </c:pt>
                <c:pt idx="356">
                  <c:v>2454379.7371999999</c:v>
                </c:pt>
                <c:pt idx="357">
                  <c:v>2454383.7303999998</c:v>
                </c:pt>
                <c:pt idx="358">
                  <c:v>2454385.3034999999</c:v>
                </c:pt>
                <c:pt idx="359">
                  <c:v>2454390.4079999998</c:v>
                </c:pt>
                <c:pt idx="360">
                  <c:v>2454392.1570899999</c:v>
                </c:pt>
                <c:pt idx="361">
                  <c:v>2454395.3325999998</c:v>
                </c:pt>
                <c:pt idx="362">
                  <c:v>2454396.6844000001</c:v>
                </c:pt>
                <c:pt idx="363">
                  <c:v>2454400.6823</c:v>
                </c:pt>
                <c:pt idx="364">
                  <c:v>2454404.57663</c:v>
                </c:pt>
                <c:pt idx="365">
                  <c:v>2454409.0220499998</c:v>
                </c:pt>
                <c:pt idx="366">
                  <c:v>2454412.6691000001</c:v>
                </c:pt>
                <c:pt idx="367">
                  <c:v>2454416.6543999999</c:v>
                </c:pt>
                <c:pt idx="368">
                  <c:v>2454420.5870400001</c:v>
                </c:pt>
                <c:pt idx="369">
                  <c:v>2454423.6513</c:v>
                </c:pt>
                <c:pt idx="370">
                  <c:v>2454510.0304</c:v>
                </c:pt>
                <c:pt idx="371">
                  <c:v>2454521.99872</c:v>
                </c:pt>
                <c:pt idx="372">
                  <c:v>2454525.9840199999</c:v>
                </c:pt>
                <c:pt idx="373">
                  <c:v>2454529.9895100002</c:v>
                </c:pt>
                <c:pt idx="374">
                  <c:v>2454533.9619700001</c:v>
                </c:pt>
                <c:pt idx="375">
                  <c:v>2454537.96392</c:v>
                </c:pt>
                <c:pt idx="376">
                  <c:v>2454543.9354900001</c:v>
                </c:pt>
                <c:pt idx="377">
                  <c:v>2454547.9358999999</c:v>
                </c:pt>
                <c:pt idx="378">
                  <c:v>2454551.9379199999</c:v>
                </c:pt>
                <c:pt idx="379">
                  <c:v>2454556.5525000002</c:v>
                </c:pt>
                <c:pt idx="380">
                  <c:v>2454561.2883299999</c:v>
                </c:pt>
                <c:pt idx="381">
                  <c:v>2454565.84778</c:v>
                </c:pt>
                <c:pt idx="382">
                  <c:v>2454569.3937300001</c:v>
                </c:pt>
                <c:pt idx="383">
                  <c:v>2454573.8552799998</c:v>
                </c:pt>
                <c:pt idx="384">
                  <c:v>2454577.9334100001</c:v>
                </c:pt>
                <c:pt idx="385">
                  <c:v>2454581.9441300002</c:v>
                </c:pt>
                <c:pt idx="386">
                  <c:v>2454585.8648799998</c:v>
                </c:pt>
                <c:pt idx="387">
                  <c:v>2454589.8675299999</c:v>
                </c:pt>
                <c:pt idx="388">
                  <c:v>2454594.9441</c:v>
                </c:pt>
                <c:pt idx="389">
                  <c:v>2454596.85513</c:v>
                </c:pt>
                <c:pt idx="390">
                  <c:v>2454605.90943</c:v>
                </c:pt>
                <c:pt idx="391">
                  <c:v>2454610.8580200002</c:v>
                </c:pt>
                <c:pt idx="392">
                  <c:v>2454614.8914600001</c:v>
                </c:pt>
                <c:pt idx="393">
                  <c:v>2454618.84087</c:v>
                </c:pt>
                <c:pt idx="394">
                  <c:v>2454621.7570500001</c:v>
                </c:pt>
                <c:pt idx="395">
                  <c:v>2454623.8385800002</c:v>
                </c:pt>
                <c:pt idx="396">
                  <c:v>2454627.8442500001</c:v>
                </c:pt>
                <c:pt idx="397">
                  <c:v>2454630.7821999998</c:v>
                </c:pt>
                <c:pt idx="398">
                  <c:v>2454631.83506</c:v>
                </c:pt>
                <c:pt idx="399">
                  <c:v>2454635.8933999999</c:v>
                </c:pt>
                <c:pt idx="400">
                  <c:v>2454643.7189500001</c:v>
                </c:pt>
                <c:pt idx="401">
                  <c:v>2454649.6243799999</c:v>
                </c:pt>
                <c:pt idx="402">
                  <c:v>2454651.9784499998</c:v>
                </c:pt>
                <c:pt idx="403">
                  <c:v>2454660.6409999998</c:v>
                </c:pt>
                <c:pt idx="404">
                  <c:v>2454662.5375000001</c:v>
                </c:pt>
                <c:pt idx="405">
                  <c:v>2454663.6057199999</c:v>
                </c:pt>
                <c:pt idx="406">
                  <c:v>2454666.4201400001</c:v>
                </c:pt>
                <c:pt idx="407">
                  <c:v>2454674.0327599999</c:v>
                </c:pt>
                <c:pt idx="408">
                  <c:v>2454675.5281400001</c:v>
                </c:pt>
                <c:pt idx="409">
                  <c:v>2454676.9714799998</c:v>
                </c:pt>
                <c:pt idx="410">
                  <c:v>2454678.0411299998</c:v>
                </c:pt>
                <c:pt idx="411">
                  <c:v>2454679.5191799998</c:v>
                </c:pt>
                <c:pt idx="412">
                  <c:v>2454696.4706299999</c:v>
                </c:pt>
                <c:pt idx="413">
                  <c:v>2454699.61809</c:v>
                </c:pt>
                <c:pt idx="414">
                  <c:v>2454700.7648399998</c:v>
                </c:pt>
                <c:pt idx="415">
                  <c:v>2454708.9384900001</c:v>
                </c:pt>
                <c:pt idx="416">
                  <c:v>2454710.6571900002</c:v>
                </c:pt>
                <c:pt idx="417">
                  <c:v>2454711.7587600001</c:v>
                </c:pt>
                <c:pt idx="418">
                  <c:v>2454715.72034</c:v>
                </c:pt>
                <c:pt idx="419">
                  <c:v>2454719.6348100002</c:v>
                </c:pt>
                <c:pt idx="420">
                  <c:v>2454722.41035</c:v>
                </c:pt>
                <c:pt idx="421">
                  <c:v>2454723.7085099998</c:v>
                </c:pt>
                <c:pt idx="422">
                  <c:v>2454728.0648099999</c:v>
                </c:pt>
                <c:pt idx="423">
                  <c:v>2454729.4276000001</c:v>
                </c:pt>
                <c:pt idx="424">
                  <c:v>2454730.8305100002</c:v>
                </c:pt>
                <c:pt idx="425">
                  <c:v>2454731.6489200001</c:v>
                </c:pt>
                <c:pt idx="426">
                  <c:v>2454733.2977700001</c:v>
                </c:pt>
                <c:pt idx="427">
                  <c:v>2454734.5340999998</c:v>
                </c:pt>
                <c:pt idx="428">
                  <c:v>2454735.6270599999</c:v>
                </c:pt>
                <c:pt idx="429">
                  <c:v>2454737.68768</c:v>
                </c:pt>
                <c:pt idx="430">
                  <c:v>2454748.9725199998</c:v>
                </c:pt>
                <c:pt idx="431">
                  <c:v>2454749.5733099999</c:v>
                </c:pt>
                <c:pt idx="432">
                  <c:v>2454752.65698</c:v>
                </c:pt>
                <c:pt idx="433">
                  <c:v>2454754.5087000001</c:v>
                </c:pt>
                <c:pt idx="434">
                  <c:v>2454755.6808099998</c:v>
                </c:pt>
                <c:pt idx="435">
                  <c:v>2454759.02881</c:v>
                </c:pt>
                <c:pt idx="436">
                  <c:v>2454761.66127</c:v>
                </c:pt>
                <c:pt idx="437">
                  <c:v>2454764.30645</c:v>
                </c:pt>
                <c:pt idx="438">
                  <c:v>2454768.2280999999</c:v>
                </c:pt>
                <c:pt idx="439">
                  <c:v>2454769.6310100001</c:v>
                </c:pt>
                <c:pt idx="440">
                  <c:v>2454771.96949</c:v>
                </c:pt>
                <c:pt idx="441">
                  <c:v>2454774.5847200002</c:v>
                </c:pt>
                <c:pt idx="442">
                  <c:v>2454777.65282</c:v>
                </c:pt>
                <c:pt idx="443">
                  <c:v>2454781.6461</c:v>
                </c:pt>
                <c:pt idx="444">
                  <c:v>2454787.6311699999</c:v>
                </c:pt>
                <c:pt idx="445">
                  <c:v>2454791.5832099998</c:v>
                </c:pt>
                <c:pt idx="446">
                  <c:v>2454795.1930800001</c:v>
                </c:pt>
                <c:pt idx="447">
                  <c:v>2454799.1966200001</c:v>
                </c:pt>
                <c:pt idx="448">
                  <c:v>2454824.1403100002</c:v>
                </c:pt>
                <c:pt idx="449">
                  <c:v>2454906.9835799998</c:v>
                </c:pt>
                <c:pt idx="450">
                  <c:v>2454914.9765599999</c:v>
                </c:pt>
                <c:pt idx="451">
                  <c:v>2454930.9386</c:v>
                </c:pt>
                <c:pt idx="452">
                  <c:v>2454952.6049000002</c:v>
                </c:pt>
                <c:pt idx="453">
                  <c:v>2454971.5647999998</c:v>
                </c:pt>
                <c:pt idx="454">
                  <c:v>2454975.88747</c:v>
                </c:pt>
                <c:pt idx="455">
                  <c:v>2454977.0562399998</c:v>
                </c:pt>
                <c:pt idx="456">
                  <c:v>2454981.5511500002</c:v>
                </c:pt>
                <c:pt idx="457">
                  <c:v>2454982.5569600002</c:v>
                </c:pt>
                <c:pt idx="458">
                  <c:v>2454983.5577799999</c:v>
                </c:pt>
                <c:pt idx="459">
                  <c:v>2454985.4619999998</c:v>
                </c:pt>
                <c:pt idx="460">
                  <c:v>2455007.7550300001</c:v>
                </c:pt>
                <c:pt idx="461">
                  <c:v>2455011.6991099999</c:v>
                </c:pt>
                <c:pt idx="462">
                  <c:v>2455019.6555499998</c:v>
                </c:pt>
                <c:pt idx="463">
                  <c:v>2455021.4345999998</c:v>
                </c:pt>
                <c:pt idx="464">
                  <c:v>2455024.0323100002</c:v>
                </c:pt>
                <c:pt idx="465">
                  <c:v>2455025.71985</c:v>
                </c:pt>
                <c:pt idx="466">
                  <c:v>2455026.6181399999</c:v>
                </c:pt>
                <c:pt idx="467">
                  <c:v>2455028.6496799998</c:v>
                </c:pt>
                <c:pt idx="468">
                  <c:v>2455033.6205000002</c:v>
                </c:pt>
                <c:pt idx="469">
                  <c:v>2455035.48385</c:v>
                </c:pt>
                <c:pt idx="470">
                  <c:v>2455039.8019300001</c:v>
                </c:pt>
                <c:pt idx="471">
                  <c:v>2455042.4358299999</c:v>
                </c:pt>
                <c:pt idx="472">
                  <c:v>2455043.6671799999</c:v>
                </c:pt>
                <c:pt idx="473">
                  <c:v>2455044.6403100002</c:v>
                </c:pt>
                <c:pt idx="474">
                  <c:v>2455049.9234699998</c:v>
                </c:pt>
                <c:pt idx="475">
                  <c:v>2455051.41444</c:v>
                </c:pt>
                <c:pt idx="476">
                  <c:v>2455053.409</c:v>
                </c:pt>
                <c:pt idx="477">
                  <c:v>2455054.4126300002</c:v>
                </c:pt>
                <c:pt idx="478">
                  <c:v>2455055.5041700001</c:v>
                </c:pt>
                <c:pt idx="479">
                  <c:v>2455059.7414699998</c:v>
                </c:pt>
                <c:pt idx="480">
                  <c:v>2455062.3873399999</c:v>
                </c:pt>
                <c:pt idx="481">
                  <c:v>2455063.8842099998</c:v>
                </c:pt>
                <c:pt idx="482">
                  <c:v>2455066.3812699998</c:v>
                </c:pt>
                <c:pt idx="483">
                  <c:v>2455067.5008700001</c:v>
                </c:pt>
                <c:pt idx="484">
                  <c:v>2455071.0380000002</c:v>
                </c:pt>
                <c:pt idx="485">
                  <c:v>2455072.5320000001</c:v>
                </c:pt>
                <c:pt idx="486">
                  <c:v>2455073.5329999998</c:v>
                </c:pt>
                <c:pt idx="487">
                  <c:v>2455076.7650899999</c:v>
                </c:pt>
                <c:pt idx="488">
                  <c:v>2455080.2185</c:v>
                </c:pt>
                <c:pt idx="489">
                  <c:v>2455086.4622</c:v>
                </c:pt>
                <c:pt idx="490">
                  <c:v>2455088.3262399998</c:v>
                </c:pt>
                <c:pt idx="491">
                  <c:v>2455089.32663</c:v>
                </c:pt>
                <c:pt idx="492">
                  <c:v>2455091.06495</c:v>
                </c:pt>
                <c:pt idx="493">
                  <c:v>2455093.8146600001</c:v>
                </c:pt>
                <c:pt idx="494">
                  <c:v>2455094.9646800002</c:v>
                </c:pt>
                <c:pt idx="495">
                  <c:v>2455096.5804499998</c:v>
                </c:pt>
                <c:pt idx="496">
                  <c:v>2455100.9455900001</c:v>
                </c:pt>
                <c:pt idx="497">
                  <c:v>2455102.2949299999</c:v>
                </c:pt>
                <c:pt idx="498">
                  <c:v>2455104.2876499998</c:v>
                </c:pt>
                <c:pt idx="499">
                  <c:v>2455107.2720300001</c:v>
                </c:pt>
                <c:pt idx="500">
                  <c:v>2455122.2626</c:v>
                </c:pt>
                <c:pt idx="501">
                  <c:v>2455128.2993100001</c:v>
                </c:pt>
                <c:pt idx="502">
                  <c:v>2455131.7201</c:v>
                </c:pt>
                <c:pt idx="503">
                  <c:v>2455157.1656300002</c:v>
                </c:pt>
                <c:pt idx="504">
                  <c:v>2455166.2794499998</c:v>
                </c:pt>
                <c:pt idx="505">
                  <c:v>2455172.2553099999</c:v>
                </c:pt>
                <c:pt idx="506">
                  <c:v>2455178.7572599999</c:v>
                </c:pt>
                <c:pt idx="507">
                  <c:v>2455183.24994</c:v>
                </c:pt>
                <c:pt idx="508">
                  <c:v>2455184.2500399998</c:v>
                </c:pt>
                <c:pt idx="509">
                  <c:v>2455186.2502100002</c:v>
                </c:pt>
                <c:pt idx="510">
                  <c:v>2455188.2492900002</c:v>
                </c:pt>
                <c:pt idx="511">
                  <c:v>2455296.6285999999</c:v>
                </c:pt>
                <c:pt idx="512">
                  <c:v>2455337.6020999998</c:v>
                </c:pt>
                <c:pt idx="513">
                  <c:v>2455397.45309</c:v>
                </c:pt>
                <c:pt idx="514">
                  <c:v>2455399.4485900002</c:v>
                </c:pt>
                <c:pt idx="515">
                  <c:v>2455405.51254</c:v>
                </c:pt>
                <c:pt idx="516">
                  <c:v>2455409.5946999998</c:v>
                </c:pt>
                <c:pt idx="517">
                  <c:v>2455412.4046</c:v>
                </c:pt>
                <c:pt idx="518">
                  <c:v>2455425.4086699998</c:v>
                </c:pt>
                <c:pt idx="519">
                  <c:v>2455428.8636699999</c:v>
                </c:pt>
                <c:pt idx="520">
                  <c:v>2455433.3612799998</c:v>
                </c:pt>
                <c:pt idx="521">
                  <c:v>2455437.3539399998</c:v>
                </c:pt>
                <c:pt idx="522">
                  <c:v>2455440.3444300001</c:v>
                </c:pt>
                <c:pt idx="523">
                  <c:v>2455442.3379700002</c:v>
                </c:pt>
                <c:pt idx="524">
                  <c:v>2455444.72278</c:v>
                </c:pt>
                <c:pt idx="525">
                  <c:v>2455448.40044</c:v>
                </c:pt>
                <c:pt idx="526">
                  <c:v>2455450.33495</c:v>
                </c:pt>
                <c:pt idx="527">
                  <c:v>2455457.7990700002</c:v>
                </c:pt>
                <c:pt idx="528">
                  <c:v>2455459.3156599998</c:v>
                </c:pt>
                <c:pt idx="529">
                  <c:v>2455461.7877199999</c:v>
                </c:pt>
                <c:pt idx="530">
                  <c:v>2455463.28449</c:v>
                </c:pt>
                <c:pt idx="531">
                  <c:v>2455468.32858</c:v>
                </c:pt>
                <c:pt idx="532">
                  <c:v>2455480.2484300002</c:v>
                </c:pt>
                <c:pt idx="533">
                  <c:v>2455482.33</c:v>
                </c:pt>
                <c:pt idx="534">
                  <c:v>2455499.2717499998</c:v>
                </c:pt>
                <c:pt idx="535">
                  <c:v>2455524.5085200001</c:v>
                </c:pt>
                <c:pt idx="536">
                  <c:v>2455689.6027799998</c:v>
                </c:pt>
                <c:pt idx="537">
                  <c:v>2455731.5306000002</c:v>
                </c:pt>
                <c:pt idx="538">
                  <c:v>2455746.2746799998</c:v>
                </c:pt>
                <c:pt idx="539">
                  <c:v>2455756.5216000001</c:v>
                </c:pt>
                <c:pt idx="540">
                  <c:v>2455763.4468</c:v>
                </c:pt>
                <c:pt idx="541">
                  <c:v>2455766.4943599999</c:v>
                </c:pt>
                <c:pt idx="542">
                  <c:v>2455769.4931100002</c:v>
                </c:pt>
                <c:pt idx="543">
                  <c:v>2455770.4934299998</c:v>
                </c:pt>
                <c:pt idx="544">
                  <c:v>2455776.44166</c:v>
                </c:pt>
                <c:pt idx="545">
                  <c:v>2455782.44154</c:v>
                </c:pt>
                <c:pt idx="546">
                  <c:v>2455786.4423600002</c:v>
                </c:pt>
                <c:pt idx="547">
                  <c:v>2455790.3953</c:v>
                </c:pt>
                <c:pt idx="548">
                  <c:v>2455800.4314799998</c:v>
                </c:pt>
                <c:pt idx="549">
                  <c:v>2455809.3986200001</c:v>
                </c:pt>
                <c:pt idx="550">
                  <c:v>2455815.3774600001</c:v>
                </c:pt>
                <c:pt idx="551">
                  <c:v>2455823.78492</c:v>
                </c:pt>
                <c:pt idx="552">
                  <c:v>2455827.6531000002</c:v>
                </c:pt>
                <c:pt idx="553">
                  <c:v>2455832.4234500001</c:v>
                </c:pt>
                <c:pt idx="554">
                  <c:v>2455835.8766999999</c:v>
                </c:pt>
                <c:pt idx="555">
                  <c:v>2455840.3435900002</c:v>
                </c:pt>
                <c:pt idx="556">
                  <c:v>2455843.4150800002</c:v>
                </c:pt>
                <c:pt idx="557">
                  <c:v>2455849.3162699998</c:v>
                </c:pt>
                <c:pt idx="558">
                  <c:v>2455856.3413</c:v>
                </c:pt>
                <c:pt idx="559">
                  <c:v>2455866.22957</c:v>
                </c:pt>
                <c:pt idx="560">
                  <c:v>2455875.2607800001</c:v>
                </c:pt>
                <c:pt idx="561">
                  <c:v>2455890.2469899999</c:v>
                </c:pt>
                <c:pt idx="562">
                  <c:v>2455892.25538</c:v>
                </c:pt>
                <c:pt idx="563">
                  <c:v>2455896.2781400001</c:v>
                </c:pt>
                <c:pt idx="564">
                  <c:v>2455923.1787</c:v>
                </c:pt>
                <c:pt idx="565">
                  <c:v>2456001.68334</c:v>
                </c:pt>
                <c:pt idx="566">
                  <c:v>2456066.5674800002</c:v>
                </c:pt>
                <c:pt idx="567">
                  <c:v>2456067.7239799998</c:v>
                </c:pt>
                <c:pt idx="568">
                  <c:v>2456073.9035999998</c:v>
                </c:pt>
                <c:pt idx="569">
                  <c:v>2456077.4946499998</c:v>
                </c:pt>
                <c:pt idx="570">
                  <c:v>2456082.90356</c:v>
                </c:pt>
                <c:pt idx="571">
                  <c:v>2456094.6897100001</c:v>
                </c:pt>
                <c:pt idx="572">
                  <c:v>2456096.8620699998</c:v>
                </c:pt>
                <c:pt idx="573">
                  <c:v>2456102.6340299998</c:v>
                </c:pt>
                <c:pt idx="574">
                  <c:v>2456106.7911299998</c:v>
                </c:pt>
                <c:pt idx="575">
                  <c:v>2456110.7178099998</c:v>
                </c:pt>
                <c:pt idx="576">
                  <c:v>2456114.7283399999</c:v>
                </c:pt>
                <c:pt idx="577">
                  <c:v>2456121.2820299999</c:v>
                </c:pt>
                <c:pt idx="578">
                  <c:v>2456130.7657400002</c:v>
                </c:pt>
                <c:pt idx="579">
                  <c:v>2456132.4691099999</c:v>
                </c:pt>
                <c:pt idx="580">
                  <c:v>2456135.4504399998</c:v>
                </c:pt>
                <c:pt idx="581">
                  <c:v>2456141.4167900002</c:v>
                </c:pt>
                <c:pt idx="582">
                  <c:v>2456142.6947499998</c:v>
                </c:pt>
                <c:pt idx="583">
                  <c:v>2456146.47615</c:v>
                </c:pt>
                <c:pt idx="584">
                  <c:v>2456148.41964</c:v>
                </c:pt>
                <c:pt idx="585">
                  <c:v>2456150.4038999998</c:v>
                </c:pt>
                <c:pt idx="586">
                  <c:v>2456153.38087</c:v>
                </c:pt>
                <c:pt idx="587">
                  <c:v>2456154.4358000001</c:v>
                </c:pt>
                <c:pt idx="588">
                  <c:v>2456156.44997</c:v>
                </c:pt>
                <c:pt idx="589">
                  <c:v>2456165.50556</c:v>
                </c:pt>
                <c:pt idx="590">
                  <c:v>2456168.64946</c:v>
                </c:pt>
                <c:pt idx="591">
                  <c:v>2456173.6731500002</c:v>
                </c:pt>
                <c:pt idx="592">
                  <c:v>2456181.8598000002</c:v>
                </c:pt>
                <c:pt idx="593">
                  <c:v>2456183.5669999998</c:v>
                </c:pt>
                <c:pt idx="594">
                  <c:v>2456184.5676299999</c:v>
                </c:pt>
                <c:pt idx="595">
                  <c:v>2456193.5646000002</c:v>
                </c:pt>
                <c:pt idx="596">
                  <c:v>2456195.6398999998</c:v>
                </c:pt>
                <c:pt idx="597">
                  <c:v>2456208.2974399999</c:v>
                </c:pt>
                <c:pt idx="598">
                  <c:v>2456225.2270499999</c:v>
                </c:pt>
                <c:pt idx="599">
                  <c:v>2456230.2450999999</c:v>
                </c:pt>
                <c:pt idx="600">
                  <c:v>2456244.2358400002</c:v>
                </c:pt>
                <c:pt idx="601">
                  <c:v>2456359.9490100001</c:v>
                </c:pt>
                <c:pt idx="602">
                  <c:v>2456366.4520100001</c:v>
                </c:pt>
                <c:pt idx="603">
                  <c:v>2456393.2873999998</c:v>
                </c:pt>
                <c:pt idx="604">
                  <c:v>2456407.6205600002</c:v>
                </c:pt>
                <c:pt idx="605">
                  <c:v>2456409.9111299999</c:v>
                </c:pt>
                <c:pt idx="606">
                  <c:v>2456417.5839999998</c:v>
                </c:pt>
                <c:pt idx="607">
                  <c:v>2456422.84412</c:v>
                </c:pt>
                <c:pt idx="608">
                  <c:v>2456427.90637</c:v>
                </c:pt>
                <c:pt idx="609">
                  <c:v>2456430.90191</c:v>
                </c:pt>
                <c:pt idx="610">
                  <c:v>2456438.8975399998</c:v>
                </c:pt>
                <c:pt idx="611">
                  <c:v>2456445.0430700001</c:v>
                </c:pt>
                <c:pt idx="612">
                  <c:v>2456447.0071299998</c:v>
                </c:pt>
                <c:pt idx="613">
                  <c:v>2456452.9931899998</c:v>
                </c:pt>
                <c:pt idx="614">
                  <c:v>2456468.5080400002</c:v>
                </c:pt>
                <c:pt idx="615">
                  <c:v>2456505.4265000001</c:v>
                </c:pt>
                <c:pt idx="616">
                  <c:v>2456508.6992600001</c:v>
                </c:pt>
                <c:pt idx="617">
                  <c:v>2456510.40337</c:v>
                </c:pt>
                <c:pt idx="618">
                  <c:v>2456520.42766</c:v>
                </c:pt>
                <c:pt idx="619">
                  <c:v>2456526.4344299999</c:v>
                </c:pt>
                <c:pt idx="620">
                  <c:v>2456527.4674</c:v>
                </c:pt>
                <c:pt idx="621">
                  <c:v>2456529.4868100001</c:v>
                </c:pt>
                <c:pt idx="622">
                  <c:v>2456538.3798099998</c:v>
                </c:pt>
                <c:pt idx="623">
                  <c:v>2456541.4511299999</c:v>
                </c:pt>
                <c:pt idx="624">
                  <c:v>2456543.3490599999</c:v>
                </c:pt>
                <c:pt idx="625">
                  <c:v>2456545.37959</c:v>
                </c:pt>
                <c:pt idx="626">
                  <c:v>2456550.2874500002</c:v>
                </c:pt>
                <c:pt idx="627">
                  <c:v>2456553.5552099999</c:v>
                </c:pt>
                <c:pt idx="628">
                  <c:v>2456566.5433</c:v>
                </c:pt>
                <c:pt idx="629">
                  <c:v>2456569.4085599999</c:v>
                </c:pt>
                <c:pt idx="630">
                  <c:v>2456577.2423299998</c:v>
                </c:pt>
                <c:pt idx="631">
                  <c:v>2456592.5481799999</c:v>
                </c:pt>
                <c:pt idx="632">
                  <c:v>2456626.2651499999</c:v>
                </c:pt>
                <c:pt idx="633">
                  <c:v>2456656.2671500002</c:v>
                </c:pt>
                <c:pt idx="634">
                  <c:v>2456706.9652100001</c:v>
                </c:pt>
                <c:pt idx="635">
                  <c:v>2456718.9591199998</c:v>
                </c:pt>
                <c:pt idx="636">
                  <c:v>2456730.94771</c:v>
                </c:pt>
                <c:pt idx="637">
                  <c:v>2456739.66365</c:v>
                </c:pt>
                <c:pt idx="638">
                  <c:v>2456741.6700800001</c:v>
                </c:pt>
                <c:pt idx="639">
                  <c:v>2456742.9447900001</c:v>
                </c:pt>
                <c:pt idx="640">
                  <c:v>2456760.9221800002</c:v>
                </c:pt>
                <c:pt idx="641">
                  <c:v>2456764.9211499998</c:v>
                </c:pt>
                <c:pt idx="642">
                  <c:v>2456767.5920000002</c:v>
                </c:pt>
                <c:pt idx="643">
                  <c:v>2456782.91396</c:v>
                </c:pt>
                <c:pt idx="644">
                  <c:v>2456795.80015</c:v>
                </c:pt>
                <c:pt idx="645">
                  <c:v>2456798.90803</c:v>
                </c:pt>
                <c:pt idx="646">
                  <c:v>2456806.89536</c:v>
                </c:pt>
                <c:pt idx="647">
                  <c:v>2456809.4531700001</c:v>
                </c:pt>
                <c:pt idx="648">
                  <c:v>2456813.8947999999</c:v>
                </c:pt>
                <c:pt idx="649">
                  <c:v>2456816.5060899998</c:v>
                </c:pt>
                <c:pt idx="650">
                  <c:v>2456823.8698100001</c:v>
                </c:pt>
                <c:pt idx="651">
                  <c:v>2456825.8936600001</c:v>
                </c:pt>
                <c:pt idx="652">
                  <c:v>2456829.4660899998</c:v>
                </c:pt>
                <c:pt idx="653">
                  <c:v>2456830.8798400001</c:v>
                </c:pt>
                <c:pt idx="654">
                  <c:v>2456835.87322</c:v>
                </c:pt>
                <c:pt idx="655">
                  <c:v>2456844.5223599998</c:v>
                </c:pt>
                <c:pt idx="656">
                  <c:v>2456855.4702599999</c:v>
                </c:pt>
                <c:pt idx="657">
                  <c:v>2456856.5123299998</c:v>
                </c:pt>
                <c:pt idx="658">
                  <c:v>2456863.4916300001</c:v>
                </c:pt>
                <c:pt idx="659">
                  <c:v>2456866.4801699999</c:v>
                </c:pt>
                <c:pt idx="660">
                  <c:v>2456869.4312</c:v>
                </c:pt>
                <c:pt idx="661">
                  <c:v>2456870.93255</c:v>
                </c:pt>
                <c:pt idx="662">
                  <c:v>2456873.4591100002</c:v>
                </c:pt>
                <c:pt idx="663">
                  <c:v>2456874.9515300002</c:v>
                </c:pt>
                <c:pt idx="664">
                  <c:v>2456879.6749999998</c:v>
                </c:pt>
                <c:pt idx="665">
                  <c:v>2456883.4336199998</c:v>
                </c:pt>
                <c:pt idx="666">
                  <c:v>2456887.3950800002</c:v>
                </c:pt>
                <c:pt idx="667">
                  <c:v>2456890.5780799999</c:v>
                </c:pt>
                <c:pt idx="668">
                  <c:v>2456893.5770399999</c:v>
                </c:pt>
                <c:pt idx="669">
                  <c:v>2456894.6933900001</c:v>
                </c:pt>
                <c:pt idx="670">
                  <c:v>2456901.6838699998</c:v>
                </c:pt>
                <c:pt idx="671">
                  <c:v>2456914.3516099998</c:v>
                </c:pt>
                <c:pt idx="672">
                  <c:v>2456915.38632</c:v>
                </c:pt>
                <c:pt idx="673">
                  <c:v>2456927.3286799998</c:v>
                </c:pt>
                <c:pt idx="674">
                  <c:v>2456932.3986800001</c:v>
                </c:pt>
                <c:pt idx="675">
                  <c:v>2456936.4937999998</c:v>
                </c:pt>
                <c:pt idx="676">
                  <c:v>2456942.3361200001</c:v>
                </c:pt>
                <c:pt idx="677">
                  <c:v>2456944.5862599998</c:v>
                </c:pt>
                <c:pt idx="678">
                  <c:v>2456954.5855899998</c:v>
                </c:pt>
                <c:pt idx="679">
                  <c:v>2456958.4830399998</c:v>
                </c:pt>
                <c:pt idx="680">
                  <c:v>2456961.3210999998</c:v>
                </c:pt>
                <c:pt idx="681">
                  <c:v>2456971.4731899998</c:v>
                </c:pt>
                <c:pt idx="682">
                  <c:v>2456991.4678600002</c:v>
                </c:pt>
                <c:pt idx="683">
                  <c:v>2457004.4682800001</c:v>
                </c:pt>
                <c:pt idx="684">
                  <c:v>2457009.46759</c:v>
                </c:pt>
                <c:pt idx="685">
                  <c:v>2457018.1705700001</c:v>
                </c:pt>
                <c:pt idx="686">
                  <c:v>2457056.97168</c:v>
                </c:pt>
                <c:pt idx="687">
                  <c:v>2457059.97114</c:v>
                </c:pt>
                <c:pt idx="688">
                  <c:v>2457064.97065</c:v>
                </c:pt>
                <c:pt idx="689">
                  <c:v>2457068.97218</c:v>
                </c:pt>
                <c:pt idx="690">
                  <c:v>2457075.9209199999</c:v>
                </c:pt>
                <c:pt idx="691">
                  <c:v>2457090.8866599998</c:v>
                </c:pt>
                <c:pt idx="692">
                  <c:v>2457096.2150500002</c:v>
                </c:pt>
                <c:pt idx="693">
                  <c:v>2457097.7699500001</c:v>
                </c:pt>
                <c:pt idx="694">
                  <c:v>2457098.9174299999</c:v>
                </c:pt>
                <c:pt idx="695">
                  <c:v>2457099.9370900001</c:v>
                </c:pt>
                <c:pt idx="696">
                  <c:v>2457101.9397200001</c:v>
                </c:pt>
                <c:pt idx="697">
                  <c:v>2457105.0205399999</c:v>
                </c:pt>
                <c:pt idx="698">
                  <c:v>2457107.0184599999</c:v>
                </c:pt>
                <c:pt idx="699">
                  <c:v>2457109.8706800002</c:v>
                </c:pt>
                <c:pt idx="700">
                  <c:v>2457112.9323200001</c:v>
                </c:pt>
                <c:pt idx="701">
                  <c:v>2457114.0122099998</c:v>
                </c:pt>
                <c:pt idx="702">
                  <c:v>2457121.0059600002</c:v>
                </c:pt>
                <c:pt idx="703">
                  <c:v>2457123.2304199999</c:v>
                </c:pt>
                <c:pt idx="704">
                  <c:v>2457123.9679399999</c:v>
                </c:pt>
                <c:pt idx="705">
                  <c:v>2457126.87794</c:v>
                </c:pt>
                <c:pt idx="706">
                  <c:v>2457127.9619100001</c:v>
                </c:pt>
                <c:pt idx="707">
                  <c:v>2457129.9594200002</c:v>
                </c:pt>
                <c:pt idx="708">
                  <c:v>2457130.9623500002</c:v>
                </c:pt>
                <c:pt idx="709">
                  <c:v>2457133.4615500001</c:v>
                </c:pt>
                <c:pt idx="710">
                  <c:v>2457134.9541799999</c:v>
                </c:pt>
                <c:pt idx="711">
                  <c:v>2457135.9571400001</c:v>
                </c:pt>
                <c:pt idx="712">
                  <c:v>2457137.9531100001</c:v>
                </c:pt>
                <c:pt idx="713">
                  <c:v>2457141.4699200001</c:v>
                </c:pt>
                <c:pt idx="714">
                  <c:v>2457142.9663900002</c:v>
                </c:pt>
                <c:pt idx="715">
                  <c:v>2457143.94832</c:v>
                </c:pt>
                <c:pt idx="716">
                  <c:v>2457145.4340300001</c:v>
                </c:pt>
                <c:pt idx="717">
                  <c:v>2457151.4377199998</c:v>
                </c:pt>
                <c:pt idx="718">
                  <c:v>2457153.6151899998</c:v>
                </c:pt>
                <c:pt idx="719">
                  <c:v>2457156.9067600002</c:v>
                </c:pt>
                <c:pt idx="720">
                  <c:v>2457160.9299400002</c:v>
                </c:pt>
                <c:pt idx="721">
                  <c:v>2457162.8952100002</c:v>
                </c:pt>
                <c:pt idx="722">
                  <c:v>2457164.9035499999</c:v>
                </c:pt>
                <c:pt idx="723">
                  <c:v>2457167.93139</c:v>
                </c:pt>
                <c:pt idx="724">
                  <c:v>2457169.9250500002</c:v>
                </c:pt>
                <c:pt idx="725">
                  <c:v>2457170.9273799998</c:v>
                </c:pt>
                <c:pt idx="726">
                  <c:v>2457172.2171399998</c:v>
                </c:pt>
                <c:pt idx="727">
                  <c:v>2457176.9344199998</c:v>
                </c:pt>
                <c:pt idx="728">
                  <c:v>2457177.92668</c:v>
                </c:pt>
                <c:pt idx="729">
                  <c:v>2457184.4593799999</c:v>
                </c:pt>
                <c:pt idx="730">
                  <c:v>2457185.9171799999</c:v>
                </c:pt>
                <c:pt idx="731">
                  <c:v>2457187.4189300002</c:v>
                </c:pt>
                <c:pt idx="732">
                  <c:v>2457190.9152099998</c:v>
                </c:pt>
                <c:pt idx="733">
                  <c:v>2457194.9470700002</c:v>
                </c:pt>
                <c:pt idx="734">
                  <c:v>2457204.9049300002</c:v>
                </c:pt>
                <c:pt idx="735">
                  <c:v>2457205.9071200001</c:v>
                </c:pt>
                <c:pt idx="736">
                  <c:v>2457219.44679</c:v>
                </c:pt>
                <c:pt idx="737">
                  <c:v>2457221.8845299999</c:v>
                </c:pt>
                <c:pt idx="738">
                  <c:v>2457224.5027800002</c:v>
                </c:pt>
                <c:pt idx="739">
                  <c:v>2457232.7897600001</c:v>
                </c:pt>
                <c:pt idx="740">
                  <c:v>2457234.4112399998</c:v>
                </c:pt>
                <c:pt idx="741">
                  <c:v>2457235.6763900002</c:v>
                </c:pt>
                <c:pt idx="742">
                  <c:v>2457243.7598999999</c:v>
                </c:pt>
                <c:pt idx="743">
                  <c:v>2457246.3721500002</c:v>
                </c:pt>
                <c:pt idx="744">
                  <c:v>2457251.7379100001</c:v>
                </c:pt>
                <c:pt idx="745">
                  <c:v>2457260.71337</c:v>
                </c:pt>
                <c:pt idx="746">
                  <c:v>2457264.3865999999</c:v>
                </c:pt>
                <c:pt idx="747">
                  <c:v>2457275.5243000002</c:v>
                </c:pt>
                <c:pt idx="748">
                  <c:v>2457277.4082499999</c:v>
                </c:pt>
                <c:pt idx="749">
                  <c:v>2457283.6506400001</c:v>
                </c:pt>
                <c:pt idx="750">
                  <c:v>2457290.79458</c:v>
                </c:pt>
                <c:pt idx="751">
                  <c:v>2457295.3552199998</c:v>
                </c:pt>
                <c:pt idx="752">
                  <c:v>2457296.9254800002</c:v>
                </c:pt>
                <c:pt idx="753">
                  <c:v>2457298.42197</c:v>
                </c:pt>
                <c:pt idx="754">
                  <c:v>2457302.61846</c:v>
                </c:pt>
                <c:pt idx="755">
                  <c:v>2457308.3939299998</c:v>
                </c:pt>
                <c:pt idx="756">
                  <c:v>2457310.4815099998</c:v>
                </c:pt>
                <c:pt idx="757">
                  <c:v>2457318.6008700002</c:v>
                </c:pt>
                <c:pt idx="758">
                  <c:v>2457332.53363</c:v>
                </c:pt>
                <c:pt idx="759">
                  <c:v>2457339.4743400002</c:v>
                </c:pt>
                <c:pt idx="760">
                  <c:v>2457374.4676000001</c:v>
                </c:pt>
                <c:pt idx="761">
                  <c:v>2457426.9635600001</c:v>
                </c:pt>
                <c:pt idx="762">
                  <c:v>2457437.9704200001</c:v>
                </c:pt>
                <c:pt idx="763">
                  <c:v>2457448.9660499999</c:v>
                </c:pt>
                <c:pt idx="764">
                  <c:v>2457453.9618799998</c:v>
                </c:pt>
                <c:pt idx="765">
                  <c:v>2457459.4502900001</c:v>
                </c:pt>
                <c:pt idx="766">
                  <c:v>2457471.9418899999</c:v>
                </c:pt>
                <c:pt idx="767">
                  <c:v>2457479.94202</c:v>
                </c:pt>
                <c:pt idx="768">
                  <c:v>2457487.9291699999</c:v>
                </c:pt>
                <c:pt idx="769">
                  <c:v>2457504.9205100001</c:v>
                </c:pt>
                <c:pt idx="770">
                  <c:v>2457509.9844300002</c:v>
                </c:pt>
                <c:pt idx="771">
                  <c:v>2457514.9104399998</c:v>
                </c:pt>
                <c:pt idx="772">
                  <c:v>2457523.9085599999</c:v>
                </c:pt>
                <c:pt idx="773">
                  <c:v>2457528.9045699998</c:v>
                </c:pt>
                <c:pt idx="774">
                  <c:v>2457533.89671</c:v>
                </c:pt>
                <c:pt idx="775">
                  <c:v>2457539.9490200002</c:v>
                </c:pt>
                <c:pt idx="776">
                  <c:v>2457561.2470300002</c:v>
                </c:pt>
                <c:pt idx="777">
                  <c:v>2457575.5549699999</c:v>
                </c:pt>
                <c:pt idx="778">
                  <c:v>2457582.8341999999</c:v>
                </c:pt>
                <c:pt idx="779">
                  <c:v>2457587.4394299998</c:v>
                </c:pt>
                <c:pt idx="780">
                  <c:v>2457602.77679</c:v>
                </c:pt>
                <c:pt idx="781">
                  <c:v>2457617.5526800002</c:v>
                </c:pt>
                <c:pt idx="782">
                  <c:v>2457624.5071800002</c:v>
                </c:pt>
                <c:pt idx="783">
                  <c:v>2457626.1232799999</c:v>
                </c:pt>
                <c:pt idx="784">
                  <c:v>2457640.5939500001</c:v>
                </c:pt>
                <c:pt idx="785">
                  <c:v>2457655.6321200002</c:v>
                </c:pt>
                <c:pt idx="786">
                  <c:v>2457667.6166300001</c:v>
                </c:pt>
                <c:pt idx="787">
                  <c:v>2457671.4859500001</c:v>
                </c:pt>
                <c:pt idx="788">
                  <c:v>2457682.4797299998</c:v>
                </c:pt>
                <c:pt idx="789">
                  <c:v>2457703.47089</c:v>
                </c:pt>
                <c:pt idx="790">
                  <c:v>2457708.4737300002</c:v>
                </c:pt>
                <c:pt idx="791">
                  <c:v>2457713.4693100001</c:v>
                </c:pt>
                <c:pt idx="792">
                  <c:v>2457715.4705400001</c:v>
                </c:pt>
                <c:pt idx="793">
                  <c:v>2457720.46905</c:v>
                </c:pt>
                <c:pt idx="794">
                  <c:v>2457727.5550099998</c:v>
                </c:pt>
                <c:pt idx="795">
                  <c:v>2457738.48698</c:v>
                </c:pt>
                <c:pt idx="796">
                  <c:v>2457784.9796500001</c:v>
                </c:pt>
                <c:pt idx="797">
                  <c:v>2457804.9681299999</c:v>
                </c:pt>
                <c:pt idx="798">
                  <c:v>2457811.96746</c:v>
                </c:pt>
                <c:pt idx="799">
                  <c:v>2457830.9501499999</c:v>
                </c:pt>
                <c:pt idx="800">
                  <c:v>2457832.9373699999</c:v>
                </c:pt>
                <c:pt idx="801">
                  <c:v>2457838.9404799999</c:v>
                </c:pt>
                <c:pt idx="802">
                  <c:v>2457857.92557</c:v>
                </c:pt>
                <c:pt idx="803">
                  <c:v>2457870.9214499998</c:v>
                </c:pt>
                <c:pt idx="804">
                  <c:v>2457882.9082200001</c:v>
                </c:pt>
                <c:pt idx="805">
                  <c:v>2457887.9073000001</c:v>
                </c:pt>
                <c:pt idx="806">
                  <c:v>2457939.8898299998</c:v>
                </c:pt>
                <c:pt idx="807">
                  <c:v>2457940.89775</c:v>
                </c:pt>
                <c:pt idx="808">
                  <c:v>2457941.5598300002</c:v>
                </c:pt>
                <c:pt idx="809">
                  <c:v>2457953.6289900001</c:v>
                </c:pt>
                <c:pt idx="810">
                  <c:v>2457972.53902</c:v>
                </c:pt>
                <c:pt idx="811">
                  <c:v>2457985.4600300002</c:v>
                </c:pt>
                <c:pt idx="812">
                  <c:v>2457991.4826600002</c:v>
                </c:pt>
                <c:pt idx="813">
                  <c:v>2457993.8933899999</c:v>
                </c:pt>
                <c:pt idx="814">
                  <c:v>2457997.3483500001</c:v>
                </c:pt>
                <c:pt idx="815">
                  <c:v>2457998.35451</c:v>
                </c:pt>
                <c:pt idx="816">
                  <c:v>2458006.3035400002</c:v>
                </c:pt>
                <c:pt idx="817">
                  <c:v>2458007.6202500002</c:v>
                </c:pt>
                <c:pt idx="818">
                  <c:v>2458012.2953300001</c:v>
                </c:pt>
                <c:pt idx="819">
                  <c:v>2458018.00342</c:v>
                </c:pt>
                <c:pt idx="820">
                  <c:v>2458019.4166600001</c:v>
                </c:pt>
                <c:pt idx="821">
                  <c:v>2458023.3837899999</c:v>
                </c:pt>
                <c:pt idx="822">
                  <c:v>2458025.2852400001</c:v>
                </c:pt>
                <c:pt idx="823">
                  <c:v>2458039.2931400002</c:v>
                </c:pt>
                <c:pt idx="824">
                  <c:v>2458041.4816700001</c:v>
                </c:pt>
                <c:pt idx="825">
                  <c:v>2458054.2743700002</c:v>
                </c:pt>
                <c:pt idx="826">
                  <c:v>2458058.4787099999</c:v>
                </c:pt>
                <c:pt idx="827">
                  <c:v>2458060.4742000001</c:v>
                </c:pt>
                <c:pt idx="828">
                  <c:v>2458062.9089100002</c:v>
                </c:pt>
                <c:pt idx="829">
                  <c:v>2458064.2674599998</c:v>
                </c:pt>
                <c:pt idx="830">
                  <c:v>2458065.5456099999</c:v>
                </c:pt>
                <c:pt idx="831">
                  <c:v>2458068.3188100001</c:v>
                </c:pt>
                <c:pt idx="832">
                  <c:v>2458077.2338700001</c:v>
                </c:pt>
                <c:pt idx="833">
                  <c:v>2458077.2338700001</c:v>
                </c:pt>
                <c:pt idx="834">
                  <c:v>2458084.23649</c:v>
                </c:pt>
                <c:pt idx="835">
                  <c:v>2458086.4738099999</c:v>
                </c:pt>
                <c:pt idx="836">
                  <c:v>2458096.2325300002</c:v>
                </c:pt>
                <c:pt idx="837">
                  <c:v>2458103.3226800002</c:v>
                </c:pt>
                <c:pt idx="838">
                  <c:v>2458116.2198299998</c:v>
                </c:pt>
                <c:pt idx="839">
                  <c:v>2458149.9797</c:v>
                </c:pt>
                <c:pt idx="840">
                  <c:v>2458162.7272600001</c:v>
                </c:pt>
                <c:pt idx="841">
                  <c:v>2458168.9748499999</c:v>
                </c:pt>
                <c:pt idx="842">
                  <c:v>2458177.6699600001</c:v>
                </c:pt>
                <c:pt idx="843">
                  <c:v>2458187.95799</c:v>
                </c:pt>
                <c:pt idx="844">
                  <c:v>2458200.9480499998</c:v>
                </c:pt>
                <c:pt idx="845">
                  <c:v>2458204.6232599998</c:v>
                </c:pt>
                <c:pt idx="846">
                  <c:v>2458205.9378999998</c:v>
                </c:pt>
                <c:pt idx="847">
                  <c:v>2458214.6310800002</c:v>
                </c:pt>
                <c:pt idx="848">
                  <c:v>2458221.92827</c:v>
                </c:pt>
                <c:pt idx="849">
                  <c:v>2458222.9311299999</c:v>
                </c:pt>
                <c:pt idx="850">
                  <c:v>2458224.6403000001</c:v>
                </c:pt>
                <c:pt idx="851">
                  <c:v>2458239.9189499998</c:v>
                </c:pt>
                <c:pt idx="852">
                  <c:v>2458241.9090399998</c:v>
                </c:pt>
                <c:pt idx="853">
                  <c:v>2458243.41255</c:v>
                </c:pt>
                <c:pt idx="854">
                  <c:v>2458247.43664</c:v>
                </c:pt>
                <c:pt idx="855">
                  <c:v>2458256.4274200001</c:v>
                </c:pt>
                <c:pt idx="856">
                  <c:v>2458275.4385099998</c:v>
                </c:pt>
                <c:pt idx="857">
                  <c:v>2458284.4069500002</c:v>
                </c:pt>
                <c:pt idx="858">
                  <c:v>2458290.4201799999</c:v>
                </c:pt>
                <c:pt idx="859">
                  <c:v>2458295.4110500002</c:v>
                </c:pt>
                <c:pt idx="860">
                  <c:v>2458298.4178200001</c:v>
                </c:pt>
                <c:pt idx="861">
                  <c:v>2458302.40166</c:v>
                </c:pt>
                <c:pt idx="862">
                  <c:v>2458304.4105699998</c:v>
                </c:pt>
                <c:pt idx="863">
                  <c:v>2458305.4345399998</c:v>
                </c:pt>
                <c:pt idx="864">
                  <c:v>2458308.40796</c:v>
                </c:pt>
                <c:pt idx="865">
                  <c:v>2458311.3946699998</c:v>
                </c:pt>
                <c:pt idx="866">
                  <c:v>2458313.4553499999</c:v>
                </c:pt>
                <c:pt idx="867">
                  <c:v>2458317.8894799999</c:v>
                </c:pt>
                <c:pt idx="868">
                  <c:v>2458321.4019300002</c:v>
                </c:pt>
                <c:pt idx="869">
                  <c:v>2458325.3998799999</c:v>
                </c:pt>
                <c:pt idx="870">
                  <c:v>2458331.3932099999</c:v>
                </c:pt>
                <c:pt idx="871">
                  <c:v>2458336.38729</c:v>
                </c:pt>
                <c:pt idx="872">
                  <c:v>2458337.5423099999</c:v>
                </c:pt>
                <c:pt idx="873">
                  <c:v>2458345.3676300002</c:v>
                </c:pt>
                <c:pt idx="874">
                  <c:v>2458352.3747399999</c:v>
                </c:pt>
                <c:pt idx="875">
                  <c:v>2458359.3314200002</c:v>
                </c:pt>
                <c:pt idx="876">
                  <c:v>2458384.6338</c:v>
                </c:pt>
                <c:pt idx="877">
                  <c:v>2458404.4929800001</c:v>
                </c:pt>
                <c:pt idx="878">
                  <c:v>2458423.4762200001</c:v>
                </c:pt>
                <c:pt idx="879">
                  <c:v>2458523.9585500001</c:v>
                </c:pt>
                <c:pt idx="880">
                  <c:v>2458550.95676</c:v>
                </c:pt>
                <c:pt idx="881">
                  <c:v>2458572.4748</c:v>
                </c:pt>
                <c:pt idx="882">
                  <c:v>2458590.4319199999</c:v>
                </c:pt>
                <c:pt idx="883">
                  <c:v>2458597.4267000002</c:v>
                </c:pt>
                <c:pt idx="884">
                  <c:v>2458614.91071</c:v>
                </c:pt>
                <c:pt idx="885">
                  <c:v>2458628.8914999999</c:v>
                </c:pt>
                <c:pt idx="886">
                  <c:v>2458635.8939299998</c:v>
                </c:pt>
                <c:pt idx="887">
                  <c:v>2458720.03076</c:v>
                </c:pt>
                <c:pt idx="888">
                  <c:v>2458721.3942499999</c:v>
                </c:pt>
                <c:pt idx="889">
                  <c:v>2458759.29929</c:v>
                </c:pt>
                <c:pt idx="890">
                  <c:v>2458800.47713</c:v>
                </c:pt>
                <c:pt idx="891">
                  <c:v>2458806.31702</c:v>
                </c:pt>
                <c:pt idx="892">
                  <c:v>2458882.97878</c:v>
                </c:pt>
                <c:pt idx="893">
                  <c:v>2458946.6270599999</c:v>
                </c:pt>
                <c:pt idx="894">
                  <c:v>2458991.5016700001</c:v>
                </c:pt>
                <c:pt idx="895">
                  <c:v>2458994.54421</c:v>
                </c:pt>
                <c:pt idx="896">
                  <c:v>2458997.5256699999</c:v>
                </c:pt>
                <c:pt idx="897">
                  <c:v>2458999.4627200002</c:v>
                </c:pt>
                <c:pt idx="898">
                  <c:v>2459001.5656099999</c:v>
                </c:pt>
                <c:pt idx="899">
                  <c:v>2459021.6025299998</c:v>
                </c:pt>
                <c:pt idx="900">
                  <c:v>2459050.4486500002</c:v>
                </c:pt>
                <c:pt idx="901">
                  <c:v>2459072.6322300001</c:v>
                </c:pt>
                <c:pt idx="902">
                  <c:v>2459074.12873</c:v>
                </c:pt>
                <c:pt idx="903">
                  <c:v>2459080.6185900001</c:v>
                </c:pt>
                <c:pt idx="904">
                  <c:v>2459082.6181399999</c:v>
                </c:pt>
                <c:pt idx="905">
                  <c:v>2459084.6186500001</c:v>
                </c:pt>
                <c:pt idx="906">
                  <c:v>2459086.11442</c:v>
                </c:pt>
                <c:pt idx="907">
                  <c:v>2459088.6114099999</c:v>
                </c:pt>
                <c:pt idx="908">
                  <c:v>2459089.6116300002</c:v>
                </c:pt>
                <c:pt idx="909">
                  <c:v>2459090.6123500001</c:v>
                </c:pt>
                <c:pt idx="910">
                  <c:v>2459091.62622</c:v>
                </c:pt>
                <c:pt idx="911">
                  <c:v>2459093.6049299999</c:v>
                </c:pt>
                <c:pt idx="912">
                  <c:v>2459095.1185699999</c:v>
                </c:pt>
                <c:pt idx="913">
                  <c:v>2459097.2877600002</c:v>
                </c:pt>
                <c:pt idx="914">
                  <c:v>2459098.6010799999</c:v>
                </c:pt>
                <c:pt idx="915">
                  <c:v>2459100.0995</c:v>
                </c:pt>
                <c:pt idx="916">
                  <c:v>2459106.5945100002</c:v>
                </c:pt>
                <c:pt idx="917">
                  <c:v>2459109.97364</c:v>
                </c:pt>
                <c:pt idx="918">
                  <c:v>2459111.4596799999</c:v>
                </c:pt>
                <c:pt idx="919">
                  <c:v>2459113.59375</c:v>
                </c:pt>
                <c:pt idx="920">
                  <c:v>2459115.5948600001</c:v>
                </c:pt>
                <c:pt idx="921">
                  <c:v>2459118.5957599999</c:v>
                </c:pt>
                <c:pt idx="922">
                  <c:v>2459119.5990900001</c:v>
                </c:pt>
                <c:pt idx="923">
                  <c:v>2459122.09418</c:v>
                </c:pt>
                <c:pt idx="924">
                  <c:v>2459123.4428699999</c:v>
                </c:pt>
                <c:pt idx="925">
                  <c:v>2459125.0929999999</c:v>
                </c:pt>
                <c:pt idx="926">
                  <c:v>2459126.5920099998</c:v>
                </c:pt>
                <c:pt idx="927">
                  <c:v>2459128.5957399998</c:v>
                </c:pt>
                <c:pt idx="928">
                  <c:v>2459130.2732299999</c:v>
                </c:pt>
                <c:pt idx="929">
                  <c:v>2459132.5751200002</c:v>
                </c:pt>
                <c:pt idx="930">
                  <c:v>2459134.9368400001</c:v>
                </c:pt>
                <c:pt idx="931">
                  <c:v>2459136.5927800001</c:v>
                </c:pt>
                <c:pt idx="932">
                  <c:v>2459138.5975199998</c:v>
                </c:pt>
                <c:pt idx="933">
                  <c:v>2459140.5971400002</c:v>
                </c:pt>
                <c:pt idx="934">
                  <c:v>2459142.6728099999</c:v>
                </c:pt>
                <c:pt idx="935">
                  <c:v>2459144.6684699999</c:v>
                </c:pt>
                <c:pt idx="936">
                  <c:v>2459146.6686800001</c:v>
                </c:pt>
                <c:pt idx="937">
                  <c:v>2459148.3565600002</c:v>
                </c:pt>
                <c:pt idx="938">
                  <c:v>2459151.67178</c:v>
                </c:pt>
                <c:pt idx="939">
                  <c:v>2459153.6689800001</c:v>
                </c:pt>
                <c:pt idx="940">
                  <c:v>2459159.1584700001</c:v>
                </c:pt>
              </c:numCache>
            </c:numRef>
          </c:xVal>
          <c:yVal>
            <c:numRef>
              <c:f>V!$C$1:$C$6000</c:f>
              <c:numCache>
                <c:formatCode>General</c:formatCode>
                <c:ptCount val="6000"/>
                <c:pt idx="0">
                  <c:v>12.2</c:v>
                </c:pt>
                <c:pt idx="1">
                  <c:v>12.3</c:v>
                </c:pt>
                <c:pt idx="2">
                  <c:v>12.3</c:v>
                </c:pt>
                <c:pt idx="3">
                  <c:v>11.9</c:v>
                </c:pt>
                <c:pt idx="4">
                  <c:v>12.2</c:v>
                </c:pt>
                <c:pt idx="5">
                  <c:v>11.9</c:v>
                </c:pt>
                <c:pt idx="6">
                  <c:v>12.3</c:v>
                </c:pt>
                <c:pt idx="7">
                  <c:v>12.2</c:v>
                </c:pt>
                <c:pt idx="8">
                  <c:v>12.2</c:v>
                </c:pt>
                <c:pt idx="9">
                  <c:v>12.2</c:v>
                </c:pt>
                <c:pt idx="10">
                  <c:v>12.3</c:v>
                </c:pt>
                <c:pt idx="11">
                  <c:v>11.8</c:v>
                </c:pt>
                <c:pt idx="12">
                  <c:v>12.3</c:v>
                </c:pt>
                <c:pt idx="13">
                  <c:v>12.3</c:v>
                </c:pt>
                <c:pt idx="14">
                  <c:v>12.4</c:v>
                </c:pt>
                <c:pt idx="15">
                  <c:v>12.4</c:v>
                </c:pt>
                <c:pt idx="16">
                  <c:v>12.3</c:v>
                </c:pt>
                <c:pt idx="17">
                  <c:v>12.2</c:v>
                </c:pt>
                <c:pt idx="18">
                  <c:v>12.4</c:v>
                </c:pt>
                <c:pt idx="19">
                  <c:v>12.3</c:v>
                </c:pt>
                <c:pt idx="20">
                  <c:v>12.4</c:v>
                </c:pt>
                <c:pt idx="21">
                  <c:v>12.4</c:v>
                </c:pt>
                <c:pt idx="22">
                  <c:v>13.1</c:v>
                </c:pt>
                <c:pt idx="23">
                  <c:v>12.8</c:v>
                </c:pt>
                <c:pt idx="24">
                  <c:v>13.1</c:v>
                </c:pt>
                <c:pt idx="25">
                  <c:v>13.1</c:v>
                </c:pt>
                <c:pt idx="26">
                  <c:v>13.2</c:v>
                </c:pt>
                <c:pt idx="27">
                  <c:v>13</c:v>
                </c:pt>
                <c:pt idx="28">
                  <c:v>13.1</c:v>
                </c:pt>
                <c:pt idx="29">
                  <c:v>13.1</c:v>
                </c:pt>
                <c:pt idx="30">
                  <c:v>13.3</c:v>
                </c:pt>
                <c:pt idx="31">
                  <c:v>13.1</c:v>
                </c:pt>
                <c:pt idx="32">
                  <c:v>13</c:v>
                </c:pt>
                <c:pt idx="33">
                  <c:v>13.3</c:v>
                </c:pt>
                <c:pt idx="34">
                  <c:v>13.3</c:v>
                </c:pt>
                <c:pt idx="35">
                  <c:v>12.8</c:v>
                </c:pt>
                <c:pt idx="36">
                  <c:v>13.1</c:v>
                </c:pt>
                <c:pt idx="37">
                  <c:v>13.1</c:v>
                </c:pt>
                <c:pt idx="38">
                  <c:v>12.9</c:v>
                </c:pt>
                <c:pt idx="39">
                  <c:v>13.5</c:v>
                </c:pt>
                <c:pt idx="40">
                  <c:v>12.9</c:v>
                </c:pt>
                <c:pt idx="41">
                  <c:v>13.2</c:v>
                </c:pt>
                <c:pt idx="42">
                  <c:v>12.7</c:v>
                </c:pt>
                <c:pt idx="43">
                  <c:v>12.4</c:v>
                </c:pt>
                <c:pt idx="44">
                  <c:v>12.3</c:v>
                </c:pt>
                <c:pt idx="45">
                  <c:v>12.4</c:v>
                </c:pt>
                <c:pt idx="46">
                  <c:v>12.4</c:v>
                </c:pt>
                <c:pt idx="47">
                  <c:v>12.3</c:v>
                </c:pt>
                <c:pt idx="48">
                  <c:v>12.4</c:v>
                </c:pt>
                <c:pt idx="49">
                  <c:v>12.3</c:v>
                </c:pt>
                <c:pt idx="50">
                  <c:v>12.4</c:v>
                </c:pt>
                <c:pt idx="51">
                  <c:v>12.3</c:v>
                </c:pt>
                <c:pt idx="52">
                  <c:v>12.2</c:v>
                </c:pt>
                <c:pt idx="53">
                  <c:v>12.3</c:v>
                </c:pt>
                <c:pt idx="54">
                  <c:v>12.2</c:v>
                </c:pt>
                <c:pt idx="55">
                  <c:v>12.3</c:v>
                </c:pt>
                <c:pt idx="56">
                  <c:v>12.2</c:v>
                </c:pt>
                <c:pt idx="57">
                  <c:v>12</c:v>
                </c:pt>
                <c:pt idx="58">
                  <c:v>12.3</c:v>
                </c:pt>
                <c:pt idx="59">
                  <c:v>12.2</c:v>
                </c:pt>
                <c:pt idx="60">
                  <c:v>12.3</c:v>
                </c:pt>
                <c:pt idx="61">
                  <c:v>12.1</c:v>
                </c:pt>
                <c:pt idx="62">
                  <c:v>12.2</c:v>
                </c:pt>
                <c:pt idx="63">
                  <c:v>12.3</c:v>
                </c:pt>
                <c:pt idx="64">
                  <c:v>12.3</c:v>
                </c:pt>
                <c:pt idx="65">
                  <c:v>11.9</c:v>
                </c:pt>
                <c:pt idx="66">
                  <c:v>12.1</c:v>
                </c:pt>
                <c:pt idx="67">
                  <c:v>12.1</c:v>
                </c:pt>
                <c:pt idx="68">
                  <c:v>11.9</c:v>
                </c:pt>
                <c:pt idx="69">
                  <c:v>12.1</c:v>
                </c:pt>
                <c:pt idx="70">
                  <c:v>12.3</c:v>
                </c:pt>
                <c:pt idx="71">
                  <c:v>12.1</c:v>
                </c:pt>
                <c:pt idx="72">
                  <c:v>12.1</c:v>
                </c:pt>
                <c:pt idx="73">
                  <c:v>12.3</c:v>
                </c:pt>
                <c:pt idx="74">
                  <c:v>12.2</c:v>
                </c:pt>
                <c:pt idx="75">
                  <c:v>12.2</c:v>
                </c:pt>
                <c:pt idx="76">
                  <c:v>12.3</c:v>
                </c:pt>
                <c:pt idx="77">
                  <c:v>12.1</c:v>
                </c:pt>
                <c:pt idx="78">
                  <c:v>11.9</c:v>
                </c:pt>
                <c:pt idx="79">
                  <c:v>12.2</c:v>
                </c:pt>
                <c:pt idx="80">
                  <c:v>12.1</c:v>
                </c:pt>
                <c:pt idx="81">
                  <c:v>11.9</c:v>
                </c:pt>
                <c:pt idx="82">
                  <c:v>12</c:v>
                </c:pt>
                <c:pt idx="83">
                  <c:v>12.1</c:v>
                </c:pt>
                <c:pt idx="84">
                  <c:v>12.2</c:v>
                </c:pt>
                <c:pt idx="85">
                  <c:v>11.9</c:v>
                </c:pt>
                <c:pt idx="86">
                  <c:v>12.1</c:v>
                </c:pt>
                <c:pt idx="87">
                  <c:v>12.1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12.2</c:v>
                </c:pt>
                <c:pt idx="92">
                  <c:v>12.1</c:v>
                </c:pt>
                <c:pt idx="93">
                  <c:v>12.3</c:v>
                </c:pt>
                <c:pt idx="94">
                  <c:v>12.3</c:v>
                </c:pt>
                <c:pt idx="95">
                  <c:v>12.4</c:v>
                </c:pt>
                <c:pt idx="96">
                  <c:v>12.3</c:v>
                </c:pt>
                <c:pt idx="97">
                  <c:v>12.2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12.3</c:v>
                </c:pt>
                <c:pt idx="103">
                  <c:v>12.4</c:v>
                </c:pt>
                <c:pt idx="104">
                  <c:v>12.4</c:v>
                </c:pt>
                <c:pt idx="105">
                  <c:v>12.4</c:v>
                </c:pt>
                <c:pt idx="106">
                  <c:v>12.6</c:v>
                </c:pt>
                <c:pt idx="107">
                  <c:v>12.6</c:v>
                </c:pt>
                <c:pt idx="108">
                  <c:v>12.4</c:v>
                </c:pt>
                <c:pt idx="109">
                  <c:v>12.5</c:v>
                </c:pt>
                <c:pt idx="110">
                  <c:v>12.4</c:v>
                </c:pt>
                <c:pt idx="111">
                  <c:v>12.2</c:v>
                </c:pt>
                <c:pt idx="112">
                  <c:v>12.3</c:v>
                </c:pt>
                <c:pt idx="113">
                  <c:v>12.7</c:v>
                </c:pt>
                <c:pt idx="114">
                  <c:v>12.7</c:v>
                </c:pt>
                <c:pt idx="115">
                  <c:v>12.6</c:v>
                </c:pt>
                <c:pt idx="116">
                  <c:v>12.6</c:v>
                </c:pt>
                <c:pt idx="117">
                  <c:v>12.6</c:v>
                </c:pt>
                <c:pt idx="118">
                  <c:v>12.6</c:v>
                </c:pt>
                <c:pt idx="119">
                  <c:v>12.7</c:v>
                </c:pt>
                <c:pt idx="120">
                  <c:v>13.1</c:v>
                </c:pt>
                <c:pt idx="121">
                  <c:v>12.7</c:v>
                </c:pt>
                <c:pt idx="122">
                  <c:v>13.2</c:v>
                </c:pt>
                <c:pt idx="123">
                  <c:v>12.8</c:v>
                </c:pt>
                <c:pt idx="124">
                  <c:v>13.1</c:v>
                </c:pt>
                <c:pt idx="125">
                  <c:v>13.4</c:v>
                </c:pt>
                <c:pt idx="126">
                  <c:v>13.3</c:v>
                </c:pt>
                <c:pt idx="127">
                  <c:v>13.5</c:v>
                </c:pt>
                <c:pt idx="128">
                  <c:v>13.2</c:v>
                </c:pt>
                <c:pt idx="129">
                  <c:v>13.2</c:v>
                </c:pt>
                <c:pt idx="130">
                  <c:v>13.2</c:v>
                </c:pt>
                <c:pt idx="131">
                  <c:v>13.2</c:v>
                </c:pt>
                <c:pt idx="132">
                  <c:v>13.3</c:v>
                </c:pt>
                <c:pt idx="133">
                  <c:v>13.3</c:v>
                </c:pt>
                <c:pt idx="134">
                  <c:v>13.1</c:v>
                </c:pt>
                <c:pt idx="135">
                  <c:v>12.8</c:v>
                </c:pt>
                <c:pt idx="136">
                  <c:v>12.9</c:v>
                </c:pt>
                <c:pt idx="137">
                  <c:v>13.1</c:v>
                </c:pt>
                <c:pt idx="138">
                  <c:v>12.9</c:v>
                </c:pt>
                <c:pt idx="139">
                  <c:v>12.9</c:v>
                </c:pt>
                <c:pt idx="140">
                  <c:v>12.9</c:v>
                </c:pt>
                <c:pt idx="141">
                  <c:v>12.7</c:v>
                </c:pt>
                <c:pt idx="142">
                  <c:v>12.4</c:v>
                </c:pt>
                <c:pt idx="143">
                  <c:v>12.4</c:v>
                </c:pt>
                <c:pt idx="144">
                  <c:v>12.4</c:v>
                </c:pt>
                <c:pt idx="145">
                  <c:v>12.4</c:v>
                </c:pt>
                <c:pt idx="146">
                  <c:v>12.4</c:v>
                </c:pt>
                <c:pt idx="147">
                  <c:v>12.4</c:v>
                </c:pt>
                <c:pt idx="148">
                  <c:v>12.3</c:v>
                </c:pt>
                <c:pt idx="149">
                  <c:v>12.3</c:v>
                </c:pt>
                <c:pt idx="150">
                  <c:v>12.3</c:v>
                </c:pt>
                <c:pt idx="151">
                  <c:v>12.3</c:v>
                </c:pt>
                <c:pt idx="152">
                  <c:v>12.3</c:v>
                </c:pt>
                <c:pt idx="153">
                  <c:v>12.3</c:v>
                </c:pt>
                <c:pt idx="154">
                  <c:v>12.3</c:v>
                </c:pt>
                <c:pt idx="155">
                  <c:v>12.2</c:v>
                </c:pt>
                <c:pt idx="156">
                  <c:v>12.3</c:v>
                </c:pt>
                <c:pt idx="157">
                  <c:v>12.2</c:v>
                </c:pt>
                <c:pt idx="158">
                  <c:v>12.2</c:v>
                </c:pt>
                <c:pt idx="159">
                  <c:v>12.2</c:v>
                </c:pt>
                <c:pt idx="160">
                  <c:v>12.2</c:v>
                </c:pt>
                <c:pt idx="161">
                  <c:v>12.1</c:v>
                </c:pt>
                <c:pt idx="162">
                  <c:v>12.2</c:v>
                </c:pt>
                <c:pt idx="163">
                  <c:v>12.1</c:v>
                </c:pt>
                <c:pt idx="164">
                  <c:v>12</c:v>
                </c:pt>
                <c:pt idx="165">
                  <c:v>11.768800000000001</c:v>
                </c:pt>
                <c:pt idx="166">
                  <c:v>12</c:v>
                </c:pt>
                <c:pt idx="167">
                  <c:v>11.9</c:v>
                </c:pt>
                <c:pt idx="168">
                  <c:v>12.1</c:v>
                </c:pt>
                <c:pt idx="169">
                  <c:v>12</c:v>
                </c:pt>
                <c:pt idx="170">
                  <c:v>12.1</c:v>
                </c:pt>
                <c:pt idx="171">
                  <c:v>12.1</c:v>
                </c:pt>
                <c:pt idx="172">
                  <c:v>12.2</c:v>
                </c:pt>
                <c:pt idx="173">
                  <c:v>11.8</c:v>
                </c:pt>
                <c:pt idx="174">
                  <c:v>11.9</c:v>
                </c:pt>
                <c:pt idx="175">
                  <c:v>12</c:v>
                </c:pt>
                <c:pt idx="176">
                  <c:v>11.743570999999999</c:v>
                </c:pt>
                <c:pt idx="177">
                  <c:v>11.9</c:v>
                </c:pt>
                <c:pt idx="178">
                  <c:v>11.9</c:v>
                </c:pt>
                <c:pt idx="179">
                  <c:v>11.8</c:v>
                </c:pt>
                <c:pt idx="180">
                  <c:v>11.9</c:v>
                </c:pt>
                <c:pt idx="181">
                  <c:v>11.9</c:v>
                </c:pt>
                <c:pt idx="182">
                  <c:v>11.9</c:v>
                </c:pt>
                <c:pt idx="183">
                  <c:v>11.5952</c:v>
                </c:pt>
                <c:pt idx="184">
                  <c:v>11.6</c:v>
                </c:pt>
                <c:pt idx="185">
                  <c:v>11.4</c:v>
                </c:pt>
                <c:pt idx="186">
                  <c:v>11.5</c:v>
                </c:pt>
                <c:pt idx="187">
                  <c:v>11.2</c:v>
                </c:pt>
                <c:pt idx="188">
                  <c:v>11.2</c:v>
                </c:pt>
                <c:pt idx="189">
                  <c:v>11.3</c:v>
                </c:pt>
                <c:pt idx="190">
                  <c:v>11.308999999999999</c:v>
                </c:pt>
                <c:pt idx="191">
                  <c:v>11.489000000000001</c:v>
                </c:pt>
                <c:pt idx="192">
                  <c:v>11.4</c:v>
                </c:pt>
                <c:pt idx="193">
                  <c:v>11.579667000000001</c:v>
                </c:pt>
                <c:pt idx="194">
                  <c:v>11.6</c:v>
                </c:pt>
                <c:pt idx="195">
                  <c:v>11.669667</c:v>
                </c:pt>
                <c:pt idx="196">
                  <c:v>11.697333</c:v>
                </c:pt>
                <c:pt idx="197">
                  <c:v>11.8</c:v>
                </c:pt>
                <c:pt idx="198">
                  <c:v>11.829499999999999</c:v>
                </c:pt>
                <c:pt idx="199">
                  <c:v>11.853</c:v>
                </c:pt>
                <c:pt idx="200">
                  <c:v>11.823</c:v>
                </c:pt>
                <c:pt idx="201">
                  <c:v>11.9</c:v>
                </c:pt>
                <c:pt idx="202">
                  <c:v>11.916</c:v>
                </c:pt>
                <c:pt idx="203">
                  <c:v>11.955</c:v>
                </c:pt>
                <c:pt idx="204">
                  <c:v>11.964</c:v>
                </c:pt>
                <c:pt idx="205">
                  <c:v>12.2</c:v>
                </c:pt>
                <c:pt idx="206">
                  <c:v>12.1</c:v>
                </c:pt>
                <c:pt idx="207">
                  <c:v>12.2</c:v>
                </c:pt>
                <c:pt idx="208">
                  <c:v>12.1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12.4</c:v>
                </c:pt>
                <c:pt idx="213">
                  <c:v>12.4</c:v>
                </c:pt>
                <c:pt idx="214">
                  <c:v>12.4</c:v>
                </c:pt>
                <c:pt idx="215">
                  <c:v>12.4</c:v>
                </c:pt>
                <c:pt idx="216">
                  <c:v>12.4</c:v>
                </c:pt>
                <c:pt idx="217">
                  <c:v>12.074999999999999</c:v>
                </c:pt>
                <c:pt idx="218">
                  <c:v>12.5</c:v>
                </c:pt>
                <c:pt idx="219">
                  <c:v>12.6</c:v>
                </c:pt>
                <c:pt idx="220">
                  <c:v>12.375</c:v>
                </c:pt>
                <c:pt idx="221">
                  <c:v>12.7</c:v>
                </c:pt>
                <c:pt idx="222">
                  <c:v>12.7</c:v>
                </c:pt>
                <c:pt idx="223">
                  <c:v>12.7</c:v>
                </c:pt>
                <c:pt idx="224">
                  <c:v>12.7</c:v>
                </c:pt>
                <c:pt idx="225">
                  <c:v>12.7</c:v>
                </c:pt>
                <c:pt idx="226">
                  <c:v>12.5044</c:v>
                </c:pt>
                <c:pt idx="227">
                  <c:v>12.4</c:v>
                </c:pt>
                <c:pt idx="228">
                  <c:v>12.4</c:v>
                </c:pt>
                <c:pt idx="229">
                  <c:v>12.6</c:v>
                </c:pt>
                <c:pt idx="230">
                  <c:v>12.09</c:v>
                </c:pt>
                <c:pt idx="231">
                  <c:v>12.4</c:v>
                </c:pt>
                <c:pt idx="232">
                  <c:v>12.4</c:v>
                </c:pt>
                <c:pt idx="233">
                  <c:v>12.4</c:v>
                </c:pt>
                <c:pt idx="234">
                  <c:v>12</c:v>
                </c:pt>
                <c:pt idx="235">
                  <c:v>12.3</c:v>
                </c:pt>
                <c:pt idx="236">
                  <c:v>12.4</c:v>
                </c:pt>
                <c:pt idx="237">
                  <c:v>12.4</c:v>
                </c:pt>
                <c:pt idx="238">
                  <c:v>12.4</c:v>
                </c:pt>
                <c:pt idx="239">
                  <c:v>12.4</c:v>
                </c:pt>
                <c:pt idx="240">
                  <c:v>12.01</c:v>
                </c:pt>
                <c:pt idx="241">
                  <c:v>11.96</c:v>
                </c:pt>
                <c:pt idx="242">
                  <c:v>12.3</c:v>
                </c:pt>
                <c:pt idx="243">
                  <c:v>12.3</c:v>
                </c:pt>
                <c:pt idx="244">
                  <c:v>12.3</c:v>
                </c:pt>
                <c:pt idx="245">
                  <c:v>12.3</c:v>
                </c:pt>
                <c:pt idx="246">
                  <c:v>11.79</c:v>
                </c:pt>
                <c:pt idx="247">
                  <c:v>12.3</c:v>
                </c:pt>
                <c:pt idx="248">
                  <c:v>12.2</c:v>
                </c:pt>
                <c:pt idx="249">
                  <c:v>12.2</c:v>
                </c:pt>
                <c:pt idx="250">
                  <c:v>11.94</c:v>
                </c:pt>
                <c:pt idx="251">
                  <c:v>12.2</c:v>
                </c:pt>
                <c:pt idx="252">
                  <c:v>11.94</c:v>
                </c:pt>
                <c:pt idx="253">
                  <c:v>12.1</c:v>
                </c:pt>
                <c:pt idx="254">
                  <c:v>11.61</c:v>
                </c:pt>
                <c:pt idx="255">
                  <c:v>12.1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11.640499999999999</c:v>
                </c:pt>
                <c:pt idx="260">
                  <c:v>12</c:v>
                </c:pt>
                <c:pt idx="261">
                  <c:v>11.420545000000001</c:v>
                </c:pt>
                <c:pt idx="262">
                  <c:v>9.8615490000000001</c:v>
                </c:pt>
                <c:pt idx="263">
                  <c:v>9.7647089999999999</c:v>
                </c:pt>
                <c:pt idx="264">
                  <c:v>9.8740000000000006</c:v>
                </c:pt>
                <c:pt idx="265">
                  <c:v>10.052371000000001</c:v>
                </c:pt>
                <c:pt idx="266">
                  <c:v>10.4</c:v>
                </c:pt>
                <c:pt idx="267">
                  <c:v>10.095000000000001</c:v>
                </c:pt>
                <c:pt idx="268">
                  <c:v>10.104214000000001</c:v>
                </c:pt>
                <c:pt idx="269">
                  <c:v>9.8897499999999994</c:v>
                </c:pt>
                <c:pt idx="270">
                  <c:v>10.3</c:v>
                </c:pt>
                <c:pt idx="271">
                  <c:v>10.16</c:v>
                </c:pt>
                <c:pt idx="272">
                  <c:v>9.9499999999999993</c:v>
                </c:pt>
                <c:pt idx="273">
                  <c:v>10.4</c:v>
                </c:pt>
                <c:pt idx="274">
                  <c:v>10.199999999999999</c:v>
                </c:pt>
                <c:pt idx="275">
                  <c:v>9.7981999999999996</c:v>
                </c:pt>
                <c:pt idx="276">
                  <c:v>10.3</c:v>
                </c:pt>
                <c:pt idx="277">
                  <c:v>10.4</c:v>
                </c:pt>
                <c:pt idx="278">
                  <c:v>10.4</c:v>
                </c:pt>
                <c:pt idx="279">
                  <c:v>9.85</c:v>
                </c:pt>
                <c:pt idx="280">
                  <c:v>9.7705000000000002</c:v>
                </c:pt>
                <c:pt idx="281">
                  <c:v>9.85</c:v>
                </c:pt>
                <c:pt idx="282">
                  <c:v>10.4</c:v>
                </c:pt>
                <c:pt idx="283">
                  <c:v>10.4</c:v>
                </c:pt>
                <c:pt idx="284">
                  <c:v>10.3</c:v>
                </c:pt>
                <c:pt idx="285">
                  <c:v>10.3</c:v>
                </c:pt>
                <c:pt idx="286">
                  <c:v>9.923</c:v>
                </c:pt>
                <c:pt idx="287">
                  <c:v>10.4</c:v>
                </c:pt>
                <c:pt idx="288">
                  <c:v>10.089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10.5</c:v>
                </c:pt>
                <c:pt idx="293">
                  <c:v>10.5</c:v>
                </c:pt>
                <c:pt idx="294">
                  <c:v>10.5</c:v>
                </c:pt>
                <c:pt idx="295">
                  <c:v>10.281499999999999</c:v>
                </c:pt>
                <c:pt idx="296">
                  <c:v>10.5</c:v>
                </c:pt>
                <c:pt idx="297">
                  <c:v>10.4</c:v>
                </c:pt>
                <c:pt idx="298">
                  <c:v>10.4</c:v>
                </c:pt>
                <c:pt idx="299">
                  <c:v>10.5</c:v>
                </c:pt>
                <c:pt idx="300">
                  <c:v>10.5</c:v>
                </c:pt>
                <c:pt idx="301">
                  <c:v>10.07</c:v>
                </c:pt>
                <c:pt idx="302">
                  <c:v>10.5</c:v>
                </c:pt>
                <c:pt idx="303">
                  <c:v>10.5</c:v>
                </c:pt>
                <c:pt idx="304">
                  <c:v>10.5</c:v>
                </c:pt>
                <c:pt idx="305">
                  <c:v>10.4</c:v>
                </c:pt>
                <c:pt idx="306">
                  <c:v>10.09</c:v>
                </c:pt>
                <c:pt idx="307">
                  <c:v>10.06</c:v>
                </c:pt>
                <c:pt idx="308">
                  <c:v>10.5</c:v>
                </c:pt>
                <c:pt idx="309">
                  <c:v>10.14</c:v>
                </c:pt>
                <c:pt idx="310">
                  <c:v>10.6</c:v>
                </c:pt>
                <c:pt idx="311">
                  <c:v>10.2552</c:v>
                </c:pt>
                <c:pt idx="312">
                  <c:v>10.208</c:v>
                </c:pt>
                <c:pt idx="313">
                  <c:v>10.6</c:v>
                </c:pt>
                <c:pt idx="314">
                  <c:v>10.695</c:v>
                </c:pt>
                <c:pt idx="315">
                  <c:v>10.7</c:v>
                </c:pt>
                <c:pt idx="316">
                  <c:v>10.6</c:v>
                </c:pt>
                <c:pt idx="317">
                  <c:v>10.7</c:v>
                </c:pt>
                <c:pt idx="318">
                  <c:v>10.79</c:v>
                </c:pt>
                <c:pt idx="319">
                  <c:v>10.7</c:v>
                </c:pt>
                <c:pt idx="320">
                  <c:v>10.199999999999999</c:v>
                </c:pt>
                <c:pt idx="321">
                  <c:v>10.76</c:v>
                </c:pt>
                <c:pt idx="322">
                  <c:v>10.32</c:v>
                </c:pt>
                <c:pt idx="323">
                  <c:v>10.515000000000001</c:v>
                </c:pt>
                <c:pt idx="324">
                  <c:v>10.693333000000001</c:v>
                </c:pt>
                <c:pt idx="325">
                  <c:v>10.48</c:v>
                </c:pt>
                <c:pt idx="326">
                  <c:v>10.25</c:v>
                </c:pt>
                <c:pt idx="327">
                  <c:v>10.478999999999999</c:v>
                </c:pt>
                <c:pt idx="328">
                  <c:v>10.48</c:v>
                </c:pt>
                <c:pt idx="329">
                  <c:v>10.56</c:v>
                </c:pt>
                <c:pt idx="330">
                  <c:v>10.523667</c:v>
                </c:pt>
                <c:pt idx="331">
                  <c:v>10.58</c:v>
                </c:pt>
                <c:pt idx="332">
                  <c:v>10.75</c:v>
                </c:pt>
                <c:pt idx="333">
                  <c:v>10.6365</c:v>
                </c:pt>
                <c:pt idx="334">
                  <c:v>10.835000000000001</c:v>
                </c:pt>
                <c:pt idx="335">
                  <c:v>10.44</c:v>
                </c:pt>
                <c:pt idx="336">
                  <c:v>10.9</c:v>
                </c:pt>
                <c:pt idx="337">
                  <c:v>10.619667</c:v>
                </c:pt>
                <c:pt idx="338">
                  <c:v>10.87</c:v>
                </c:pt>
                <c:pt idx="339">
                  <c:v>10.86</c:v>
                </c:pt>
                <c:pt idx="340">
                  <c:v>10.75</c:v>
                </c:pt>
                <c:pt idx="341">
                  <c:v>10.845000000000001</c:v>
                </c:pt>
                <c:pt idx="342">
                  <c:v>10.595000000000001</c:v>
                </c:pt>
                <c:pt idx="343">
                  <c:v>10.9</c:v>
                </c:pt>
                <c:pt idx="344">
                  <c:v>10.91</c:v>
                </c:pt>
                <c:pt idx="345">
                  <c:v>10.87</c:v>
                </c:pt>
                <c:pt idx="346">
                  <c:v>10.52</c:v>
                </c:pt>
                <c:pt idx="347">
                  <c:v>10.9</c:v>
                </c:pt>
                <c:pt idx="348">
                  <c:v>11</c:v>
                </c:pt>
                <c:pt idx="349">
                  <c:v>10.99</c:v>
                </c:pt>
                <c:pt idx="350">
                  <c:v>10.89</c:v>
                </c:pt>
                <c:pt idx="351">
                  <c:v>10.657</c:v>
                </c:pt>
                <c:pt idx="352">
                  <c:v>11</c:v>
                </c:pt>
                <c:pt idx="353">
                  <c:v>10.73</c:v>
                </c:pt>
                <c:pt idx="354">
                  <c:v>11.05</c:v>
                </c:pt>
                <c:pt idx="355">
                  <c:v>10.638999999999999</c:v>
                </c:pt>
                <c:pt idx="356">
                  <c:v>11</c:v>
                </c:pt>
                <c:pt idx="357">
                  <c:v>11</c:v>
                </c:pt>
                <c:pt idx="358">
                  <c:v>10.69</c:v>
                </c:pt>
                <c:pt idx="359">
                  <c:v>11.14</c:v>
                </c:pt>
                <c:pt idx="360">
                  <c:v>10.891999999999999</c:v>
                </c:pt>
                <c:pt idx="361">
                  <c:v>10.895</c:v>
                </c:pt>
                <c:pt idx="362">
                  <c:v>11.1</c:v>
                </c:pt>
                <c:pt idx="363">
                  <c:v>11.1</c:v>
                </c:pt>
                <c:pt idx="364">
                  <c:v>10.866667</c:v>
                </c:pt>
                <c:pt idx="365">
                  <c:v>11.14</c:v>
                </c:pt>
                <c:pt idx="366">
                  <c:v>11.1</c:v>
                </c:pt>
                <c:pt idx="367">
                  <c:v>11.2</c:v>
                </c:pt>
                <c:pt idx="368">
                  <c:v>11.038</c:v>
                </c:pt>
                <c:pt idx="369">
                  <c:v>11.3</c:v>
                </c:pt>
                <c:pt idx="370">
                  <c:v>10.49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10.33</c:v>
                </c:pt>
                <c:pt idx="375">
                  <c:v>10.31</c:v>
                </c:pt>
                <c:pt idx="376">
                  <c:v>10.220000000000001</c:v>
                </c:pt>
                <c:pt idx="377">
                  <c:v>10.220000000000001</c:v>
                </c:pt>
                <c:pt idx="378">
                  <c:v>10.18</c:v>
                </c:pt>
                <c:pt idx="379">
                  <c:v>10.023332999999999</c:v>
                </c:pt>
                <c:pt idx="380">
                  <c:v>10.055</c:v>
                </c:pt>
                <c:pt idx="381">
                  <c:v>10.054500000000001</c:v>
                </c:pt>
                <c:pt idx="382">
                  <c:v>9.9975000000000005</c:v>
                </c:pt>
                <c:pt idx="383">
                  <c:v>9.93</c:v>
                </c:pt>
                <c:pt idx="384">
                  <c:v>9.81</c:v>
                </c:pt>
                <c:pt idx="385">
                  <c:v>9.89</c:v>
                </c:pt>
                <c:pt idx="386">
                  <c:v>9.8234999999999992</c:v>
                </c:pt>
                <c:pt idx="387">
                  <c:v>9.74</c:v>
                </c:pt>
                <c:pt idx="388">
                  <c:v>9.82</c:v>
                </c:pt>
                <c:pt idx="389">
                  <c:v>9.6690000000000005</c:v>
                </c:pt>
                <c:pt idx="390">
                  <c:v>9.74</c:v>
                </c:pt>
                <c:pt idx="391">
                  <c:v>9.58</c:v>
                </c:pt>
                <c:pt idx="392">
                  <c:v>9.6300000000000008</c:v>
                </c:pt>
                <c:pt idx="393">
                  <c:v>9.76</c:v>
                </c:pt>
                <c:pt idx="394">
                  <c:v>9.5990000000000002</c:v>
                </c:pt>
                <c:pt idx="395">
                  <c:v>9.5299999999999994</c:v>
                </c:pt>
                <c:pt idx="396">
                  <c:v>9.6199999999999992</c:v>
                </c:pt>
                <c:pt idx="397">
                  <c:v>9.4350000000000005</c:v>
                </c:pt>
                <c:pt idx="398">
                  <c:v>9.69</c:v>
                </c:pt>
                <c:pt idx="399">
                  <c:v>9.6129999999999995</c:v>
                </c:pt>
                <c:pt idx="400">
                  <c:v>9.3699999999999992</c:v>
                </c:pt>
                <c:pt idx="401">
                  <c:v>9.6064290000000003</c:v>
                </c:pt>
                <c:pt idx="402">
                  <c:v>9.5028889999999997</c:v>
                </c:pt>
                <c:pt idx="403">
                  <c:v>9.42</c:v>
                </c:pt>
                <c:pt idx="404">
                  <c:v>9.3800000000000008</c:v>
                </c:pt>
                <c:pt idx="405">
                  <c:v>9.3171669999999995</c:v>
                </c:pt>
                <c:pt idx="406">
                  <c:v>9.65</c:v>
                </c:pt>
                <c:pt idx="407">
                  <c:v>9.3785000000000007</c:v>
                </c:pt>
                <c:pt idx="408">
                  <c:v>9.4450000000000003</c:v>
                </c:pt>
                <c:pt idx="409">
                  <c:v>9.4824999999999999</c:v>
                </c:pt>
                <c:pt idx="410">
                  <c:v>9.4633330000000004</c:v>
                </c:pt>
                <c:pt idx="411">
                  <c:v>9.4550000000000001</c:v>
                </c:pt>
                <c:pt idx="412">
                  <c:v>9.3070000000000004</c:v>
                </c:pt>
                <c:pt idx="413">
                  <c:v>9.2249999999999996</c:v>
                </c:pt>
                <c:pt idx="414">
                  <c:v>9.5</c:v>
                </c:pt>
                <c:pt idx="415">
                  <c:v>9.2520000000000007</c:v>
                </c:pt>
                <c:pt idx="416">
                  <c:v>9.3406669999999998</c:v>
                </c:pt>
                <c:pt idx="417">
                  <c:v>9.42</c:v>
                </c:pt>
                <c:pt idx="418">
                  <c:v>9.4700000000000006</c:v>
                </c:pt>
                <c:pt idx="419">
                  <c:v>9.1497499999999992</c:v>
                </c:pt>
                <c:pt idx="420">
                  <c:v>9.3840000000000003</c:v>
                </c:pt>
                <c:pt idx="421">
                  <c:v>9.48</c:v>
                </c:pt>
                <c:pt idx="422">
                  <c:v>9.4749999999999996</c:v>
                </c:pt>
                <c:pt idx="423">
                  <c:v>9.4179999999999993</c:v>
                </c:pt>
                <c:pt idx="424">
                  <c:v>9.3613999999999997</c:v>
                </c:pt>
                <c:pt idx="425">
                  <c:v>9.3432499999999994</c:v>
                </c:pt>
                <c:pt idx="426">
                  <c:v>9.2648329999999994</c:v>
                </c:pt>
                <c:pt idx="427">
                  <c:v>9.452</c:v>
                </c:pt>
                <c:pt idx="428">
                  <c:v>9.2769999999999992</c:v>
                </c:pt>
                <c:pt idx="429">
                  <c:v>9.3062500000000004</c:v>
                </c:pt>
                <c:pt idx="430">
                  <c:v>9.4193999999999996</c:v>
                </c:pt>
                <c:pt idx="431">
                  <c:v>9.4588570000000001</c:v>
                </c:pt>
                <c:pt idx="432">
                  <c:v>9.41</c:v>
                </c:pt>
                <c:pt idx="433">
                  <c:v>9.4390000000000001</c:v>
                </c:pt>
                <c:pt idx="434">
                  <c:v>9.43</c:v>
                </c:pt>
                <c:pt idx="435">
                  <c:v>9.4331999999999994</c:v>
                </c:pt>
                <c:pt idx="436">
                  <c:v>9.3815000000000008</c:v>
                </c:pt>
                <c:pt idx="437">
                  <c:v>9.1950000000000003</c:v>
                </c:pt>
                <c:pt idx="438">
                  <c:v>9.3093330000000005</c:v>
                </c:pt>
                <c:pt idx="439">
                  <c:v>9.1916670000000007</c:v>
                </c:pt>
                <c:pt idx="440">
                  <c:v>9.35</c:v>
                </c:pt>
                <c:pt idx="441">
                  <c:v>9.5347500000000007</c:v>
                </c:pt>
                <c:pt idx="442">
                  <c:v>9.4499999999999993</c:v>
                </c:pt>
                <c:pt idx="443">
                  <c:v>9.5</c:v>
                </c:pt>
                <c:pt idx="444">
                  <c:v>9.3800000000000008</c:v>
                </c:pt>
                <c:pt idx="445">
                  <c:v>9.4815000000000005</c:v>
                </c:pt>
                <c:pt idx="446">
                  <c:v>9.2520000000000007</c:v>
                </c:pt>
                <c:pt idx="447">
                  <c:v>9.1869999999999994</c:v>
                </c:pt>
                <c:pt idx="448">
                  <c:v>9.3350000000000009</c:v>
                </c:pt>
                <c:pt idx="449">
                  <c:v>9.66</c:v>
                </c:pt>
                <c:pt idx="450">
                  <c:v>9.65</c:v>
                </c:pt>
                <c:pt idx="451">
                  <c:v>9.57</c:v>
                </c:pt>
                <c:pt idx="452">
                  <c:v>9.5</c:v>
                </c:pt>
                <c:pt idx="453">
                  <c:v>9.5280000000000005</c:v>
                </c:pt>
                <c:pt idx="454">
                  <c:v>9.5853330000000003</c:v>
                </c:pt>
                <c:pt idx="455">
                  <c:v>9.6210000000000004</c:v>
                </c:pt>
                <c:pt idx="456">
                  <c:v>9.6050000000000004</c:v>
                </c:pt>
                <c:pt idx="457">
                  <c:v>9.657</c:v>
                </c:pt>
                <c:pt idx="458">
                  <c:v>9.6419999999999995</c:v>
                </c:pt>
                <c:pt idx="459">
                  <c:v>9.5340000000000007</c:v>
                </c:pt>
                <c:pt idx="460">
                  <c:v>9.7104999999999997</c:v>
                </c:pt>
                <c:pt idx="461">
                  <c:v>9.8450000000000006</c:v>
                </c:pt>
                <c:pt idx="462">
                  <c:v>9.826333</c:v>
                </c:pt>
                <c:pt idx="463">
                  <c:v>9.6489999999999991</c:v>
                </c:pt>
                <c:pt idx="464">
                  <c:v>9.8539999999999992</c:v>
                </c:pt>
                <c:pt idx="465">
                  <c:v>9.8164999999999996</c:v>
                </c:pt>
                <c:pt idx="466">
                  <c:v>9.7880000000000003</c:v>
                </c:pt>
                <c:pt idx="467">
                  <c:v>9.7183329999999994</c:v>
                </c:pt>
                <c:pt idx="468">
                  <c:v>9.65</c:v>
                </c:pt>
                <c:pt idx="469">
                  <c:v>9.7055000000000007</c:v>
                </c:pt>
                <c:pt idx="470">
                  <c:v>9.8000000000000007</c:v>
                </c:pt>
                <c:pt idx="471">
                  <c:v>9.4860000000000007</c:v>
                </c:pt>
                <c:pt idx="472">
                  <c:v>9.7959999999999994</c:v>
                </c:pt>
                <c:pt idx="473">
                  <c:v>9.8194999999999997</c:v>
                </c:pt>
                <c:pt idx="474">
                  <c:v>9.7085000000000008</c:v>
                </c:pt>
                <c:pt idx="475">
                  <c:v>9.7159999999999993</c:v>
                </c:pt>
                <c:pt idx="476">
                  <c:v>9.6029999999999998</c:v>
                </c:pt>
                <c:pt idx="477">
                  <c:v>9.7040000000000006</c:v>
                </c:pt>
                <c:pt idx="478">
                  <c:v>9.91</c:v>
                </c:pt>
                <c:pt idx="479">
                  <c:v>9.66</c:v>
                </c:pt>
                <c:pt idx="480">
                  <c:v>9.6440000000000001</c:v>
                </c:pt>
                <c:pt idx="481">
                  <c:v>9.7680000000000007</c:v>
                </c:pt>
                <c:pt idx="482">
                  <c:v>9.7629999999999999</c:v>
                </c:pt>
                <c:pt idx="483">
                  <c:v>9.8254999999999999</c:v>
                </c:pt>
                <c:pt idx="484">
                  <c:v>9.7899999999999991</c:v>
                </c:pt>
                <c:pt idx="485">
                  <c:v>9.69</c:v>
                </c:pt>
                <c:pt idx="486">
                  <c:v>9.68</c:v>
                </c:pt>
                <c:pt idx="487">
                  <c:v>9.7159999999999993</c:v>
                </c:pt>
                <c:pt idx="488">
                  <c:v>9.7590000000000003</c:v>
                </c:pt>
                <c:pt idx="489">
                  <c:v>9.8741669999999999</c:v>
                </c:pt>
                <c:pt idx="490">
                  <c:v>9.8640000000000008</c:v>
                </c:pt>
                <c:pt idx="491">
                  <c:v>9.7669999999999995</c:v>
                </c:pt>
                <c:pt idx="492">
                  <c:v>9.8379999999999992</c:v>
                </c:pt>
                <c:pt idx="493">
                  <c:v>9.6820000000000004</c:v>
                </c:pt>
                <c:pt idx="494">
                  <c:v>9.6890000000000001</c:v>
                </c:pt>
                <c:pt idx="495">
                  <c:v>9.8623329999999996</c:v>
                </c:pt>
                <c:pt idx="496">
                  <c:v>9.8175000000000008</c:v>
                </c:pt>
                <c:pt idx="497">
                  <c:v>9.6389999999999993</c:v>
                </c:pt>
                <c:pt idx="498">
                  <c:v>9.7579999999999991</c:v>
                </c:pt>
                <c:pt idx="499">
                  <c:v>9.7530000000000001</c:v>
                </c:pt>
                <c:pt idx="500">
                  <c:v>9.8879999999999999</c:v>
                </c:pt>
                <c:pt idx="501">
                  <c:v>10.06</c:v>
                </c:pt>
                <c:pt idx="502">
                  <c:v>9.9290000000000003</c:v>
                </c:pt>
                <c:pt idx="503">
                  <c:v>9.9949999999999992</c:v>
                </c:pt>
                <c:pt idx="504">
                  <c:v>10.053000000000001</c:v>
                </c:pt>
                <c:pt idx="505">
                  <c:v>10.038</c:v>
                </c:pt>
                <c:pt idx="506">
                  <c:v>10.154500000000001</c:v>
                </c:pt>
                <c:pt idx="507">
                  <c:v>10.241</c:v>
                </c:pt>
                <c:pt idx="508">
                  <c:v>10.207000000000001</c:v>
                </c:pt>
                <c:pt idx="509">
                  <c:v>10.173999999999999</c:v>
                </c:pt>
                <c:pt idx="510">
                  <c:v>10.234</c:v>
                </c:pt>
                <c:pt idx="511">
                  <c:v>9.7889999999999997</c:v>
                </c:pt>
                <c:pt idx="512">
                  <c:v>9.6349999999999998</c:v>
                </c:pt>
                <c:pt idx="513">
                  <c:v>9.5470000000000006</c:v>
                </c:pt>
                <c:pt idx="514">
                  <c:v>9.6</c:v>
                </c:pt>
                <c:pt idx="515">
                  <c:v>9.8170000000000002</c:v>
                </c:pt>
                <c:pt idx="516">
                  <c:v>10.204000000000001</c:v>
                </c:pt>
                <c:pt idx="517">
                  <c:v>9.6129999999999995</c:v>
                </c:pt>
                <c:pt idx="518">
                  <c:v>9.5879999999999992</c:v>
                </c:pt>
                <c:pt idx="519">
                  <c:v>9.6430000000000007</c:v>
                </c:pt>
                <c:pt idx="520">
                  <c:v>9.6549999999999994</c:v>
                </c:pt>
                <c:pt idx="521">
                  <c:v>9.5459999999999994</c:v>
                </c:pt>
                <c:pt idx="522">
                  <c:v>9.6920000000000002</c:v>
                </c:pt>
                <c:pt idx="523">
                  <c:v>9.4909999999999997</c:v>
                </c:pt>
                <c:pt idx="524">
                  <c:v>9.7913329999999998</c:v>
                </c:pt>
                <c:pt idx="525">
                  <c:v>9.5500000000000007</c:v>
                </c:pt>
                <c:pt idx="526">
                  <c:v>9.6</c:v>
                </c:pt>
                <c:pt idx="527">
                  <c:v>9.5485000000000007</c:v>
                </c:pt>
                <c:pt idx="528">
                  <c:v>9.2639999999999993</c:v>
                </c:pt>
                <c:pt idx="529">
                  <c:v>9.5259999999999998</c:v>
                </c:pt>
                <c:pt idx="530">
                  <c:v>9.5649999999999995</c:v>
                </c:pt>
                <c:pt idx="531">
                  <c:v>9.4909999999999997</c:v>
                </c:pt>
                <c:pt idx="532">
                  <c:v>9.4689999999999994</c:v>
                </c:pt>
                <c:pt idx="533">
                  <c:v>9.49</c:v>
                </c:pt>
                <c:pt idx="534">
                  <c:v>9.452</c:v>
                </c:pt>
                <c:pt idx="535">
                  <c:v>9.4774999999999991</c:v>
                </c:pt>
                <c:pt idx="536">
                  <c:v>9.58</c:v>
                </c:pt>
                <c:pt idx="537">
                  <c:v>9.6159999999999997</c:v>
                </c:pt>
                <c:pt idx="538">
                  <c:v>9.7424999999999997</c:v>
                </c:pt>
                <c:pt idx="539">
                  <c:v>9.8049999999999997</c:v>
                </c:pt>
                <c:pt idx="540">
                  <c:v>9.7420000000000009</c:v>
                </c:pt>
                <c:pt idx="541">
                  <c:v>9.8179999999999996</c:v>
                </c:pt>
                <c:pt idx="542">
                  <c:v>9.7919999999999998</c:v>
                </c:pt>
                <c:pt idx="543">
                  <c:v>9.8149999999999995</c:v>
                </c:pt>
                <c:pt idx="544">
                  <c:v>9.8979999999999997</c:v>
                </c:pt>
                <c:pt idx="545">
                  <c:v>9.827</c:v>
                </c:pt>
                <c:pt idx="546">
                  <c:v>9.8149999999999995</c:v>
                </c:pt>
                <c:pt idx="547">
                  <c:v>9.7729999999999997</c:v>
                </c:pt>
                <c:pt idx="548">
                  <c:v>9.8699999999999992</c:v>
                </c:pt>
                <c:pt idx="549">
                  <c:v>9.8239999999999998</c:v>
                </c:pt>
                <c:pt idx="550">
                  <c:v>9.8170000000000002</c:v>
                </c:pt>
                <c:pt idx="551">
                  <c:v>10.026999999999999</c:v>
                </c:pt>
                <c:pt idx="552">
                  <c:v>10.016</c:v>
                </c:pt>
                <c:pt idx="553">
                  <c:v>9.8849999999999998</c:v>
                </c:pt>
                <c:pt idx="554">
                  <c:v>9.9130000000000003</c:v>
                </c:pt>
                <c:pt idx="555">
                  <c:v>9.9410000000000007</c:v>
                </c:pt>
                <c:pt idx="556">
                  <c:v>10.013999999999999</c:v>
                </c:pt>
                <c:pt idx="557">
                  <c:v>9.9320000000000004</c:v>
                </c:pt>
                <c:pt idx="558">
                  <c:v>9.9510000000000005</c:v>
                </c:pt>
                <c:pt idx="559">
                  <c:v>10.058</c:v>
                </c:pt>
                <c:pt idx="560">
                  <c:v>9.9830000000000005</c:v>
                </c:pt>
                <c:pt idx="561">
                  <c:v>10.065</c:v>
                </c:pt>
                <c:pt idx="562">
                  <c:v>10.103</c:v>
                </c:pt>
                <c:pt idx="563">
                  <c:v>10.073</c:v>
                </c:pt>
                <c:pt idx="564">
                  <c:v>10.157</c:v>
                </c:pt>
                <c:pt idx="565">
                  <c:v>10.132999999999999</c:v>
                </c:pt>
                <c:pt idx="566">
                  <c:v>10.016</c:v>
                </c:pt>
                <c:pt idx="567">
                  <c:v>10.194000000000001</c:v>
                </c:pt>
                <c:pt idx="568">
                  <c:v>10.159000000000001</c:v>
                </c:pt>
                <c:pt idx="569">
                  <c:v>10.074999999999999</c:v>
                </c:pt>
                <c:pt idx="570">
                  <c:v>10.210000000000001</c:v>
                </c:pt>
                <c:pt idx="571">
                  <c:v>10.061</c:v>
                </c:pt>
                <c:pt idx="572">
                  <c:v>10.244</c:v>
                </c:pt>
                <c:pt idx="573">
                  <c:v>10.016500000000001</c:v>
                </c:pt>
                <c:pt idx="574">
                  <c:v>10.122</c:v>
                </c:pt>
                <c:pt idx="575">
                  <c:v>10.189</c:v>
                </c:pt>
                <c:pt idx="576">
                  <c:v>10.086</c:v>
                </c:pt>
                <c:pt idx="577">
                  <c:v>10.112500000000001</c:v>
                </c:pt>
                <c:pt idx="578">
                  <c:v>10.029</c:v>
                </c:pt>
                <c:pt idx="579">
                  <c:v>10.031000000000001</c:v>
                </c:pt>
                <c:pt idx="580">
                  <c:v>10.069000000000001</c:v>
                </c:pt>
                <c:pt idx="581">
                  <c:v>10.093999999999999</c:v>
                </c:pt>
                <c:pt idx="582">
                  <c:v>10.058</c:v>
                </c:pt>
                <c:pt idx="583">
                  <c:v>10.022</c:v>
                </c:pt>
                <c:pt idx="584">
                  <c:v>10.009</c:v>
                </c:pt>
                <c:pt idx="585">
                  <c:v>10.087</c:v>
                </c:pt>
                <c:pt idx="586">
                  <c:v>10.048500000000001</c:v>
                </c:pt>
                <c:pt idx="587">
                  <c:v>10.077999999999999</c:v>
                </c:pt>
                <c:pt idx="588">
                  <c:v>10.095000000000001</c:v>
                </c:pt>
                <c:pt idx="589">
                  <c:v>10.096</c:v>
                </c:pt>
                <c:pt idx="590">
                  <c:v>10.169667</c:v>
                </c:pt>
                <c:pt idx="591">
                  <c:v>10.036</c:v>
                </c:pt>
                <c:pt idx="592">
                  <c:v>10.016332999999999</c:v>
                </c:pt>
                <c:pt idx="593">
                  <c:v>10.048</c:v>
                </c:pt>
                <c:pt idx="594">
                  <c:v>9.8680000000000003</c:v>
                </c:pt>
                <c:pt idx="595">
                  <c:v>9.9849999999999994</c:v>
                </c:pt>
                <c:pt idx="596">
                  <c:v>9.8460000000000001</c:v>
                </c:pt>
                <c:pt idx="597">
                  <c:v>9.7829999999999995</c:v>
                </c:pt>
                <c:pt idx="598">
                  <c:v>9.7789999999999999</c:v>
                </c:pt>
                <c:pt idx="599">
                  <c:v>9.8239999999999998</c:v>
                </c:pt>
                <c:pt idx="600">
                  <c:v>9.8520000000000003</c:v>
                </c:pt>
                <c:pt idx="601">
                  <c:v>9.9580000000000002</c:v>
                </c:pt>
                <c:pt idx="602">
                  <c:v>9.9440000000000008</c:v>
                </c:pt>
                <c:pt idx="603">
                  <c:v>9.9295000000000009</c:v>
                </c:pt>
                <c:pt idx="604">
                  <c:v>9.8390000000000004</c:v>
                </c:pt>
                <c:pt idx="605">
                  <c:v>9.9090000000000007</c:v>
                </c:pt>
                <c:pt idx="606">
                  <c:v>9.9450000000000003</c:v>
                </c:pt>
                <c:pt idx="607">
                  <c:v>10.061999999999999</c:v>
                </c:pt>
                <c:pt idx="608">
                  <c:v>9.9670000000000005</c:v>
                </c:pt>
                <c:pt idx="609">
                  <c:v>10.016999999999999</c:v>
                </c:pt>
                <c:pt idx="610">
                  <c:v>10.042999999999999</c:v>
                </c:pt>
                <c:pt idx="611">
                  <c:v>9.9149999999999991</c:v>
                </c:pt>
                <c:pt idx="612">
                  <c:v>9.9450000000000003</c:v>
                </c:pt>
                <c:pt idx="613">
                  <c:v>9.9710000000000001</c:v>
                </c:pt>
                <c:pt idx="614">
                  <c:v>9.9960000000000004</c:v>
                </c:pt>
                <c:pt idx="615">
                  <c:v>10.117000000000001</c:v>
                </c:pt>
                <c:pt idx="616">
                  <c:v>10.196</c:v>
                </c:pt>
                <c:pt idx="617">
                  <c:v>10.128</c:v>
                </c:pt>
                <c:pt idx="618">
                  <c:v>10.186999999999999</c:v>
                </c:pt>
                <c:pt idx="619">
                  <c:v>10.137</c:v>
                </c:pt>
                <c:pt idx="620">
                  <c:v>10.217000000000001</c:v>
                </c:pt>
                <c:pt idx="621">
                  <c:v>10.146000000000001</c:v>
                </c:pt>
                <c:pt idx="622">
                  <c:v>10.122</c:v>
                </c:pt>
                <c:pt idx="623">
                  <c:v>10.169</c:v>
                </c:pt>
                <c:pt idx="624">
                  <c:v>10.156000000000001</c:v>
                </c:pt>
                <c:pt idx="625">
                  <c:v>10.170999999999999</c:v>
                </c:pt>
                <c:pt idx="626">
                  <c:v>10.196999999999999</c:v>
                </c:pt>
                <c:pt idx="627">
                  <c:v>10.284000000000001</c:v>
                </c:pt>
                <c:pt idx="628">
                  <c:v>10.29</c:v>
                </c:pt>
                <c:pt idx="629">
                  <c:v>10.273999999999999</c:v>
                </c:pt>
                <c:pt idx="630">
                  <c:v>10.282</c:v>
                </c:pt>
                <c:pt idx="631">
                  <c:v>10.39</c:v>
                </c:pt>
                <c:pt idx="632">
                  <c:v>10.339</c:v>
                </c:pt>
                <c:pt idx="633">
                  <c:v>10.444000000000001</c:v>
                </c:pt>
                <c:pt idx="634">
                  <c:v>10.919</c:v>
                </c:pt>
                <c:pt idx="635">
                  <c:v>10.933</c:v>
                </c:pt>
                <c:pt idx="636">
                  <c:v>10.808999999999999</c:v>
                </c:pt>
                <c:pt idx="637">
                  <c:v>10.59</c:v>
                </c:pt>
                <c:pt idx="638">
                  <c:v>10.663</c:v>
                </c:pt>
                <c:pt idx="639">
                  <c:v>10.81</c:v>
                </c:pt>
                <c:pt idx="640">
                  <c:v>10.702</c:v>
                </c:pt>
                <c:pt idx="641">
                  <c:v>10.81</c:v>
                </c:pt>
                <c:pt idx="642">
                  <c:v>10.641999999999999</c:v>
                </c:pt>
                <c:pt idx="643">
                  <c:v>10.768000000000001</c:v>
                </c:pt>
                <c:pt idx="644">
                  <c:v>10.772</c:v>
                </c:pt>
                <c:pt idx="645">
                  <c:v>10.840999999999999</c:v>
                </c:pt>
                <c:pt idx="646">
                  <c:v>10.836</c:v>
                </c:pt>
                <c:pt idx="647">
                  <c:v>10.81</c:v>
                </c:pt>
                <c:pt idx="648">
                  <c:v>10.722</c:v>
                </c:pt>
                <c:pt idx="649">
                  <c:v>10.701000000000001</c:v>
                </c:pt>
                <c:pt idx="650">
                  <c:v>10.747</c:v>
                </c:pt>
                <c:pt idx="651">
                  <c:v>10.81</c:v>
                </c:pt>
                <c:pt idx="652">
                  <c:v>10.680999999999999</c:v>
                </c:pt>
                <c:pt idx="653">
                  <c:v>10.749000000000001</c:v>
                </c:pt>
                <c:pt idx="654">
                  <c:v>10.711</c:v>
                </c:pt>
                <c:pt idx="655">
                  <c:v>10.682</c:v>
                </c:pt>
                <c:pt idx="656">
                  <c:v>10.725</c:v>
                </c:pt>
                <c:pt idx="657">
                  <c:v>10.688000000000001</c:v>
                </c:pt>
                <c:pt idx="658">
                  <c:v>10.651999999999999</c:v>
                </c:pt>
                <c:pt idx="659">
                  <c:v>10.592000000000001</c:v>
                </c:pt>
                <c:pt idx="660">
                  <c:v>10.617000000000001</c:v>
                </c:pt>
                <c:pt idx="661">
                  <c:v>10.586</c:v>
                </c:pt>
                <c:pt idx="662">
                  <c:v>10.599</c:v>
                </c:pt>
                <c:pt idx="663">
                  <c:v>10.5875</c:v>
                </c:pt>
                <c:pt idx="664">
                  <c:v>10.718</c:v>
                </c:pt>
                <c:pt idx="665">
                  <c:v>10.538</c:v>
                </c:pt>
                <c:pt idx="666">
                  <c:v>10.609</c:v>
                </c:pt>
                <c:pt idx="667">
                  <c:v>10.676</c:v>
                </c:pt>
                <c:pt idx="668">
                  <c:v>10.641</c:v>
                </c:pt>
                <c:pt idx="669">
                  <c:v>10.766</c:v>
                </c:pt>
                <c:pt idx="670">
                  <c:v>10.771000000000001</c:v>
                </c:pt>
                <c:pt idx="671">
                  <c:v>10.494999999999999</c:v>
                </c:pt>
                <c:pt idx="672">
                  <c:v>10.590999999999999</c:v>
                </c:pt>
                <c:pt idx="673">
                  <c:v>10.494</c:v>
                </c:pt>
                <c:pt idx="674">
                  <c:v>10.654999999999999</c:v>
                </c:pt>
                <c:pt idx="675">
                  <c:v>10.673</c:v>
                </c:pt>
                <c:pt idx="676">
                  <c:v>10.532</c:v>
                </c:pt>
                <c:pt idx="677">
                  <c:v>10.493</c:v>
                </c:pt>
                <c:pt idx="678">
                  <c:v>10.714</c:v>
                </c:pt>
                <c:pt idx="679">
                  <c:v>10.553000000000001</c:v>
                </c:pt>
                <c:pt idx="680">
                  <c:v>10.59</c:v>
                </c:pt>
                <c:pt idx="681">
                  <c:v>10.561999999999999</c:v>
                </c:pt>
                <c:pt idx="682">
                  <c:v>10.492000000000001</c:v>
                </c:pt>
                <c:pt idx="683">
                  <c:v>10.327999999999999</c:v>
                </c:pt>
                <c:pt idx="684">
                  <c:v>10.15</c:v>
                </c:pt>
                <c:pt idx="685">
                  <c:v>10.028</c:v>
                </c:pt>
                <c:pt idx="686">
                  <c:v>9.5190000000000001</c:v>
                </c:pt>
                <c:pt idx="687">
                  <c:v>9.4949999999999992</c:v>
                </c:pt>
                <c:pt idx="688">
                  <c:v>9.532</c:v>
                </c:pt>
                <c:pt idx="689">
                  <c:v>9.4130000000000003</c:v>
                </c:pt>
                <c:pt idx="690">
                  <c:v>9.52</c:v>
                </c:pt>
                <c:pt idx="691">
                  <c:v>9.4700000000000006</c:v>
                </c:pt>
                <c:pt idx="692">
                  <c:v>9.3979999999999997</c:v>
                </c:pt>
                <c:pt idx="693">
                  <c:v>9.4060000000000006</c:v>
                </c:pt>
                <c:pt idx="694">
                  <c:v>9.5455000000000005</c:v>
                </c:pt>
                <c:pt idx="695">
                  <c:v>9.4789999999999992</c:v>
                </c:pt>
                <c:pt idx="696">
                  <c:v>9.4719999999999995</c:v>
                </c:pt>
                <c:pt idx="697">
                  <c:v>9.407</c:v>
                </c:pt>
                <c:pt idx="698">
                  <c:v>9.3209999999999997</c:v>
                </c:pt>
                <c:pt idx="699">
                  <c:v>9.3559999999999999</c:v>
                </c:pt>
                <c:pt idx="700">
                  <c:v>9.4440000000000008</c:v>
                </c:pt>
                <c:pt idx="701">
                  <c:v>9.4320000000000004</c:v>
                </c:pt>
                <c:pt idx="702">
                  <c:v>9.423</c:v>
                </c:pt>
                <c:pt idx="703">
                  <c:v>9.5399999999999991</c:v>
                </c:pt>
                <c:pt idx="704">
                  <c:v>9.5210000000000008</c:v>
                </c:pt>
                <c:pt idx="705">
                  <c:v>9.5280000000000005</c:v>
                </c:pt>
                <c:pt idx="706">
                  <c:v>9.5950000000000006</c:v>
                </c:pt>
                <c:pt idx="707">
                  <c:v>9.5239999999999991</c:v>
                </c:pt>
                <c:pt idx="708">
                  <c:v>9.5579999999999998</c:v>
                </c:pt>
                <c:pt idx="709">
                  <c:v>9.5295000000000005</c:v>
                </c:pt>
                <c:pt idx="710">
                  <c:v>9.7089999999999996</c:v>
                </c:pt>
                <c:pt idx="711">
                  <c:v>9.52</c:v>
                </c:pt>
                <c:pt idx="712">
                  <c:v>9.5739999999999998</c:v>
                </c:pt>
                <c:pt idx="713">
                  <c:v>9.5459999999999994</c:v>
                </c:pt>
                <c:pt idx="714">
                  <c:v>9.5640000000000001</c:v>
                </c:pt>
                <c:pt idx="715">
                  <c:v>9.5519999999999996</c:v>
                </c:pt>
                <c:pt idx="716">
                  <c:v>9.6344999999999992</c:v>
                </c:pt>
                <c:pt idx="717">
                  <c:v>9.5995000000000008</c:v>
                </c:pt>
                <c:pt idx="718">
                  <c:v>9.6959999999999997</c:v>
                </c:pt>
                <c:pt idx="719">
                  <c:v>9.7799999999999994</c:v>
                </c:pt>
                <c:pt idx="720">
                  <c:v>9.6460000000000008</c:v>
                </c:pt>
                <c:pt idx="721">
                  <c:v>9.6170000000000009</c:v>
                </c:pt>
                <c:pt idx="722">
                  <c:v>9.68</c:v>
                </c:pt>
                <c:pt idx="723">
                  <c:v>9.6110000000000007</c:v>
                </c:pt>
                <c:pt idx="724">
                  <c:v>9.6229999999999993</c:v>
                </c:pt>
                <c:pt idx="725">
                  <c:v>9.6880000000000006</c:v>
                </c:pt>
                <c:pt idx="726">
                  <c:v>9.6310000000000002</c:v>
                </c:pt>
                <c:pt idx="727">
                  <c:v>9.7270000000000003</c:v>
                </c:pt>
                <c:pt idx="728">
                  <c:v>9.6419999999999995</c:v>
                </c:pt>
                <c:pt idx="729">
                  <c:v>9.7409999999999997</c:v>
                </c:pt>
                <c:pt idx="730">
                  <c:v>9.7225000000000001</c:v>
                </c:pt>
                <c:pt idx="731">
                  <c:v>9.7155000000000005</c:v>
                </c:pt>
                <c:pt idx="732">
                  <c:v>9.7319999999999993</c:v>
                </c:pt>
                <c:pt idx="733">
                  <c:v>9.7620000000000005</c:v>
                </c:pt>
                <c:pt idx="734">
                  <c:v>9.77</c:v>
                </c:pt>
                <c:pt idx="735">
                  <c:v>9.7889999999999997</c:v>
                </c:pt>
                <c:pt idx="736">
                  <c:v>9.8829999999999991</c:v>
                </c:pt>
                <c:pt idx="737">
                  <c:v>9.9049999999999994</c:v>
                </c:pt>
                <c:pt idx="738">
                  <c:v>9.8989999999999991</c:v>
                </c:pt>
                <c:pt idx="739">
                  <c:v>10.003</c:v>
                </c:pt>
                <c:pt idx="740">
                  <c:v>10.248749999999999</c:v>
                </c:pt>
                <c:pt idx="741">
                  <c:v>10.127000000000001</c:v>
                </c:pt>
                <c:pt idx="742">
                  <c:v>10.119</c:v>
                </c:pt>
                <c:pt idx="743">
                  <c:v>9.93</c:v>
                </c:pt>
                <c:pt idx="744">
                  <c:v>9.94</c:v>
                </c:pt>
                <c:pt idx="745">
                  <c:v>9.9930000000000003</c:v>
                </c:pt>
                <c:pt idx="746">
                  <c:v>10.005000000000001</c:v>
                </c:pt>
                <c:pt idx="747">
                  <c:v>9.9734999999999996</c:v>
                </c:pt>
                <c:pt idx="748">
                  <c:v>10.028</c:v>
                </c:pt>
                <c:pt idx="749">
                  <c:v>10.045</c:v>
                </c:pt>
                <c:pt idx="750">
                  <c:v>9.9883330000000008</c:v>
                </c:pt>
                <c:pt idx="751">
                  <c:v>10.013999999999999</c:v>
                </c:pt>
                <c:pt idx="752">
                  <c:v>10.067500000000001</c:v>
                </c:pt>
                <c:pt idx="753">
                  <c:v>10.010999999999999</c:v>
                </c:pt>
                <c:pt idx="754">
                  <c:v>9.9410000000000007</c:v>
                </c:pt>
                <c:pt idx="755">
                  <c:v>10.054</c:v>
                </c:pt>
                <c:pt idx="756">
                  <c:v>10.083</c:v>
                </c:pt>
                <c:pt idx="757">
                  <c:v>10.099</c:v>
                </c:pt>
                <c:pt idx="758">
                  <c:v>10.113</c:v>
                </c:pt>
                <c:pt idx="759">
                  <c:v>10.051</c:v>
                </c:pt>
                <c:pt idx="760">
                  <c:v>10.18</c:v>
                </c:pt>
                <c:pt idx="761">
                  <c:v>10.484999999999999</c:v>
                </c:pt>
                <c:pt idx="762">
                  <c:v>10.438000000000001</c:v>
                </c:pt>
                <c:pt idx="763">
                  <c:v>10.664999999999999</c:v>
                </c:pt>
                <c:pt idx="764">
                  <c:v>10.667</c:v>
                </c:pt>
                <c:pt idx="765">
                  <c:v>10.728999999999999</c:v>
                </c:pt>
                <c:pt idx="766">
                  <c:v>10.737</c:v>
                </c:pt>
                <c:pt idx="767">
                  <c:v>10.603</c:v>
                </c:pt>
                <c:pt idx="768">
                  <c:v>10.635</c:v>
                </c:pt>
                <c:pt idx="769">
                  <c:v>10.484999999999999</c:v>
                </c:pt>
                <c:pt idx="770">
                  <c:v>10.6</c:v>
                </c:pt>
                <c:pt idx="771">
                  <c:v>10.51</c:v>
                </c:pt>
                <c:pt idx="772">
                  <c:v>10.537000000000001</c:v>
                </c:pt>
                <c:pt idx="773">
                  <c:v>10.513</c:v>
                </c:pt>
                <c:pt idx="774">
                  <c:v>10.446999999999999</c:v>
                </c:pt>
                <c:pt idx="775">
                  <c:v>10.654999999999999</c:v>
                </c:pt>
                <c:pt idx="776">
                  <c:v>10.519</c:v>
                </c:pt>
                <c:pt idx="777">
                  <c:v>10.51</c:v>
                </c:pt>
                <c:pt idx="778">
                  <c:v>10.597</c:v>
                </c:pt>
                <c:pt idx="779">
                  <c:v>10.475</c:v>
                </c:pt>
                <c:pt idx="780">
                  <c:v>10.49</c:v>
                </c:pt>
                <c:pt idx="781">
                  <c:v>10.541700000000001</c:v>
                </c:pt>
                <c:pt idx="782">
                  <c:v>10.494</c:v>
                </c:pt>
                <c:pt idx="783">
                  <c:v>10.537000000000001</c:v>
                </c:pt>
                <c:pt idx="784">
                  <c:v>10.537000000000001</c:v>
                </c:pt>
                <c:pt idx="785">
                  <c:v>10.606</c:v>
                </c:pt>
                <c:pt idx="786">
                  <c:v>10.619</c:v>
                </c:pt>
                <c:pt idx="787">
                  <c:v>10.565</c:v>
                </c:pt>
                <c:pt idx="788">
                  <c:v>10.523</c:v>
                </c:pt>
                <c:pt idx="789">
                  <c:v>10.484999999999999</c:v>
                </c:pt>
                <c:pt idx="790">
                  <c:v>10.361000000000001</c:v>
                </c:pt>
                <c:pt idx="791">
                  <c:v>10.489000000000001</c:v>
                </c:pt>
                <c:pt idx="792">
                  <c:v>10.489000000000001</c:v>
                </c:pt>
                <c:pt idx="793">
                  <c:v>10.481</c:v>
                </c:pt>
                <c:pt idx="794">
                  <c:v>10.403</c:v>
                </c:pt>
                <c:pt idx="795">
                  <c:v>10.36</c:v>
                </c:pt>
                <c:pt idx="796">
                  <c:v>9.6910000000000007</c:v>
                </c:pt>
                <c:pt idx="797">
                  <c:v>9.5429999999999993</c:v>
                </c:pt>
                <c:pt idx="798">
                  <c:v>9.5779999999999994</c:v>
                </c:pt>
                <c:pt idx="799">
                  <c:v>9.4659999999999993</c:v>
                </c:pt>
                <c:pt idx="800">
                  <c:v>9.4309999999999992</c:v>
                </c:pt>
                <c:pt idx="801">
                  <c:v>9.3979999999999997</c:v>
                </c:pt>
                <c:pt idx="802">
                  <c:v>9.4149999999999991</c:v>
                </c:pt>
                <c:pt idx="803">
                  <c:v>9.4019999999999992</c:v>
                </c:pt>
                <c:pt idx="804">
                  <c:v>9.3849999999999998</c:v>
                </c:pt>
                <c:pt idx="805">
                  <c:v>9.3699999999999992</c:v>
                </c:pt>
                <c:pt idx="806">
                  <c:v>9.5359999999999996</c:v>
                </c:pt>
                <c:pt idx="807">
                  <c:v>9.4090000000000007</c:v>
                </c:pt>
                <c:pt idx="808">
                  <c:v>9.4760000000000009</c:v>
                </c:pt>
                <c:pt idx="809">
                  <c:v>9.3460000000000001</c:v>
                </c:pt>
                <c:pt idx="810">
                  <c:v>9.57</c:v>
                </c:pt>
                <c:pt idx="811">
                  <c:v>9.5609999999999999</c:v>
                </c:pt>
                <c:pt idx="812">
                  <c:v>9.4290000000000003</c:v>
                </c:pt>
                <c:pt idx="813">
                  <c:v>9.5619999999999994</c:v>
                </c:pt>
                <c:pt idx="814">
                  <c:v>9.5760000000000005</c:v>
                </c:pt>
                <c:pt idx="815">
                  <c:v>9.5779999999999994</c:v>
                </c:pt>
                <c:pt idx="816">
                  <c:v>9.6</c:v>
                </c:pt>
                <c:pt idx="817">
                  <c:v>9.5640000000000001</c:v>
                </c:pt>
                <c:pt idx="818">
                  <c:v>9.6159999999999997</c:v>
                </c:pt>
                <c:pt idx="819">
                  <c:v>9.65</c:v>
                </c:pt>
                <c:pt idx="820">
                  <c:v>9.5604999999999993</c:v>
                </c:pt>
                <c:pt idx="821">
                  <c:v>9.6780000000000008</c:v>
                </c:pt>
                <c:pt idx="822">
                  <c:v>9.5690000000000008</c:v>
                </c:pt>
                <c:pt idx="823">
                  <c:v>9.6739999999999995</c:v>
                </c:pt>
                <c:pt idx="824">
                  <c:v>9.6780000000000008</c:v>
                </c:pt>
                <c:pt idx="825">
                  <c:v>9.7129999999999992</c:v>
                </c:pt>
                <c:pt idx="826">
                  <c:v>9.6829999999999998</c:v>
                </c:pt>
                <c:pt idx="827">
                  <c:v>9.6869999999999994</c:v>
                </c:pt>
                <c:pt idx="828">
                  <c:v>9.7509999999999994</c:v>
                </c:pt>
                <c:pt idx="829">
                  <c:v>9.7569999999999997</c:v>
                </c:pt>
                <c:pt idx="830">
                  <c:v>9.6790000000000003</c:v>
                </c:pt>
                <c:pt idx="831">
                  <c:v>9.6969999999999992</c:v>
                </c:pt>
                <c:pt idx="832">
                  <c:v>9.7249999999999996</c:v>
                </c:pt>
                <c:pt idx="833">
                  <c:v>9.7249999999999996</c:v>
                </c:pt>
                <c:pt idx="834">
                  <c:v>9.7210000000000001</c:v>
                </c:pt>
                <c:pt idx="835">
                  <c:v>9.7029999999999994</c:v>
                </c:pt>
                <c:pt idx="836">
                  <c:v>9.7639999999999993</c:v>
                </c:pt>
                <c:pt idx="837">
                  <c:v>9.7409999999999997</c:v>
                </c:pt>
                <c:pt idx="838">
                  <c:v>9.7319999999999993</c:v>
                </c:pt>
                <c:pt idx="839">
                  <c:v>9.7609999999999992</c:v>
                </c:pt>
                <c:pt idx="840">
                  <c:v>9.8439999999999994</c:v>
                </c:pt>
                <c:pt idx="841">
                  <c:v>9.8019999999999996</c:v>
                </c:pt>
                <c:pt idx="842">
                  <c:v>9.891</c:v>
                </c:pt>
                <c:pt idx="843">
                  <c:v>9.8510000000000009</c:v>
                </c:pt>
                <c:pt idx="844">
                  <c:v>9.9960000000000004</c:v>
                </c:pt>
                <c:pt idx="845">
                  <c:v>10.074</c:v>
                </c:pt>
                <c:pt idx="846">
                  <c:v>10.132999999999999</c:v>
                </c:pt>
                <c:pt idx="847">
                  <c:v>10.105</c:v>
                </c:pt>
                <c:pt idx="848">
                  <c:v>10.119999999999999</c:v>
                </c:pt>
                <c:pt idx="849">
                  <c:v>10.079000000000001</c:v>
                </c:pt>
                <c:pt idx="850">
                  <c:v>10.116</c:v>
                </c:pt>
                <c:pt idx="851">
                  <c:v>10.031000000000001</c:v>
                </c:pt>
                <c:pt idx="852">
                  <c:v>10.050000000000001</c:v>
                </c:pt>
                <c:pt idx="853">
                  <c:v>10.093500000000001</c:v>
                </c:pt>
                <c:pt idx="854">
                  <c:v>10.074</c:v>
                </c:pt>
                <c:pt idx="855">
                  <c:v>10.023999999999999</c:v>
                </c:pt>
                <c:pt idx="856">
                  <c:v>9.9659999999999993</c:v>
                </c:pt>
                <c:pt idx="857">
                  <c:v>9.907</c:v>
                </c:pt>
                <c:pt idx="858">
                  <c:v>9.8849999999999998</c:v>
                </c:pt>
                <c:pt idx="859">
                  <c:v>9.9640000000000004</c:v>
                </c:pt>
                <c:pt idx="860">
                  <c:v>9.9369999999999994</c:v>
                </c:pt>
                <c:pt idx="861">
                  <c:v>9.9160000000000004</c:v>
                </c:pt>
                <c:pt idx="862">
                  <c:v>10.016999999999999</c:v>
                </c:pt>
                <c:pt idx="863">
                  <c:v>9.9659999999999993</c:v>
                </c:pt>
                <c:pt idx="864">
                  <c:v>9.9280000000000008</c:v>
                </c:pt>
                <c:pt idx="865">
                  <c:v>9.9260000000000002</c:v>
                </c:pt>
                <c:pt idx="866">
                  <c:v>9.8505000000000003</c:v>
                </c:pt>
                <c:pt idx="867">
                  <c:v>9.8469999999999995</c:v>
                </c:pt>
                <c:pt idx="868">
                  <c:v>9.9410000000000007</c:v>
                </c:pt>
                <c:pt idx="869">
                  <c:v>9.8420000000000005</c:v>
                </c:pt>
                <c:pt idx="870">
                  <c:v>9.8290000000000006</c:v>
                </c:pt>
                <c:pt idx="871">
                  <c:v>9.8160000000000007</c:v>
                </c:pt>
                <c:pt idx="872">
                  <c:v>9.7270000000000003</c:v>
                </c:pt>
                <c:pt idx="873">
                  <c:v>9.7119999999999997</c:v>
                </c:pt>
                <c:pt idx="874">
                  <c:v>9.6850000000000005</c:v>
                </c:pt>
                <c:pt idx="875">
                  <c:v>9.5719999999999992</c:v>
                </c:pt>
                <c:pt idx="876">
                  <c:v>9.6259999999999994</c:v>
                </c:pt>
                <c:pt idx="877">
                  <c:v>9.7569999999999997</c:v>
                </c:pt>
                <c:pt idx="878">
                  <c:v>9.6829999999999998</c:v>
                </c:pt>
                <c:pt idx="879">
                  <c:v>9.4440000000000008</c:v>
                </c:pt>
                <c:pt idx="880">
                  <c:v>9.4649999999999999</c:v>
                </c:pt>
                <c:pt idx="881">
                  <c:v>9.4886669999999995</c:v>
                </c:pt>
                <c:pt idx="882">
                  <c:v>9.4885000000000002</c:v>
                </c:pt>
                <c:pt idx="883">
                  <c:v>9.4685000000000006</c:v>
                </c:pt>
                <c:pt idx="884">
                  <c:v>9.5579999999999998</c:v>
                </c:pt>
                <c:pt idx="885">
                  <c:v>9.51</c:v>
                </c:pt>
                <c:pt idx="886">
                  <c:v>9.5429999999999993</c:v>
                </c:pt>
                <c:pt idx="887">
                  <c:v>9.7245000000000008</c:v>
                </c:pt>
                <c:pt idx="888">
                  <c:v>9.67</c:v>
                </c:pt>
                <c:pt idx="889">
                  <c:v>9.7515000000000001</c:v>
                </c:pt>
                <c:pt idx="890">
                  <c:v>9.8919999999999995</c:v>
                </c:pt>
                <c:pt idx="891">
                  <c:v>9.8480000000000008</c:v>
                </c:pt>
                <c:pt idx="892">
                  <c:v>9.9870000000000001</c:v>
                </c:pt>
                <c:pt idx="893">
                  <c:v>10.121</c:v>
                </c:pt>
                <c:pt idx="894">
                  <c:v>10.337999999999999</c:v>
                </c:pt>
                <c:pt idx="895">
                  <c:v>10.303000000000001</c:v>
                </c:pt>
                <c:pt idx="896">
                  <c:v>10.243</c:v>
                </c:pt>
                <c:pt idx="897">
                  <c:v>10.265000000000001</c:v>
                </c:pt>
                <c:pt idx="898">
                  <c:v>10.199</c:v>
                </c:pt>
                <c:pt idx="899">
                  <c:v>10.093999999999999</c:v>
                </c:pt>
                <c:pt idx="900">
                  <c:v>10.087999999999999</c:v>
                </c:pt>
                <c:pt idx="901">
                  <c:v>10.051</c:v>
                </c:pt>
                <c:pt idx="902">
                  <c:v>10.1065</c:v>
                </c:pt>
                <c:pt idx="903">
                  <c:v>10.14</c:v>
                </c:pt>
                <c:pt idx="904">
                  <c:v>10.039999999999999</c:v>
                </c:pt>
                <c:pt idx="905">
                  <c:v>10.244999999999999</c:v>
                </c:pt>
                <c:pt idx="906">
                  <c:v>10.119</c:v>
                </c:pt>
                <c:pt idx="907">
                  <c:v>10.111000000000001</c:v>
                </c:pt>
                <c:pt idx="908">
                  <c:v>10.237</c:v>
                </c:pt>
                <c:pt idx="909">
                  <c:v>10.099</c:v>
                </c:pt>
                <c:pt idx="910">
                  <c:v>10.071</c:v>
                </c:pt>
                <c:pt idx="911">
                  <c:v>10.186999999999999</c:v>
                </c:pt>
                <c:pt idx="912">
                  <c:v>10.153</c:v>
                </c:pt>
                <c:pt idx="913">
                  <c:v>10.097</c:v>
                </c:pt>
                <c:pt idx="914">
                  <c:v>10.108000000000001</c:v>
                </c:pt>
                <c:pt idx="915">
                  <c:v>10.0975</c:v>
                </c:pt>
                <c:pt idx="916">
                  <c:v>10.135999999999999</c:v>
                </c:pt>
                <c:pt idx="917">
                  <c:v>10.047000000000001</c:v>
                </c:pt>
                <c:pt idx="918">
                  <c:v>10.101000000000001</c:v>
                </c:pt>
                <c:pt idx="919">
                  <c:v>10.119999999999999</c:v>
                </c:pt>
                <c:pt idx="920">
                  <c:v>10.076000000000001</c:v>
                </c:pt>
                <c:pt idx="921">
                  <c:v>9.9849999999999994</c:v>
                </c:pt>
                <c:pt idx="922">
                  <c:v>9.9979999999999993</c:v>
                </c:pt>
                <c:pt idx="923">
                  <c:v>10.186999999999999</c:v>
                </c:pt>
                <c:pt idx="924">
                  <c:v>10.108000000000001</c:v>
                </c:pt>
                <c:pt idx="925">
                  <c:v>10.066000000000001</c:v>
                </c:pt>
                <c:pt idx="926">
                  <c:v>10.055999999999999</c:v>
                </c:pt>
                <c:pt idx="927">
                  <c:v>10.037000000000001</c:v>
                </c:pt>
                <c:pt idx="928">
                  <c:v>10.010999999999999</c:v>
                </c:pt>
                <c:pt idx="929">
                  <c:v>10.116</c:v>
                </c:pt>
                <c:pt idx="930">
                  <c:v>10.045</c:v>
                </c:pt>
                <c:pt idx="931">
                  <c:v>10.026999999999999</c:v>
                </c:pt>
                <c:pt idx="932">
                  <c:v>9.9719999999999995</c:v>
                </c:pt>
                <c:pt idx="933">
                  <c:v>9.9260000000000002</c:v>
                </c:pt>
                <c:pt idx="934">
                  <c:v>9.93</c:v>
                </c:pt>
                <c:pt idx="935">
                  <c:v>9.9250000000000007</c:v>
                </c:pt>
                <c:pt idx="936">
                  <c:v>9.9209999999999994</c:v>
                </c:pt>
                <c:pt idx="937">
                  <c:v>9.9480000000000004</c:v>
                </c:pt>
                <c:pt idx="938">
                  <c:v>9.923</c:v>
                </c:pt>
                <c:pt idx="939">
                  <c:v>9.9359999999999999</c:v>
                </c:pt>
                <c:pt idx="940">
                  <c:v>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96-46E9-B203-D9B91F0635C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xVal>
            <c:numRef>
              <c:f>Index!$M$128:$M$161</c:f>
              <c:numCache>
                <c:formatCode>General</c:formatCode>
                <c:ptCount val="34"/>
              </c:numCache>
            </c:numRef>
          </c:xVal>
          <c:yVal>
            <c:numRef>
              <c:f>Index!$N$128:$N$161</c:f>
              <c:numCache>
                <c:formatCode>General</c:formatCode>
                <c:ptCount val="3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4-43E8-AC46-5D1C15530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742456"/>
        <c:axId val="705736576"/>
      </c:scatterChart>
      <c:valAx>
        <c:axId val="705742456"/>
        <c:scaling>
          <c:orientation val="minMax"/>
          <c:max val="2458449.9999999995"/>
          <c:min val="24581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736576"/>
        <c:crosses val="max"/>
        <c:crossBetween val="midCat"/>
        <c:majorUnit val="100"/>
      </c:valAx>
      <c:valAx>
        <c:axId val="705736576"/>
        <c:scaling>
          <c:orientation val="maxMin"/>
          <c:max val="11"/>
          <c:min val="9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74245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Index!$A$1</c:f>
          <c:strCache>
            <c:ptCount val="1"/>
            <c:pt idx="0">
              <c:v>BF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Vis!$A$1:$A$6000</c:f>
              <c:numCache>
                <c:formatCode>General</c:formatCode>
                <c:ptCount val="6000"/>
                <c:pt idx="0">
                  <c:v>2430184.2124999999</c:v>
                </c:pt>
                <c:pt idx="1">
                  <c:v>2430200.2374999998</c:v>
                </c:pt>
                <c:pt idx="2">
                  <c:v>2430215.7333300002</c:v>
                </c:pt>
                <c:pt idx="3">
                  <c:v>2430232.1833299999</c:v>
                </c:pt>
                <c:pt idx="4">
                  <c:v>2430252.75</c:v>
                </c:pt>
                <c:pt idx="5">
                  <c:v>2430272.2666699998</c:v>
                </c:pt>
                <c:pt idx="6">
                  <c:v>2430284.4857100002</c:v>
                </c:pt>
                <c:pt idx="7">
                  <c:v>2430314.0499999998</c:v>
                </c:pt>
                <c:pt idx="8">
                  <c:v>2435637.7000000002</c:v>
                </c:pt>
                <c:pt idx="9">
                  <c:v>2435727.7000000002</c:v>
                </c:pt>
                <c:pt idx="10">
                  <c:v>2435749.7000000002</c:v>
                </c:pt>
                <c:pt idx="11">
                  <c:v>2435807.7000000002</c:v>
                </c:pt>
                <c:pt idx="12">
                  <c:v>2436010.7000000002</c:v>
                </c:pt>
                <c:pt idx="13">
                  <c:v>2436026.7000000002</c:v>
                </c:pt>
                <c:pt idx="14">
                  <c:v>2436103.7999999998</c:v>
                </c:pt>
                <c:pt idx="15">
                  <c:v>2436158.7000000002</c:v>
                </c:pt>
                <c:pt idx="16">
                  <c:v>2436198.6</c:v>
                </c:pt>
                <c:pt idx="17">
                  <c:v>2436354.7999999998</c:v>
                </c:pt>
                <c:pt idx="18">
                  <c:v>2436379.7999999998</c:v>
                </c:pt>
                <c:pt idx="19">
                  <c:v>2436404.7000000002</c:v>
                </c:pt>
                <c:pt idx="20">
                  <c:v>2436454.7999999998</c:v>
                </c:pt>
                <c:pt idx="21">
                  <c:v>2436498.7000000002</c:v>
                </c:pt>
                <c:pt idx="22">
                  <c:v>2436526.6</c:v>
                </c:pt>
                <c:pt idx="23">
                  <c:v>2436671</c:v>
                </c:pt>
                <c:pt idx="24">
                  <c:v>2436720.7999999998</c:v>
                </c:pt>
                <c:pt idx="25">
                  <c:v>2436775.7000000002</c:v>
                </c:pt>
                <c:pt idx="26">
                  <c:v>2436839.7999999998</c:v>
                </c:pt>
                <c:pt idx="27">
                  <c:v>2436865.7000000002</c:v>
                </c:pt>
                <c:pt idx="28">
                  <c:v>2436897.6</c:v>
                </c:pt>
                <c:pt idx="29">
                  <c:v>2437106.7999999998</c:v>
                </c:pt>
                <c:pt idx="30">
                  <c:v>2437146.7000000002</c:v>
                </c:pt>
                <c:pt idx="31">
                  <c:v>2437167.9</c:v>
                </c:pt>
                <c:pt idx="32">
                  <c:v>2437189.7000000002</c:v>
                </c:pt>
                <c:pt idx="33">
                  <c:v>2437225.7000000002</c:v>
                </c:pt>
                <c:pt idx="34">
                  <c:v>2437257.7000000002</c:v>
                </c:pt>
                <c:pt idx="35">
                  <c:v>2437476.7999999998</c:v>
                </c:pt>
                <c:pt idx="36">
                  <c:v>2437517.7999999998</c:v>
                </c:pt>
                <c:pt idx="37">
                  <c:v>2437560.7034999998</c:v>
                </c:pt>
                <c:pt idx="38">
                  <c:v>2437846.4</c:v>
                </c:pt>
                <c:pt idx="39">
                  <c:v>2437874.7000000002</c:v>
                </c:pt>
                <c:pt idx="40">
                  <c:v>2437931.7999999998</c:v>
                </c:pt>
                <c:pt idx="41">
                  <c:v>2437958.6</c:v>
                </c:pt>
                <c:pt idx="42">
                  <c:v>2438005.7000000002</c:v>
                </c:pt>
                <c:pt idx="43">
                  <c:v>2438169.7999999998</c:v>
                </c:pt>
                <c:pt idx="44">
                  <c:v>2438211.7999999998</c:v>
                </c:pt>
                <c:pt idx="45">
                  <c:v>2438236.7000000002</c:v>
                </c:pt>
                <c:pt idx="46">
                  <c:v>2438290.7000000002</c:v>
                </c:pt>
                <c:pt idx="47">
                  <c:v>2438327.7000000002</c:v>
                </c:pt>
                <c:pt idx="48">
                  <c:v>2438356.6</c:v>
                </c:pt>
                <c:pt idx="49">
                  <c:v>2438538.7999999998</c:v>
                </c:pt>
                <c:pt idx="50">
                  <c:v>2438574.7999999998</c:v>
                </c:pt>
                <c:pt idx="51">
                  <c:v>2438592.7000000002</c:v>
                </c:pt>
                <c:pt idx="52">
                  <c:v>2438621.7000000002</c:v>
                </c:pt>
                <c:pt idx="53">
                  <c:v>2438670.3333299998</c:v>
                </c:pt>
                <c:pt idx="54">
                  <c:v>2438688.65</c:v>
                </c:pt>
                <c:pt idx="55">
                  <c:v>2438707.6</c:v>
                </c:pt>
                <c:pt idx="56">
                  <c:v>2438718.6</c:v>
                </c:pt>
                <c:pt idx="57">
                  <c:v>2438737.5750000002</c:v>
                </c:pt>
                <c:pt idx="58">
                  <c:v>2438857.85</c:v>
                </c:pt>
                <c:pt idx="59">
                  <c:v>2438879.7999999998</c:v>
                </c:pt>
                <c:pt idx="60">
                  <c:v>2438910.7999999998</c:v>
                </c:pt>
                <c:pt idx="61">
                  <c:v>2438922.1800000002</c:v>
                </c:pt>
                <c:pt idx="62">
                  <c:v>2438935.2777800001</c:v>
                </c:pt>
                <c:pt idx="63">
                  <c:v>2438954</c:v>
                </c:pt>
                <c:pt idx="64">
                  <c:v>2438971.2230799999</c:v>
                </c:pt>
                <c:pt idx="65">
                  <c:v>2438985.25</c:v>
                </c:pt>
                <c:pt idx="66">
                  <c:v>2439001.4636400002</c:v>
                </c:pt>
                <c:pt idx="67">
                  <c:v>2439027.6</c:v>
                </c:pt>
                <c:pt idx="68">
                  <c:v>2439035.88</c:v>
                </c:pt>
                <c:pt idx="69">
                  <c:v>2439056.70909</c:v>
                </c:pt>
                <c:pt idx="70">
                  <c:v>2439070.5666700001</c:v>
                </c:pt>
                <c:pt idx="71">
                  <c:v>2439095.5</c:v>
                </c:pt>
                <c:pt idx="72">
                  <c:v>2439123.5</c:v>
                </c:pt>
                <c:pt idx="73">
                  <c:v>2439173.6666700002</c:v>
                </c:pt>
                <c:pt idx="74">
                  <c:v>2439185.2000000002</c:v>
                </c:pt>
                <c:pt idx="75">
                  <c:v>2439208.3142900001</c:v>
                </c:pt>
                <c:pt idx="76">
                  <c:v>2439223.125</c:v>
                </c:pt>
                <c:pt idx="77">
                  <c:v>2439242.1</c:v>
                </c:pt>
                <c:pt idx="78">
                  <c:v>2439253.35</c:v>
                </c:pt>
                <c:pt idx="79">
                  <c:v>2439270.75385</c:v>
                </c:pt>
                <c:pt idx="80">
                  <c:v>2439289.28571</c:v>
                </c:pt>
                <c:pt idx="81">
                  <c:v>2439309.3666699999</c:v>
                </c:pt>
                <c:pt idx="82">
                  <c:v>2439326.8083299999</c:v>
                </c:pt>
                <c:pt idx="83">
                  <c:v>2439342.125</c:v>
                </c:pt>
                <c:pt idx="84">
                  <c:v>2439357.5428599999</c:v>
                </c:pt>
                <c:pt idx="85">
                  <c:v>2439371.9750000001</c:v>
                </c:pt>
                <c:pt idx="86">
                  <c:v>2439388.75</c:v>
                </c:pt>
                <c:pt idx="87">
                  <c:v>2439406.85</c:v>
                </c:pt>
                <c:pt idx="88">
                  <c:v>2439426.1</c:v>
                </c:pt>
                <c:pt idx="89">
                  <c:v>2439442.6</c:v>
                </c:pt>
                <c:pt idx="90">
                  <c:v>2439460</c:v>
                </c:pt>
                <c:pt idx="91">
                  <c:v>2439474.5666700001</c:v>
                </c:pt>
                <c:pt idx="92">
                  <c:v>2439567.9</c:v>
                </c:pt>
                <c:pt idx="93">
                  <c:v>2439581.15</c:v>
                </c:pt>
                <c:pt idx="94">
                  <c:v>2439592.3285699999</c:v>
                </c:pt>
                <c:pt idx="95">
                  <c:v>2439611.2571399999</c:v>
                </c:pt>
                <c:pt idx="96">
                  <c:v>2439625.2999999998</c:v>
                </c:pt>
                <c:pt idx="97">
                  <c:v>2439641.0538499998</c:v>
                </c:pt>
                <c:pt idx="98">
                  <c:v>2439660.03333</c:v>
                </c:pt>
                <c:pt idx="99">
                  <c:v>2439674.7000000002</c:v>
                </c:pt>
                <c:pt idx="100">
                  <c:v>2439692.1749999998</c:v>
                </c:pt>
                <c:pt idx="101">
                  <c:v>2439711.25</c:v>
                </c:pt>
                <c:pt idx="102">
                  <c:v>2439735.8374999999</c:v>
                </c:pt>
                <c:pt idx="103">
                  <c:v>2439750.2000000002</c:v>
                </c:pt>
                <c:pt idx="104">
                  <c:v>2439766.71667</c:v>
                </c:pt>
                <c:pt idx="105">
                  <c:v>2439786.35</c:v>
                </c:pt>
                <c:pt idx="106">
                  <c:v>2439798.0666700001</c:v>
                </c:pt>
                <c:pt idx="107">
                  <c:v>2439816.9500000002</c:v>
                </c:pt>
                <c:pt idx="108">
                  <c:v>2439915.4</c:v>
                </c:pt>
                <c:pt idx="109">
                  <c:v>2439928.9</c:v>
                </c:pt>
                <c:pt idx="110">
                  <c:v>2439948.6666700002</c:v>
                </c:pt>
                <c:pt idx="111">
                  <c:v>2439976.1333300001</c:v>
                </c:pt>
                <c:pt idx="112">
                  <c:v>2440000.3312499998</c:v>
                </c:pt>
                <c:pt idx="113">
                  <c:v>2440019.0520000001</c:v>
                </c:pt>
                <c:pt idx="114">
                  <c:v>2440037.378</c:v>
                </c:pt>
                <c:pt idx="115">
                  <c:v>2440057.1549999998</c:v>
                </c:pt>
                <c:pt idx="116">
                  <c:v>2440067.3450000002</c:v>
                </c:pt>
                <c:pt idx="117">
                  <c:v>2440088.622</c:v>
                </c:pt>
                <c:pt idx="118">
                  <c:v>2440106.2650000001</c:v>
                </c:pt>
                <c:pt idx="119">
                  <c:v>2440121.8276900002</c:v>
                </c:pt>
                <c:pt idx="120">
                  <c:v>2440140.0649999999</c:v>
                </c:pt>
                <c:pt idx="121">
                  <c:v>2440158.00667</c:v>
                </c:pt>
                <c:pt idx="122">
                  <c:v>2440177.946</c:v>
                </c:pt>
                <c:pt idx="123">
                  <c:v>2440198.4849999999</c:v>
                </c:pt>
                <c:pt idx="124">
                  <c:v>2440265.7999999998</c:v>
                </c:pt>
                <c:pt idx="125">
                  <c:v>2440297.4</c:v>
                </c:pt>
                <c:pt idx="126">
                  <c:v>2440328.3166700001</c:v>
                </c:pt>
                <c:pt idx="127">
                  <c:v>2440355.0249999999</c:v>
                </c:pt>
                <c:pt idx="128">
                  <c:v>2440372.4500000002</c:v>
                </c:pt>
                <c:pt idx="129">
                  <c:v>2440386.25556</c:v>
                </c:pt>
                <c:pt idx="130">
                  <c:v>2440406.6749999998</c:v>
                </c:pt>
                <c:pt idx="131">
                  <c:v>2440421.6800000002</c:v>
                </c:pt>
                <c:pt idx="132">
                  <c:v>2440439.7000000002</c:v>
                </c:pt>
                <c:pt idx="133">
                  <c:v>2440457.875</c:v>
                </c:pt>
                <c:pt idx="134">
                  <c:v>2440478.3111100001</c:v>
                </c:pt>
                <c:pt idx="135">
                  <c:v>2440494.5857099998</c:v>
                </c:pt>
                <c:pt idx="136">
                  <c:v>2440510.1666700002</c:v>
                </c:pt>
                <c:pt idx="137">
                  <c:v>2440528.15</c:v>
                </c:pt>
                <c:pt idx="138">
                  <c:v>2440550.1285700002</c:v>
                </c:pt>
                <c:pt idx="139">
                  <c:v>2440568</c:v>
                </c:pt>
                <c:pt idx="140">
                  <c:v>2440591.53333</c:v>
                </c:pt>
                <c:pt idx="141">
                  <c:v>2440639.4500000002</c:v>
                </c:pt>
                <c:pt idx="142">
                  <c:v>2440656.35</c:v>
                </c:pt>
                <c:pt idx="143">
                  <c:v>2440685.7799999998</c:v>
                </c:pt>
                <c:pt idx="144">
                  <c:v>2440699.7000000002</c:v>
                </c:pt>
                <c:pt idx="145">
                  <c:v>2440716.7999999998</c:v>
                </c:pt>
                <c:pt idx="146">
                  <c:v>2440738.5625</c:v>
                </c:pt>
                <c:pt idx="147">
                  <c:v>2440754.8285699999</c:v>
                </c:pt>
                <c:pt idx="148">
                  <c:v>2440772.2999999998</c:v>
                </c:pt>
                <c:pt idx="149">
                  <c:v>2440788.2999999998</c:v>
                </c:pt>
                <c:pt idx="150">
                  <c:v>2440805.5</c:v>
                </c:pt>
                <c:pt idx="151">
                  <c:v>2440828</c:v>
                </c:pt>
                <c:pt idx="152">
                  <c:v>2440842.3333299998</c:v>
                </c:pt>
                <c:pt idx="153">
                  <c:v>2440861.2333300002</c:v>
                </c:pt>
                <c:pt idx="154">
                  <c:v>2440880.125</c:v>
                </c:pt>
                <c:pt idx="155">
                  <c:v>2440891.58</c:v>
                </c:pt>
                <c:pt idx="156">
                  <c:v>2440910.9</c:v>
                </c:pt>
                <c:pt idx="157">
                  <c:v>2440929.8666699999</c:v>
                </c:pt>
                <c:pt idx="158">
                  <c:v>2440951.8666699999</c:v>
                </c:pt>
                <c:pt idx="159">
                  <c:v>2441006.9</c:v>
                </c:pt>
                <c:pt idx="160">
                  <c:v>2441030.7999999998</c:v>
                </c:pt>
                <c:pt idx="161">
                  <c:v>2441042.6166699999</c:v>
                </c:pt>
                <c:pt idx="162">
                  <c:v>2441066.6666700002</c:v>
                </c:pt>
                <c:pt idx="163">
                  <c:v>2441082.6749999998</c:v>
                </c:pt>
                <c:pt idx="164">
                  <c:v>2441101.2999999998</c:v>
                </c:pt>
                <c:pt idx="165">
                  <c:v>2441118.84778</c:v>
                </c:pt>
                <c:pt idx="166">
                  <c:v>2441142.22438</c:v>
                </c:pt>
                <c:pt idx="167">
                  <c:v>2441160.6657099999</c:v>
                </c:pt>
                <c:pt idx="168">
                  <c:v>2441177.1778600002</c:v>
                </c:pt>
                <c:pt idx="169">
                  <c:v>2441201.088</c:v>
                </c:pt>
                <c:pt idx="170">
                  <c:v>2441213.0980000002</c:v>
                </c:pt>
                <c:pt idx="171">
                  <c:v>2441233.8739999998</c:v>
                </c:pt>
                <c:pt idx="172">
                  <c:v>2441247.7376899999</c:v>
                </c:pt>
                <c:pt idx="173">
                  <c:v>2441264.62818</c:v>
                </c:pt>
                <c:pt idx="174">
                  <c:v>2441280.4333299999</c:v>
                </c:pt>
                <c:pt idx="175">
                  <c:v>2441296.2822199999</c:v>
                </c:pt>
                <c:pt idx="176">
                  <c:v>2441326.5249999999</c:v>
                </c:pt>
                <c:pt idx="177">
                  <c:v>2441398.66</c:v>
                </c:pt>
                <c:pt idx="178">
                  <c:v>2441410.96667</c:v>
                </c:pt>
                <c:pt idx="179">
                  <c:v>2441427.52</c:v>
                </c:pt>
                <c:pt idx="180">
                  <c:v>2441443.9133299999</c:v>
                </c:pt>
                <c:pt idx="181">
                  <c:v>2441462.3250000002</c:v>
                </c:pt>
                <c:pt idx="182">
                  <c:v>2441475.8640000001</c:v>
                </c:pt>
                <c:pt idx="183">
                  <c:v>2441495.4240000001</c:v>
                </c:pt>
                <c:pt idx="184">
                  <c:v>2441510.02</c:v>
                </c:pt>
                <c:pt idx="185">
                  <c:v>2441528.68909</c:v>
                </c:pt>
                <c:pt idx="186">
                  <c:v>2441545.8199999998</c:v>
                </c:pt>
                <c:pt idx="187">
                  <c:v>2441563.9</c:v>
                </c:pt>
                <c:pt idx="188">
                  <c:v>2441581.2583300001</c:v>
                </c:pt>
                <c:pt idx="189">
                  <c:v>2441596.9481799998</c:v>
                </c:pt>
                <c:pt idx="190">
                  <c:v>2441615.5074999998</c:v>
                </c:pt>
                <c:pt idx="191">
                  <c:v>2441632.6433299999</c:v>
                </c:pt>
                <c:pt idx="192">
                  <c:v>2441646.8428600002</c:v>
                </c:pt>
                <c:pt idx="193">
                  <c:v>2441664.9683300001</c:v>
                </c:pt>
                <c:pt idx="194">
                  <c:v>2441686.1375000002</c:v>
                </c:pt>
                <c:pt idx="195">
                  <c:v>2441727.9</c:v>
                </c:pt>
                <c:pt idx="196">
                  <c:v>2441751.63</c:v>
                </c:pt>
                <c:pt idx="197">
                  <c:v>2441760.8333299998</c:v>
                </c:pt>
                <c:pt idx="198">
                  <c:v>2441787.7999999998</c:v>
                </c:pt>
                <c:pt idx="199">
                  <c:v>2441804.5499999998</c:v>
                </c:pt>
                <c:pt idx="200">
                  <c:v>2441829.38</c:v>
                </c:pt>
                <c:pt idx="201">
                  <c:v>2441842.8555600001</c:v>
                </c:pt>
                <c:pt idx="202">
                  <c:v>2441858.2628600001</c:v>
                </c:pt>
                <c:pt idx="203">
                  <c:v>2441873.59571</c:v>
                </c:pt>
                <c:pt idx="204">
                  <c:v>2441895.2658299999</c:v>
                </c:pt>
                <c:pt idx="205">
                  <c:v>2441910.9720000001</c:v>
                </c:pt>
                <c:pt idx="206">
                  <c:v>2441931.8829999999</c:v>
                </c:pt>
                <c:pt idx="207">
                  <c:v>2441947.25667</c:v>
                </c:pt>
                <c:pt idx="208">
                  <c:v>2441963.8333299998</c:v>
                </c:pt>
                <c:pt idx="209">
                  <c:v>2441980.68444</c:v>
                </c:pt>
                <c:pt idx="210">
                  <c:v>2441999.1</c:v>
                </c:pt>
                <c:pt idx="211">
                  <c:v>2442016.36</c:v>
                </c:pt>
                <c:pt idx="212">
                  <c:v>2442033.8840000001</c:v>
                </c:pt>
                <c:pt idx="213">
                  <c:v>2442060.5</c:v>
                </c:pt>
                <c:pt idx="214">
                  <c:v>2442162.4562499998</c:v>
                </c:pt>
                <c:pt idx="215">
                  <c:v>2442187.1166699999</c:v>
                </c:pt>
                <c:pt idx="216">
                  <c:v>2442216.4024999999</c:v>
                </c:pt>
                <c:pt idx="217">
                  <c:v>2442232.2914300002</c:v>
                </c:pt>
                <c:pt idx="218">
                  <c:v>2442248.4146199999</c:v>
                </c:pt>
                <c:pt idx="219">
                  <c:v>2442264.5520000001</c:v>
                </c:pt>
                <c:pt idx="220">
                  <c:v>2442276.6329999999</c:v>
                </c:pt>
                <c:pt idx="221">
                  <c:v>2442299.6179999998</c:v>
                </c:pt>
                <c:pt idx="222">
                  <c:v>2442316.02</c:v>
                </c:pt>
                <c:pt idx="223">
                  <c:v>2442331.9</c:v>
                </c:pt>
                <c:pt idx="224">
                  <c:v>2442350.2000000002</c:v>
                </c:pt>
                <c:pt idx="225">
                  <c:v>2442365.1222199998</c:v>
                </c:pt>
                <c:pt idx="226">
                  <c:v>2442382.7749999999</c:v>
                </c:pt>
                <c:pt idx="227">
                  <c:v>2442400.5</c:v>
                </c:pt>
                <c:pt idx="228">
                  <c:v>2442417.1749999998</c:v>
                </c:pt>
                <c:pt idx="229">
                  <c:v>2442518.1</c:v>
                </c:pt>
                <c:pt idx="230">
                  <c:v>2442538.4888900002</c:v>
                </c:pt>
                <c:pt idx="231">
                  <c:v>2442556.66</c:v>
                </c:pt>
                <c:pt idx="232">
                  <c:v>2442573.023</c:v>
                </c:pt>
                <c:pt idx="233">
                  <c:v>2442593.4142900002</c:v>
                </c:pt>
                <c:pt idx="234">
                  <c:v>2442604.0685700001</c:v>
                </c:pt>
                <c:pt idx="235">
                  <c:v>2442624.04</c:v>
                </c:pt>
                <c:pt idx="236">
                  <c:v>2442633.8388899998</c:v>
                </c:pt>
                <c:pt idx="237">
                  <c:v>2442656.9861499998</c:v>
                </c:pt>
                <c:pt idx="238">
                  <c:v>2442669.1933300002</c:v>
                </c:pt>
                <c:pt idx="239">
                  <c:v>2442687.7599999998</c:v>
                </c:pt>
                <c:pt idx="240">
                  <c:v>2442707.2827300001</c:v>
                </c:pt>
                <c:pt idx="241">
                  <c:v>2442719.0499999998</c:v>
                </c:pt>
                <c:pt idx="242">
                  <c:v>2442734.6175000002</c:v>
                </c:pt>
                <c:pt idx="243">
                  <c:v>2442750.3666699999</c:v>
                </c:pt>
                <c:pt idx="244">
                  <c:v>2442770.53333</c:v>
                </c:pt>
                <c:pt idx="245">
                  <c:v>2442781</c:v>
                </c:pt>
                <c:pt idx="246">
                  <c:v>2442829.9</c:v>
                </c:pt>
                <c:pt idx="247">
                  <c:v>2442874</c:v>
                </c:pt>
                <c:pt idx="248">
                  <c:v>2442896.7533300002</c:v>
                </c:pt>
                <c:pt idx="249">
                  <c:v>2442922.6</c:v>
                </c:pt>
                <c:pt idx="250">
                  <c:v>2442935</c:v>
                </c:pt>
                <c:pt idx="251">
                  <c:v>2442954.92</c:v>
                </c:pt>
                <c:pt idx="252">
                  <c:v>2442966.6714300001</c:v>
                </c:pt>
                <c:pt idx="253">
                  <c:v>2442983.8666699999</c:v>
                </c:pt>
                <c:pt idx="254">
                  <c:v>2442998.66</c:v>
                </c:pt>
                <c:pt idx="255">
                  <c:v>2443016.3363600001</c:v>
                </c:pt>
                <c:pt idx="256">
                  <c:v>2443034.2944999998</c:v>
                </c:pt>
                <c:pt idx="257">
                  <c:v>2443049.7250000001</c:v>
                </c:pt>
                <c:pt idx="258">
                  <c:v>2443065.3285699999</c:v>
                </c:pt>
                <c:pt idx="259">
                  <c:v>2443084.4</c:v>
                </c:pt>
                <c:pt idx="260">
                  <c:v>2443099.7599999998</c:v>
                </c:pt>
                <c:pt idx="261">
                  <c:v>2443114.54</c:v>
                </c:pt>
                <c:pt idx="262">
                  <c:v>2443132.5</c:v>
                </c:pt>
                <c:pt idx="263">
                  <c:v>2443204.9500000002</c:v>
                </c:pt>
                <c:pt idx="264">
                  <c:v>2443229.9</c:v>
                </c:pt>
                <c:pt idx="265">
                  <c:v>2443253.85</c:v>
                </c:pt>
                <c:pt idx="266">
                  <c:v>2443280.0249999999</c:v>
                </c:pt>
                <c:pt idx="267">
                  <c:v>2443293.8250000002</c:v>
                </c:pt>
                <c:pt idx="268">
                  <c:v>2443308.5874999999</c:v>
                </c:pt>
                <c:pt idx="269">
                  <c:v>2443335.3285699999</c:v>
                </c:pt>
                <c:pt idx="270">
                  <c:v>2443352.895</c:v>
                </c:pt>
                <c:pt idx="271">
                  <c:v>2443369.9428599998</c:v>
                </c:pt>
                <c:pt idx="272">
                  <c:v>2443392.19</c:v>
                </c:pt>
                <c:pt idx="273">
                  <c:v>2443409.1</c:v>
                </c:pt>
                <c:pt idx="274">
                  <c:v>2443423.84</c:v>
                </c:pt>
                <c:pt idx="275">
                  <c:v>2443445.1</c:v>
                </c:pt>
                <c:pt idx="276">
                  <c:v>2443459.8833300001</c:v>
                </c:pt>
                <c:pt idx="277">
                  <c:v>2443473.9</c:v>
                </c:pt>
                <c:pt idx="278">
                  <c:v>2443492.6333300001</c:v>
                </c:pt>
                <c:pt idx="279">
                  <c:v>2443515.2999999998</c:v>
                </c:pt>
                <c:pt idx="280">
                  <c:v>2443615.9</c:v>
                </c:pt>
                <c:pt idx="281">
                  <c:v>2443635.2000000002</c:v>
                </c:pt>
                <c:pt idx="282">
                  <c:v>2443655.6</c:v>
                </c:pt>
                <c:pt idx="283">
                  <c:v>2443668.6833299999</c:v>
                </c:pt>
                <c:pt idx="284">
                  <c:v>2443685.4166700002</c:v>
                </c:pt>
                <c:pt idx="285">
                  <c:v>2443698.9272699999</c:v>
                </c:pt>
                <c:pt idx="286">
                  <c:v>2443722.5444399999</c:v>
                </c:pt>
                <c:pt idx="287">
                  <c:v>2443737.4</c:v>
                </c:pt>
                <c:pt idx="288">
                  <c:v>2443754.3444400001</c:v>
                </c:pt>
                <c:pt idx="289">
                  <c:v>2443777.4410000001</c:v>
                </c:pt>
                <c:pt idx="290">
                  <c:v>2443791.8363600001</c:v>
                </c:pt>
                <c:pt idx="291">
                  <c:v>2443809.5356399999</c:v>
                </c:pt>
                <c:pt idx="292">
                  <c:v>2443825.5249999999</c:v>
                </c:pt>
                <c:pt idx="293">
                  <c:v>2443854.4</c:v>
                </c:pt>
                <c:pt idx="294">
                  <c:v>2443877.1</c:v>
                </c:pt>
                <c:pt idx="295">
                  <c:v>2443954.9</c:v>
                </c:pt>
                <c:pt idx="296">
                  <c:v>2443988.7333300002</c:v>
                </c:pt>
                <c:pt idx="297">
                  <c:v>2444003.9500000002</c:v>
                </c:pt>
                <c:pt idx="298">
                  <c:v>2444017.6888899999</c:v>
                </c:pt>
                <c:pt idx="299">
                  <c:v>2444038.8311999999</c:v>
                </c:pt>
                <c:pt idx="300">
                  <c:v>2444056.9750000001</c:v>
                </c:pt>
                <c:pt idx="301">
                  <c:v>2444076.5750000002</c:v>
                </c:pt>
                <c:pt idx="302">
                  <c:v>2444087.52</c:v>
                </c:pt>
                <c:pt idx="303">
                  <c:v>2444102.3281700001</c:v>
                </c:pt>
                <c:pt idx="304">
                  <c:v>2444120.5636399998</c:v>
                </c:pt>
                <c:pt idx="305">
                  <c:v>2444135.4571400001</c:v>
                </c:pt>
                <c:pt idx="306">
                  <c:v>2444149.4857100002</c:v>
                </c:pt>
                <c:pt idx="307">
                  <c:v>2444166.1595000001</c:v>
                </c:pt>
                <c:pt idx="308">
                  <c:v>2444183.2000000002</c:v>
                </c:pt>
                <c:pt idx="309">
                  <c:v>2444196.6005000002</c:v>
                </c:pt>
                <c:pt idx="310">
                  <c:v>2444212.9925600002</c:v>
                </c:pt>
                <c:pt idx="311">
                  <c:v>2444235.9</c:v>
                </c:pt>
                <c:pt idx="312">
                  <c:v>2444313.9</c:v>
                </c:pt>
                <c:pt idx="313">
                  <c:v>2444371.875</c:v>
                </c:pt>
                <c:pt idx="314">
                  <c:v>2444392.64</c:v>
                </c:pt>
                <c:pt idx="315">
                  <c:v>2444407.85</c:v>
                </c:pt>
                <c:pt idx="316">
                  <c:v>2444425.7476499998</c:v>
                </c:pt>
                <c:pt idx="317">
                  <c:v>2444439.5277800001</c:v>
                </c:pt>
                <c:pt idx="318">
                  <c:v>2444454.0586199998</c:v>
                </c:pt>
                <c:pt idx="319">
                  <c:v>2444470.82375</c:v>
                </c:pt>
                <c:pt idx="320">
                  <c:v>2444486.46276</c:v>
                </c:pt>
                <c:pt idx="321">
                  <c:v>2444501.2733300002</c:v>
                </c:pt>
                <c:pt idx="322">
                  <c:v>2444517.1636399999</c:v>
                </c:pt>
                <c:pt idx="323">
                  <c:v>2444530.9029399999</c:v>
                </c:pt>
                <c:pt idx="324">
                  <c:v>2444551.0416700002</c:v>
                </c:pt>
                <c:pt idx="325">
                  <c:v>2444565.2200000002</c:v>
                </c:pt>
                <c:pt idx="326">
                  <c:v>2444580.6</c:v>
                </c:pt>
                <c:pt idx="327">
                  <c:v>2444606.0720000002</c:v>
                </c:pt>
                <c:pt idx="328">
                  <c:v>2444628.9</c:v>
                </c:pt>
                <c:pt idx="329">
                  <c:v>2444725.4</c:v>
                </c:pt>
                <c:pt idx="330">
                  <c:v>2444755.4</c:v>
                </c:pt>
                <c:pt idx="331">
                  <c:v>2444766.35</c:v>
                </c:pt>
                <c:pt idx="332">
                  <c:v>2444784.6857099999</c:v>
                </c:pt>
                <c:pt idx="333">
                  <c:v>2444799.4807099998</c:v>
                </c:pt>
                <c:pt idx="334">
                  <c:v>2444814.0305900001</c:v>
                </c:pt>
                <c:pt idx="335">
                  <c:v>2444831.4916699999</c:v>
                </c:pt>
                <c:pt idx="336">
                  <c:v>2444843.2250000001</c:v>
                </c:pt>
                <c:pt idx="337">
                  <c:v>2444861.1</c:v>
                </c:pt>
                <c:pt idx="338">
                  <c:v>2444877.7957100002</c:v>
                </c:pt>
                <c:pt idx="339">
                  <c:v>2444900.5589999999</c:v>
                </c:pt>
                <c:pt idx="340">
                  <c:v>2444918.7124999999</c:v>
                </c:pt>
                <c:pt idx="341">
                  <c:v>2444936.9072199999</c:v>
                </c:pt>
                <c:pt idx="342">
                  <c:v>2444953.6749999998</c:v>
                </c:pt>
                <c:pt idx="343">
                  <c:v>2444996.9</c:v>
                </c:pt>
                <c:pt idx="344">
                  <c:v>2445032.9</c:v>
                </c:pt>
                <c:pt idx="345">
                  <c:v>2445110.6</c:v>
                </c:pt>
                <c:pt idx="346">
                  <c:v>2445135.1749999998</c:v>
                </c:pt>
                <c:pt idx="347">
                  <c:v>2445151.66</c:v>
                </c:pt>
                <c:pt idx="348">
                  <c:v>2445167.1042900002</c:v>
                </c:pt>
                <c:pt idx="349">
                  <c:v>2445180.0076899999</c:v>
                </c:pt>
                <c:pt idx="350">
                  <c:v>2445199.1529999999</c:v>
                </c:pt>
                <c:pt idx="351">
                  <c:v>2445216.7745500002</c:v>
                </c:pt>
                <c:pt idx="352">
                  <c:v>2445230.3453500001</c:v>
                </c:pt>
                <c:pt idx="353">
                  <c:v>2445245.4191700001</c:v>
                </c:pt>
                <c:pt idx="354">
                  <c:v>2445262.4096400002</c:v>
                </c:pt>
                <c:pt idx="355">
                  <c:v>2445283.0699999998</c:v>
                </c:pt>
                <c:pt idx="356">
                  <c:v>2445295.7454499998</c:v>
                </c:pt>
                <c:pt idx="357">
                  <c:v>2445316.0469999998</c:v>
                </c:pt>
                <c:pt idx="358">
                  <c:v>2445340.4033300001</c:v>
                </c:pt>
                <c:pt idx="359">
                  <c:v>2445409.9</c:v>
                </c:pt>
                <c:pt idx="360">
                  <c:v>2445437.9</c:v>
                </c:pt>
                <c:pt idx="361">
                  <c:v>2445464.7250000001</c:v>
                </c:pt>
                <c:pt idx="362">
                  <c:v>2445477.98</c:v>
                </c:pt>
                <c:pt idx="363">
                  <c:v>2445496.9192300001</c:v>
                </c:pt>
                <c:pt idx="364">
                  <c:v>2445514.2327000001</c:v>
                </c:pt>
                <c:pt idx="365">
                  <c:v>2445527.4165699999</c:v>
                </c:pt>
                <c:pt idx="366">
                  <c:v>2445544.1293500001</c:v>
                </c:pt>
                <c:pt idx="367">
                  <c:v>2445560.8088099998</c:v>
                </c:pt>
                <c:pt idx="368">
                  <c:v>2445577.4770999998</c:v>
                </c:pt>
                <c:pt idx="369">
                  <c:v>2445589.7027099999</c:v>
                </c:pt>
                <c:pt idx="370">
                  <c:v>2445607.2399300002</c:v>
                </c:pt>
                <c:pt idx="371">
                  <c:v>2445619.4510499998</c:v>
                </c:pt>
                <c:pt idx="372">
                  <c:v>2445637.2003899999</c:v>
                </c:pt>
                <c:pt idx="373">
                  <c:v>2445653.5345000001</c:v>
                </c:pt>
                <c:pt idx="374">
                  <c:v>2445667.71227</c:v>
                </c:pt>
                <c:pt idx="375">
                  <c:v>2445682.1940000001</c:v>
                </c:pt>
                <c:pt idx="376">
                  <c:v>2445702.0685999999</c:v>
                </c:pt>
                <c:pt idx="377">
                  <c:v>2445753.9</c:v>
                </c:pt>
                <c:pt idx="378">
                  <c:v>2445788.5589999999</c:v>
                </c:pt>
                <c:pt idx="379">
                  <c:v>2445821.6888000001</c:v>
                </c:pt>
                <c:pt idx="380">
                  <c:v>2445841.0687099998</c:v>
                </c:pt>
                <c:pt idx="381">
                  <c:v>2445853.38857</c:v>
                </c:pt>
                <c:pt idx="382">
                  <c:v>2445870.1034599999</c:v>
                </c:pt>
                <c:pt idx="383">
                  <c:v>2445882.6743899998</c:v>
                </c:pt>
                <c:pt idx="384">
                  <c:v>2445899.3261899999</c:v>
                </c:pt>
                <c:pt idx="385">
                  <c:v>2445914.1523500001</c:v>
                </c:pt>
                <c:pt idx="386">
                  <c:v>2445930.6296199998</c:v>
                </c:pt>
                <c:pt idx="387">
                  <c:v>2445943.6708900002</c:v>
                </c:pt>
                <c:pt idx="388">
                  <c:v>2445960.4396799998</c:v>
                </c:pt>
                <c:pt idx="389">
                  <c:v>2445975.3950999998</c:v>
                </c:pt>
                <c:pt idx="390">
                  <c:v>2445990.4882100001</c:v>
                </c:pt>
                <c:pt idx="391">
                  <c:v>2446005.73019</c:v>
                </c:pt>
                <c:pt idx="392">
                  <c:v>2446023.1077399999</c:v>
                </c:pt>
                <c:pt idx="393">
                  <c:v>2446037.3500799998</c:v>
                </c:pt>
                <c:pt idx="394">
                  <c:v>2446055.0675599999</c:v>
                </c:pt>
                <c:pt idx="395">
                  <c:v>2446088</c:v>
                </c:pt>
                <c:pt idx="396">
                  <c:v>2446104.9500000002</c:v>
                </c:pt>
                <c:pt idx="397">
                  <c:v>2446117.7544999998</c:v>
                </c:pt>
                <c:pt idx="398">
                  <c:v>2446137.2662499999</c:v>
                </c:pt>
                <c:pt idx="399">
                  <c:v>2446153.5184300002</c:v>
                </c:pt>
                <c:pt idx="400">
                  <c:v>2446170.0095500001</c:v>
                </c:pt>
                <c:pt idx="401">
                  <c:v>2446180.6124999998</c:v>
                </c:pt>
                <c:pt idx="402">
                  <c:v>2446199.68707</c:v>
                </c:pt>
                <c:pt idx="403">
                  <c:v>2446214.9213700001</c:v>
                </c:pt>
                <c:pt idx="404">
                  <c:v>2446229.0318499999</c:v>
                </c:pt>
                <c:pt idx="405">
                  <c:v>2446243.8641900001</c:v>
                </c:pt>
                <c:pt idx="406">
                  <c:v>2446259.3394599999</c:v>
                </c:pt>
                <c:pt idx="407">
                  <c:v>2446274.4361299998</c:v>
                </c:pt>
                <c:pt idx="408">
                  <c:v>2446290.1643500002</c:v>
                </c:pt>
                <c:pt idx="409">
                  <c:v>2446303.4449</c:v>
                </c:pt>
                <c:pt idx="410">
                  <c:v>2446319.96478</c:v>
                </c:pt>
                <c:pt idx="411">
                  <c:v>2446336.8761900002</c:v>
                </c:pt>
                <c:pt idx="412">
                  <c:v>2446350.4135099999</c:v>
                </c:pt>
                <c:pt idx="413">
                  <c:v>2446364.5932399998</c:v>
                </c:pt>
                <c:pt idx="414">
                  <c:v>2446382.8105199998</c:v>
                </c:pt>
                <c:pt idx="415">
                  <c:v>2446403.2837999999</c:v>
                </c:pt>
                <c:pt idx="416">
                  <c:v>2446420.6833299999</c:v>
                </c:pt>
                <c:pt idx="417">
                  <c:v>2446435.59</c:v>
                </c:pt>
                <c:pt idx="418">
                  <c:v>2446509.4649999999</c:v>
                </c:pt>
                <c:pt idx="419">
                  <c:v>2446523.7659999998</c:v>
                </c:pt>
                <c:pt idx="420">
                  <c:v>2446539.54</c:v>
                </c:pt>
                <c:pt idx="421">
                  <c:v>2446560.6981799998</c:v>
                </c:pt>
                <c:pt idx="422">
                  <c:v>2446583.2021699999</c:v>
                </c:pt>
                <c:pt idx="423">
                  <c:v>2446594.27287</c:v>
                </c:pt>
                <c:pt idx="424">
                  <c:v>2446613.4698100002</c:v>
                </c:pt>
                <c:pt idx="425">
                  <c:v>2446625.8002499999</c:v>
                </c:pt>
                <c:pt idx="426">
                  <c:v>2446642.7724899999</c:v>
                </c:pt>
                <c:pt idx="427">
                  <c:v>2446656.9840500001</c:v>
                </c:pt>
                <c:pt idx="428">
                  <c:v>2446674.6663799998</c:v>
                </c:pt>
                <c:pt idx="429">
                  <c:v>2446687.8045800002</c:v>
                </c:pt>
                <c:pt idx="430">
                  <c:v>2446705.21777</c:v>
                </c:pt>
                <c:pt idx="431">
                  <c:v>2446717.5603</c:v>
                </c:pt>
                <c:pt idx="432">
                  <c:v>2446733.9328200002</c:v>
                </c:pt>
                <c:pt idx="433">
                  <c:v>2446748.2735100002</c:v>
                </c:pt>
                <c:pt idx="434">
                  <c:v>2446766.2649900001</c:v>
                </c:pt>
                <c:pt idx="435">
                  <c:v>2446784.7000000002</c:v>
                </c:pt>
                <c:pt idx="436">
                  <c:v>2446797.2012499999</c:v>
                </c:pt>
                <c:pt idx="437">
                  <c:v>2446827.2000000002</c:v>
                </c:pt>
                <c:pt idx="438">
                  <c:v>2446851.1</c:v>
                </c:pt>
                <c:pt idx="439">
                  <c:v>2446870.7452500002</c:v>
                </c:pt>
                <c:pt idx="440">
                  <c:v>2446888.6</c:v>
                </c:pt>
                <c:pt idx="441">
                  <c:v>2446908.2813300001</c:v>
                </c:pt>
                <c:pt idx="442">
                  <c:v>2446918.85182</c:v>
                </c:pt>
                <c:pt idx="443">
                  <c:v>2446938.7370000002</c:v>
                </c:pt>
                <c:pt idx="444">
                  <c:v>2446949.97138</c:v>
                </c:pt>
                <c:pt idx="445">
                  <c:v>2446966.98863</c:v>
                </c:pt>
                <c:pt idx="446">
                  <c:v>2446981.4875599998</c:v>
                </c:pt>
                <c:pt idx="447">
                  <c:v>2446996.57436</c:v>
                </c:pt>
                <c:pt idx="448">
                  <c:v>2447010.4352799999</c:v>
                </c:pt>
                <c:pt idx="449">
                  <c:v>2447027.4704999998</c:v>
                </c:pt>
                <c:pt idx="450">
                  <c:v>2447042.6860000002</c:v>
                </c:pt>
                <c:pt idx="451">
                  <c:v>2447058.55339</c:v>
                </c:pt>
                <c:pt idx="452">
                  <c:v>2447072.4945800002</c:v>
                </c:pt>
                <c:pt idx="453">
                  <c:v>2447087.00685</c:v>
                </c:pt>
                <c:pt idx="454">
                  <c:v>2447103.9004899999</c:v>
                </c:pt>
                <c:pt idx="455">
                  <c:v>2447118.6408000002</c:v>
                </c:pt>
                <c:pt idx="456">
                  <c:v>2447137.2074199999</c:v>
                </c:pt>
                <c:pt idx="457">
                  <c:v>2447152.1038799998</c:v>
                </c:pt>
                <c:pt idx="458">
                  <c:v>2447166.165</c:v>
                </c:pt>
                <c:pt idx="459">
                  <c:v>2447184.6</c:v>
                </c:pt>
                <c:pt idx="460">
                  <c:v>2447208.8034999999</c:v>
                </c:pt>
                <c:pt idx="461">
                  <c:v>2447220.3985700002</c:v>
                </c:pt>
                <c:pt idx="462">
                  <c:v>2447237.82064</c:v>
                </c:pt>
                <c:pt idx="463">
                  <c:v>2447258.6274999999</c:v>
                </c:pt>
                <c:pt idx="464">
                  <c:v>2447272.7388900002</c:v>
                </c:pt>
                <c:pt idx="465">
                  <c:v>2447293.35152</c:v>
                </c:pt>
                <c:pt idx="466">
                  <c:v>2447304.9302300001</c:v>
                </c:pt>
                <c:pt idx="467">
                  <c:v>2447323.4276100001</c:v>
                </c:pt>
                <c:pt idx="468">
                  <c:v>2447337.55112</c:v>
                </c:pt>
                <c:pt idx="469">
                  <c:v>2447352.9955000002</c:v>
                </c:pt>
                <c:pt idx="470">
                  <c:v>2447368.4049900002</c:v>
                </c:pt>
                <c:pt idx="471">
                  <c:v>2447383.3544999999</c:v>
                </c:pt>
                <c:pt idx="472">
                  <c:v>2447397.6494700001</c:v>
                </c:pt>
                <c:pt idx="473">
                  <c:v>2447412.9724300001</c:v>
                </c:pt>
                <c:pt idx="474">
                  <c:v>2447429.4274800001</c:v>
                </c:pt>
                <c:pt idx="475">
                  <c:v>2447443.8447400001</c:v>
                </c:pt>
                <c:pt idx="476">
                  <c:v>2447463.1055200002</c:v>
                </c:pt>
                <c:pt idx="477">
                  <c:v>2447475.4399899999</c:v>
                </c:pt>
                <c:pt idx="478">
                  <c:v>2447491.9174299999</c:v>
                </c:pt>
                <c:pt idx="479">
                  <c:v>2447507.9922699998</c:v>
                </c:pt>
                <c:pt idx="480">
                  <c:v>2447527.1397099998</c:v>
                </c:pt>
                <c:pt idx="481">
                  <c:v>2447541.8833300001</c:v>
                </c:pt>
                <c:pt idx="482">
                  <c:v>2447592.7000000002</c:v>
                </c:pt>
                <c:pt idx="483">
                  <c:v>2447619.2000000002</c:v>
                </c:pt>
                <c:pt idx="484">
                  <c:v>2447635.7209999999</c:v>
                </c:pt>
                <c:pt idx="485">
                  <c:v>2447651.5382699999</c:v>
                </c:pt>
                <c:pt idx="486">
                  <c:v>2447671.0123700001</c:v>
                </c:pt>
                <c:pt idx="487">
                  <c:v>2447687.9500600002</c:v>
                </c:pt>
                <c:pt idx="488">
                  <c:v>2447702.2634100001</c:v>
                </c:pt>
                <c:pt idx="489">
                  <c:v>2447715.8510199999</c:v>
                </c:pt>
                <c:pt idx="490">
                  <c:v>2447732.79183</c:v>
                </c:pt>
                <c:pt idx="491">
                  <c:v>2447747.7379299998</c:v>
                </c:pt>
                <c:pt idx="492">
                  <c:v>2447763.3860499999</c:v>
                </c:pt>
                <c:pt idx="493">
                  <c:v>2447777.6171800001</c:v>
                </c:pt>
                <c:pt idx="494">
                  <c:v>2447794.7551199999</c:v>
                </c:pt>
                <c:pt idx="495">
                  <c:v>2447808.61148</c:v>
                </c:pt>
                <c:pt idx="496">
                  <c:v>2447824.61992</c:v>
                </c:pt>
                <c:pt idx="497">
                  <c:v>2447841.2370600002</c:v>
                </c:pt>
                <c:pt idx="498">
                  <c:v>2447855.6816500002</c:v>
                </c:pt>
                <c:pt idx="499">
                  <c:v>2447870.895</c:v>
                </c:pt>
                <c:pt idx="500">
                  <c:v>2447887.298</c:v>
                </c:pt>
                <c:pt idx="501">
                  <c:v>2447899.8360000001</c:v>
                </c:pt>
                <c:pt idx="502">
                  <c:v>2447925.7267999998</c:v>
                </c:pt>
                <c:pt idx="503">
                  <c:v>2447951.71514</c:v>
                </c:pt>
                <c:pt idx="504">
                  <c:v>2447966.64</c:v>
                </c:pt>
                <c:pt idx="505">
                  <c:v>2447982.21</c:v>
                </c:pt>
                <c:pt idx="506">
                  <c:v>2447998.1775000002</c:v>
                </c:pt>
                <c:pt idx="507">
                  <c:v>2448014.2447600001</c:v>
                </c:pt>
                <c:pt idx="508">
                  <c:v>2448031.80595</c:v>
                </c:pt>
                <c:pt idx="509">
                  <c:v>2448043.7050999999</c:v>
                </c:pt>
                <c:pt idx="510">
                  <c:v>2448062.9652100001</c:v>
                </c:pt>
                <c:pt idx="511">
                  <c:v>2448076.6603600001</c:v>
                </c:pt>
                <c:pt idx="512">
                  <c:v>2448092.9058400001</c:v>
                </c:pt>
                <c:pt idx="513">
                  <c:v>2448106.5211</c:v>
                </c:pt>
                <c:pt idx="514">
                  <c:v>2448123.9861300001</c:v>
                </c:pt>
                <c:pt idx="515">
                  <c:v>2448137.6769599998</c:v>
                </c:pt>
                <c:pt idx="516">
                  <c:v>2448153.2678899998</c:v>
                </c:pt>
                <c:pt idx="517">
                  <c:v>2448170.1804800001</c:v>
                </c:pt>
                <c:pt idx="518">
                  <c:v>2448184.8725899998</c:v>
                </c:pt>
                <c:pt idx="519">
                  <c:v>2448201.5205199998</c:v>
                </c:pt>
                <c:pt idx="520">
                  <c:v>2448214.17508</c:v>
                </c:pt>
                <c:pt idx="521">
                  <c:v>2448230.6382200001</c:v>
                </c:pt>
                <c:pt idx="522">
                  <c:v>2448244.52936</c:v>
                </c:pt>
                <c:pt idx="523">
                  <c:v>2448261.2957100002</c:v>
                </c:pt>
                <c:pt idx="524">
                  <c:v>2448276.54</c:v>
                </c:pt>
                <c:pt idx="525">
                  <c:v>2448309.12</c:v>
                </c:pt>
                <c:pt idx="526">
                  <c:v>2448329.2250000001</c:v>
                </c:pt>
                <c:pt idx="527">
                  <c:v>2448345.0942899999</c:v>
                </c:pt>
                <c:pt idx="528">
                  <c:v>2448359.7024699999</c:v>
                </c:pt>
                <c:pt idx="529">
                  <c:v>2448379.355</c:v>
                </c:pt>
                <c:pt idx="530">
                  <c:v>2448391.9884199998</c:v>
                </c:pt>
                <c:pt idx="531">
                  <c:v>2448407.5888100001</c:v>
                </c:pt>
                <c:pt idx="532">
                  <c:v>2448422.8583800001</c:v>
                </c:pt>
                <c:pt idx="533">
                  <c:v>2448439.3848899999</c:v>
                </c:pt>
                <c:pt idx="534">
                  <c:v>2448452.9508500001</c:v>
                </c:pt>
                <c:pt idx="535">
                  <c:v>2448469.1327599999</c:v>
                </c:pt>
                <c:pt idx="536">
                  <c:v>2448482.9441900002</c:v>
                </c:pt>
                <c:pt idx="537">
                  <c:v>2448500.0471700002</c:v>
                </c:pt>
                <c:pt idx="538">
                  <c:v>2448513.0290799998</c:v>
                </c:pt>
                <c:pt idx="539">
                  <c:v>2448531.2960600001</c:v>
                </c:pt>
                <c:pt idx="540">
                  <c:v>2448543.7263400001</c:v>
                </c:pt>
                <c:pt idx="541">
                  <c:v>2448558.62586</c:v>
                </c:pt>
                <c:pt idx="542">
                  <c:v>2448573.8362199999</c:v>
                </c:pt>
                <c:pt idx="543">
                  <c:v>2448591.6150600002</c:v>
                </c:pt>
                <c:pt idx="544">
                  <c:v>2448604.5782699999</c:v>
                </c:pt>
                <c:pt idx="545">
                  <c:v>2448620.01333</c:v>
                </c:pt>
                <c:pt idx="546">
                  <c:v>2448637.1</c:v>
                </c:pt>
                <c:pt idx="547">
                  <c:v>2448657.27</c:v>
                </c:pt>
                <c:pt idx="548">
                  <c:v>2448687.7742900001</c:v>
                </c:pt>
                <c:pt idx="549">
                  <c:v>2448709.6033299998</c:v>
                </c:pt>
                <c:pt idx="550">
                  <c:v>2448721.2377999998</c:v>
                </c:pt>
                <c:pt idx="551">
                  <c:v>2448739.9575</c:v>
                </c:pt>
                <c:pt idx="552">
                  <c:v>2448753.33103</c:v>
                </c:pt>
                <c:pt idx="553">
                  <c:v>2448767.49382</c:v>
                </c:pt>
                <c:pt idx="554">
                  <c:v>2448785.0200800002</c:v>
                </c:pt>
                <c:pt idx="555">
                  <c:v>2448801.41664</c:v>
                </c:pt>
                <c:pt idx="556">
                  <c:v>2448815.8348500002</c:v>
                </c:pt>
                <c:pt idx="557">
                  <c:v>2448831.4000200001</c:v>
                </c:pt>
                <c:pt idx="558">
                  <c:v>2448846.1142000002</c:v>
                </c:pt>
                <c:pt idx="559">
                  <c:v>2448861.8166299998</c:v>
                </c:pt>
                <c:pt idx="560">
                  <c:v>2448876.8989300001</c:v>
                </c:pt>
                <c:pt idx="561">
                  <c:v>2448891.72848</c:v>
                </c:pt>
                <c:pt idx="562">
                  <c:v>2448907.7601200002</c:v>
                </c:pt>
                <c:pt idx="563">
                  <c:v>2448921.7156000002</c:v>
                </c:pt>
                <c:pt idx="564">
                  <c:v>2448937.40546</c:v>
                </c:pt>
                <c:pt idx="565">
                  <c:v>2448952.4619</c:v>
                </c:pt>
                <c:pt idx="566">
                  <c:v>2448967.8052300001</c:v>
                </c:pt>
                <c:pt idx="567">
                  <c:v>2448982.5998999998</c:v>
                </c:pt>
                <c:pt idx="568">
                  <c:v>2448999.0837500002</c:v>
                </c:pt>
                <c:pt idx="569">
                  <c:v>2449022.67</c:v>
                </c:pt>
                <c:pt idx="570">
                  <c:v>2449041.1025</c:v>
                </c:pt>
                <c:pt idx="571">
                  <c:v>2449066.9759999998</c:v>
                </c:pt>
                <c:pt idx="572">
                  <c:v>2449074.10109</c:v>
                </c:pt>
                <c:pt idx="573">
                  <c:v>2449094.6640599999</c:v>
                </c:pt>
                <c:pt idx="574">
                  <c:v>2449108.8076499999</c:v>
                </c:pt>
                <c:pt idx="575">
                  <c:v>2449124.3794800001</c:v>
                </c:pt>
                <c:pt idx="576">
                  <c:v>2449139.1737500001</c:v>
                </c:pt>
                <c:pt idx="577">
                  <c:v>2449154.7534699999</c:v>
                </c:pt>
                <c:pt idx="578">
                  <c:v>2449169.1730499999</c:v>
                </c:pt>
                <c:pt idx="579">
                  <c:v>2449183.5382099999</c:v>
                </c:pt>
                <c:pt idx="580">
                  <c:v>2449199.2670300002</c:v>
                </c:pt>
                <c:pt idx="581">
                  <c:v>2449214.72187</c:v>
                </c:pt>
                <c:pt idx="582">
                  <c:v>2449229.19631</c:v>
                </c:pt>
                <c:pt idx="583">
                  <c:v>2449246.1031499999</c:v>
                </c:pt>
                <c:pt idx="584">
                  <c:v>2449260.2609000001</c:v>
                </c:pt>
                <c:pt idx="585">
                  <c:v>2449275.3140699998</c:v>
                </c:pt>
                <c:pt idx="586">
                  <c:v>2449289.6235500001</c:v>
                </c:pt>
                <c:pt idx="587">
                  <c:v>2449305.9723</c:v>
                </c:pt>
                <c:pt idx="588">
                  <c:v>2449323.3176000002</c:v>
                </c:pt>
                <c:pt idx="589">
                  <c:v>2449335.0209499998</c:v>
                </c:pt>
                <c:pt idx="590">
                  <c:v>2449353.5645699999</c:v>
                </c:pt>
                <c:pt idx="591">
                  <c:v>2449366.1355699999</c:v>
                </c:pt>
                <c:pt idx="592">
                  <c:v>2449403.9923299998</c:v>
                </c:pt>
                <c:pt idx="593">
                  <c:v>2449423.43829</c:v>
                </c:pt>
                <c:pt idx="594">
                  <c:v>2449442.2430400001</c:v>
                </c:pt>
                <c:pt idx="595">
                  <c:v>2449458.3273399998</c:v>
                </c:pt>
                <c:pt idx="596">
                  <c:v>2449477.3786300002</c:v>
                </c:pt>
                <c:pt idx="597">
                  <c:v>2449489.5487700002</c:v>
                </c:pt>
                <c:pt idx="598">
                  <c:v>2449506.2720699999</c:v>
                </c:pt>
                <c:pt idx="599">
                  <c:v>2449520.5407400001</c:v>
                </c:pt>
                <c:pt idx="600">
                  <c:v>2449537.2823999999</c:v>
                </c:pt>
                <c:pt idx="601">
                  <c:v>2449550.1889499999</c:v>
                </c:pt>
                <c:pt idx="602">
                  <c:v>2449568.2091199998</c:v>
                </c:pt>
                <c:pt idx="603">
                  <c:v>2449581.5734199998</c:v>
                </c:pt>
                <c:pt idx="604">
                  <c:v>2449597.4220500002</c:v>
                </c:pt>
                <c:pt idx="605">
                  <c:v>2449611.6101099998</c:v>
                </c:pt>
                <c:pt idx="606">
                  <c:v>2449627.9996799999</c:v>
                </c:pt>
                <c:pt idx="607">
                  <c:v>2449641.7134699998</c:v>
                </c:pt>
                <c:pt idx="608">
                  <c:v>2449658.2770099998</c:v>
                </c:pt>
                <c:pt idx="609">
                  <c:v>2449675.23349</c:v>
                </c:pt>
                <c:pt idx="610">
                  <c:v>2449688.7028800002</c:v>
                </c:pt>
                <c:pt idx="611">
                  <c:v>2449705.5414100001</c:v>
                </c:pt>
                <c:pt idx="612">
                  <c:v>2449719.8467000001</c:v>
                </c:pt>
                <c:pt idx="613">
                  <c:v>2449734.3836300001</c:v>
                </c:pt>
                <c:pt idx="614">
                  <c:v>2449755.2498400002</c:v>
                </c:pt>
                <c:pt idx="615">
                  <c:v>2449781.5951899998</c:v>
                </c:pt>
                <c:pt idx="616">
                  <c:v>2449794.2104000002</c:v>
                </c:pt>
                <c:pt idx="617">
                  <c:v>2449810.7296099998</c:v>
                </c:pt>
                <c:pt idx="618">
                  <c:v>2449828.66836</c:v>
                </c:pt>
                <c:pt idx="619">
                  <c:v>2449842.0703500002</c:v>
                </c:pt>
                <c:pt idx="620">
                  <c:v>2449861.2294899998</c:v>
                </c:pt>
                <c:pt idx="621">
                  <c:v>2449873.1842800002</c:v>
                </c:pt>
                <c:pt idx="622">
                  <c:v>2449891.6461200002</c:v>
                </c:pt>
                <c:pt idx="623">
                  <c:v>2449903.7082000002</c:v>
                </c:pt>
                <c:pt idx="624">
                  <c:v>2449922.2680700002</c:v>
                </c:pt>
                <c:pt idx="625">
                  <c:v>2449934.7821300002</c:v>
                </c:pt>
                <c:pt idx="626">
                  <c:v>2449952.2740099998</c:v>
                </c:pt>
                <c:pt idx="627">
                  <c:v>2449967.2522</c:v>
                </c:pt>
                <c:pt idx="628">
                  <c:v>2449984.6475800001</c:v>
                </c:pt>
                <c:pt idx="629">
                  <c:v>2449998.80235</c:v>
                </c:pt>
                <c:pt idx="630">
                  <c:v>2450013.7301099999</c:v>
                </c:pt>
                <c:pt idx="631">
                  <c:v>2450030.31904</c:v>
                </c:pt>
                <c:pt idx="632">
                  <c:v>2450042.4405700001</c:v>
                </c:pt>
                <c:pt idx="633">
                  <c:v>2450059.8766800002</c:v>
                </c:pt>
                <c:pt idx="634">
                  <c:v>2450075.5992000001</c:v>
                </c:pt>
                <c:pt idx="635">
                  <c:v>2450093.63191</c:v>
                </c:pt>
                <c:pt idx="636">
                  <c:v>2450111.59405</c:v>
                </c:pt>
                <c:pt idx="637">
                  <c:v>2450136.6825999999</c:v>
                </c:pt>
                <c:pt idx="638">
                  <c:v>2450144.31702</c:v>
                </c:pt>
                <c:pt idx="639">
                  <c:v>2450165.1483999998</c:v>
                </c:pt>
                <c:pt idx="640">
                  <c:v>2450180.9914799999</c:v>
                </c:pt>
                <c:pt idx="641">
                  <c:v>2450194.5129200001</c:v>
                </c:pt>
                <c:pt idx="642">
                  <c:v>2450213.6255800002</c:v>
                </c:pt>
                <c:pt idx="643">
                  <c:v>2450229.09326</c:v>
                </c:pt>
                <c:pt idx="644">
                  <c:v>2450245.8015800002</c:v>
                </c:pt>
                <c:pt idx="645">
                  <c:v>2450259.0166500001</c:v>
                </c:pt>
                <c:pt idx="646">
                  <c:v>2450274.9704900002</c:v>
                </c:pt>
                <c:pt idx="647">
                  <c:v>2450287.8790099998</c:v>
                </c:pt>
                <c:pt idx="648">
                  <c:v>2450304.0965499999</c:v>
                </c:pt>
                <c:pt idx="649">
                  <c:v>2450318.1716700001</c:v>
                </c:pt>
                <c:pt idx="650">
                  <c:v>2450336.8813399998</c:v>
                </c:pt>
                <c:pt idx="651">
                  <c:v>2450349.8284100001</c:v>
                </c:pt>
                <c:pt idx="652">
                  <c:v>2450365.3357899999</c:v>
                </c:pt>
                <c:pt idx="653">
                  <c:v>2450379.3563700002</c:v>
                </c:pt>
                <c:pt idx="654">
                  <c:v>2450397.3876800002</c:v>
                </c:pt>
                <c:pt idx="655">
                  <c:v>2450411.0213000001</c:v>
                </c:pt>
                <c:pt idx="656">
                  <c:v>2450427.1245300001</c:v>
                </c:pt>
                <c:pt idx="657">
                  <c:v>2450443.4482300002</c:v>
                </c:pt>
                <c:pt idx="658">
                  <c:v>2450459.66335</c:v>
                </c:pt>
                <c:pt idx="659">
                  <c:v>2450479.5314600002</c:v>
                </c:pt>
                <c:pt idx="660">
                  <c:v>2450491.3386599999</c:v>
                </c:pt>
                <c:pt idx="661">
                  <c:v>2450512.4504800001</c:v>
                </c:pt>
                <c:pt idx="662">
                  <c:v>2450528.4056699998</c:v>
                </c:pt>
                <c:pt idx="663">
                  <c:v>2450546.71</c:v>
                </c:pt>
                <c:pt idx="664">
                  <c:v>2450566.0510300002</c:v>
                </c:pt>
                <c:pt idx="665">
                  <c:v>2450577.5242300001</c:v>
                </c:pt>
                <c:pt idx="666">
                  <c:v>2450595.59008</c:v>
                </c:pt>
                <c:pt idx="667">
                  <c:v>2450609.65044</c:v>
                </c:pt>
                <c:pt idx="668">
                  <c:v>2450628.4465899998</c:v>
                </c:pt>
                <c:pt idx="669">
                  <c:v>2450641.4442199999</c:v>
                </c:pt>
                <c:pt idx="670">
                  <c:v>2450658.5336099998</c:v>
                </c:pt>
                <c:pt idx="671">
                  <c:v>2450672.5668500001</c:v>
                </c:pt>
                <c:pt idx="672">
                  <c:v>2450688.8569100001</c:v>
                </c:pt>
                <c:pt idx="673">
                  <c:v>2450702.2834800002</c:v>
                </c:pt>
                <c:pt idx="674">
                  <c:v>2450718.1326799998</c:v>
                </c:pt>
                <c:pt idx="675">
                  <c:v>2450732.3862299998</c:v>
                </c:pt>
                <c:pt idx="676">
                  <c:v>2450749.0444899998</c:v>
                </c:pt>
                <c:pt idx="677">
                  <c:v>2450766.8348500002</c:v>
                </c:pt>
                <c:pt idx="678">
                  <c:v>2450781.0749900001</c:v>
                </c:pt>
                <c:pt idx="679">
                  <c:v>2450796.9660800002</c:v>
                </c:pt>
                <c:pt idx="680">
                  <c:v>2450818.60409</c:v>
                </c:pt>
                <c:pt idx="681">
                  <c:v>2450840.5273799999</c:v>
                </c:pt>
                <c:pt idx="682">
                  <c:v>2450866.7069999999</c:v>
                </c:pt>
                <c:pt idx="683">
                  <c:v>2450876.2838300001</c:v>
                </c:pt>
                <c:pt idx="684">
                  <c:v>2450899.47762</c:v>
                </c:pt>
                <c:pt idx="685">
                  <c:v>2450915.2410200001</c:v>
                </c:pt>
                <c:pt idx="686">
                  <c:v>2450932.39751</c:v>
                </c:pt>
                <c:pt idx="687">
                  <c:v>2450949.15038</c:v>
                </c:pt>
                <c:pt idx="688">
                  <c:v>2450962.77311</c:v>
                </c:pt>
                <c:pt idx="689">
                  <c:v>2450978.0894300002</c:v>
                </c:pt>
                <c:pt idx="690">
                  <c:v>2450992.54018</c:v>
                </c:pt>
                <c:pt idx="691">
                  <c:v>2451010.0780000002</c:v>
                </c:pt>
                <c:pt idx="692">
                  <c:v>2451023.5837099999</c:v>
                </c:pt>
                <c:pt idx="693">
                  <c:v>2451039.8220199998</c:v>
                </c:pt>
                <c:pt idx="694">
                  <c:v>2451052.1446500001</c:v>
                </c:pt>
                <c:pt idx="695">
                  <c:v>2451070.2963800002</c:v>
                </c:pt>
                <c:pt idx="696">
                  <c:v>2451082.6543000001</c:v>
                </c:pt>
                <c:pt idx="697">
                  <c:v>2451103.0814499999</c:v>
                </c:pt>
                <c:pt idx="698">
                  <c:v>2451117.2071400001</c:v>
                </c:pt>
                <c:pt idx="699">
                  <c:v>2451133.3561100001</c:v>
                </c:pt>
                <c:pt idx="700">
                  <c:v>2451149.13986</c:v>
                </c:pt>
                <c:pt idx="701">
                  <c:v>2451163.0123200002</c:v>
                </c:pt>
                <c:pt idx="702">
                  <c:v>2451179.4387699999</c:v>
                </c:pt>
                <c:pt idx="703">
                  <c:v>2451196.22743</c:v>
                </c:pt>
                <c:pt idx="704">
                  <c:v>2451220.7340699998</c:v>
                </c:pt>
                <c:pt idx="705">
                  <c:v>2451244.9512299998</c:v>
                </c:pt>
                <c:pt idx="706">
                  <c:v>2451259.1460500001</c:v>
                </c:pt>
                <c:pt idx="707">
                  <c:v>2451278.4495700002</c:v>
                </c:pt>
                <c:pt idx="708">
                  <c:v>2451289.79642</c:v>
                </c:pt>
                <c:pt idx="709">
                  <c:v>2451305.9925600002</c:v>
                </c:pt>
                <c:pt idx="710">
                  <c:v>2451320.6492499998</c:v>
                </c:pt>
                <c:pt idx="711">
                  <c:v>2451338.6484699999</c:v>
                </c:pt>
                <c:pt idx="712">
                  <c:v>2451349.9745700001</c:v>
                </c:pt>
                <c:pt idx="713">
                  <c:v>2451369.7978599998</c:v>
                </c:pt>
                <c:pt idx="714">
                  <c:v>2451382.86815</c:v>
                </c:pt>
                <c:pt idx="715">
                  <c:v>2451398.452</c:v>
                </c:pt>
                <c:pt idx="716">
                  <c:v>2451414.1017</c:v>
                </c:pt>
                <c:pt idx="717">
                  <c:v>2451430.44264</c:v>
                </c:pt>
                <c:pt idx="718">
                  <c:v>2451445.3774999999</c:v>
                </c:pt>
                <c:pt idx="719">
                  <c:v>2451460.6256900001</c:v>
                </c:pt>
                <c:pt idx="720">
                  <c:v>2451474.8737900001</c:v>
                </c:pt>
                <c:pt idx="721">
                  <c:v>2451490.1030799998</c:v>
                </c:pt>
                <c:pt idx="722">
                  <c:v>2451508.5364899999</c:v>
                </c:pt>
                <c:pt idx="723">
                  <c:v>2451520.5547699998</c:v>
                </c:pt>
                <c:pt idx="724">
                  <c:v>2451537.2291199998</c:v>
                </c:pt>
                <c:pt idx="725">
                  <c:v>2451551.9428599998</c:v>
                </c:pt>
                <c:pt idx="726">
                  <c:v>2451580.3969999999</c:v>
                </c:pt>
                <c:pt idx="727">
                  <c:v>2451607.7749999999</c:v>
                </c:pt>
                <c:pt idx="728">
                  <c:v>2451624.1647999999</c:v>
                </c:pt>
                <c:pt idx="729">
                  <c:v>2451637.3338000001</c:v>
                </c:pt>
                <c:pt idx="730">
                  <c:v>2451657.9840000002</c:v>
                </c:pt>
                <c:pt idx="731">
                  <c:v>2451669.9046800002</c:v>
                </c:pt>
                <c:pt idx="732">
                  <c:v>2451688.3400099999</c:v>
                </c:pt>
                <c:pt idx="733">
                  <c:v>2451703.39078</c:v>
                </c:pt>
                <c:pt idx="734">
                  <c:v>2451718.3442099998</c:v>
                </c:pt>
                <c:pt idx="735">
                  <c:v>2451733.9389300002</c:v>
                </c:pt>
                <c:pt idx="736">
                  <c:v>2451749.0812599999</c:v>
                </c:pt>
                <c:pt idx="737">
                  <c:v>2451763.1528500002</c:v>
                </c:pt>
                <c:pt idx="738">
                  <c:v>2451781.0414999998</c:v>
                </c:pt>
                <c:pt idx="739">
                  <c:v>2451794.4839699999</c:v>
                </c:pt>
                <c:pt idx="740">
                  <c:v>2451811.9024800002</c:v>
                </c:pt>
                <c:pt idx="741">
                  <c:v>2451827.81849</c:v>
                </c:pt>
                <c:pt idx="742">
                  <c:v>2451842.8584599998</c:v>
                </c:pt>
                <c:pt idx="743">
                  <c:v>2451859.0734799998</c:v>
                </c:pt>
                <c:pt idx="744">
                  <c:v>2451875.4928899999</c:v>
                </c:pt>
                <c:pt idx="745">
                  <c:v>2451888.4200200001</c:v>
                </c:pt>
                <c:pt idx="746">
                  <c:v>2451907.0313200001</c:v>
                </c:pt>
                <c:pt idx="747">
                  <c:v>2451919.0685800002</c:v>
                </c:pt>
                <c:pt idx="748">
                  <c:v>2451933.1979999999</c:v>
                </c:pt>
                <c:pt idx="749">
                  <c:v>2451959.4197800001</c:v>
                </c:pt>
                <c:pt idx="750">
                  <c:v>2451970.5887699998</c:v>
                </c:pt>
                <c:pt idx="751">
                  <c:v>2451991.5449999999</c:v>
                </c:pt>
                <c:pt idx="752">
                  <c:v>2452009.4294500002</c:v>
                </c:pt>
                <c:pt idx="753">
                  <c:v>2452026.6885799998</c:v>
                </c:pt>
                <c:pt idx="754">
                  <c:v>2452043.8798000002</c:v>
                </c:pt>
                <c:pt idx="755">
                  <c:v>2452054.8543400001</c:v>
                </c:pt>
                <c:pt idx="756">
                  <c:v>2452071.9938400001</c:v>
                </c:pt>
                <c:pt idx="757">
                  <c:v>2452087.5913399998</c:v>
                </c:pt>
                <c:pt idx="758">
                  <c:v>2452106.7036799998</c:v>
                </c:pt>
                <c:pt idx="759">
                  <c:v>2452122.3066699998</c:v>
                </c:pt>
                <c:pt idx="760">
                  <c:v>2452138.3072700002</c:v>
                </c:pt>
                <c:pt idx="761">
                  <c:v>2452153.0452299998</c:v>
                </c:pt>
                <c:pt idx="762">
                  <c:v>2452169.0661800001</c:v>
                </c:pt>
                <c:pt idx="763">
                  <c:v>2452185.2750200001</c:v>
                </c:pt>
                <c:pt idx="764">
                  <c:v>2452199.04054</c:v>
                </c:pt>
                <c:pt idx="765">
                  <c:v>2452215.9877900002</c:v>
                </c:pt>
                <c:pt idx="766">
                  <c:v>2452228.2898200001</c:v>
                </c:pt>
                <c:pt idx="767">
                  <c:v>2452248.4158200002</c:v>
                </c:pt>
                <c:pt idx="768">
                  <c:v>2452261.7988800001</c:v>
                </c:pt>
                <c:pt idx="769">
                  <c:v>2452277.8159400001</c:v>
                </c:pt>
                <c:pt idx="770">
                  <c:v>2452321.4131200002</c:v>
                </c:pt>
                <c:pt idx="771">
                  <c:v>2452344.5667699999</c:v>
                </c:pt>
                <c:pt idx="772">
                  <c:v>2452372.15668</c:v>
                </c:pt>
                <c:pt idx="773">
                  <c:v>2452399.1039999998</c:v>
                </c:pt>
                <c:pt idx="774">
                  <c:v>2452413.3272899999</c:v>
                </c:pt>
                <c:pt idx="775">
                  <c:v>2452431.4128399999</c:v>
                </c:pt>
                <c:pt idx="776">
                  <c:v>2452449.8185399999</c:v>
                </c:pt>
                <c:pt idx="777">
                  <c:v>2452466.5808299999</c:v>
                </c:pt>
                <c:pt idx="778">
                  <c:v>2452481.72542</c:v>
                </c:pt>
                <c:pt idx="779">
                  <c:v>2452497.4808100001</c:v>
                </c:pt>
                <c:pt idx="780">
                  <c:v>2452514.2829</c:v>
                </c:pt>
                <c:pt idx="781">
                  <c:v>2452528.2424499998</c:v>
                </c:pt>
                <c:pt idx="782">
                  <c:v>2452547.01406</c:v>
                </c:pt>
                <c:pt idx="783">
                  <c:v>2452561.2104500001</c:v>
                </c:pt>
                <c:pt idx="784">
                  <c:v>2452577.8219599999</c:v>
                </c:pt>
                <c:pt idx="785">
                  <c:v>2452591.2505800002</c:v>
                </c:pt>
                <c:pt idx="786">
                  <c:v>2452606.4421399999</c:v>
                </c:pt>
                <c:pt idx="787">
                  <c:v>2452620.2954799999</c:v>
                </c:pt>
                <c:pt idx="788">
                  <c:v>2452641.4561200002</c:v>
                </c:pt>
                <c:pt idx="789">
                  <c:v>2452650.2249799999</c:v>
                </c:pt>
                <c:pt idx="790">
                  <c:v>2452696.3896699999</c:v>
                </c:pt>
                <c:pt idx="791">
                  <c:v>2452714.0019999999</c:v>
                </c:pt>
                <c:pt idx="792">
                  <c:v>2452735.3870000001</c:v>
                </c:pt>
                <c:pt idx="793">
                  <c:v>2452758</c:v>
                </c:pt>
                <c:pt idx="794">
                  <c:v>2452777.3121799999</c:v>
                </c:pt>
                <c:pt idx="795">
                  <c:v>2452793.3920800001</c:v>
                </c:pt>
                <c:pt idx="796">
                  <c:v>2452811.6032199999</c:v>
                </c:pt>
                <c:pt idx="797">
                  <c:v>2452827.1445399998</c:v>
                </c:pt>
                <c:pt idx="798">
                  <c:v>2452840.52385</c:v>
                </c:pt>
                <c:pt idx="799">
                  <c:v>2452855.1989199999</c:v>
                </c:pt>
                <c:pt idx="800">
                  <c:v>2452873.2204100001</c:v>
                </c:pt>
                <c:pt idx="801">
                  <c:v>2452886.1537899999</c:v>
                </c:pt>
                <c:pt idx="802">
                  <c:v>2452903.14983</c:v>
                </c:pt>
                <c:pt idx="803">
                  <c:v>2452917.81311</c:v>
                </c:pt>
                <c:pt idx="804">
                  <c:v>2452933.6045400002</c:v>
                </c:pt>
                <c:pt idx="805">
                  <c:v>2452951.14274</c:v>
                </c:pt>
                <c:pt idx="806">
                  <c:v>2452965.8230599998</c:v>
                </c:pt>
                <c:pt idx="807">
                  <c:v>2452982.7283600001</c:v>
                </c:pt>
                <c:pt idx="808">
                  <c:v>2452996.5679899999</c:v>
                </c:pt>
                <c:pt idx="809">
                  <c:v>2453020.9733799999</c:v>
                </c:pt>
                <c:pt idx="810">
                  <c:v>2453061.3366700001</c:v>
                </c:pt>
                <c:pt idx="811">
                  <c:v>2453083.6214999999</c:v>
                </c:pt>
                <c:pt idx="812">
                  <c:v>2453100.64267</c:v>
                </c:pt>
                <c:pt idx="813">
                  <c:v>2453120.7447500001</c:v>
                </c:pt>
                <c:pt idx="814">
                  <c:v>2453142.45597</c:v>
                </c:pt>
                <c:pt idx="815">
                  <c:v>2453151.6960999998</c:v>
                </c:pt>
                <c:pt idx="816">
                  <c:v>2453170.1431499999</c:v>
                </c:pt>
                <c:pt idx="817">
                  <c:v>2453183.7551500001</c:v>
                </c:pt>
                <c:pt idx="818">
                  <c:v>2453201.26559</c:v>
                </c:pt>
                <c:pt idx="819">
                  <c:v>2453217.9608900002</c:v>
                </c:pt>
                <c:pt idx="820">
                  <c:v>2453235.0521499999</c:v>
                </c:pt>
                <c:pt idx="821">
                  <c:v>2453250.2059499999</c:v>
                </c:pt>
                <c:pt idx="822">
                  <c:v>2453263.8103999998</c:v>
                </c:pt>
                <c:pt idx="823">
                  <c:v>2453280.7279500002</c:v>
                </c:pt>
                <c:pt idx="824">
                  <c:v>2453293.7853600001</c:v>
                </c:pt>
                <c:pt idx="825">
                  <c:v>2453309.6761400001</c:v>
                </c:pt>
                <c:pt idx="826">
                  <c:v>2453322.9751499998</c:v>
                </c:pt>
                <c:pt idx="827">
                  <c:v>2453341.5422800002</c:v>
                </c:pt>
                <c:pt idx="828">
                  <c:v>2453355.58366</c:v>
                </c:pt>
                <c:pt idx="829">
                  <c:v>2453375.0376200001</c:v>
                </c:pt>
                <c:pt idx="830">
                  <c:v>2453385.2579999999</c:v>
                </c:pt>
                <c:pt idx="831">
                  <c:v>2453412.6735</c:v>
                </c:pt>
                <c:pt idx="832">
                  <c:v>2453451.9638</c:v>
                </c:pt>
                <c:pt idx="833">
                  <c:v>2453469.29868</c:v>
                </c:pt>
                <c:pt idx="834">
                  <c:v>2453485.8709999998</c:v>
                </c:pt>
                <c:pt idx="835">
                  <c:v>2453504.8844300001</c:v>
                </c:pt>
                <c:pt idx="836">
                  <c:v>2453522.5062299999</c:v>
                </c:pt>
                <c:pt idx="837">
                  <c:v>2453537.2367699998</c:v>
                </c:pt>
                <c:pt idx="838">
                  <c:v>2453554.0328799998</c:v>
                </c:pt>
                <c:pt idx="839">
                  <c:v>2453568.8677400001</c:v>
                </c:pt>
                <c:pt idx="840">
                  <c:v>2453586.5506699998</c:v>
                </c:pt>
                <c:pt idx="841">
                  <c:v>2453600.7679400002</c:v>
                </c:pt>
                <c:pt idx="842">
                  <c:v>2453616.5036200001</c:v>
                </c:pt>
                <c:pt idx="843">
                  <c:v>2453632.3458599998</c:v>
                </c:pt>
                <c:pt idx="844">
                  <c:v>2453646.318</c:v>
                </c:pt>
                <c:pt idx="845">
                  <c:v>2453661.2409999999</c:v>
                </c:pt>
                <c:pt idx="846">
                  <c:v>2453677.0916599999</c:v>
                </c:pt>
                <c:pt idx="847">
                  <c:v>2453694.59002</c:v>
                </c:pt>
                <c:pt idx="848">
                  <c:v>2453712.1412900002</c:v>
                </c:pt>
                <c:pt idx="849">
                  <c:v>2453726.4459799998</c:v>
                </c:pt>
                <c:pt idx="850">
                  <c:v>2453744.9013999999</c:v>
                </c:pt>
                <c:pt idx="851">
                  <c:v>2453767.6940000001</c:v>
                </c:pt>
                <c:pt idx="852">
                  <c:v>2453804.3771500001</c:v>
                </c:pt>
                <c:pt idx="853">
                  <c:v>2453822.1285399999</c:v>
                </c:pt>
                <c:pt idx="854">
                  <c:v>2453836.60507</c:v>
                </c:pt>
                <c:pt idx="855">
                  <c:v>2453854.7597699999</c:v>
                </c:pt>
                <c:pt idx="856">
                  <c:v>2453869.93848</c:v>
                </c:pt>
                <c:pt idx="857">
                  <c:v>2453886.1956199999</c:v>
                </c:pt>
                <c:pt idx="858">
                  <c:v>2453901.2864199998</c:v>
                </c:pt>
                <c:pt idx="859">
                  <c:v>2453915.5515700001</c:v>
                </c:pt>
                <c:pt idx="860">
                  <c:v>2453932.1895400002</c:v>
                </c:pt>
                <c:pt idx="861">
                  <c:v>2453946.4554099999</c:v>
                </c:pt>
                <c:pt idx="862">
                  <c:v>2453965.1393599999</c:v>
                </c:pt>
                <c:pt idx="863">
                  <c:v>2453976.4146599998</c:v>
                </c:pt>
                <c:pt idx="864">
                  <c:v>2453992.4293</c:v>
                </c:pt>
                <c:pt idx="865">
                  <c:v>2454006.41873</c:v>
                </c:pt>
                <c:pt idx="866">
                  <c:v>2454021.42221</c:v>
                </c:pt>
                <c:pt idx="867">
                  <c:v>2454036.7225100002</c:v>
                </c:pt>
                <c:pt idx="868">
                  <c:v>2454053.2382899998</c:v>
                </c:pt>
                <c:pt idx="869">
                  <c:v>2454068.0569799999</c:v>
                </c:pt>
                <c:pt idx="870">
                  <c:v>2454083.0485800002</c:v>
                </c:pt>
                <c:pt idx="871">
                  <c:v>2454096.92876</c:v>
                </c:pt>
                <c:pt idx="872">
                  <c:v>2454112.1368</c:v>
                </c:pt>
                <c:pt idx="873">
                  <c:v>2454134.2744999998</c:v>
                </c:pt>
                <c:pt idx="874">
                  <c:v>2454172.8026399999</c:v>
                </c:pt>
                <c:pt idx="875">
                  <c:v>2454186.2058799998</c:v>
                </c:pt>
                <c:pt idx="876">
                  <c:v>2454204.1391099999</c:v>
                </c:pt>
                <c:pt idx="877">
                  <c:v>2454220.9017599998</c:v>
                </c:pt>
                <c:pt idx="878">
                  <c:v>2454236.9563500001</c:v>
                </c:pt>
                <c:pt idx="879">
                  <c:v>2454252.06225</c:v>
                </c:pt>
                <c:pt idx="880">
                  <c:v>2454268.1052199998</c:v>
                </c:pt>
                <c:pt idx="881">
                  <c:v>2454284.8284100001</c:v>
                </c:pt>
                <c:pt idx="882">
                  <c:v>2454298.5313800001</c:v>
                </c:pt>
                <c:pt idx="883">
                  <c:v>2454313.8086899999</c:v>
                </c:pt>
                <c:pt idx="884">
                  <c:v>2454327.93358</c:v>
                </c:pt>
                <c:pt idx="885">
                  <c:v>2454343.8999200002</c:v>
                </c:pt>
                <c:pt idx="886">
                  <c:v>2454359.4171000002</c:v>
                </c:pt>
                <c:pt idx="887">
                  <c:v>2454373.9683900001</c:v>
                </c:pt>
                <c:pt idx="888">
                  <c:v>2454389.2532799998</c:v>
                </c:pt>
                <c:pt idx="889">
                  <c:v>2454405.7453399999</c:v>
                </c:pt>
                <c:pt idx="890">
                  <c:v>2454419.9324599998</c:v>
                </c:pt>
                <c:pt idx="891">
                  <c:v>2454435.55498</c:v>
                </c:pt>
                <c:pt idx="892">
                  <c:v>2454449.09705</c:v>
                </c:pt>
                <c:pt idx="893">
                  <c:v>2454468.0309700002</c:v>
                </c:pt>
                <c:pt idx="894">
                  <c:v>2454500.9300000002</c:v>
                </c:pt>
                <c:pt idx="895">
                  <c:v>2454519.49346</c:v>
                </c:pt>
                <c:pt idx="896">
                  <c:v>2454534.7295599999</c:v>
                </c:pt>
                <c:pt idx="897">
                  <c:v>2454555.2969599999</c:v>
                </c:pt>
                <c:pt idx="898">
                  <c:v>2454567.3424900002</c:v>
                </c:pt>
                <c:pt idx="899">
                  <c:v>2454586.7478399999</c:v>
                </c:pt>
                <c:pt idx="900">
                  <c:v>2454598.7483000001</c:v>
                </c:pt>
                <c:pt idx="901">
                  <c:v>2454617.07118</c:v>
                </c:pt>
                <c:pt idx="902">
                  <c:v>2454631.412</c:v>
                </c:pt>
                <c:pt idx="903">
                  <c:v>2454647.7906599999</c:v>
                </c:pt>
                <c:pt idx="904">
                  <c:v>2454662.7634700001</c:v>
                </c:pt>
                <c:pt idx="905">
                  <c:v>2454679.15496</c:v>
                </c:pt>
                <c:pt idx="906">
                  <c:v>2454693.3642099998</c:v>
                </c:pt>
                <c:pt idx="907">
                  <c:v>2454709.0624000002</c:v>
                </c:pt>
                <c:pt idx="908">
                  <c:v>2454724.3575400002</c:v>
                </c:pt>
                <c:pt idx="909">
                  <c:v>2454740.1567600002</c:v>
                </c:pt>
                <c:pt idx="910">
                  <c:v>2454756.18328</c:v>
                </c:pt>
                <c:pt idx="911">
                  <c:v>2454769.4620099999</c:v>
                </c:pt>
                <c:pt idx="912">
                  <c:v>2454785.8112300001</c:v>
                </c:pt>
                <c:pt idx="913">
                  <c:v>2454799.1952800001</c:v>
                </c:pt>
                <c:pt idx="914">
                  <c:v>2454814.42753</c:v>
                </c:pt>
                <c:pt idx="915">
                  <c:v>2454832.3855699999</c:v>
                </c:pt>
                <c:pt idx="916">
                  <c:v>2454848.24657</c:v>
                </c:pt>
                <c:pt idx="917">
                  <c:v>2454861.5888999999</c:v>
                </c:pt>
                <c:pt idx="918">
                  <c:v>2454889.1733800001</c:v>
                </c:pt>
                <c:pt idx="919">
                  <c:v>2454909.4512399998</c:v>
                </c:pt>
                <c:pt idx="920">
                  <c:v>2454925.6091399998</c:v>
                </c:pt>
                <c:pt idx="921">
                  <c:v>2454944.0061499998</c:v>
                </c:pt>
                <c:pt idx="922">
                  <c:v>2454957.37524</c:v>
                </c:pt>
                <c:pt idx="923">
                  <c:v>2454975.27318</c:v>
                </c:pt>
                <c:pt idx="924">
                  <c:v>2454989.5053400001</c:v>
                </c:pt>
                <c:pt idx="925">
                  <c:v>2455005.0374500002</c:v>
                </c:pt>
                <c:pt idx="926">
                  <c:v>2455021.2045399998</c:v>
                </c:pt>
                <c:pt idx="927">
                  <c:v>2455036.75716</c:v>
                </c:pt>
                <c:pt idx="928">
                  <c:v>2455051.8355700001</c:v>
                </c:pt>
                <c:pt idx="929">
                  <c:v>2455065.4734800002</c:v>
                </c:pt>
                <c:pt idx="930">
                  <c:v>2455081.7590700001</c:v>
                </c:pt>
                <c:pt idx="931">
                  <c:v>2455096.4168600002</c:v>
                </c:pt>
                <c:pt idx="932">
                  <c:v>2455113.0700900001</c:v>
                </c:pt>
                <c:pt idx="933">
                  <c:v>2455127.4731299998</c:v>
                </c:pt>
                <c:pt idx="934">
                  <c:v>2455145.28315</c:v>
                </c:pt>
                <c:pt idx="935">
                  <c:v>2455159.7071000002</c:v>
                </c:pt>
                <c:pt idx="936">
                  <c:v>2455173.62549</c:v>
                </c:pt>
                <c:pt idx="937">
                  <c:v>2455189.52153</c:v>
                </c:pt>
                <c:pt idx="938">
                  <c:v>2455204.9163000002</c:v>
                </c:pt>
                <c:pt idx="939">
                  <c:v>2455220.2316000001</c:v>
                </c:pt>
                <c:pt idx="940">
                  <c:v>2455246.2004200001</c:v>
                </c:pt>
                <c:pt idx="941">
                  <c:v>2455262.2675100002</c:v>
                </c:pt>
                <c:pt idx="942">
                  <c:v>2455281.4588700002</c:v>
                </c:pt>
                <c:pt idx="943">
                  <c:v>2455300.5165300001</c:v>
                </c:pt>
                <c:pt idx="944">
                  <c:v>2455315.38754</c:v>
                </c:pt>
                <c:pt idx="945">
                  <c:v>2455335.01878</c:v>
                </c:pt>
                <c:pt idx="946">
                  <c:v>2455349.2148199999</c:v>
                </c:pt>
                <c:pt idx="947">
                  <c:v>2455361.4402000001</c:v>
                </c:pt>
                <c:pt idx="948">
                  <c:v>2455380.2801799998</c:v>
                </c:pt>
                <c:pt idx="949">
                  <c:v>2455392.9858400002</c:v>
                </c:pt>
                <c:pt idx="950">
                  <c:v>2455411.8992599999</c:v>
                </c:pt>
                <c:pt idx="951">
                  <c:v>2455424.0665099998</c:v>
                </c:pt>
                <c:pt idx="952">
                  <c:v>2455440.5510499999</c:v>
                </c:pt>
                <c:pt idx="953">
                  <c:v>2455454.2895900002</c:v>
                </c:pt>
                <c:pt idx="954">
                  <c:v>2455472.3958299998</c:v>
                </c:pt>
                <c:pt idx="955">
                  <c:v>2455484.13423</c:v>
                </c:pt>
                <c:pt idx="956">
                  <c:v>2455500.3221900002</c:v>
                </c:pt>
                <c:pt idx="957">
                  <c:v>2455514.9268200002</c:v>
                </c:pt>
                <c:pt idx="958">
                  <c:v>2455531.1512600002</c:v>
                </c:pt>
                <c:pt idx="959">
                  <c:v>2455543.4725600001</c:v>
                </c:pt>
                <c:pt idx="960">
                  <c:v>2455563.64059</c:v>
                </c:pt>
                <c:pt idx="961">
                  <c:v>2455578.3652900001</c:v>
                </c:pt>
                <c:pt idx="962">
                  <c:v>2455595.9568099999</c:v>
                </c:pt>
                <c:pt idx="963">
                  <c:v>2455623.2516100002</c:v>
                </c:pt>
                <c:pt idx="964">
                  <c:v>2455645.1258999999</c:v>
                </c:pt>
                <c:pt idx="965">
                  <c:v>2455659.9397999998</c:v>
                </c:pt>
                <c:pt idx="966">
                  <c:v>2455682.8926499998</c:v>
                </c:pt>
                <c:pt idx="967">
                  <c:v>2455695.3859100002</c:v>
                </c:pt>
                <c:pt idx="968">
                  <c:v>2455710.2713299999</c:v>
                </c:pt>
                <c:pt idx="969">
                  <c:v>2455726.8487399998</c:v>
                </c:pt>
                <c:pt idx="970">
                  <c:v>2455743.0993300001</c:v>
                </c:pt>
                <c:pt idx="971">
                  <c:v>2455757.89964</c:v>
                </c:pt>
                <c:pt idx="972">
                  <c:v>2455773.7471400001</c:v>
                </c:pt>
                <c:pt idx="973">
                  <c:v>2455790.0605799998</c:v>
                </c:pt>
                <c:pt idx="974">
                  <c:v>2455803.0407199999</c:v>
                </c:pt>
                <c:pt idx="975">
                  <c:v>2455819.1494700001</c:v>
                </c:pt>
                <c:pt idx="976">
                  <c:v>2455833.4903199999</c:v>
                </c:pt>
                <c:pt idx="977">
                  <c:v>2455849.9316699998</c:v>
                </c:pt>
                <c:pt idx="978">
                  <c:v>2455864.2726599998</c:v>
                </c:pt>
                <c:pt idx="979">
                  <c:v>2455879.4936099998</c:v>
                </c:pt>
                <c:pt idx="980">
                  <c:v>2455896.3427800001</c:v>
                </c:pt>
                <c:pt idx="981">
                  <c:v>2455910.3667899999</c:v>
                </c:pt>
                <c:pt idx="982">
                  <c:v>2455926.86821</c:v>
                </c:pt>
                <c:pt idx="983">
                  <c:v>2455943.9874</c:v>
                </c:pt>
                <c:pt idx="984">
                  <c:v>2455966.7999999998</c:v>
                </c:pt>
                <c:pt idx="985">
                  <c:v>2455988.8720900002</c:v>
                </c:pt>
                <c:pt idx="986">
                  <c:v>2456009.2950499998</c:v>
                </c:pt>
                <c:pt idx="987">
                  <c:v>2456025.2456999999</c:v>
                </c:pt>
                <c:pt idx="988">
                  <c:v>2456045.1546200002</c:v>
                </c:pt>
                <c:pt idx="989">
                  <c:v>2456060.3394800001</c:v>
                </c:pt>
                <c:pt idx="990">
                  <c:v>2456072.4617699999</c:v>
                </c:pt>
                <c:pt idx="991">
                  <c:v>2456092.1993200001</c:v>
                </c:pt>
                <c:pt idx="992">
                  <c:v>2456105.2757700002</c:v>
                </c:pt>
                <c:pt idx="993">
                  <c:v>2456122.7570000002</c:v>
                </c:pt>
                <c:pt idx="994">
                  <c:v>2456136.1661899998</c:v>
                </c:pt>
                <c:pt idx="995">
                  <c:v>2456154.0133699998</c:v>
                </c:pt>
                <c:pt idx="996">
                  <c:v>2456167.8509200001</c:v>
                </c:pt>
                <c:pt idx="997">
                  <c:v>2456183.5692799999</c:v>
                </c:pt>
                <c:pt idx="998">
                  <c:v>2456197.8769399999</c:v>
                </c:pt>
                <c:pt idx="999">
                  <c:v>2456214.7283999999</c:v>
                </c:pt>
                <c:pt idx="1000">
                  <c:v>2456230.2695399998</c:v>
                </c:pt>
                <c:pt idx="1001">
                  <c:v>2456243.8137099999</c:v>
                </c:pt>
                <c:pt idx="1002">
                  <c:v>2456260.4835799998</c:v>
                </c:pt>
                <c:pt idx="1003">
                  <c:v>2456273.53027</c:v>
                </c:pt>
                <c:pt idx="1004">
                  <c:v>2456293.6325699999</c:v>
                </c:pt>
                <c:pt idx="1005">
                  <c:v>2456303.2705600001</c:v>
                </c:pt>
                <c:pt idx="1006">
                  <c:v>2456323.4690999999</c:v>
                </c:pt>
                <c:pt idx="1007">
                  <c:v>2456358.6482299999</c:v>
                </c:pt>
                <c:pt idx="1008">
                  <c:v>2456389.7136900001</c:v>
                </c:pt>
                <c:pt idx="1009">
                  <c:v>2456404.4932599999</c:v>
                </c:pt>
                <c:pt idx="1010">
                  <c:v>2456422.6549300002</c:v>
                </c:pt>
                <c:pt idx="1011">
                  <c:v>2456438.45609</c:v>
                </c:pt>
                <c:pt idx="1012">
                  <c:v>2456454.8801000002</c:v>
                </c:pt>
                <c:pt idx="1013">
                  <c:v>2456470.9873899999</c:v>
                </c:pt>
                <c:pt idx="1014">
                  <c:v>2456484.4994299999</c:v>
                </c:pt>
                <c:pt idx="1015">
                  <c:v>2456500.7596800001</c:v>
                </c:pt>
                <c:pt idx="1016">
                  <c:v>2456515.6797099998</c:v>
                </c:pt>
                <c:pt idx="1017">
                  <c:v>2456532.55375</c:v>
                </c:pt>
                <c:pt idx="1018">
                  <c:v>2456545.1162999999</c:v>
                </c:pt>
                <c:pt idx="1019">
                  <c:v>2456562.2782800002</c:v>
                </c:pt>
                <c:pt idx="1020">
                  <c:v>2456575.1310299998</c:v>
                </c:pt>
                <c:pt idx="1021">
                  <c:v>2456592.54684</c:v>
                </c:pt>
                <c:pt idx="1022">
                  <c:v>2456605.38062</c:v>
                </c:pt>
                <c:pt idx="1023">
                  <c:v>2456624.6766400002</c:v>
                </c:pt>
                <c:pt idx="1024">
                  <c:v>2456634.7096199999</c:v>
                </c:pt>
                <c:pt idx="1025">
                  <c:v>2456654.7276400002</c:v>
                </c:pt>
                <c:pt idx="1026">
                  <c:v>2456667.4213700001</c:v>
                </c:pt>
                <c:pt idx="1027">
                  <c:v>2456690.3392400001</c:v>
                </c:pt>
                <c:pt idx="1028">
                  <c:v>2456714.2551000002</c:v>
                </c:pt>
                <c:pt idx="1029">
                  <c:v>2456726.6280899998</c:v>
                </c:pt>
                <c:pt idx="1030">
                  <c:v>2456750.6126999999</c:v>
                </c:pt>
                <c:pt idx="1031">
                  <c:v>2456770.8741700002</c:v>
                </c:pt>
                <c:pt idx="1032">
                  <c:v>2456791.8651999999</c:v>
                </c:pt>
                <c:pt idx="1033">
                  <c:v>2456803.1860199999</c:v>
                </c:pt>
                <c:pt idx="1034">
                  <c:v>2456817.6307700002</c:v>
                </c:pt>
                <c:pt idx="1035">
                  <c:v>2456835.3017299999</c:v>
                </c:pt>
                <c:pt idx="1036">
                  <c:v>2456849.4912800002</c:v>
                </c:pt>
                <c:pt idx="1037">
                  <c:v>2456865.4020500001</c:v>
                </c:pt>
                <c:pt idx="1038">
                  <c:v>2456883.2617199998</c:v>
                </c:pt>
                <c:pt idx="1039">
                  <c:v>2456895.44404</c:v>
                </c:pt>
                <c:pt idx="1040">
                  <c:v>2456911.3373699998</c:v>
                </c:pt>
                <c:pt idx="1041">
                  <c:v>2456926.0024100002</c:v>
                </c:pt>
                <c:pt idx="1042">
                  <c:v>2456941.57822</c:v>
                </c:pt>
                <c:pt idx="1043">
                  <c:v>2456955.5748200002</c:v>
                </c:pt>
                <c:pt idx="1044">
                  <c:v>2456970.7770400001</c:v>
                </c:pt>
                <c:pt idx="1045">
                  <c:v>2456984.5900099999</c:v>
                </c:pt>
                <c:pt idx="1046">
                  <c:v>2457002.19826</c:v>
                </c:pt>
                <c:pt idx="1047">
                  <c:v>2457017.7109599998</c:v>
                </c:pt>
                <c:pt idx="1048">
                  <c:v>2457030.5014599999</c:v>
                </c:pt>
                <c:pt idx="1049">
                  <c:v>2457053.9668999999</c:v>
                </c:pt>
                <c:pt idx="1050">
                  <c:v>2457075.1971200001</c:v>
                </c:pt>
                <c:pt idx="1051">
                  <c:v>2457099.5427399999</c:v>
                </c:pt>
                <c:pt idx="1052">
                  <c:v>2457114.4830900002</c:v>
                </c:pt>
                <c:pt idx="1053">
                  <c:v>2457130.9018000001</c:v>
                </c:pt>
                <c:pt idx="1054">
                  <c:v>2457145.78835</c:v>
                </c:pt>
                <c:pt idx="1055">
                  <c:v>2457162.2392600002</c:v>
                </c:pt>
                <c:pt idx="1056">
                  <c:v>2457178.7904400001</c:v>
                </c:pt>
                <c:pt idx="1057">
                  <c:v>2457192.9783299998</c:v>
                </c:pt>
                <c:pt idx="1058">
                  <c:v>2457209.2427500002</c:v>
                </c:pt>
                <c:pt idx="1059">
                  <c:v>2457223.67949</c:v>
                </c:pt>
                <c:pt idx="1060">
                  <c:v>2457240.5509199998</c:v>
                </c:pt>
                <c:pt idx="1061">
                  <c:v>2457255.2679400002</c:v>
                </c:pt>
                <c:pt idx="1062">
                  <c:v>2457271.9724099999</c:v>
                </c:pt>
                <c:pt idx="1063">
                  <c:v>2457285.6129700001</c:v>
                </c:pt>
                <c:pt idx="1064">
                  <c:v>2457302.0608799998</c:v>
                </c:pt>
                <c:pt idx="1065">
                  <c:v>2457316.4018799998</c:v>
                </c:pt>
                <c:pt idx="1066">
                  <c:v>2457330.8891799999</c:v>
                </c:pt>
                <c:pt idx="1067">
                  <c:v>2457345.9759300002</c:v>
                </c:pt>
                <c:pt idx="1068">
                  <c:v>2457362.0980600002</c:v>
                </c:pt>
                <c:pt idx="1069">
                  <c:v>2457378.78431</c:v>
                </c:pt>
                <c:pt idx="1070">
                  <c:v>2457389.1233899998</c:v>
                </c:pt>
                <c:pt idx="1071">
                  <c:v>2457411.1333300001</c:v>
                </c:pt>
                <c:pt idx="1072">
                  <c:v>2457430.6814700002</c:v>
                </c:pt>
                <c:pt idx="1073">
                  <c:v>2457447.9101200001</c:v>
                </c:pt>
                <c:pt idx="1074">
                  <c:v>2457466.5535900001</c:v>
                </c:pt>
                <c:pt idx="1075">
                  <c:v>2457484.1527</c:v>
                </c:pt>
                <c:pt idx="1076">
                  <c:v>2457503.6184399999</c:v>
                </c:pt>
                <c:pt idx="1077">
                  <c:v>2457516.8761399998</c:v>
                </c:pt>
                <c:pt idx="1078">
                  <c:v>2457537.2932500001</c:v>
                </c:pt>
                <c:pt idx="1079">
                  <c:v>2457550.5789000001</c:v>
                </c:pt>
                <c:pt idx="1080">
                  <c:v>2457568.0109100002</c:v>
                </c:pt>
                <c:pt idx="1081">
                  <c:v>2457581.7038400001</c:v>
                </c:pt>
                <c:pt idx="1082">
                  <c:v>2457598.6096100002</c:v>
                </c:pt>
                <c:pt idx="1083">
                  <c:v>2457611.3901200001</c:v>
                </c:pt>
                <c:pt idx="1084">
                  <c:v>2457628.7760700001</c:v>
                </c:pt>
                <c:pt idx="1085">
                  <c:v>2457641.7537600002</c:v>
                </c:pt>
                <c:pt idx="1086">
                  <c:v>2457659.4371600002</c:v>
                </c:pt>
                <c:pt idx="1087">
                  <c:v>2457674.0677499999</c:v>
                </c:pt>
                <c:pt idx="1088">
                  <c:v>2457688.4995499998</c:v>
                </c:pt>
                <c:pt idx="1089">
                  <c:v>2457704.4001500001</c:v>
                </c:pt>
                <c:pt idx="1090">
                  <c:v>2457720.7566999998</c:v>
                </c:pt>
                <c:pt idx="1091">
                  <c:v>2457736.3784500002</c:v>
                </c:pt>
                <c:pt idx="1092">
                  <c:v>2457747.2732600002</c:v>
                </c:pt>
                <c:pt idx="1093">
                  <c:v>2457756.7255000002</c:v>
                </c:pt>
                <c:pt idx="1094">
                  <c:v>2457776.8355</c:v>
                </c:pt>
                <c:pt idx="1095">
                  <c:v>2457798.22108</c:v>
                </c:pt>
                <c:pt idx="1096">
                  <c:v>2457822.8177</c:v>
                </c:pt>
                <c:pt idx="1097">
                  <c:v>2457840.5253400002</c:v>
                </c:pt>
                <c:pt idx="1098">
                  <c:v>2457862.79837</c:v>
                </c:pt>
                <c:pt idx="1099">
                  <c:v>2457872.40258</c:v>
                </c:pt>
                <c:pt idx="1100">
                  <c:v>2457887.18952</c:v>
                </c:pt>
                <c:pt idx="1101">
                  <c:v>2457901.41927</c:v>
                </c:pt>
                <c:pt idx="1102">
                  <c:v>2457917.9572700001</c:v>
                </c:pt>
                <c:pt idx="1103">
                  <c:v>2457931.42466</c:v>
                </c:pt>
                <c:pt idx="1104">
                  <c:v>2457947.0038000001</c:v>
                </c:pt>
                <c:pt idx="1105">
                  <c:v>2457961.3936100001</c:v>
                </c:pt>
                <c:pt idx="1106">
                  <c:v>2457977.5441899998</c:v>
                </c:pt>
                <c:pt idx="1107">
                  <c:v>2457992.4228500002</c:v>
                </c:pt>
                <c:pt idx="1108">
                  <c:v>2458007.9949400001</c:v>
                </c:pt>
                <c:pt idx="1109">
                  <c:v>2458022.0805600001</c:v>
                </c:pt>
                <c:pt idx="1110">
                  <c:v>2458039.08641</c:v>
                </c:pt>
                <c:pt idx="1111">
                  <c:v>2458053.0110499999</c:v>
                </c:pt>
                <c:pt idx="1112">
                  <c:v>2458069.9362599999</c:v>
                </c:pt>
                <c:pt idx="1113">
                  <c:v>2458083.50771</c:v>
                </c:pt>
                <c:pt idx="1114">
                  <c:v>2458100.3730000001</c:v>
                </c:pt>
                <c:pt idx="1115">
                  <c:v>2458111.10831</c:v>
                </c:pt>
                <c:pt idx="1116">
                  <c:v>2458128.5695799999</c:v>
                </c:pt>
                <c:pt idx="1117">
                  <c:v>2458148.17717</c:v>
                </c:pt>
                <c:pt idx="1118">
                  <c:v>2458169.7048499999</c:v>
                </c:pt>
                <c:pt idx="1119">
                  <c:v>2458185.6085000001</c:v>
                </c:pt>
                <c:pt idx="1120">
                  <c:v>2458198.5350799998</c:v>
                </c:pt>
                <c:pt idx="1121">
                  <c:v>2458217.7927700002</c:v>
                </c:pt>
                <c:pt idx="1122">
                  <c:v>2458228.6811700002</c:v>
                </c:pt>
                <c:pt idx="1123">
                  <c:v>2458248.8565799999</c:v>
                </c:pt>
                <c:pt idx="1124">
                  <c:v>2458263.3491699998</c:v>
                </c:pt>
                <c:pt idx="1125">
                  <c:v>2458279.28235</c:v>
                </c:pt>
                <c:pt idx="1126">
                  <c:v>2458296.8297799998</c:v>
                </c:pt>
                <c:pt idx="1127">
                  <c:v>2458311.7458700002</c:v>
                </c:pt>
                <c:pt idx="1128">
                  <c:v>2458326.77275</c:v>
                </c:pt>
                <c:pt idx="1129">
                  <c:v>2458340.9308199999</c:v>
                </c:pt>
                <c:pt idx="1130">
                  <c:v>2458356.43255</c:v>
                </c:pt>
                <c:pt idx="1131">
                  <c:v>2458372.44154</c:v>
                </c:pt>
                <c:pt idx="1132">
                  <c:v>2458388.3236600002</c:v>
                </c:pt>
                <c:pt idx="1133">
                  <c:v>2458401.52776</c:v>
                </c:pt>
                <c:pt idx="1134">
                  <c:v>2458418.8375800001</c:v>
                </c:pt>
                <c:pt idx="1135">
                  <c:v>2458433.8611599999</c:v>
                </c:pt>
                <c:pt idx="1136">
                  <c:v>2458449.38802</c:v>
                </c:pt>
                <c:pt idx="1137">
                  <c:v>2458462.6699000001</c:v>
                </c:pt>
                <c:pt idx="1138">
                  <c:v>2458480.1447800002</c:v>
                </c:pt>
                <c:pt idx="1139">
                  <c:v>2458494.9681000002</c:v>
                </c:pt>
                <c:pt idx="1140">
                  <c:v>2458507.0916900001</c:v>
                </c:pt>
                <c:pt idx="1141">
                  <c:v>2458527.61234</c:v>
                </c:pt>
                <c:pt idx="1142">
                  <c:v>2458542.7652599998</c:v>
                </c:pt>
                <c:pt idx="1143">
                  <c:v>2458566.6612499999</c:v>
                </c:pt>
                <c:pt idx="1144">
                  <c:v>2458581.29844</c:v>
                </c:pt>
                <c:pt idx="1145">
                  <c:v>2458599.0052100001</c:v>
                </c:pt>
                <c:pt idx="1146">
                  <c:v>2458613.8849200001</c:v>
                </c:pt>
                <c:pt idx="1147">
                  <c:v>2458632.8995500002</c:v>
                </c:pt>
                <c:pt idx="1148">
                  <c:v>2458646.5422499999</c:v>
                </c:pt>
                <c:pt idx="1149">
                  <c:v>2458663.0509700002</c:v>
                </c:pt>
                <c:pt idx="1150">
                  <c:v>2458678.6039300002</c:v>
                </c:pt>
                <c:pt idx="1151">
                  <c:v>2458693.3846499999</c:v>
                </c:pt>
                <c:pt idx="1152">
                  <c:v>2458710.5763300001</c:v>
                </c:pt>
                <c:pt idx="1153">
                  <c:v>2458727.3103100001</c:v>
                </c:pt>
                <c:pt idx="1154">
                  <c:v>2458743.2729799999</c:v>
                </c:pt>
                <c:pt idx="1155">
                  <c:v>2458758.50092</c:v>
                </c:pt>
                <c:pt idx="1156">
                  <c:v>2458776.7343299999</c:v>
                </c:pt>
                <c:pt idx="1157">
                  <c:v>2458790.0694599999</c:v>
                </c:pt>
                <c:pt idx="1158">
                  <c:v>2458805.5793900001</c:v>
                </c:pt>
                <c:pt idx="1159">
                  <c:v>2458822.2099600001</c:v>
                </c:pt>
                <c:pt idx="1160">
                  <c:v>2458842.60751</c:v>
                </c:pt>
                <c:pt idx="1161">
                  <c:v>2458853.3632</c:v>
                </c:pt>
                <c:pt idx="1162">
                  <c:v>2458880.9819399999</c:v>
                </c:pt>
              </c:numCache>
            </c:numRef>
          </c:xVal>
          <c:yVal>
            <c:numRef>
              <c:f>Vis!$C$1:$C$6000</c:f>
              <c:numCache>
                <c:formatCode>General</c:formatCode>
                <c:ptCount val="6000"/>
                <c:pt idx="0">
                  <c:v>12.05</c:v>
                </c:pt>
                <c:pt idx="1">
                  <c:v>11.737500000000001</c:v>
                </c:pt>
                <c:pt idx="2">
                  <c:v>11.666667</c:v>
                </c:pt>
                <c:pt idx="3">
                  <c:v>11.675000000000001</c:v>
                </c:pt>
                <c:pt idx="4">
                  <c:v>11.741667</c:v>
                </c:pt>
                <c:pt idx="5">
                  <c:v>11.8</c:v>
                </c:pt>
                <c:pt idx="6">
                  <c:v>11.585713999999999</c:v>
                </c:pt>
                <c:pt idx="7">
                  <c:v>11.55</c:v>
                </c:pt>
                <c:pt idx="8">
                  <c:v>11.6</c:v>
                </c:pt>
                <c:pt idx="9">
                  <c:v>11.6</c:v>
                </c:pt>
                <c:pt idx="10">
                  <c:v>11</c:v>
                </c:pt>
                <c:pt idx="11">
                  <c:v>11.6</c:v>
                </c:pt>
                <c:pt idx="12">
                  <c:v>11.7</c:v>
                </c:pt>
                <c:pt idx="13">
                  <c:v>12.2</c:v>
                </c:pt>
                <c:pt idx="14">
                  <c:v>11.8</c:v>
                </c:pt>
                <c:pt idx="15">
                  <c:v>12</c:v>
                </c:pt>
                <c:pt idx="16">
                  <c:v>12</c:v>
                </c:pt>
                <c:pt idx="17">
                  <c:v>11.9</c:v>
                </c:pt>
                <c:pt idx="18">
                  <c:v>12.4</c:v>
                </c:pt>
                <c:pt idx="19">
                  <c:v>12.2</c:v>
                </c:pt>
                <c:pt idx="20">
                  <c:v>11.8</c:v>
                </c:pt>
                <c:pt idx="21">
                  <c:v>11.8</c:v>
                </c:pt>
                <c:pt idx="22">
                  <c:v>11.9</c:v>
                </c:pt>
                <c:pt idx="23">
                  <c:v>11.8</c:v>
                </c:pt>
                <c:pt idx="24">
                  <c:v>11.6</c:v>
                </c:pt>
                <c:pt idx="25">
                  <c:v>11.6</c:v>
                </c:pt>
                <c:pt idx="26">
                  <c:v>11.9</c:v>
                </c:pt>
                <c:pt idx="27">
                  <c:v>12.3</c:v>
                </c:pt>
                <c:pt idx="28">
                  <c:v>12.4</c:v>
                </c:pt>
                <c:pt idx="29">
                  <c:v>12.2</c:v>
                </c:pt>
                <c:pt idx="30">
                  <c:v>12.05</c:v>
                </c:pt>
                <c:pt idx="31">
                  <c:v>12.6</c:v>
                </c:pt>
                <c:pt idx="32">
                  <c:v>12</c:v>
                </c:pt>
                <c:pt idx="33">
                  <c:v>12.5</c:v>
                </c:pt>
                <c:pt idx="34">
                  <c:v>11.9</c:v>
                </c:pt>
                <c:pt idx="35">
                  <c:v>11.9</c:v>
                </c:pt>
                <c:pt idx="36">
                  <c:v>12.3</c:v>
                </c:pt>
                <c:pt idx="37">
                  <c:v>11.6</c:v>
                </c:pt>
                <c:pt idx="38">
                  <c:v>11.9</c:v>
                </c:pt>
                <c:pt idx="39">
                  <c:v>12.5</c:v>
                </c:pt>
                <c:pt idx="40">
                  <c:v>11.8</c:v>
                </c:pt>
                <c:pt idx="41">
                  <c:v>12.4</c:v>
                </c:pt>
                <c:pt idx="42">
                  <c:v>11.7</c:v>
                </c:pt>
                <c:pt idx="43">
                  <c:v>11.8</c:v>
                </c:pt>
                <c:pt idx="44">
                  <c:v>11.6</c:v>
                </c:pt>
                <c:pt idx="45">
                  <c:v>11.8</c:v>
                </c:pt>
                <c:pt idx="46">
                  <c:v>12.5</c:v>
                </c:pt>
                <c:pt idx="47">
                  <c:v>11.9</c:v>
                </c:pt>
                <c:pt idx="48">
                  <c:v>12</c:v>
                </c:pt>
                <c:pt idx="49">
                  <c:v>13.3</c:v>
                </c:pt>
                <c:pt idx="50">
                  <c:v>12.7</c:v>
                </c:pt>
                <c:pt idx="51">
                  <c:v>12.3</c:v>
                </c:pt>
                <c:pt idx="52">
                  <c:v>12.5</c:v>
                </c:pt>
                <c:pt idx="53">
                  <c:v>12.5</c:v>
                </c:pt>
                <c:pt idx="54">
                  <c:v>12.4</c:v>
                </c:pt>
                <c:pt idx="55">
                  <c:v>12</c:v>
                </c:pt>
                <c:pt idx="56">
                  <c:v>12</c:v>
                </c:pt>
                <c:pt idx="57">
                  <c:v>12.324999999999999</c:v>
                </c:pt>
                <c:pt idx="58">
                  <c:v>11.35</c:v>
                </c:pt>
                <c:pt idx="59">
                  <c:v>11.2</c:v>
                </c:pt>
                <c:pt idx="60">
                  <c:v>11.933332999999999</c:v>
                </c:pt>
                <c:pt idx="61">
                  <c:v>11.92</c:v>
                </c:pt>
                <c:pt idx="62">
                  <c:v>11.866667</c:v>
                </c:pt>
                <c:pt idx="63">
                  <c:v>12</c:v>
                </c:pt>
                <c:pt idx="64">
                  <c:v>11.746154000000001</c:v>
                </c:pt>
                <c:pt idx="65">
                  <c:v>11.925000000000001</c:v>
                </c:pt>
                <c:pt idx="66">
                  <c:v>11.9</c:v>
                </c:pt>
                <c:pt idx="67">
                  <c:v>11.5</c:v>
                </c:pt>
                <c:pt idx="68">
                  <c:v>11.96</c:v>
                </c:pt>
                <c:pt idx="69">
                  <c:v>11.954545</c:v>
                </c:pt>
                <c:pt idx="70">
                  <c:v>12.133333</c:v>
                </c:pt>
                <c:pt idx="71">
                  <c:v>12</c:v>
                </c:pt>
                <c:pt idx="72">
                  <c:v>12.2</c:v>
                </c:pt>
                <c:pt idx="73">
                  <c:v>12.066667000000001</c:v>
                </c:pt>
                <c:pt idx="74">
                  <c:v>12.1</c:v>
                </c:pt>
                <c:pt idx="75">
                  <c:v>11.971429000000001</c:v>
                </c:pt>
                <c:pt idx="76">
                  <c:v>11.987500000000001</c:v>
                </c:pt>
                <c:pt idx="77">
                  <c:v>11.887499999999999</c:v>
                </c:pt>
                <c:pt idx="78">
                  <c:v>11.95</c:v>
                </c:pt>
                <c:pt idx="79">
                  <c:v>11.776923</c:v>
                </c:pt>
                <c:pt idx="80">
                  <c:v>11.728571000000001</c:v>
                </c:pt>
                <c:pt idx="81">
                  <c:v>11.844443999999999</c:v>
                </c:pt>
                <c:pt idx="82">
                  <c:v>11.841666999999999</c:v>
                </c:pt>
                <c:pt idx="83">
                  <c:v>11.862500000000001</c:v>
                </c:pt>
                <c:pt idx="84">
                  <c:v>11.914286000000001</c:v>
                </c:pt>
                <c:pt idx="85">
                  <c:v>11.95</c:v>
                </c:pt>
                <c:pt idx="86">
                  <c:v>11.933332999999999</c:v>
                </c:pt>
                <c:pt idx="87">
                  <c:v>11.966666999999999</c:v>
                </c:pt>
                <c:pt idx="88">
                  <c:v>12</c:v>
                </c:pt>
                <c:pt idx="89">
                  <c:v>12.15</c:v>
                </c:pt>
                <c:pt idx="90">
                  <c:v>12</c:v>
                </c:pt>
                <c:pt idx="91">
                  <c:v>12.033333000000001</c:v>
                </c:pt>
                <c:pt idx="92">
                  <c:v>11.9</c:v>
                </c:pt>
                <c:pt idx="93">
                  <c:v>11.824999999999999</c:v>
                </c:pt>
                <c:pt idx="94">
                  <c:v>11.871428999999999</c:v>
                </c:pt>
                <c:pt idx="95">
                  <c:v>11.728571000000001</c:v>
                </c:pt>
                <c:pt idx="96">
                  <c:v>11.75</c:v>
                </c:pt>
                <c:pt idx="97">
                  <c:v>11.607692</c:v>
                </c:pt>
                <c:pt idx="98">
                  <c:v>11.933332999999999</c:v>
                </c:pt>
                <c:pt idx="99">
                  <c:v>11.8</c:v>
                </c:pt>
                <c:pt idx="100">
                  <c:v>11.75</c:v>
                </c:pt>
                <c:pt idx="101">
                  <c:v>11.7</c:v>
                </c:pt>
                <c:pt idx="102">
                  <c:v>11.8</c:v>
                </c:pt>
                <c:pt idx="103">
                  <c:v>11.783333000000001</c:v>
                </c:pt>
                <c:pt idx="104">
                  <c:v>11.666667</c:v>
                </c:pt>
                <c:pt idx="105">
                  <c:v>11.2</c:v>
                </c:pt>
                <c:pt idx="106">
                  <c:v>11.116667</c:v>
                </c:pt>
                <c:pt idx="107">
                  <c:v>11.1</c:v>
                </c:pt>
                <c:pt idx="108">
                  <c:v>10.15</c:v>
                </c:pt>
                <c:pt idx="109">
                  <c:v>10</c:v>
                </c:pt>
                <c:pt idx="110">
                  <c:v>10.433332999999999</c:v>
                </c:pt>
                <c:pt idx="111">
                  <c:v>10.766667</c:v>
                </c:pt>
                <c:pt idx="112">
                  <c:v>11.05</c:v>
                </c:pt>
                <c:pt idx="113">
                  <c:v>10.96</c:v>
                </c:pt>
                <c:pt idx="114">
                  <c:v>11.13</c:v>
                </c:pt>
                <c:pt idx="115">
                  <c:v>10.975</c:v>
                </c:pt>
                <c:pt idx="116">
                  <c:v>11.166667</c:v>
                </c:pt>
                <c:pt idx="117">
                  <c:v>11.16</c:v>
                </c:pt>
                <c:pt idx="118">
                  <c:v>11.233333</c:v>
                </c:pt>
                <c:pt idx="119">
                  <c:v>11.407692000000001</c:v>
                </c:pt>
                <c:pt idx="120">
                  <c:v>11.5875</c:v>
                </c:pt>
                <c:pt idx="121">
                  <c:v>11.7</c:v>
                </c:pt>
                <c:pt idx="122">
                  <c:v>11.68</c:v>
                </c:pt>
                <c:pt idx="123">
                  <c:v>11.65</c:v>
                </c:pt>
                <c:pt idx="124">
                  <c:v>11.7</c:v>
                </c:pt>
                <c:pt idx="125">
                  <c:v>11.7</c:v>
                </c:pt>
                <c:pt idx="126">
                  <c:v>11.516667</c:v>
                </c:pt>
                <c:pt idx="127">
                  <c:v>11.55</c:v>
                </c:pt>
                <c:pt idx="128">
                  <c:v>11.85</c:v>
                </c:pt>
                <c:pt idx="129">
                  <c:v>11.433332999999999</c:v>
                </c:pt>
                <c:pt idx="130">
                  <c:v>11.574999999999999</c:v>
                </c:pt>
                <c:pt idx="131">
                  <c:v>11.58</c:v>
                </c:pt>
                <c:pt idx="132">
                  <c:v>11.5</c:v>
                </c:pt>
                <c:pt idx="133">
                  <c:v>11.6</c:v>
                </c:pt>
                <c:pt idx="134">
                  <c:v>11.544444</c:v>
                </c:pt>
                <c:pt idx="135">
                  <c:v>11.614286</c:v>
                </c:pt>
                <c:pt idx="136">
                  <c:v>11.555555999999999</c:v>
                </c:pt>
                <c:pt idx="137">
                  <c:v>11.425000000000001</c:v>
                </c:pt>
                <c:pt idx="138">
                  <c:v>11.328571</c:v>
                </c:pt>
                <c:pt idx="139">
                  <c:v>11.15</c:v>
                </c:pt>
                <c:pt idx="140">
                  <c:v>11.066667000000001</c:v>
                </c:pt>
                <c:pt idx="141">
                  <c:v>11.1</c:v>
                </c:pt>
                <c:pt idx="142">
                  <c:v>10.95</c:v>
                </c:pt>
                <c:pt idx="143">
                  <c:v>11.12</c:v>
                </c:pt>
                <c:pt idx="144">
                  <c:v>11.1</c:v>
                </c:pt>
                <c:pt idx="145">
                  <c:v>11.3</c:v>
                </c:pt>
                <c:pt idx="146">
                  <c:v>11.225</c:v>
                </c:pt>
                <c:pt idx="147">
                  <c:v>11.357143000000001</c:v>
                </c:pt>
                <c:pt idx="148">
                  <c:v>11.3375</c:v>
                </c:pt>
                <c:pt idx="149">
                  <c:v>11.566667000000001</c:v>
                </c:pt>
                <c:pt idx="150">
                  <c:v>11.58</c:v>
                </c:pt>
                <c:pt idx="151">
                  <c:v>11.62</c:v>
                </c:pt>
                <c:pt idx="152">
                  <c:v>11.566667000000001</c:v>
                </c:pt>
                <c:pt idx="153">
                  <c:v>11.7</c:v>
                </c:pt>
                <c:pt idx="154">
                  <c:v>11.7</c:v>
                </c:pt>
                <c:pt idx="155">
                  <c:v>11.86</c:v>
                </c:pt>
                <c:pt idx="156">
                  <c:v>11.666667</c:v>
                </c:pt>
                <c:pt idx="157">
                  <c:v>11.833333</c:v>
                </c:pt>
                <c:pt idx="158">
                  <c:v>11.6</c:v>
                </c:pt>
                <c:pt idx="159">
                  <c:v>11.6</c:v>
                </c:pt>
                <c:pt idx="160">
                  <c:v>11.5</c:v>
                </c:pt>
                <c:pt idx="161">
                  <c:v>11.516667</c:v>
                </c:pt>
                <c:pt idx="162">
                  <c:v>11.633333</c:v>
                </c:pt>
                <c:pt idx="163">
                  <c:v>11.824999999999999</c:v>
                </c:pt>
                <c:pt idx="164">
                  <c:v>11.64</c:v>
                </c:pt>
                <c:pt idx="165">
                  <c:v>11.555555999999999</c:v>
                </c:pt>
                <c:pt idx="166">
                  <c:v>11.668749999999999</c:v>
                </c:pt>
                <c:pt idx="167">
                  <c:v>11.614286</c:v>
                </c:pt>
                <c:pt idx="168">
                  <c:v>11.607143000000001</c:v>
                </c:pt>
                <c:pt idx="169">
                  <c:v>11.36</c:v>
                </c:pt>
                <c:pt idx="170">
                  <c:v>11.47</c:v>
                </c:pt>
                <c:pt idx="171">
                  <c:v>11.27</c:v>
                </c:pt>
                <c:pt idx="172">
                  <c:v>11.223077</c:v>
                </c:pt>
                <c:pt idx="173">
                  <c:v>11.027272999999999</c:v>
                </c:pt>
                <c:pt idx="174">
                  <c:v>10.983333</c:v>
                </c:pt>
                <c:pt idx="175">
                  <c:v>10.988889</c:v>
                </c:pt>
                <c:pt idx="176">
                  <c:v>10.95</c:v>
                </c:pt>
                <c:pt idx="177">
                  <c:v>10.533333000000001</c:v>
                </c:pt>
                <c:pt idx="178">
                  <c:v>10.666667</c:v>
                </c:pt>
                <c:pt idx="179">
                  <c:v>10.86</c:v>
                </c:pt>
                <c:pt idx="180">
                  <c:v>10.6</c:v>
                </c:pt>
                <c:pt idx="181">
                  <c:v>11.0375</c:v>
                </c:pt>
                <c:pt idx="182">
                  <c:v>10.88</c:v>
                </c:pt>
                <c:pt idx="183">
                  <c:v>11.02</c:v>
                </c:pt>
                <c:pt idx="184">
                  <c:v>11.12</c:v>
                </c:pt>
                <c:pt idx="185">
                  <c:v>11.154545000000001</c:v>
                </c:pt>
                <c:pt idx="186">
                  <c:v>11.32</c:v>
                </c:pt>
                <c:pt idx="187">
                  <c:v>11.375</c:v>
                </c:pt>
                <c:pt idx="188">
                  <c:v>11.45</c:v>
                </c:pt>
                <c:pt idx="189">
                  <c:v>11.336364</c:v>
                </c:pt>
                <c:pt idx="190">
                  <c:v>11.2</c:v>
                </c:pt>
                <c:pt idx="191">
                  <c:v>11.3</c:v>
                </c:pt>
                <c:pt idx="192">
                  <c:v>11.214286</c:v>
                </c:pt>
                <c:pt idx="193">
                  <c:v>11.183332999999999</c:v>
                </c:pt>
                <c:pt idx="194">
                  <c:v>11.1</c:v>
                </c:pt>
                <c:pt idx="195">
                  <c:v>11.4</c:v>
                </c:pt>
                <c:pt idx="196">
                  <c:v>10.5</c:v>
                </c:pt>
                <c:pt idx="197">
                  <c:v>10.7</c:v>
                </c:pt>
                <c:pt idx="198">
                  <c:v>10.9</c:v>
                </c:pt>
                <c:pt idx="199">
                  <c:v>10.833333</c:v>
                </c:pt>
                <c:pt idx="200">
                  <c:v>10.5</c:v>
                </c:pt>
                <c:pt idx="201">
                  <c:v>11.088889</c:v>
                </c:pt>
                <c:pt idx="202">
                  <c:v>11.071429</c:v>
                </c:pt>
                <c:pt idx="203">
                  <c:v>11.271428999999999</c:v>
                </c:pt>
                <c:pt idx="204">
                  <c:v>11.341666999999999</c:v>
                </c:pt>
                <c:pt idx="205">
                  <c:v>11.53</c:v>
                </c:pt>
                <c:pt idx="206">
                  <c:v>11.64</c:v>
                </c:pt>
                <c:pt idx="207">
                  <c:v>11.6</c:v>
                </c:pt>
                <c:pt idx="208">
                  <c:v>11.733333</c:v>
                </c:pt>
                <c:pt idx="209">
                  <c:v>11.688889</c:v>
                </c:pt>
                <c:pt idx="210">
                  <c:v>11.75</c:v>
                </c:pt>
                <c:pt idx="211">
                  <c:v>11.62</c:v>
                </c:pt>
                <c:pt idx="212">
                  <c:v>11.72</c:v>
                </c:pt>
                <c:pt idx="213">
                  <c:v>11.9</c:v>
                </c:pt>
                <c:pt idx="214">
                  <c:v>11.975</c:v>
                </c:pt>
                <c:pt idx="215">
                  <c:v>12.05</c:v>
                </c:pt>
                <c:pt idx="216">
                  <c:v>11.987500000000001</c:v>
                </c:pt>
                <c:pt idx="217">
                  <c:v>12.185714000000001</c:v>
                </c:pt>
                <c:pt idx="218">
                  <c:v>12.107692</c:v>
                </c:pt>
                <c:pt idx="219">
                  <c:v>12.14</c:v>
                </c:pt>
                <c:pt idx="220">
                  <c:v>12.08</c:v>
                </c:pt>
                <c:pt idx="221">
                  <c:v>12.31</c:v>
                </c:pt>
                <c:pt idx="222">
                  <c:v>12.46</c:v>
                </c:pt>
                <c:pt idx="223">
                  <c:v>12.314285999999999</c:v>
                </c:pt>
                <c:pt idx="224">
                  <c:v>12.38</c:v>
                </c:pt>
                <c:pt idx="225">
                  <c:v>12.322222</c:v>
                </c:pt>
                <c:pt idx="226">
                  <c:v>12.35</c:v>
                </c:pt>
                <c:pt idx="227">
                  <c:v>12.366667</c:v>
                </c:pt>
                <c:pt idx="228">
                  <c:v>12.4</c:v>
                </c:pt>
                <c:pt idx="229">
                  <c:v>11.975</c:v>
                </c:pt>
                <c:pt idx="230">
                  <c:v>12.066667000000001</c:v>
                </c:pt>
                <c:pt idx="231">
                  <c:v>11.86</c:v>
                </c:pt>
                <c:pt idx="232">
                  <c:v>11.99</c:v>
                </c:pt>
                <c:pt idx="233">
                  <c:v>11.857143000000001</c:v>
                </c:pt>
                <c:pt idx="234">
                  <c:v>11.8</c:v>
                </c:pt>
                <c:pt idx="235">
                  <c:v>11.685714000000001</c:v>
                </c:pt>
                <c:pt idx="236">
                  <c:v>11.922222</c:v>
                </c:pt>
                <c:pt idx="237">
                  <c:v>11.807691999999999</c:v>
                </c:pt>
                <c:pt idx="238">
                  <c:v>11.666667</c:v>
                </c:pt>
                <c:pt idx="239">
                  <c:v>11.85</c:v>
                </c:pt>
                <c:pt idx="240">
                  <c:v>11.827273</c:v>
                </c:pt>
                <c:pt idx="241">
                  <c:v>11.8375</c:v>
                </c:pt>
                <c:pt idx="242">
                  <c:v>11.8125</c:v>
                </c:pt>
                <c:pt idx="243">
                  <c:v>11.883333</c:v>
                </c:pt>
                <c:pt idx="244">
                  <c:v>12.066667000000001</c:v>
                </c:pt>
                <c:pt idx="245">
                  <c:v>12.05</c:v>
                </c:pt>
                <c:pt idx="246">
                  <c:v>12.4</c:v>
                </c:pt>
                <c:pt idx="247">
                  <c:v>11.8</c:v>
                </c:pt>
                <c:pt idx="248">
                  <c:v>12.1</c:v>
                </c:pt>
                <c:pt idx="249">
                  <c:v>12.15</c:v>
                </c:pt>
                <c:pt idx="250">
                  <c:v>12.25</c:v>
                </c:pt>
                <c:pt idx="251">
                  <c:v>12.24</c:v>
                </c:pt>
                <c:pt idx="252">
                  <c:v>12.285714</c:v>
                </c:pt>
                <c:pt idx="253">
                  <c:v>12.233333</c:v>
                </c:pt>
                <c:pt idx="254">
                  <c:v>12.27</c:v>
                </c:pt>
                <c:pt idx="255">
                  <c:v>12.136364</c:v>
                </c:pt>
                <c:pt idx="256">
                  <c:v>12.3375</c:v>
                </c:pt>
                <c:pt idx="257">
                  <c:v>12.4375</c:v>
                </c:pt>
                <c:pt idx="258">
                  <c:v>12.314285999999999</c:v>
                </c:pt>
                <c:pt idx="259">
                  <c:v>12.383333</c:v>
                </c:pt>
                <c:pt idx="260">
                  <c:v>12.44</c:v>
                </c:pt>
                <c:pt idx="261">
                  <c:v>12.42</c:v>
                </c:pt>
                <c:pt idx="262">
                  <c:v>12.45</c:v>
                </c:pt>
                <c:pt idx="263">
                  <c:v>12.3</c:v>
                </c:pt>
                <c:pt idx="264">
                  <c:v>12.4</c:v>
                </c:pt>
                <c:pt idx="265">
                  <c:v>12.1</c:v>
                </c:pt>
                <c:pt idx="266">
                  <c:v>12.15</c:v>
                </c:pt>
                <c:pt idx="267">
                  <c:v>12.175000000000001</c:v>
                </c:pt>
                <c:pt idx="268">
                  <c:v>12.125</c:v>
                </c:pt>
                <c:pt idx="269">
                  <c:v>12.042857</c:v>
                </c:pt>
                <c:pt idx="270">
                  <c:v>11.95</c:v>
                </c:pt>
                <c:pt idx="271">
                  <c:v>12.1</c:v>
                </c:pt>
                <c:pt idx="272">
                  <c:v>11.9</c:v>
                </c:pt>
                <c:pt idx="273">
                  <c:v>12</c:v>
                </c:pt>
                <c:pt idx="274">
                  <c:v>11.99</c:v>
                </c:pt>
                <c:pt idx="275">
                  <c:v>11.925000000000001</c:v>
                </c:pt>
                <c:pt idx="276">
                  <c:v>11.95</c:v>
                </c:pt>
                <c:pt idx="277">
                  <c:v>11.95</c:v>
                </c:pt>
                <c:pt idx="278">
                  <c:v>11.9</c:v>
                </c:pt>
                <c:pt idx="279">
                  <c:v>12.066667000000001</c:v>
                </c:pt>
                <c:pt idx="280">
                  <c:v>12.2</c:v>
                </c:pt>
                <c:pt idx="281">
                  <c:v>11.985714</c:v>
                </c:pt>
                <c:pt idx="282">
                  <c:v>12.6</c:v>
                </c:pt>
                <c:pt idx="283">
                  <c:v>12.083333</c:v>
                </c:pt>
                <c:pt idx="284">
                  <c:v>11.683332999999999</c:v>
                </c:pt>
                <c:pt idx="285">
                  <c:v>12.118181999999999</c:v>
                </c:pt>
                <c:pt idx="286">
                  <c:v>11.977778000000001</c:v>
                </c:pt>
                <c:pt idx="287">
                  <c:v>11.966666999999999</c:v>
                </c:pt>
                <c:pt idx="288">
                  <c:v>12.244444</c:v>
                </c:pt>
                <c:pt idx="289">
                  <c:v>12.07</c:v>
                </c:pt>
                <c:pt idx="290">
                  <c:v>12.163636</c:v>
                </c:pt>
                <c:pt idx="291">
                  <c:v>12.22</c:v>
                </c:pt>
                <c:pt idx="292">
                  <c:v>12.35</c:v>
                </c:pt>
                <c:pt idx="293">
                  <c:v>12.35</c:v>
                </c:pt>
                <c:pt idx="294">
                  <c:v>12.4</c:v>
                </c:pt>
                <c:pt idx="295">
                  <c:v>12.6</c:v>
                </c:pt>
                <c:pt idx="296">
                  <c:v>12.366667</c:v>
                </c:pt>
                <c:pt idx="297">
                  <c:v>11.824999999999999</c:v>
                </c:pt>
                <c:pt idx="298">
                  <c:v>11.955556</c:v>
                </c:pt>
                <c:pt idx="299">
                  <c:v>11.82</c:v>
                </c:pt>
                <c:pt idx="300">
                  <c:v>11.75</c:v>
                </c:pt>
                <c:pt idx="301">
                  <c:v>11.775</c:v>
                </c:pt>
                <c:pt idx="302">
                  <c:v>11.77</c:v>
                </c:pt>
                <c:pt idx="303">
                  <c:v>11.833333</c:v>
                </c:pt>
                <c:pt idx="304">
                  <c:v>11.909091</c:v>
                </c:pt>
                <c:pt idx="305">
                  <c:v>11.878571000000001</c:v>
                </c:pt>
                <c:pt idx="306">
                  <c:v>11.971429000000001</c:v>
                </c:pt>
                <c:pt idx="307">
                  <c:v>11.842857</c:v>
                </c:pt>
                <c:pt idx="308">
                  <c:v>11.94</c:v>
                </c:pt>
                <c:pt idx="309">
                  <c:v>11.894444</c:v>
                </c:pt>
                <c:pt idx="310">
                  <c:v>11.8375</c:v>
                </c:pt>
                <c:pt idx="311">
                  <c:v>12</c:v>
                </c:pt>
                <c:pt idx="312">
                  <c:v>11.7</c:v>
                </c:pt>
                <c:pt idx="313">
                  <c:v>12.05</c:v>
                </c:pt>
                <c:pt idx="314">
                  <c:v>11.76</c:v>
                </c:pt>
                <c:pt idx="315">
                  <c:v>11.666667</c:v>
                </c:pt>
                <c:pt idx="316">
                  <c:v>11.770588</c:v>
                </c:pt>
                <c:pt idx="317">
                  <c:v>11.705556</c:v>
                </c:pt>
                <c:pt idx="318">
                  <c:v>11.793103</c:v>
                </c:pt>
                <c:pt idx="319">
                  <c:v>11.804167</c:v>
                </c:pt>
                <c:pt idx="320">
                  <c:v>11.848276</c:v>
                </c:pt>
                <c:pt idx="321">
                  <c:v>11.926667</c:v>
                </c:pt>
                <c:pt idx="322">
                  <c:v>11.818182</c:v>
                </c:pt>
                <c:pt idx="323">
                  <c:v>11.888235</c:v>
                </c:pt>
                <c:pt idx="324">
                  <c:v>11.9</c:v>
                </c:pt>
                <c:pt idx="325">
                  <c:v>11.96</c:v>
                </c:pt>
                <c:pt idx="326">
                  <c:v>12.012499999999999</c:v>
                </c:pt>
                <c:pt idx="327">
                  <c:v>12.1</c:v>
                </c:pt>
                <c:pt idx="328">
                  <c:v>12.35</c:v>
                </c:pt>
                <c:pt idx="329">
                  <c:v>11.6</c:v>
                </c:pt>
                <c:pt idx="330">
                  <c:v>11.8</c:v>
                </c:pt>
                <c:pt idx="331">
                  <c:v>11.5</c:v>
                </c:pt>
                <c:pt idx="332">
                  <c:v>11.714286</c:v>
                </c:pt>
                <c:pt idx="333">
                  <c:v>11.621428999999999</c:v>
                </c:pt>
                <c:pt idx="334">
                  <c:v>11.694118</c:v>
                </c:pt>
                <c:pt idx="335">
                  <c:v>11.658333000000001</c:v>
                </c:pt>
                <c:pt idx="336">
                  <c:v>11.574999999999999</c:v>
                </c:pt>
                <c:pt idx="337">
                  <c:v>11.806666999999999</c:v>
                </c:pt>
                <c:pt idx="338">
                  <c:v>11.7</c:v>
                </c:pt>
                <c:pt idx="339">
                  <c:v>11.69</c:v>
                </c:pt>
                <c:pt idx="340">
                  <c:v>11.8</c:v>
                </c:pt>
                <c:pt idx="341">
                  <c:v>11.688889</c:v>
                </c:pt>
                <c:pt idx="342">
                  <c:v>11.75</c:v>
                </c:pt>
                <c:pt idx="343">
                  <c:v>11.7</c:v>
                </c:pt>
                <c:pt idx="344">
                  <c:v>12.2</c:v>
                </c:pt>
                <c:pt idx="345">
                  <c:v>12.35</c:v>
                </c:pt>
                <c:pt idx="346">
                  <c:v>12.05</c:v>
                </c:pt>
                <c:pt idx="347">
                  <c:v>11.82</c:v>
                </c:pt>
                <c:pt idx="348">
                  <c:v>11.807143</c:v>
                </c:pt>
                <c:pt idx="349">
                  <c:v>11.769231</c:v>
                </c:pt>
                <c:pt idx="350">
                  <c:v>12.117391</c:v>
                </c:pt>
                <c:pt idx="351">
                  <c:v>11.972727000000001</c:v>
                </c:pt>
                <c:pt idx="352">
                  <c:v>12.22</c:v>
                </c:pt>
                <c:pt idx="353">
                  <c:v>12.258333</c:v>
                </c:pt>
                <c:pt idx="354">
                  <c:v>12.278570999999999</c:v>
                </c:pt>
                <c:pt idx="355">
                  <c:v>12.37</c:v>
                </c:pt>
                <c:pt idx="356">
                  <c:v>12.354545</c:v>
                </c:pt>
                <c:pt idx="357">
                  <c:v>12.46</c:v>
                </c:pt>
                <c:pt idx="358">
                  <c:v>12.366667</c:v>
                </c:pt>
                <c:pt idx="359">
                  <c:v>12.5</c:v>
                </c:pt>
                <c:pt idx="360">
                  <c:v>12.4</c:v>
                </c:pt>
                <c:pt idx="361">
                  <c:v>11.9</c:v>
                </c:pt>
                <c:pt idx="362">
                  <c:v>12.14</c:v>
                </c:pt>
                <c:pt idx="363">
                  <c:v>12.223077</c:v>
                </c:pt>
                <c:pt idx="364">
                  <c:v>11.9</c:v>
                </c:pt>
                <c:pt idx="365">
                  <c:v>11.856757</c:v>
                </c:pt>
                <c:pt idx="366">
                  <c:v>11.815384999999999</c:v>
                </c:pt>
                <c:pt idx="367">
                  <c:v>11.746874999999999</c:v>
                </c:pt>
                <c:pt idx="368">
                  <c:v>11.437931000000001</c:v>
                </c:pt>
                <c:pt idx="369">
                  <c:v>11.6</c:v>
                </c:pt>
                <c:pt idx="370">
                  <c:v>11.513953000000001</c:v>
                </c:pt>
                <c:pt idx="371">
                  <c:v>11.565</c:v>
                </c:pt>
                <c:pt idx="372">
                  <c:v>11.675000000000001</c:v>
                </c:pt>
                <c:pt idx="373">
                  <c:v>11.822222</c:v>
                </c:pt>
                <c:pt idx="374">
                  <c:v>11.807691999999999</c:v>
                </c:pt>
                <c:pt idx="375">
                  <c:v>11.88</c:v>
                </c:pt>
                <c:pt idx="376">
                  <c:v>11.7</c:v>
                </c:pt>
                <c:pt idx="377">
                  <c:v>12.2</c:v>
                </c:pt>
                <c:pt idx="378">
                  <c:v>11.533333000000001</c:v>
                </c:pt>
                <c:pt idx="379">
                  <c:v>11.9</c:v>
                </c:pt>
                <c:pt idx="380">
                  <c:v>12.028570999999999</c:v>
                </c:pt>
                <c:pt idx="381">
                  <c:v>12.05</c:v>
                </c:pt>
                <c:pt idx="382">
                  <c:v>11.938461999999999</c:v>
                </c:pt>
                <c:pt idx="383">
                  <c:v>12.057143</c:v>
                </c:pt>
                <c:pt idx="384">
                  <c:v>12.022221999999999</c:v>
                </c:pt>
                <c:pt idx="385">
                  <c:v>12.084614999999999</c:v>
                </c:pt>
                <c:pt idx="386">
                  <c:v>12.237931</c:v>
                </c:pt>
                <c:pt idx="387">
                  <c:v>12.148649000000001</c:v>
                </c:pt>
                <c:pt idx="388">
                  <c:v>12.047368000000001</c:v>
                </c:pt>
                <c:pt idx="389">
                  <c:v>12.179309999999999</c:v>
                </c:pt>
                <c:pt idx="390">
                  <c:v>12.279310000000001</c:v>
                </c:pt>
                <c:pt idx="391">
                  <c:v>12.261905</c:v>
                </c:pt>
                <c:pt idx="392">
                  <c:v>12.256522</c:v>
                </c:pt>
                <c:pt idx="393">
                  <c:v>12.341666999999999</c:v>
                </c:pt>
                <c:pt idx="394">
                  <c:v>12.411111</c:v>
                </c:pt>
                <c:pt idx="395">
                  <c:v>12.15</c:v>
                </c:pt>
                <c:pt idx="396">
                  <c:v>12.475</c:v>
                </c:pt>
                <c:pt idx="397">
                  <c:v>12.45</c:v>
                </c:pt>
                <c:pt idx="398">
                  <c:v>12.324999999999999</c:v>
                </c:pt>
                <c:pt idx="399">
                  <c:v>12.157143</c:v>
                </c:pt>
                <c:pt idx="400">
                  <c:v>12.263636</c:v>
                </c:pt>
                <c:pt idx="401">
                  <c:v>12.175000000000001</c:v>
                </c:pt>
                <c:pt idx="402">
                  <c:v>12.233333</c:v>
                </c:pt>
                <c:pt idx="403">
                  <c:v>11.984211</c:v>
                </c:pt>
                <c:pt idx="404">
                  <c:v>12.073077</c:v>
                </c:pt>
                <c:pt idx="405">
                  <c:v>12.008108</c:v>
                </c:pt>
                <c:pt idx="406">
                  <c:v>12.05625</c:v>
                </c:pt>
                <c:pt idx="407">
                  <c:v>12.025641</c:v>
                </c:pt>
                <c:pt idx="408">
                  <c:v>12.030435000000001</c:v>
                </c:pt>
                <c:pt idx="409">
                  <c:v>12.043333000000001</c:v>
                </c:pt>
                <c:pt idx="410">
                  <c:v>12.019444</c:v>
                </c:pt>
                <c:pt idx="411">
                  <c:v>11.99375</c:v>
                </c:pt>
                <c:pt idx="412">
                  <c:v>11.877357999999999</c:v>
                </c:pt>
                <c:pt idx="413">
                  <c:v>11.841176000000001</c:v>
                </c:pt>
                <c:pt idx="414">
                  <c:v>11.804762</c:v>
                </c:pt>
                <c:pt idx="415">
                  <c:v>11.8</c:v>
                </c:pt>
                <c:pt idx="416">
                  <c:v>11.85</c:v>
                </c:pt>
                <c:pt idx="417">
                  <c:v>11.9</c:v>
                </c:pt>
                <c:pt idx="418">
                  <c:v>11.7</c:v>
                </c:pt>
                <c:pt idx="419">
                  <c:v>11.64</c:v>
                </c:pt>
                <c:pt idx="420">
                  <c:v>11.8</c:v>
                </c:pt>
                <c:pt idx="421">
                  <c:v>11.418182</c:v>
                </c:pt>
                <c:pt idx="422">
                  <c:v>11.533333000000001</c:v>
                </c:pt>
                <c:pt idx="423">
                  <c:v>11.56875</c:v>
                </c:pt>
                <c:pt idx="424">
                  <c:v>11.696875</c:v>
                </c:pt>
                <c:pt idx="425">
                  <c:v>11.775</c:v>
                </c:pt>
                <c:pt idx="426">
                  <c:v>11.817143</c:v>
                </c:pt>
                <c:pt idx="427">
                  <c:v>11.865854000000001</c:v>
                </c:pt>
                <c:pt idx="428">
                  <c:v>11.895745</c:v>
                </c:pt>
                <c:pt idx="429">
                  <c:v>11.804167</c:v>
                </c:pt>
                <c:pt idx="430">
                  <c:v>11.802856999999999</c:v>
                </c:pt>
                <c:pt idx="431">
                  <c:v>11.853846000000001</c:v>
                </c:pt>
                <c:pt idx="432">
                  <c:v>12.002777999999999</c:v>
                </c:pt>
                <c:pt idx="433">
                  <c:v>12</c:v>
                </c:pt>
                <c:pt idx="434">
                  <c:v>12.135</c:v>
                </c:pt>
                <c:pt idx="435">
                  <c:v>11.987500000000001</c:v>
                </c:pt>
                <c:pt idx="436">
                  <c:v>11.85</c:v>
                </c:pt>
                <c:pt idx="437">
                  <c:v>11.6</c:v>
                </c:pt>
                <c:pt idx="438">
                  <c:v>12.4</c:v>
                </c:pt>
                <c:pt idx="439">
                  <c:v>11.675000000000001</c:v>
                </c:pt>
                <c:pt idx="440">
                  <c:v>11.95</c:v>
                </c:pt>
                <c:pt idx="441">
                  <c:v>11.733333</c:v>
                </c:pt>
                <c:pt idx="442">
                  <c:v>11.336364</c:v>
                </c:pt>
                <c:pt idx="443">
                  <c:v>11.4</c:v>
                </c:pt>
                <c:pt idx="444">
                  <c:v>11.45</c:v>
                </c:pt>
                <c:pt idx="445">
                  <c:v>11.407143</c:v>
                </c:pt>
                <c:pt idx="446">
                  <c:v>11.295833</c:v>
                </c:pt>
                <c:pt idx="447">
                  <c:v>11.308695999999999</c:v>
                </c:pt>
                <c:pt idx="448">
                  <c:v>11.119230999999999</c:v>
                </c:pt>
                <c:pt idx="449">
                  <c:v>11.115556</c:v>
                </c:pt>
                <c:pt idx="450">
                  <c:v>11.115909</c:v>
                </c:pt>
                <c:pt idx="451">
                  <c:v>11.010417</c:v>
                </c:pt>
                <c:pt idx="452">
                  <c:v>10.987500000000001</c:v>
                </c:pt>
                <c:pt idx="453">
                  <c:v>11.072414</c:v>
                </c:pt>
                <c:pt idx="454">
                  <c:v>10.866667</c:v>
                </c:pt>
                <c:pt idx="455">
                  <c:v>11.124000000000001</c:v>
                </c:pt>
                <c:pt idx="456">
                  <c:v>11.215788999999999</c:v>
                </c:pt>
                <c:pt idx="457">
                  <c:v>11.15</c:v>
                </c:pt>
                <c:pt idx="458">
                  <c:v>11.333333</c:v>
                </c:pt>
                <c:pt idx="459">
                  <c:v>11.45</c:v>
                </c:pt>
                <c:pt idx="460">
                  <c:v>11.45</c:v>
                </c:pt>
                <c:pt idx="461">
                  <c:v>11.414286000000001</c:v>
                </c:pt>
                <c:pt idx="462">
                  <c:v>11.354545</c:v>
                </c:pt>
                <c:pt idx="463">
                  <c:v>11.383333</c:v>
                </c:pt>
                <c:pt idx="464">
                  <c:v>11.415789</c:v>
                </c:pt>
                <c:pt idx="465">
                  <c:v>11.458</c:v>
                </c:pt>
                <c:pt idx="466">
                  <c:v>11.509444</c:v>
                </c:pt>
                <c:pt idx="467">
                  <c:v>11.54</c:v>
                </c:pt>
                <c:pt idx="468">
                  <c:v>11.6625</c:v>
                </c:pt>
                <c:pt idx="469">
                  <c:v>11.5906</c:v>
                </c:pt>
                <c:pt idx="470">
                  <c:v>11.516852</c:v>
                </c:pt>
                <c:pt idx="471">
                  <c:v>11.370926000000001</c:v>
                </c:pt>
                <c:pt idx="472">
                  <c:v>11.375769</c:v>
                </c:pt>
                <c:pt idx="473">
                  <c:v>11.512544999999999</c:v>
                </c:pt>
                <c:pt idx="474">
                  <c:v>11.492093000000001</c:v>
                </c:pt>
                <c:pt idx="475">
                  <c:v>11.514250000000001</c:v>
                </c:pt>
                <c:pt idx="476">
                  <c:v>11.602683000000001</c:v>
                </c:pt>
                <c:pt idx="477">
                  <c:v>11.653714000000001</c:v>
                </c:pt>
                <c:pt idx="478">
                  <c:v>11.871923000000001</c:v>
                </c:pt>
                <c:pt idx="479">
                  <c:v>11.921923</c:v>
                </c:pt>
                <c:pt idx="480">
                  <c:v>11.957143</c:v>
                </c:pt>
                <c:pt idx="481">
                  <c:v>12.1</c:v>
                </c:pt>
                <c:pt idx="482">
                  <c:v>12</c:v>
                </c:pt>
                <c:pt idx="483">
                  <c:v>11.9</c:v>
                </c:pt>
                <c:pt idx="484">
                  <c:v>11.333333</c:v>
                </c:pt>
                <c:pt idx="485">
                  <c:v>11.072727</c:v>
                </c:pt>
                <c:pt idx="486">
                  <c:v>10.889474</c:v>
                </c:pt>
                <c:pt idx="487">
                  <c:v>10.584</c:v>
                </c:pt>
                <c:pt idx="488">
                  <c:v>10.577778</c:v>
                </c:pt>
                <c:pt idx="489">
                  <c:v>10.554285999999999</c:v>
                </c:pt>
                <c:pt idx="490">
                  <c:v>10.47931</c:v>
                </c:pt>
                <c:pt idx="491">
                  <c:v>10.432499999999999</c:v>
                </c:pt>
                <c:pt idx="492">
                  <c:v>10.368518999999999</c:v>
                </c:pt>
                <c:pt idx="493">
                  <c:v>10.397436000000001</c:v>
                </c:pt>
                <c:pt idx="494">
                  <c:v>10.338635999999999</c:v>
                </c:pt>
                <c:pt idx="495">
                  <c:v>10.276923</c:v>
                </c:pt>
                <c:pt idx="496">
                  <c:v>10.243137000000001</c:v>
                </c:pt>
                <c:pt idx="497">
                  <c:v>10.158333000000001</c:v>
                </c:pt>
                <c:pt idx="498">
                  <c:v>10.169110999999999</c:v>
                </c:pt>
                <c:pt idx="499">
                  <c:v>10.171429</c:v>
                </c:pt>
                <c:pt idx="500">
                  <c:v>10.119999999999999</c:v>
                </c:pt>
                <c:pt idx="501">
                  <c:v>10.06</c:v>
                </c:pt>
                <c:pt idx="502">
                  <c:v>10.16</c:v>
                </c:pt>
                <c:pt idx="503">
                  <c:v>10.014286</c:v>
                </c:pt>
                <c:pt idx="504">
                  <c:v>9.9499999999999993</c:v>
                </c:pt>
                <c:pt idx="505">
                  <c:v>10.057143</c:v>
                </c:pt>
                <c:pt idx="506">
                  <c:v>9.9250000000000007</c:v>
                </c:pt>
                <c:pt idx="507">
                  <c:v>10.023529</c:v>
                </c:pt>
                <c:pt idx="508">
                  <c:v>10.057143</c:v>
                </c:pt>
                <c:pt idx="509">
                  <c:v>10.185</c:v>
                </c:pt>
                <c:pt idx="510">
                  <c:v>10.199999999999999</c:v>
                </c:pt>
                <c:pt idx="511">
                  <c:v>10.15</c:v>
                </c:pt>
                <c:pt idx="512">
                  <c:v>10.172000000000001</c:v>
                </c:pt>
                <c:pt idx="513">
                  <c:v>10.218420999999999</c:v>
                </c:pt>
                <c:pt idx="514">
                  <c:v>10.286047</c:v>
                </c:pt>
                <c:pt idx="515">
                  <c:v>10.262045000000001</c:v>
                </c:pt>
                <c:pt idx="516">
                  <c:v>10.242292000000001</c:v>
                </c:pt>
                <c:pt idx="517">
                  <c:v>10.258824000000001</c:v>
                </c:pt>
                <c:pt idx="518">
                  <c:v>10.275</c:v>
                </c:pt>
                <c:pt idx="519">
                  <c:v>10.2576</c:v>
                </c:pt>
                <c:pt idx="520">
                  <c:v>10.231999999999999</c:v>
                </c:pt>
                <c:pt idx="521">
                  <c:v>10.255599999999999</c:v>
                </c:pt>
                <c:pt idx="522">
                  <c:v>10.307143</c:v>
                </c:pt>
                <c:pt idx="523">
                  <c:v>10.271428999999999</c:v>
                </c:pt>
                <c:pt idx="524">
                  <c:v>10.5625</c:v>
                </c:pt>
                <c:pt idx="525">
                  <c:v>10.76</c:v>
                </c:pt>
                <c:pt idx="526">
                  <c:v>10.625</c:v>
                </c:pt>
                <c:pt idx="527">
                  <c:v>10.4</c:v>
                </c:pt>
                <c:pt idx="528">
                  <c:v>10.476471</c:v>
                </c:pt>
                <c:pt idx="529">
                  <c:v>11.266667</c:v>
                </c:pt>
                <c:pt idx="530">
                  <c:v>11.531579000000001</c:v>
                </c:pt>
                <c:pt idx="531">
                  <c:v>11.633333</c:v>
                </c:pt>
                <c:pt idx="532">
                  <c:v>11.785714</c:v>
                </c:pt>
                <c:pt idx="533">
                  <c:v>11.751666999999999</c:v>
                </c:pt>
                <c:pt idx="534">
                  <c:v>11.734883999999999</c:v>
                </c:pt>
                <c:pt idx="535">
                  <c:v>11.729167</c:v>
                </c:pt>
                <c:pt idx="536">
                  <c:v>11.669193999999999</c:v>
                </c:pt>
                <c:pt idx="537">
                  <c:v>11.641802999999999</c:v>
                </c:pt>
                <c:pt idx="538">
                  <c:v>11.023913</c:v>
                </c:pt>
                <c:pt idx="539">
                  <c:v>10.911296</c:v>
                </c:pt>
                <c:pt idx="540">
                  <c:v>10.983276</c:v>
                </c:pt>
                <c:pt idx="541">
                  <c:v>11.091136000000001</c:v>
                </c:pt>
                <c:pt idx="542">
                  <c:v>10.916176</c:v>
                </c:pt>
                <c:pt idx="543">
                  <c:v>10.842646999999999</c:v>
                </c:pt>
                <c:pt idx="544">
                  <c:v>10.797586000000001</c:v>
                </c:pt>
                <c:pt idx="545">
                  <c:v>10.827999999999999</c:v>
                </c:pt>
                <c:pt idx="546">
                  <c:v>10.987500000000001</c:v>
                </c:pt>
                <c:pt idx="547">
                  <c:v>11.033333000000001</c:v>
                </c:pt>
                <c:pt idx="548">
                  <c:v>11.142856999999999</c:v>
                </c:pt>
                <c:pt idx="549">
                  <c:v>11</c:v>
                </c:pt>
                <c:pt idx="550">
                  <c:v>11.1525</c:v>
                </c:pt>
                <c:pt idx="551">
                  <c:v>11.18</c:v>
                </c:pt>
                <c:pt idx="552">
                  <c:v>11.083226</c:v>
                </c:pt>
                <c:pt idx="553">
                  <c:v>10.923913000000001</c:v>
                </c:pt>
                <c:pt idx="554">
                  <c:v>10.896070999999999</c:v>
                </c:pt>
                <c:pt idx="555">
                  <c:v>10.923793</c:v>
                </c:pt>
                <c:pt idx="556">
                  <c:v>10.980816000000001</c:v>
                </c:pt>
                <c:pt idx="557">
                  <c:v>11.056207000000001</c:v>
                </c:pt>
                <c:pt idx="558">
                  <c:v>11.016406</c:v>
                </c:pt>
                <c:pt idx="559">
                  <c:v>10.776471000000001</c:v>
                </c:pt>
                <c:pt idx="560">
                  <c:v>10.989305999999999</c:v>
                </c:pt>
                <c:pt idx="561">
                  <c:v>11.042536999999999</c:v>
                </c:pt>
                <c:pt idx="562">
                  <c:v>11.231999999999999</c:v>
                </c:pt>
                <c:pt idx="563">
                  <c:v>11.257679</c:v>
                </c:pt>
                <c:pt idx="564">
                  <c:v>11.295405000000001</c:v>
                </c:pt>
                <c:pt idx="565">
                  <c:v>11.428571</c:v>
                </c:pt>
                <c:pt idx="566">
                  <c:v>11.6</c:v>
                </c:pt>
                <c:pt idx="567">
                  <c:v>11.503939000000001</c:v>
                </c:pt>
                <c:pt idx="568">
                  <c:v>11.6625</c:v>
                </c:pt>
                <c:pt idx="569">
                  <c:v>11.8</c:v>
                </c:pt>
                <c:pt idx="570">
                  <c:v>11.65</c:v>
                </c:pt>
                <c:pt idx="571">
                  <c:v>11.98</c:v>
                </c:pt>
                <c:pt idx="572">
                  <c:v>11.918182</c:v>
                </c:pt>
                <c:pt idx="573">
                  <c:v>12.043749999999999</c:v>
                </c:pt>
                <c:pt idx="574">
                  <c:v>12.1</c:v>
                </c:pt>
                <c:pt idx="575">
                  <c:v>12.171429</c:v>
                </c:pt>
                <c:pt idx="576">
                  <c:v>12.286364000000001</c:v>
                </c:pt>
                <c:pt idx="577">
                  <c:v>12.313207999999999</c:v>
                </c:pt>
                <c:pt idx="578">
                  <c:v>12.269643</c:v>
                </c:pt>
                <c:pt idx="579">
                  <c:v>12.386066</c:v>
                </c:pt>
                <c:pt idx="580">
                  <c:v>12.322464</c:v>
                </c:pt>
                <c:pt idx="581">
                  <c:v>12.294521</c:v>
                </c:pt>
                <c:pt idx="582">
                  <c:v>12.171697999999999</c:v>
                </c:pt>
                <c:pt idx="583">
                  <c:v>12.254716999999999</c:v>
                </c:pt>
                <c:pt idx="584">
                  <c:v>12.228889000000001</c:v>
                </c:pt>
                <c:pt idx="585">
                  <c:v>12.166364</c:v>
                </c:pt>
                <c:pt idx="586">
                  <c:v>12.119355000000001</c:v>
                </c:pt>
                <c:pt idx="587">
                  <c:v>12.137499999999999</c:v>
                </c:pt>
                <c:pt idx="588">
                  <c:v>12.111110999999999</c:v>
                </c:pt>
                <c:pt idx="589">
                  <c:v>12.146667000000001</c:v>
                </c:pt>
                <c:pt idx="590">
                  <c:v>11.942857</c:v>
                </c:pt>
                <c:pt idx="591">
                  <c:v>11.771428999999999</c:v>
                </c:pt>
                <c:pt idx="592">
                  <c:v>11.9</c:v>
                </c:pt>
                <c:pt idx="593">
                  <c:v>11.957143</c:v>
                </c:pt>
                <c:pt idx="594">
                  <c:v>11.785714</c:v>
                </c:pt>
                <c:pt idx="595">
                  <c:v>11.975</c:v>
                </c:pt>
                <c:pt idx="596">
                  <c:v>11.890909000000001</c:v>
                </c:pt>
                <c:pt idx="597">
                  <c:v>11.7468</c:v>
                </c:pt>
                <c:pt idx="598">
                  <c:v>11.712726999999999</c:v>
                </c:pt>
                <c:pt idx="599">
                  <c:v>11.783607</c:v>
                </c:pt>
                <c:pt idx="600">
                  <c:v>11.761486</c:v>
                </c:pt>
                <c:pt idx="601">
                  <c:v>11.782278</c:v>
                </c:pt>
                <c:pt idx="602">
                  <c:v>11.846104</c:v>
                </c:pt>
                <c:pt idx="603">
                  <c:v>11.826415000000001</c:v>
                </c:pt>
                <c:pt idx="604">
                  <c:v>11.834058000000001</c:v>
                </c:pt>
                <c:pt idx="605">
                  <c:v>11.928409</c:v>
                </c:pt>
                <c:pt idx="606">
                  <c:v>11.924576</c:v>
                </c:pt>
                <c:pt idx="607">
                  <c:v>11.95</c:v>
                </c:pt>
                <c:pt idx="608">
                  <c:v>11.963542</c:v>
                </c:pt>
                <c:pt idx="609">
                  <c:v>12.074074</c:v>
                </c:pt>
                <c:pt idx="610">
                  <c:v>12.053571</c:v>
                </c:pt>
                <c:pt idx="611">
                  <c:v>12.023683999999999</c:v>
                </c:pt>
                <c:pt idx="612">
                  <c:v>12.09</c:v>
                </c:pt>
                <c:pt idx="613">
                  <c:v>11.914286000000001</c:v>
                </c:pt>
                <c:pt idx="614">
                  <c:v>12.14</c:v>
                </c:pt>
                <c:pt idx="615">
                  <c:v>12.25</c:v>
                </c:pt>
                <c:pt idx="616">
                  <c:v>12.1</c:v>
                </c:pt>
                <c:pt idx="617">
                  <c:v>12.353332999999999</c:v>
                </c:pt>
                <c:pt idx="618">
                  <c:v>12.375</c:v>
                </c:pt>
                <c:pt idx="619">
                  <c:v>12.33</c:v>
                </c:pt>
                <c:pt idx="620">
                  <c:v>12.372059</c:v>
                </c:pt>
                <c:pt idx="621">
                  <c:v>12.669354999999999</c:v>
                </c:pt>
                <c:pt idx="622">
                  <c:v>12.681578999999999</c:v>
                </c:pt>
                <c:pt idx="623">
                  <c:v>12.681666999999999</c:v>
                </c:pt>
                <c:pt idx="624">
                  <c:v>12.614545</c:v>
                </c:pt>
                <c:pt idx="625">
                  <c:v>12.703191</c:v>
                </c:pt>
                <c:pt idx="626">
                  <c:v>12.786885</c:v>
                </c:pt>
                <c:pt idx="627">
                  <c:v>12.588234999999999</c:v>
                </c:pt>
                <c:pt idx="628">
                  <c:v>12.554309999999999</c:v>
                </c:pt>
                <c:pt idx="629">
                  <c:v>12.506061000000001</c:v>
                </c:pt>
                <c:pt idx="630">
                  <c:v>12.454717</c:v>
                </c:pt>
                <c:pt idx="631">
                  <c:v>12.58</c:v>
                </c:pt>
                <c:pt idx="632">
                  <c:v>12.459258999999999</c:v>
                </c:pt>
                <c:pt idx="633">
                  <c:v>12.33</c:v>
                </c:pt>
                <c:pt idx="634">
                  <c:v>12.285216999999999</c:v>
                </c:pt>
                <c:pt idx="635">
                  <c:v>12.242857000000001</c:v>
                </c:pt>
                <c:pt idx="636">
                  <c:v>12.35</c:v>
                </c:pt>
                <c:pt idx="637">
                  <c:v>12.3</c:v>
                </c:pt>
                <c:pt idx="638">
                  <c:v>12.04</c:v>
                </c:pt>
                <c:pt idx="639">
                  <c:v>12.085713999999999</c:v>
                </c:pt>
                <c:pt idx="640">
                  <c:v>12.1175</c:v>
                </c:pt>
                <c:pt idx="641">
                  <c:v>12.13</c:v>
                </c:pt>
                <c:pt idx="642">
                  <c:v>11.837647</c:v>
                </c:pt>
                <c:pt idx="643">
                  <c:v>12.050689999999999</c:v>
                </c:pt>
                <c:pt idx="644">
                  <c:v>11.91122</c:v>
                </c:pt>
                <c:pt idx="645">
                  <c:v>11.925946</c:v>
                </c:pt>
                <c:pt idx="646">
                  <c:v>11.878500000000001</c:v>
                </c:pt>
                <c:pt idx="647">
                  <c:v>11.827619</c:v>
                </c:pt>
                <c:pt idx="648">
                  <c:v>11.858596</c:v>
                </c:pt>
                <c:pt idx="649">
                  <c:v>11.859643</c:v>
                </c:pt>
                <c:pt idx="650">
                  <c:v>11.848599999999999</c:v>
                </c:pt>
                <c:pt idx="651">
                  <c:v>11.872339999999999</c:v>
                </c:pt>
                <c:pt idx="652">
                  <c:v>11.901864</c:v>
                </c:pt>
                <c:pt idx="653">
                  <c:v>11.874375000000001</c:v>
                </c:pt>
                <c:pt idx="654">
                  <c:v>11.993273</c:v>
                </c:pt>
                <c:pt idx="655">
                  <c:v>11.903333</c:v>
                </c:pt>
                <c:pt idx="656">
                  <c:v>11.9168</c:v>
                </c:pt>
                <c:pt idx="657">
                  <c:v>11.791765</c:v>
                </c:pt>
                <c:pt idx="658">
                  <c:v>11.888182</c:v>
                </c:pt>
                <c:pt idx="659">
                  <c:v>11.76</c:v>
                </c:pt>
                <c:pt idx="660">
                  <c:v>11.94</c:v>
                </c:pt>
                <c:pt idx="661">
                  <c:v>12.086667</c:v>
                </c:pt>
                <c:pt idx="662">
                  <c:v>12.016667</c:v>
                </c:pt>
                <c:pt idx="663">
                  <c:v>12.237500000000001</c:v>
                </c:pt>
                <c:pt idx="664">
                  <c:v>12.344286</c:v>
                </c:pt>
                <c:pt idx="665">
                  <c:v>12.387143</c:v>
                </c:pt>
                <c:pt idx="666">
                  <c:v>12.441852000000001</c:v>
                </c:pt>
                <c:pt idx="667">
                  <c:v>12.557368</c:v>
                </c:pt>
                <c:pt idx="668">
                  <c:v>12.733333</c:v>
                </c:pt>
                <c:pt idx="669">
                  <c:v>12.691143</c:v>
                </c:pt>
                <c:pt idx="670">
                  <c:v>12.751714</c:v>
                </c:pt>
                <c:pt idx="671">
                  <c:v>12.640476</c:v>
                </c:pt>
                <c:pt idx="672">
                  <c:v>12.684374999999999</c:v>
                </c:pt>
                <c:pt idx="673">
                  <c:v>12.551304</c:v>
                </c:pt>
                <c:pt idx="674">
                  <c:v>12.529783</c:v>
                </c:pt>
                <c:pt idx="675">
                  <c:v>12.5</c:v>
                </c:pt>
                <c:pt idx="676">
                  <c:v>12.407273</c:v>
                </c:pt>
                <c:pt idx="677">
                  <c:v>12.302631999999999</c:v>
                </c:pt>
                <c:pt idx="678">
                  <c:v>12.356249999999999</c:v>
                </c:pt>
                <c:pt idx="679">
                  <c:v>12.346667</c:v>
                </c:pt>
                <c:pt idx="680">
                  <c:v>12.371428999999999</c:v>
                </c:pt>
                <c:pt idx="681">
                  <c:v>12.3</c:v>
                </c:pt>
                <c:pt idx="682">
                  <c:v>12.15</c:v>
                </c:pt>
                <c:pt idx="683">
                  <c:v>12.2</c:v>
                </c:pt>
                <c:pt idx="684">
                  <c:v>12.0875</c:v>
                </c:pt>
                <c:pt idx="685">
                  <c:v>12.06</c:v>
                </c:pt>
                <c:pt idx="686">
                  <c:v>11.949332999999999</c:v>
                </c:pt>
                <c:pt idx="687">
                  <c:v>11.985455</c:v>
                </c:pt>
                <c:pt idx="688">
                  <c:v>11.961379000000001</c:v>
                </c:pt>
                <c:pt idx="689">
                  <c:v>11.987083</c:v>
                </c:pt>
                <c:pt idx="690">
                  <c:v>11.941034</c:v>
                </c:pt>
                <c:pt idx="691">
                  <c:v>11.964839</c:v>
                </c:pt>
                <c:pt idx="692">
                  <c:v>12.032444</c:v>
                </c:pt>
                <c:pt idx="693">
                  <c:v>11.873396</c:v>
                </c:pt>
                <c:pt idx="694">
                  <c:v>11.9024</c:v>
                </c:pt>
                <c:pt idx="695">
                  <c:v>12.002889</c:v>
                </c:pt>
                <c:pt idx="696">
                  <c:v>11.962051000000001</c:v>
                </c:pt>
                <c:pt idx="697">
                  <c:v>11.9795</c:v>
                </c:pt>
                <c:pt idx="698">
                  <c:v>11.945556</c:v>
                </c:pt>
                <c:pt idx="699">
                  <c:v>11.937856999999999</c:v>
                </c:pt>
                <c:pt idx="700">
                  <c:v>11.9</c:v>
                </c:pt>
                <c:pt idx="701">
                  <c:v>12.103125</c:v>
                </c:pt>
                <c:pt idx="702">
                  <c:v>11.823333</c:v>
                </c:pt>
                <c:pt idx="703">
                  <c:v>11.975</c:v>
                </c:pt>
                <c:pt idx="704">
                  <c:v>12.213333</c:v>
                </c:pt>
                <c:pt idx="705">
                  <c:v>12.383333</c:v>
                </c:pt>
                <c:pt idx="706">
                  <c:v>12.4125</c:v>
                </c:pt>
                <c:pt idx="707">
                  <c:v>12.505556</c:v>
                </c:pt>
                <c:pt idx="708">
                  <c:v>12.637143</c:v>
                </c:pt>
                <c:pt idx="709">
                  <c:v>12.5425</c:v>
                </c:pt>
                <c:pt idx="710">
                  <c:v>12.471923</c:v>
                </c:pt>
                <c:pt idx="711">
                  <c:v>12.5375</c:v>
                </c:pt>
                <c:pt idx="712">
                  <c:v>12.499231</c:v>
                </c:pt>
                <c:pt idx="713">
                  <c:v>12.554773000000001</c:v>
                </c:pt>
                <c:pt idx="714">
                  <c:v>12.549524</c:v>
                </c:pt>
                <c:pt idx="715">
                  <c:v>12.732778</c:v>
                </c:pt>
                <c:pt idx="716">
                  <c:v>12.796250000000001</c:v>
                </c:pt>
                <c:pt idx="717">
                  <c:v>12.818947</c:v>
                </c:pt>
                <c:pt idx="718">
                  <c:v>12.744999999999999</c:v>
                </c:pt>
                <c:pt idx="719">
                  <c:v>12.711429000000001</c:v>
                </c:pt>
                <c:pt idx="720">
                  <c:v>12.652414</c:v>
                </c:pt>
                <c:pt idx="721">
                  <c:v>12.468332999999999</c:v>
                </c:pt>
                <c:pt idx="722">
                  <c:v>12.387499999999999</c:v>
                </c:pt>
                <c:pt idx="723">
                  <c:v>12.358461999999999</c:v>
                </c:pt>
                <c:pt idx="724">
                  <c:v>12.26</c:v>
                </c:pt>
                <c:pt idx="725">
                  <c:v>12.3</c:v>
                </c:pt>
                <c:pt idx="726">
                  <c:v>12.4</c:v>
                </c:pt>
                <c:pt idx="727">
                  <c:v>12.55</c:v>
                </c:pt>
                <c:pt idx="728">
                  <c:v>12.14</c:v>
                </c:pt>
                <c:pt idx="729">
                  <c:v>12.16</c:v>
                </c:pt>
                <c:pt idx="730">
                  <c:v>12.128571000000001</c:v>
                </c:pt>
                <c:pt idx="731">
                  <c:v>12.153333</c:v>
                </c:pt>
                <c:pt idx="732">
                  <c:v>12.066000000000001</c:v>
                </c:pt>
                <c:pt idx="733">
                  <c:v>12.02</c:v>
                </c:pt>
                <c:pt idx="734">
                  <c:v>11.999231</c:v>
                </c:pt>
                <c:pt idx="735">
                  <c:v>12.111480999999999</c:v>
                </c:pt>
                <c:pt idx="736">
                  <c:v>11.942273</c:v>
                </c:pt>
                <c:pt idx="737">
                  <c:v>11.998293</c:v>
                </c:pt>
                <c:pt idx="738">
                  <c:v>11.968235</c:v>
                </c:pt>
                <c:pt idx="739">
                  <c:v>11.941713999999999</c:v>
                </c:pt>
                <c:pt idx="740">
                  <c:v>11.953846</c:v>
                </c:pt>
                <c:pt idx="741">
                  <c:v>11.892187</c:v>
                </c:pt>
                <c:pt idx="742">
                  <c:v>11.893784</c:v>
                </c:pt>
                <c:pt idx="743">
                  <c:v>11.8208</c:v>
                </c:pt>
                <c:pt idx="744">
                  <c:v>11.798</c:v>
                </c:pt>
                <c:pt idx="745">
                  <c:v>11.734</c:v>
                </c:pt>
                <c:pt idx="746">
                  <c:v>11.651111</c:v>
                </c:pt>
                <c:pt idx="747">
                  <c:v>11.7</c:v>
                </c:pt>
                <c:pt idx="748">
                  <c:v>12</c:v>
                </c:pt>
                <c:pt idx="749">
                  <c:v>11.8</c:v>
                </c:pt>
                <c:pt idx="750">
                  <c:v>11.966666999999999</c:v>
                </c:pt>
                <c:pt idx="751">
                  <c:v>12.25</c:v>
                </c:pt>
                <c:pt idx="752">
                  <c:v>11.875</c:v>
                </c:pt>
                <c:pt idx="753">
                  <c:v>11.961537999999999</c:v>
                </c:pt>
                <c:pt idx="754">
                  <c:v>12.071429</c:v>
                </c:pt>
                <c:pt idx="755">
                  <c:v>12.234999999999999</c:v>
                </c:pt>
                <c:pt idx="756">
                  <c:v>12.257142999999999</c:v>
                </c:pt>
                <c:pt idx="757">
                  <c:v>12.284848</c:v>
                </c:pt>
                <c:pt idx="758">
                  <c:v>12.411538</c:v>
                </c:pt>
                <c:pt idx="759">
                  <c:v>12.407143</c:v>
                </c:pt>
                <c:pt idx="760">
                  <c:v>12.478125</c:v>
                </c:pt>
                <c:pt idx="761">
                  <c:v>12.615152</c:v>
                </c:pt>
                <c:pt idx="762">
                  <c:v>12.436</c:v>
                </c:pt>
                <c:pt idx="763">
                  <c:v>12.454167</c:v>
                </c:pt>
                <c:pt idx="764">
                  <c:v>12.474194000000001</c:v>
                </c:pt>
                <c:pt idx="765">
                  <c:v>12.544117999999999</c:v>
                </c:pt>
                <c:pt idx="766">
                  <c:v>12.555555999999999</c:v>
                </c:pt>
                <c:pt idx="767">
                  <c:v>12.609090999999999</c:v>
                </c:pt>
                <c:pt idx="768">
                  <c:v>12.554167</c:v>
                </c:pt>
                <c:pt idx="769">
                  <c:v>12.375</c:v>
                </c:pt>
                <c:pt idx="770">
                  <c:v>12.15</c:v>
                </c:pt>
                <c:pt idx="771">
                  <c:v>12.425000000000001</c:v>
                </c:pt>
                <c:pt idx="772">
                  <c:v>12.225</c:v>
                </c:pt>
                <c:pt idx="773">
                  <c:v>12.26</c:v>
                </c:pt>
                <c:pt idx="774">
                  <c:v>12.028570999999999</c:v>
                </c:pt>
                <c:pt idx="775">
                  <c:v>12.042857</c:v>
                </c:pt>
                <c:pt idx="776">
                  <c:v>12</c:v>
                </c:pt>
                <c:pt idx="777">
                  <c:v>12.025</c:v>
                </c:pt>
                <c:pt idx="778">
                  <c:v>12.028570999999999</c:v>
                </c:pt>
                <c:pt idx="779">
                  <c:v>11.982609</c:v>
                </c:pt>
                <c:pt idx="780">
                  <c:v>11.854286</c:v>
                </c:pt>
                <c:pt idx="781">
                  <c:v>11.845238</c:v>
                </c:pt>
                <c:pt idx="782">
                  <c:v>11.827500000000001</c:v>
                </c:pt>
                <c:pt idx="783">
                  <c:v>11.875</c:v>
                </c:pt>
                <c:pt idx="784">
                  <c:v>11.830303000000001</c:v>
                </c:pt>
                <c:pt idx="785">
                  <c:v>11.75625</c:v>
                </c:pt>
                <c:pt idx="786">
                  <c:v>11.8</c:v>
                </c:pt>
                <c:pt idx="787">
                  <c:v>11.836364</c:v>
                </c:pt>
                <c:pt idx="788">
                  <c:v>11.838462</c:v>
                </c:pt>
                <c:pt idx="789">
                  <c:v>11.65</c:v>
                </c:pt>
                <c:pt idx="790">
                  <c:v>11.9</c:v>
                </c:pt>
                <c:pt idx="791">
                  <c:v>11.9</c:v>
                </c:pt>
                <c:pt idx="792">
                  <c:v>12.05</c:v>
                </c:pt>
                <c:pt idx="793">
                  <c:v>12.2</c:v>
                </c:pt>
                <c:pt idx="794">
                  <c:v>12.2</c:v>
                </c:pt>
                <c:pt idx="795">
                  <c:v>12.185714000000001</c:v>
                </c:pt>
                <c:pt idx="796">
                  <c:v>12.229167</c:v>
                </c:pt>
                <c:pt idx="797">
                  <c:v>12.335293999999999</c:v>
                </c:pt>
                <c:pt idx="798">
                  <c:v>12.431034</c:v>
                </c:pt>
                <c:pt idx="799">
                  <c:v>12.478947</c:v>
                </c:pt>
                <c:pt idx="800">
                  <c:v>12.552631999999999</c:v>
                </c:pt>
                <c:pt idx="801">
                  <c:v>12.667647000000001</c:v>
                </c:pt>
                <c:pt idx="802">
                  <c:v>12.715384999999999</c:v>
                </c:pt>
                <c:pt idx="803">
                  <c:v>12.842307999999999</c:v>
                </c:pt>
                <c:pt idx="804">
                  <c:v>12.651515</c:v>
                </c:pt>
                <c:pt idx="805">
                  <c:v>12.72381</c:v>
                </c:pt>
                <c:pt idx="806">
                  <c:v>12.7</c:v>
                </c:pt>
                <c:pt idx="807">
                  <c:v>12.475</c:v>
                </c:pt>
                <c:pt idx="808">
                  <c:v>12.49375</c:v>
                </c:pt>
                <c:pt idx="809">
                  <c:v>12.4</c:v>
                </c:pt>
                <c:pt idx="810">
                  <c:v>12.433332999999999</c:v>
                </c:pt>
                <c:pt idx="811">
                  <c:v>12.45</c:v>
                </c:pt>
                <c:pt idx="812">
                  <c:v>12.333333</c:v>
                </c:pt>
                <c:pt idx="813">
                  <c:v>12.4</c:v>
                </c:pt>
                <c:pt idx="814">
                  <c:v>12.207692</c:v>
                </c:pt>
                <c:pt idx="815">
                  <c:v>12.137499999999999</c:v>
                </c:pt>
                <c:pt idx="816">
                  <c:v>12.144444</c:v>
                </c:pt>
                <c:pt idx="817">
                  <c:v>11.966666999999999</c:v>
                </c:pt>
                <c:pt idx="818">
                  <c:v>11.972222</c:v>
                </c:pt>
                <c:pt idx="819">
                  <c:v>11.9</c:v>
                </c:pt>
                <c:pt idx="820">
                  <c:v>11.853571000000001</c:v>
                </c:pt>
                <c:pt idx="821">
                  <c:v>11.760526</c:v>
                </c:pt>
                <c:pt idx="822">
                  <c:v>11.811363999999999</c:v>
                </c:pt>
                <c:pt idx="823">
                  <c:v>11.691667000000001</c:v>
                </c:pt>
                <c:pt idx="824">
                  <c:v>11.718182000000001</c:v>
                </c:pt>
                <c:pt idx="825">
                  <c:v>11.584211</c:v>
                </c:pt>
                <c:pt idx="826">
                  <c:v>11.569231</c:v>
                </c:pt>
                <c:pt idx="827">
                  <c:v>11.533333000000001</c:v>
                </c:pt>
                <c:pt idx="828">
                  <c:v>11.4</c:v>
                </c:pt>
                <c:pt idx="829">
                  <c:v>11.4</c:v>
                </c:pt>
                <c:pt idx="830">
                  <c:v>11.65</c:v>
                </c:pt>
                <c:pt idx="831">
                  <c:v>11.45</c:v>
                </c:pt>
                <c:pt idx="832">
                  <c:v>11.56</c:v>
                </c:pt>
                <c:pt idx="833">
                  <c:v>11.475</c:v>
                </c:pt>
                <c:pt idx="834">
                  <c:v>11.228571000000001</c:v>
                </c:pt>
                <c:pt idx="835">
                  <c:v>11.55</c:v>
                </c:pt>
                <c:pt idx="836">
                  <c:v>11.642105000000001</c:v>
                </c:pt>
                <c:pt idx="837">
                  <c:v>11.8</c:v>
                </c:pt>
                <c:pt idx="838">
                  <c:v>12</c:v>
                </c:pt>
                <c:pt idx="839">
                  <c:v>12.017391</c:v>
                </c:pt>
                <c:pt idx="840">
                  <c:v>11.996295999999999</c:v>
                </c:pt>
                <c:pt idx="841">
                  <c:v>11.996295999999999</c:v>
                </c:pt>
                <c:pt idx="842">
                  <c:v>12.025</c:v>
                </c:pt>
                <c:pt idx="843">
                  <c:v>12.137143</c:v>
                </c:pt>
                <c:pt idx="844">
                  <c:v>12.291176</c:v>
                </c:pt>
                <c:pt idx="845">
                  <c:v>12.39</c:v>
                </c:pt>
                <c:pt idx="846">
                  <c:v>12.397500000000001</c:v>
                </c:pt>
                <c:pt idx="847">
                  <c:v>12.392856999999999</c:v>
                </c:pt>
                <c:pt idx="848">
                  <c:v>12.366667</c:v>
                </c:pt>
                <c:pt idx="849">
                  <c:v>12.45</c:v>
                </c:pt>
                <c:pt idx="850">
                  <c:v>12.7</c:v>
                </c:pt>
                <c:pt idx="851">
                  <c:v>12.5</c:v>
                </c:pt>
                <c:pt idx="852">
                  <c:v>12.2</c:v>
                </c:pt>
                <c:pt idx="853">
                  <c:v>12.44</c:v>
                </c:pt>
                <c:pt idx="854">
                  <c:v>12.283333000000001</c:v>
                </c:pt>
                <c:pt idx="855">
                  <c:v>12.428571</c:v>
                </c:pt>
                <c:pt idx="856">
                  <c:v>12.35</c:v>
                </c:pt>
                <c:pt idx="857">
                  <c:v>12.173684</c:v>
                </c:pt>
                <c:pt idx="858">
                  <c:v>11.963158</c:v>
                </c:pt>
                <c:pt idx="859">
                  <c:v>11.885294</c:v>
                </c:pt>
                <c:pt idx="860">
                  <c:v>11.826316</c:v>
                </c:pt>
                <c:pt idx="861">
                  <c:v>11.760465</c:v>
                </c:pt>
                <c:pt idx="862">
                  <c:v>10.38125</c:v>
                </c:pt>
                <c:pt idx="863">
                  <c:v>10.284302</c:v>
                </c:pt>
                <c:pt idx="864">
                  <c:v>10.251905000000001</c:v>
                </c:pt>
                <c:pt idx="865">
                  <c:v>10.302809</c:v>
                </c:pt>
                <c:pt idx="866">
                  <c:v>10.239474</c:v>
                </c:pt>
                <c:pt idx="867">
                  <c:v>10.276471000000001</c:v>
                </c:pt>
                <c:pt idx="868">
                  <c:v>10.326530999999999</c:v>
                </c:pt>
                <c:pt idx="869">
                  <c:v>10.260870000000001</c:v>
                </c:pt>
                <c:pt idx="870">
                  <c:v>10.341025999999999</c:v>
                </c:pt>
                <c:pt idx="871">
                  <c:v>10.333333</c:v>
                </c:pt>
                <c:pt idx="872">
                  <c:v>10.166667</c:v>
                </c:pt>
                <c:pt idx="873">
                  <c:v>10.3</c:v>
                </c:pt>
                <c:pt idx="874">
                  <c:v>10.266667</c:v>
                </c:pt>
                <c:pt idx="875">
                  <c:v>10.31875</c:v>
                </c:pt>
                <c:pt idx="876">
                  <c:v>10.240909</c:v>
                </c:pt>
                <c:pt idx="877">
                  <c:v>10.333333</c:v>
                </c:pt>
                <c:pt idx="878">
                  <c:v>10.345454999999999</c:v>
                </c:pt>
                <c:pt idx="879">
                  <c:v>10.336667</c:v>
                </c:pt>
                <c:pt idx="880">
                  <c:v>10.422826000000001</c:v>
                </c:pt>
                <c:pt idx="881">
                  <c:v>10.471052999999999</c:v>
                </c:pt>
                <c:pt idx="882">
                  <c:v>10.509677</c:v>
                </c:pt>
                <c:pt idx="883">
                  <c:v>10.584375</c:v>
                </c:pt>
                <c:pt idx="884">
                  <c:v>10.627535999999999</c:v>
                </c:pt>
                <c:pt idx="885">
                  <c:v>10.660494</c:v>
                </c:pt>
                <c:pt idx="886">
                  <c:v>10.74878</c:v>
                </c:pt>
                <c:pt idx="887">
                  <c:v>10.808197</c:v>
                </c:pt>
                <c:pt idx="888">
                  <c:v>10.837857</c:v>
                </c:pt>
                <c:pt idx="889">
                  <c:v>10.819048</c:v>
                </c:pt>
                <c:pt idx="890">
                  <c:v>10.875806000000001</c:v>
                </c:pt>
                <c:pt idx="891">
                  <c:v>10.891304</c:v>
                </c:pt>
                <c:pt idx="892">
                  <c:v>10.952631999999999</c:v>
                </c:pt>
                <c:pt idx="893">
                  <c:v>10.88</c:v>
                </c:pt>
                <c:pt idx="894">
                  <c:v>10.75</c:v>
                </c:pt>
                <c:pt idx="895">
                  <c:v>10.42</c:v>
                </c:pt>
                <c:pt idx="896">
                  <c:v>10.376923</c:v>
                </c:pt>
                <c:pt idx="897">
                  <c:v>10.35</c:v>
                </c:pt>
                <c:pt idx="898">
                  <c:v>10.246667</c:v>
                </c:pt>
                <c:pt idx="899">
                  <c:v>10.081481</c:v>
                </c:pt>
                <c:pt idx="900">
                  <c:v>9.9604169999999996</c:v>
                </c:pt>
                <c:pt idx="901">
                  <c:v>9.9574999999999996</c:v>
                </c:pt>
                <c:pt idx="902">
                  <c:v>9.8371429999999993</c:v>
                </c:pt>
                <c:pt idx="903">
                  <c:v>9.8704920000000005</c:v>
                </c:pt>
                <c:pt idx="904">
                  <c:v>9.8133330000000001</c:v>
                </c:pt>
                <c:pt idx="905">
                  <c:v>9.8123079999999998</c:v>
                </c:pt>
                <c:pt idx="906">
                  <c:v>9.7674420000000008</c:v>
                </c:pt>
                <c:pt idx="907">
                  <c:v>9.7289469999999998</c:v>
                </c:pt>
                <c:pt idx="908">
                  <c:v>9.6707319999999992</c:v>
                </c:pt>
                <c:pt idx="909">
                  <c:v>9.7192980000000002</c:v>
                </c:pt>
                <c:pt idx="910">
                  <c:v>9.6288459999999993</c:v>
                </c:pt>
                <c:pt idx="911">
                  <c:v>9.6146340000000006</c:v>
                </c:pt>
                <c:pt idx="912">
                  <c:v>9.64</c:v>
                </c:pt>
                <c:pt idx="913">
                  <c:v>9.7249999999999996</c:v>
                </c:pt>
                <c:pt idx="914">
                  <c:v>9.6833329999999993</c:v>
                </c:pt>
                <c:pt idx="915">
                  <c:v>9.6999999999999993</c:v>
                </c:pt>
                <c:pt idx="916">
                  <c:v>9.4250000000000007</c:v>
                </c:pt>
                <c:pt idx="917">
                  <c:v>9.6</c:v>
                </c:pt>
                <c:pt idx="918">
                  <c:v>9.85</c:v>
                </c:pt>
                <c:pt idx="919">
                  <c:v>9.66</c:v>
                </c:pt>
                <c:pt idx="920">
                  <c:v>9.7083329999999997</c:v>
                </c:pt>
                <c:pt idx="921">
                  <c:v>9.6826089999999994</c:v>
                </c:pt>
                <c:pt idx="922">
                  <c:v>9.6653850000000006</c:v>
                </c:pt>
                <c:pt idx="923">
                  <c:v>9.7418180000000003</c:v>
                </c:pt>
                <c:pt idx="924">
                  <c:v>9.6742860000000004</c:v>
                </c:pt>
                <c:pt idx="925">
                  <c:v>9.7309520000000003</c:v>
                </c:pt>
                <c:pt idx="926">
                  <c:v>9.7409090000000003</c:v>
                </c:pt>
                <c:pt idx="927">
                  <c:v>9.8147540000000006</c:v>
                </c:pt>
                <c:pt idx="928">
                  <c:v>9.8447370000000003</c:v>
                </c:pt>
                <c:pt idx="929">
                  <c:v>9.8866669999999992</c:v>
                </c:pt>
                <c:pt idx="930">
                  <c:v>9.9255809999999993</c:v>
                </c:pt>
                <c:pt idx="931">
                  <c:v>9.9406780000000001</c:v>
                </c:pt>
                <c:pt idx="932">
                  <c:v>9.8468750000000007</c:v>
                </c:pt>
                <c:pt idx="933">
                  <c:v>10.028570999999999</c:v>
                </c:pt>
                <c:pt idx="934">
                  <c:v>10.02069</c:v>
                </c:pt>
                <c:pt idx="935">
                  <c:v>10.075676</c:v>
                </c:pt>
                <c:pt idx="936">
                  <c:v>10.199999999999999</c:v>
                </c:pt>
                <c:pt idx="937">
                  <c:v>10.123077</c:v>
                </c:pt>
                <c:pt idx="938">
                  <c:v>10.238462</c:v>
                </c:pt>
                <c:pt idx="939">
                  <c:v>10.35</c:v>
                </c:pt>
                <c:pt idx="940">
                  <c:v>10.1</c:v>
                </c:pt>
                <c:pt idx="941">
                  <c:v>10.18</c:v>
                </c:pt>
                <c:pt idx="942">
                  <c:v>10.057143</c:v>
                </c:pt>
                <c:pt idx="943">
                  <c:v>9.9933329999999998</c:v>
                </c:pt>
                <c:pt idx="944">
                  <c:v>9.9222219999999997</c:v>
                </c:pt>
                <c:pt idx="945">
                  <c:v>9.8000000000000007</c:v>
                </c:pt>
                <c:pt idx="946">
                  <c:v>9.8444439999999993</c:v>
                </c:pt>
                <c:pt idx="947">
                  <c:v>9.85</c:v>
                </c:pt>
                <c:pt idx="948">
                  <c:v>9.8142859999999992</c:v>
                </c:pt>
                <c:pt idx="949">
                  <c:v>9.84</c:v>
                </c:pt>
                <c:pt idx="950">
                  <c:v>9.8172409999999992</c:v>
                </c:pt>
                <c:pt idx="951">
                  <c:v>9.8260869999999993</c:v>
                </c:pt>
                <c:pt idx="952">
                  <c:v>9.7901959999999999</c:v>
                </c:pt>
                <c:pt idx="953">
                  <c:v>9.7063830000000006</c:v>
                </c:pt>
                <c:pt idx="954">
                  <c:v>9.6483869999999996</c:v>
                </c:pt>
                <c:pt idx="955">
                  <c:v>9.6530609999999992</c:v>
                </c:pt>
                <c:pt idx="956">
                  <c:v>9.651923</c:v>
                </c:pt>
                <c:pt idx="957">
                  <c:v>9.6833329999999993</c:v>
                </c:pt>
                <c:pt idx="958">
                  <c:v>9.6807689999999997</c:v>
                </c:pt>
                <c:pt idx="959">
                  <c:v>9.7214290000000005</c:v>
                </c:pt>
                <c:pt idx="960">
                  <c:v>9.7090910000000008</c:v>
                </c:pt>
                <c:pt idx="961">
                  <c:v>9.5555559999999993</c:v>
                </c:pt>
                <c:pt idx="962">
                  <c:v>9.58</c:v>
                </c:pt>
                <c:pt idx="963">
                  <c:v>9.61</c:v>
                </c:pt>
                <c:pt idx="964">
                  <c:v>9.65</c:v>
                </c:pt>
                <c:pt idx="965">
                  <c:v>9.6750000000000007</c:v>
                </c:pt>
                <c:pt idx="966">
                  <c:v>9.6916670000000007</c:v>
                </c:pt>
                <c:pt idx="967">
                  <c:v>9.8357139999999994</c:v>
                </c:pt>
                <c:pt idx="968">
                  <c:v>9.8633330000000008</c:v>
                </c:pt>
                <c:pt idx="969">
                  <c:v>9.8461540000000003</c:v>
                </c:pt>
                <c:pt idx="970">
                  <c:v>9.8370370000000005</c:v>
                </c:pt>
                <c:pt idx="971">
                  <c:v>9.9700000000000006</c:v>
                </c:pt>
                <c:pt idx="972">
                  <c:v>9.9645829999999993</c:v>
                </c:pt>
                <c:pt idx="973">
                  <c:v>9.9369569999999996</c:v>
                </c:pt>
                <c:pt idx="974">
                  <c:v>10.005357</c:v>
                </c:pt>
                <c:pt idx="975">
                  <c:v>9.9895829999999997</c:v>
                </c:pt>
                <c:pt idx="976">
                  <c:v>9.9357140000000008</c:v>
                </c:pt>
                <c:pt idx="977">
                  <c:v>9.9279069999999994</c:v>
                </c:pt>
                <c:pt idx="978">
                  <c:v>9.9875000000000007</c:v>
                </c:pt>
                <c:pt idx="979">
                  <c:v>10.036364000000001</c:v>
                </c:pt>
                <c:pt idx="980">
                  <c:v>10.128571000000001</c:v>
                </c:pt>
                <c:pt idx="981">
                  <c:v>10.142856999999999</c:v>
                </c:pt>
                <c:pt idx="982">
                  <c:v>10.158823999999999</c:v>
                </c:pt>
                <c:pt idx="983">
                  <c:v>10.3375</c:v>
                </c:pt>
                <c:pt idx="984">
                  <c:v>10.4</c:v>
                </c:pt>
                <c:pt idx="985">
                  <c:v>10.4</c:v>
                </c:pt>
                <c:pt idx="986">
                  <c:v>10.138462000000001</c:v>
                </c:pt>
                <c:pt idx="987">
                  <c:v>10.042857</c:v>
                </c:pt>
                <c:pt idx="988">
                  <c:v>10.057143</c:v>
                </c:pt>
                <c:pt idx="989">
                  <c:v>10.109524</c:v>
                </c:pt>
                <c:pt idx="990">
                  <c:v>10.109090999999999</c:v>
                </c:pt>
                <c:pt idx="991">
                  <c:v>10.173333</c:v>
                </c:pt>
                <c:pt idx="992">
                  <c:v>10.192105</c:v>
                </c:pt>
                <c:pt idx="993">
                  <c:v>10.178378</c:v>
                </c:pt>
                <c:pt idx="994">
                  <c:v>10.215152</c:v>
                </c:pt>
                <c:pt idx="995">
                  <c:v>10.263514000000001</c:v>
                </c:pt>
                <c:pt idx="996">
                  <c:v>10.206122000000001</c:v>
                </c:pt>
                <c:pt idx="997">
                  <c:v>10.182051</c:v>
                </c:pt>
                <c:pt idx="998">
                  <c:v>10.121622</c:v>
                </c:pt>
                <c:pt idx="999">
                  <c:v>10.072642</c:v>
                </c:pt>
                <c:pt idx="1000">
                  <c:v>10.016</c:v>
                </c:pt>
                <c:pt idx="1001">
                  <c:v>10.045946000000001</c:v>
                </c:pt>
                <c:pt idx="1002">
                  <c:v>9.9318179999999998</c:v>
                </c:pt>
                <c:pt idx="1003">
                  <c:v>10.021053</c:v>
                </c:pt>
                <c:pt idx="1004">
                  <c:v>9.9105260000000008</c:v>
                </c:pt>
                <c:pt idx="1005">
                  <c:v>9.9</c:v>
                </c:pt>
                <c:pt idx="1006">
                  <c:v>9.9</c:v>
                </c:pt>
                <c:pt idx="1007">
                  <c:v>9.9375</c:v>
                </c:pt>
                <c:pt idx="1008">
                  <c:v>9.92</c:v>
                </c:pt>
                <c:pt idx="1009">
                  <c:v>10</c:v>
                </c:pt>
                <c:pt idx="1010">
                  <c:v>10.070588000000001</c:v>
                </c:pt>
                <c:pt idx="1011">
                  <c:v>10.119999999999999</c:v>
                </c:pt>
                <c:pt idx="1012">
                  <c:v>10.121874999999999</c:v>
                </c:pt>
                <c:pt idx="1013">
                  <c:v>10.174194</c:v>
                </c:pt>
                <c:pt idx="1014">
                  <c:v>10.204000000000001</c:v>
                </c:pt>
                <c:pt idx="1015">
                  <c:v>10.252632</c:v>
                </c:pt>
                <c:pt idx="1016">
                  <c:v>10.201537999999999</c:v>
                </c:pt>
                <c:pt idx="1017">
                  <c:v>10.218182000000001</c:v>
                </c:pt>
                <c:pt idx="1018">
                  <c:v>10.232143000000001</c:v>
                </c:pt>
                <c:pt idx="1019">
                  <c:v>10.295745</c:v>
                </c:pt>
                <c:pt idx="1020">
                  <c:v>10.317073000000001</c:v>
                </c:pt>
                <c:pt idx="1021">
                  <c:v>10.311628000000001</c:v>
                </c:pt>
                <c:pt idx="1022">
                  <c:v>10.373333000000001</c:v>
                </c:pt>
                <c:pt idx="1023">
                  <c:v>10.487500000000001</c:v>
                </c:pt>
                <c:pt idx="1024">
                  <c:v>10.45</c:v>
                </c:pt>
                <c:pt idx="1025">
                  <c:v>10.63913</c:v>
                </c:pt>
                <c:pt idx="1026">
                  <c:v>10.7</c:v>
                </c:pt>
                <c:pt idx="1027">
                  <c:v>10.75</c:v>
                </c:pt>
                <c:pt idx="1028">
                  <c:v>10.72</c:v>
                </c:pt>
                <c:pt idx="1029">
                  <c:v>10.86</c:v>
                </c:pt>
                <c:pt idx="1030">
                  <c:v>10.454545</c:v>
                </c:pt>
                <c:pt idx="1031">
                  <c:v>10.933332999999999</c:v>
                </c:pt>
                <c:pt idx="1032">
                  <c:v>10.781817999999999</c:v>
                </c:pt>
                <c:pt idx="1033">
                  <c:v>10.958824</c:v>
                </c:pt>
                <c:pt idx="1034">
                  <c:v>10.95</c:v>
                </c:pt>
                <c:pt idx="1035">
                  <c:v>10.803704</c:v>
                </c:pt>
                <c:pt idx="1036">
                  <c:v>10.8</c:v>
                </c:pt>
                <c:pt idx="1037">
                  <c:v>10.829762000000001</c:v>
                </c:pt>
                <c:pt idx="1038">
                  <c:v>10.715999999999999</c:v>
                </c:pt>
                <c:pt idx="1039">
                  <c:v>10.741667</c:v>
                </c:pt>
                <c:pt idx="1040">
                  <c:v>10.828749999999999</c:v>
                </c:pt>
                <c:pt idx="1041">
                  <c:v>10.840566000000001</c:v>
                </c:pt>
                <c:pt idx="1042">
                  <c:v>10.8</c:v>
                </c:pt>
                <c:pt idx="1043">
                  <c:v>10.771428999999999</c:v>
                </c:pt>
                <c:pt idx="1044">
                  <c:v>10.71</c:v>
                </c:pt>
                <c:pt idx="1045">
                  <c:v>10.744999999999999</c:v>
                </c:pt>
                <c:pt idx="1046">
                  <c:v>10.5</c:v>
                </c:pt>
                <c:pt idx="1047">
                  <c:v>10.324999999999999</c:v>
                </c:pt>
                <c:pt idx="1048">
                  <c:v>9.9571430000000003</c:v>
                </c:pt>
                <c:pt idx="1049">
                  <c:v>9.65</c:v>
                </c:pt>
                <c:pt idx="1050">
                  <c:v>9.625</c:v>
                </c:pt>
                <c:pt idx="1051">
                  <c:v>9.5783330000000007</c:v>
                </c:pt>
                <c:pt idx="1052">
                  <c:v>9.5573680000000003</c:v>
                </c:pt>
                <c:pt idx="1053">
                  <c:v>9.5754549999999998</c:v>
                </c:pt>
                <c:pt idx="1054">
                  <c:v>9.5894739999999992</c:v>
                </c:pt>
                <c:pt idx="1055">
                  <c:v>9.8279069999999997</c:v>
                </c:pt>
                <c:pt idx="1056">
                  <c:v>9.8024389999999997</c:v>
                </c:pt>
                <c:pt idx="1057">
                  <c:v>9.9704549999999994</c:v>
                </c:pt>
                <c:pt idx="1058">
                  <c:v>9.9137249999999995</c:v>
                </c:pt>
                <c:pt idx="1059">
                  <c:v>9.9878049999999998</c:v>
                </c:pt>
                <c:pt idx="1060">
                  <c:v>10.095000000000001</c:v>
                </c:pt>
                <c:pt idx="1061">
                  <c:v>10.129761999999999</c:v>
                </c:pt>
                <c:pt idx="1062">
                  <c:v>10.119999999999999</c:v>
                </c:pt>
                <c:pt idx="1063">
                  <c:v>10.119149</c:v>
                </c:pt>
                <c:pt idx="1064">
                  <c:v>10.17193</c:v>
                </c:pt>
                <c:pt idx="1065">
                  <c:v>10.195556</c:v>
                </c:pt>
                <c:pt idx="1066">
                  <c:v>10.219048000000001</c:v>
                </c:pt>
                <c:pt idx="1067">
                  <c:v>10.222727000000001</c:v>
                </c:pt>
                <c:pt idx="1068">
                  <c:v>10.280951999999999</c:v>
                </c:pt>
                <c:pt idx="1069">
                  <c:v>10.130000000000001</c:v>
                </c:pt>
                <c:pt idx="1070">
                  <c:v>10.128571000000001</c:v>
                </c:pt>
                <c:pt idx="1071">
                  <c:v>10.34</c:v>
                </c:pt>
                <c:pt idx="1072">
                  <c:v>10.3</c:v>
                </c:pt>
                <c:pt idx="1073">
                  <c:v>10.371428999999999</c:v>
                </c:pt>
                <c:pt idx="1074">
                  <c:v>10.45</c:v>
                </c:pt>
                <c:pt idx="1075">
                  <c:v>10.55</c:v>
                </c:pt>
                <c:pt idx="1076">
                  <c:v>10.552174000000001</c:v>
                </c:pt>
                <c:pt idx="1077">
                  <c:v>10.609524</c:v>
                </c:pt>
                <c:pt idx="1078">
                  <c:v>10.546429</c:v>
                </c:pt>
                <c:pt idx="1079">
                  <c:v>10.596774</c:v>
                </c:pt>
                <c:pt idx="1080">
                  <c:v>10.651282</c:v>
                </c:pt>
                <c:pt idx="1081">
                  <c:v>10.562856999999999</c:v>
                </c:pt>
                <c:pt idx="1082">
                  <c:v>10.535556</c:v>
                </c:pt>
                <c:pt idx="1083">
                  <c:v>10.545676</c:v>
                </c:pt>
                <c:pt idx="1084">
                  <c:v>10.520725000000001</c:v>
                </c:pt>
                <c:pt idx="1085">
                  <c:v>10.564515999999999</c:v>
                </c:pt>
                <c:pt idx="1086">
                  <c:v>10.5326</c:v>
                </c:pt>
                <c:pt idx="1087">
                  <c:v>10.503448000000001</c:v>
                </c:pt>
                <c:pt idx="1088">
                  <c:v>10.430332999999999</c:v>
                </c:pt>
                <c:pt idx="1089">
                  <c:v>10.524782999999999</c:v>
                </c:pt>
                <c:pt idx="1090">
                  <c:v>10.466786000000001</c:v>
                </c:pt>
                <c:pt idx="1091">
                  <c:v>10.413333</c:v>
                </c:pt>
                <c:pt idx="1092">
                  <c:v>10.35</c:v>
                </c:pt>
                <c:pt idx="1093">
                  <c:v>10.18</c:v>
                </c:pt>
                <c:pt idx="1094">
                  <c:v>9.7874999999999996</c:v>
                </c:pt>
                <c:pt idx="1095">
                  <c:v>9.6716669999999993</c:v>
                </c:pt>
                <c:pt idx="1096">
                  <c:v>9.5</c:v>
                </c:pt>
                <c:pt idx="1097">
                  <c:v>9.5250000000000004</c:v>
                </c:pt>
                <c:pt idx="1098">
                  <c:v>9.4</c:v>
                </c:pt>
                <c:pt idx="1099">
                  <c:v>9.5453329999999994</c:v>
                </c:pt>
                <c:pt idx="1100">
                  <c:v>9.4934999999999992</c:v>
                </c:pt>
                <c:pt idx="1101">
                  <c:v>9.647907</c:v>
                </c:pt>
                <c:pt idx="1102">
                  <c:v>9.6057889999999997</c:v>
                </c:pt>
                <c:pt idx="1103">
                  <c:v>9.5987799999999996</c:v>
                </c:pt>
                <c:pt idx="1104">
                  <c:v>9.5942310000000006</c:v>
                </c:pt>
                <c:pt idx="1105">
                  <c:v>9.6404650000000007</c:v>
                </c:pt>
                <c:pt idx="1106">
                  <c:v>9.649756</c:v>
                </c:pt>
                <c:pt idx="1107">
                  <c:v>9.6782050000000002</c:v>
                </c:pt>
                <c:pt idx="1108">
                  <c:v>9.6602700000000006</c:v>
                </c:pt>
                <c:pt idx="1109">
                  <c:v>9.6754759999999997</c:v>
                </c:pt>
                <c:pt idx="1110">
                  <c:v>9.6607690000000002</c:v>
                </c:pt>
                <c:pt idx="1111">
                  <c:v>9.6551720000000003</c:v>
                </c:pt>
                <c:pt idx="1112">
                  <c:v>9.7799999999999994</c:v>
                </c:pt>
                <c:pt idx="1113">
                  <c:v>9.7136359999999993</c:v>
                </c:pt>
                <c:pt idx="1114">
                  <c:v>9.7015379999999993</c:v>
                </c:pt>
                <c:pt idx="1115">
                  <c:v>9.6608330000000002</c:v>
                </c:pt>
                <c:pt idx="1116">
                  <c:v>9.8666669999999996</c:v>
                </c:pt>
                <c:pt idx="1117">
                  <c:v>9.733333</c:v>
                </c:pt>
                <c:pt idx="1118">
                  <c:v>9.8937500000000007</c:v>
                </c:pt>
                <c:pt idx="1119">
                  <c:v>9.875</c:v>
                </c:pt>
                <c:pt idx="1120">
                  <c:v>9.8625000000000007</c:v>
                </c:pt>
                <c:pt idx="1121">
                  <c:v>10.050000000000001</c:v>
                </c:pt>
                <c:pt idx="1122">
                  <c:v>10.068</c:v>
                </c:pt>
                <c:pt idx="1123">
                  <c:v>10.092727</c:v>
                </c:pt>
                <c:pt idx="1124">
                  <c:v>9.9458330000000004</c:v>
                </c:pt>
                <c:pt idx="1125">
                  <c:v>9.8762500000000006</c:v>
                </c:pt>
                <c:pt idx="1126">
                  <c:v>9.9321870000000008</c:v>
                </c:pt>
                <c:pt idx="1127">
                  <c:v>9.9216219999999993</c:v>
                </c:pt>
                <c:pt idx="1128">
                  <c:v>9.8863640000000004</c:v>
                </c:pt>
                <c:pt idx="1129">
                  <c:v>9.8955359999999999</c:v>
                </c:pt>
                <c:pt idx="1130">
                  <c:v>9.7899999999999991</c:v>
                </c:pt>
                <c:pt idx="1131">
                  <c:v>9.8117649999999994</c:v>
                </c:pt>
                <c:pt idx="1132">
                  <c:v>9.7736839999999994</c:v>
                </c:pt>
                <c:pt idx="1133">
                  <c:v>9.8251059999999999</c:v>
                </c:pt>
                <c:pt idx="1134">
                  <c:v>9.8051279999999998</c:v>
                </c:pt>
                <c:pt idx="1135">
                  <c:v>9.7941179999999992</c:v>
                </c:pt>
                <c:pt idx="1136">
                  <c:v>9.7449999999999992</c:v>
                </c:pt>
                <c:pt idx="1137">
                  <c:v>9.7521050000000002</c:v>
                </c:pt>
                <c:pt idx="1138">
                  <c:v>9.8742859999999997</c:v>
                </c:pt>
                <c:pt idx="1139">
                  <c:v>9.3233329999999999</c:v>
                </c:pt>
                <c:pt idx="1140">
                  <c:v>9.5</c:v>
                </c:pt>
                <c:pt idx="1141">
                  <c:v>9.7375000000000007</c:v>
                </c:pt>
                <c:pt idx="1142">
                  <c:v>9.6666670000000003</c:v>
                </c:pt>
                <c:pt idx="1143">
                  <c:v>9.5692310000000003</c:v>
                </c:pt>
                <c:pt idx="1144">
                  <c:v>9.5785710000000002</c:v>
                </c:pt>
                <c:pt idx="1145">
                  <c:v>9.5500000000000007</c:v>
                </c:pt>
                <c:pt idx="1146">
                  <c:v>9.608333</c:v>
                </c:pt>
                <c:pt idx="1147">
                  <c:v>9.703125</c:v>
                </c:pt>
                <c:pt idx="1148">
                  <c:v>9.6722219999999997</c:v>
                </c:pt>
                <c:pt idx="1149">
                  <c:v>9.6868420000000004</c:v>
                </c:pt>
                <c:pt idx="1150">
                  <c:v>9.766667</c:v>
                </c:pt>
                <c:pt idx="1151">
                  <c:v>9.7949999999999999</c:v>
                </c:pt>
                <c:pt idx="1152">
                  <c:v>9.7460000000000004</c:v>
                </c:pt>
                <c:pt idx="1153">
                  <c:v>9.8230559999999993</c:v>
                </c:pt>
                <c:pt idx="1154">
                  <c:v>9.8208330000000004</c:v>
                </c:pt>
                <c:pt idx="1155">
                  <c:v>9.8175860000000004</c:v>
                </c:pt>
                <c:pt idx="1156">
                  <c:v>9.8907139999999991</c:v>
                </c:pt>
                <c:pt idx="1157">
                  <c:v>9.9039999999999999</c:v>
                </c:pt>
                <c:pt idx="1158">
                  <c:v>9.9092310000000001</c:v>
                </c:pt>
                <c:pt idx="1159">
                  <c:v>9.8576920000000001</c:v>
                </c:pt>
                <c:pt idx="1160">
                  <c:v>9.91</c:v>
                </c:pt>
                <c:pt idx="1161">
                  <c:v>9.85</c:v>
                </c:pt>
                <c:pt idx="116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09-4133-AA2F-1ABB2EF018A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Index!$M$24:$M$178</c:f>
              <c:numCache>
                <c:formatCode>General</c:formatCode>
                <c:ptCount val="155"/>
              </c:numCache>
            </c:numRef>
          </c:xVal>
          <c:yVal>
            <c:numRef>
              <c:f>Index!$O$24:$O$178</c:f>
              <c:numCache>
                <c:formatCode>General</c:formatCode>
                <c:ptCount val="155"/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09-4133-AA2F-1ABB2EF01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743632"/>
        <c:axId val="705737360"/>
      </c:scatterChart>
      <c:valAx>
        <c:axId val="705743632"/>
        <c:scaling>
          <c:orientation val="minMax"/>
          <c:min val="24517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737360"/>
        <c:crosses val="max"/>
        <c:crossBetween val="midCat"/>
        <c:majorUnit val="3650"/>
      </c:valAx>
      <c:valAx>
        <c:axId val="705737360"/>
        <c:scaling>
          <c:orientation val="maxMin"/>
          <c:min val="9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74363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Index!$A$1</c:f>
          <c:strCache>
            <c:ptCount val="1"/>
            <c:pt idx="0">
              <c:v>BF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Vis!$A$1:$A$6000</c:f>
              <c:numCache>
                <c:formatCode>General</c:formatCode>
                <c:ptCount val="6000"/>
                <c:pt idx="0">
                  <c:v>2430184.2124999999</c:v>
                </c:pt>
                <c:pt idx="1">
                  <c:v>2430200.2374999998</c:v>
                </c:pt>
                <c:pt idx="2">
                  <c:v>2430215.7333300002</c:v>
                </c:pt>
                <c:pt idx="3">
                  <c:v>2430232.1833299999</c:v>
                </c:pt>
                <c:pt idx="4">
                  <c:v>2430252.75</c:v>
                </c:pt>
                <c:pt idx="5">
                  <c:v>2430272.2666699998</c:v>
                </c:pt>
                <c:pt idx="6">
                  <c:v>2430284.4857100002</c:v>
                </c:pt>
                <c:pt idx="7">
                  <c:v>2430314.0499999998</c:v>
                </c:pt>
                <c:pt idx="8">
                  <c:v>2435637.7000000002</c:v>
                </c:pt>
                <c:pt idx="9">
                  <c:v>2435727.7000000002</c:v>
                </c:pt>
                <c:pt idx="10">
                  <c:v>2435749.7000000002</c:v>
                </c:pt>
                <c:pt idx="11">
                  <c:v>2435807.7000000002</c:v>
                </c:pt>
                <c:pt idx="12">
                  <c:v>2436010.7000000002</c:v>
                </c:pt>
                <c:pt idx="13">
                  <c:v>2436026.7000000002</c:v>
                </c:pt>
                <c:pt idx="14">
                  <c:v>2436103.7999999998</c:v>
                </c:pt>
                <c:pt idx="15">
                  <c:v>2436158.7000000002</c:v>
                </c:pt>
                <c:pt idx="16">
                  <c:v>2436198.6</c:v>
                </c:pt>
                <c:pt idx="17">
                  <c:v>2436354.7999999998</c:v>
                </c:pt>
                <c:pt idx="18">
                  <c:v>2436379.7999999998</c:v>
                </c:pt>
                <c:pt idx="19">
                  <c:v>2436404.7000000002</c:v>
                </c:pt>
                <c:pt idx="20">
                  <c:v>2436454.7999999998</c:v>
                </c:pt>
                <c:pt idx="21">
                  <c:v>2436498.7000000002</c:v>
                </c:pt>
                <c:pt idx="22">
                  <c:v>2436526.6</c:v>
                </c:pt>
                <c:pt idx="23">
                  <c:v>2436671</c:v>
                </c:pt>
                <c:pt idx="24">
                  <c:v>2436720.7999999998</c:v>
                </c:pt>
                <c:pt idx="25">
                  <c:v>2436775.7000000002</c:v>
                </c:pt>
                <c:pt idx="26">
                  <c:v>2436839.7999999998</c:v>
                </c:pt>
                <c:pt idx="27">
                  <c:v>2436865.7000000002</c:v>
                </c:pt>
                <c:pt idx="28">
                  <c:v>2436897.6</c:v>
                </c:pt>
                <c:pt idx="29">
                  <c:v>2437106.7999999998</c:v>
                </c:pt>
                <c:pt idx="30">
                  <c:v>2437146.7000000002</c:v>
                </c:pt>
                <c:pt idx="31">
                  <c:v>2437167.9</c:v>
                </c:pt>
                <c:pt idx="32">
                  <c:v>2437189.7000000002</c:v>
                </c:pt>
                <c:pt idx="33">
                  <c:v>2437225.7000000002</c:v>
                </c:pt>
                <c:pt idx="34">
                  <c:v>2437257.7000000002</c:v>
                </c:pt>
                <c:pt idx="35">
                  <c:v>2437476.7999999998</c:v>
                </c:pt>
                <c:pt idx="36">
                  <c:v>2437517.7999999998</c:v>
                </c:pt>
                <c:pt idx="37">
                  <c:v>2437560.7034999998</c:v>
                </c:pt>
                <c:pt idx="38">
                  <c:v>2437846.4</c:v>
                </c:pt>
                <c:pt idx="39">
                  <c:v>2437874.7000000002</c:v>
                </c:pt>
                <c:pt idx="40">
                  <c:v>2437931.7999999998</c:v>
                </c:pt>
                <c:pt idx="41">
                  <c:v>2437958.6</c:v>
                </c:pt>
                <c:pt idx="42">
                  <c:v>2438005.7000000002</c:v>
                </c:pt>
                <c:pt idx="43">
                  <c:v>2438169.7999999998</c:v>
                </c:pt>
                <c:pt idx="44">
                  <c:v>2438211.7999999998</c:v>
                </c:pt>
                <c:pt idx="45">
                  <c:v>2438236.7000000002</c:v>
                </c:pt>
                <c:pt idx="46">
                  <c:v>2438290.7000000002</c:v>
                </c:pt>
                <c:pt idx="47">
                  <c:v>2438327.7000000002</c:v>
                </c:pt>
                <c:pt idx="48">
                  <c:v>2438356.6</c:v>
                </c:pt>
                <c:pt idx="49">
                  <c:v>2438538.7999999998</c:v>
                </c:pt>
                <c:pt idx="50">
                  <c:v>2438574.7999999998</c:v>
                </c:pt>
                <c:pt idx="51">
                  <c:v>2438592.7000000002</c:v>
                </c:pt>
                <c:pt idx="52">
                  <c:v>2438621.7000000002</c:v>
                </c:pt>
                <c:pt idx="53">
                  <c:v>2438670.3333299998</c:v>
                </c:pt>
                <c:pt idx="54">
                  <c:v>2438688.65</c:v>
                </c:pt>
                <c:pt idx="55">
                  <c:v>2438707.6</c:v>
                </c:pt>
                <c:pt idx="56">
                  <c:v>2438718.6</c:v>
                </c:pt>
                <c:pt idx="57">
                  <c:v>2438737.5750000002</c:v>
                </c:pt>
                <c:pt idx="58">
                  <c:v>2438857.85</c:v>
                </c:pt>
                <c:pt idx="59">
                  <c:v>2438879.7999999998</c:v>
                </c:pt>
                <c:pt idx="60">
                  <c:v>2438910.7999999998</c:v>
                </c:pt>
                <c:pt idx="61">
                  <c:v>2438922.1800000002</c:v>
                </c:pt>
                <c:pt idx="62">
                  <c:v>2438935.2777800001</c:v>
                </c:pt>
                <c:pt idx="63">
                  <c:v>2438954</c:v>
                </c:pt>
                <c:pt idx="64">
                  <c:v>2438971.2230799999</c:v>
                </c:pt>
                <c:pt idx="65">
                  <c:v>2438985.25</c:v>
                </c:pt>
                <c:pt idx="66">
                  <c:v>2439001.4636400002</c:v>
                </c:pt>
                <c:pt idx="67">
                  <c:v>2439027.6</c:v>
                </c:pt>
                <c:pt idx="68">
                  <c:v>2439035.88</c:v>
                </c:pt>
                <c:pt idx="69">
                  <c:v>2439056.70909</c:v>
                </c:pt>
                <c:pt idx="70">
                  <c:v>2439070.5666700001</c:v>
                </c:pt>
                <c:pt idx="71">
                  <c:v>2439095.5</c:v>
                </c:pt>
                <c:pt idx="72">
                  <c:v>2439123.5</c:v>
                </c:pt>
                <c:pt idx="73">
                  <c:v>2439173.6666700002</c:v>
                </c:pt>
                <c:pt idx="74">
                  <c:v>2439185.2000000002</c:v>
                </c:pt>
                <c:pt idx="75">
                  <c:v>2439208.3142900001</c:v>
                </c:pt>
                <c:pt idx="76">
                  <c:v>2439223.125</c:v>
                </c:pt>
                <c:pt idx="77">
                  <c:v>2439242.1</c:v>
                </c:pt>
                <c:pt idx="78">
                  <c:v>2439253.35</c:v>
                </c:pt>
                <c:pt idx="79">
                  <c:v>2439270.75385</c:v>
                </c:pt>
                <c:pt idx="80">
                  <c:v>2439289.28571</c:v>
                </c:pt>
                <c:pt idx="81">
                  <c:v>2439309.3666699999</c:v>
                </c:pt>
                <c:pt idx="82">
                  <c:v>2439326.8083299999</c:v>
                </c:pt>
                <c:pt idx="83">
                  <c:v>2439342.125</c:v>
                </c:pt>
                <c:pt idx="84">
                  <c:v>2439357.5428599999</c:v>
                </c:pt>
                <c:pt idx="85">
                  <c:v>2439371.9750000001</c:v>
                </c:pt>
                <c:pt idx="86">
                  <c:v>2439388.75</c:v>
                </c:pt>
                <c:pt idx="87">
                  <c:v>2439406.85</c:v>
                </c:pt>
                <c:pt idx="88">
                  <c:v>2439426.1</c:v>
                </c:pt>
                <c:pt idx="89">
                  <c:v>2439442.6</c:v>
                </c:pt>
                <c:pt idx="90">
                  <c:v>2439460</c:v>
                </c:pt>
                <c:pt idx="91">
                  <c:v>2439474.5666700001</c:v>
                </c:pt>
                <c:pt idx="92">
                  <c:v>2439567.9</c:v>
                </c:pt>
                <c:pt idx="93">
                  <c:v>2439581.15</c:v>
                </c:pt>
                <c:pt idx="94">
                  <c:v>2439592.3285699999</c:v>
                </c:pt>
                <c:pt idx="95">
                  <c:v>2439611.2571399999</c:v>
                </c:pt>
                <c:pt idx="96">
                  <c:v>2439625.2999999998</c:v>
                </c:pt>
                <c:pt idx="97">
                  <c:v>2439641.0538499998</c:v>
                </c:pt>
                <c:pt idx="98">
                  <c:v>2439660.03333</c:v>
                </c:pt>
                <c:pt idx="99">
                  <c:v>2439674.7000000002</c:v>
                </c:pt>
                <c:pt idx="100">
                  <c:v>2439692.1749999998</c:v>
                </c:pt>
                <c:pt idx="101">
                  <c:v>2439711.25</c:v>
                </c:pt>
                <c:pt idx="102">
                  <c:v>2439735.8374999999</c:v>
                </c:pt>
                <c:pt idx="103">
                  <c:v>2439750.2000000002</c:v>
                </c:pt>
                <c:pt idx="104">
                  <c:v>2439766.71667</c:v>
                </c:pt>
                <c:pt idx="105">
                  <c:v>2439786.35</c:v>
                </c:pt>
                <c:pt idx="106">
                  <c:v>2439798.0666700001</c:v>
                </c:pt>
                <c:pt idx="107">
                  <c:v>2439816.9500000002</c:v>
                </c:pt>
                <c:pt idx="108">
                  <c:v>2439915.4</c:v>
                </c:pt>
                <c:pt idx="109">
                  <c:v>2439928.9</c:v>
                </c:pt>
                <c:pt idx="110">
                  <c:v>2439948.6666700002</c:v>
                </c:pt>
                <c:pt idx="111">
                  <c:v>2439976.1333300001</c:v>
                </c:pt>
                <c:pt idx="112">
                  <c:v>2440000.3312499998</c:v>
                </c:pt>
                <c:pt idx="113">
                  <c:v>2440019.0520000001</c:v>
                </c:pt>
                <c:pt idx="114">
                  <c:v>2440037.378</c:v>
                </c:pt>
                <c:pt idx="115">
                  <c:v>2440057.1549999998</c:v>
                </c:pt>
                <c:pt idx="116">
                  <c:v>2440067.3450000002</c:v>
                </c:pt>
                <c:pt idx="117">
                  <c:v>2440088.622</c:v>
                </c:pt>
                <c:pt idx="118">
                  <c:v>2440106.2650000001</c:v>
                </c:pt>
                <c:pt idx="119">
                  <c:v>2440121.8276900002</c:v>
                </c:pt>
                <c:pt idx="120">
                  <c:v>2440140.0649999999</c:v>
                </c:pt>
                <c:pt idx="121">
                  <c:v>2440158.00667</c:v>
                </c:pt>
                <c:pt idx="122">
                  <c:v>2440177.946</c:v>
                </c:pt>
                <c:pt idx="123">
                  <c:v>2440198.4849999999</c:v>
                </c:pt>
                <c:pt idx="124">
                  <c:v>2440265.7999999998</c:v>
                </c:pt>
                <c:pt idx="125">
                  <c:v>2440297.4</c:v>
                </c:pt>
                <c:pt idx="126">
                  <c:v>2440328.3166700001</c:v>
                </c:pt>
                <c:pt idx="127">
                  <c:v>2440355.0249999999</c:v>
                </c:pt>
                <c:pt idx="128">
                  <c:v>2440372.4500000002</c:v>
                </c:pt>
                <c:pt idx="129">
                  <c:v>2440386.25556</c:v>
                </c:pt>
                <c:pt idx="130">
                  <c:v>2440406.6749999998</c:v>
                </c:pt>
                <c:pt idx="131">
                  <c:v>2440421.6800000002</c:v>
                </c:pt>
                <c:pt idx="132">
                  <c:v>2440439.7000000002</c:v>
                </c:pt>
                <c:pt idx="133">
                  <c:v>2440457.875</c:v>
                </c:pt>
                <c:pt idx="134">
                  <c:v>2440478.3111100001</c:v>
                </c:pt>
                <c:pt idx="135">
                  <c:v>2440494.5857099998</c:v>
                </c:pt>
                <c:pt idx="136">
                  <c:v>2440510.1666700002</c:v>
                </c:pt>
                <c:pt idx="137">
                  <c:v>2440528.15</c:v>
                </c:pt>
                <c:pt idx="138">
                  <c:v>2440550.1285700002</c:v>
                </c:pt>
                <c:pt idx="139">
                  <c:v>2440568</c:v>
                </c:pt>
                <c:pt idx="140">
                  <c:v>2440591.53333</c:v>
                </c:pt>
                <c:pt idx="141">
                  <c:v>2440639.4500000002</c:v>
                </c:pt>
                <c:pt idx="142">
                  <c:v>2440656.35</c:v>
                </c:pt>
                <c:pt idx="143">
                  <c:v>2440685.7799999998</c:v>
                </c:pt>
                <c:pt idx="144">
                  <c:v>2440699.7000000002</c:v>
                </c:pt>
                <c:pt idx="145">
                  <c:v>2440716.7999999998</c:v>
                </c:pt>
                <c:pt idx="146">
                  <c:v>2440738.5625</c:v>
                </c:pt>
                <c:pt idx="147">
                  <c:v>2440754.8285699999</c:v>
                </c:pt>
                <c:pt idx="148">
                  <c:v>2440772.2999999998</c:v>
                </c:pt>
                <c:pt idx="149">
                  <c:v>2440788.2999999998</c:v>
                </c:pt>
                <c:pt idx="150">
                  <c:v>2440805.5</c:v>
                </c:pt>
                <c:pt idx="151">
                  <c:v>2440828</c:v>
                </c:pt>
                <c:pt idx="152">
                  <c:v>2440842.3333299998</c:v>
                </c:pt>
                <c:pt idx="153">
                  <c:v>2440861.2333300002</c:v>
                </c:pt>
                <c:pt idx="154">
                  <c:v>2440880.125</c:v>
                </c:pt>
                <c:pt idx="155">
                  <c:v>2440891.58</c:v>
                </c:pt>
                <c:pt idx="156">
                  <c:v>2440910.9</c:v>
                </c:pt>
                <c:pt idx="157">
                  <c:v>2440929.8666699999</c:v>
                </c:pt>
                <c:pt idx="158">
                  <c:v>2440951.8666699999</c:v>
                </c:pt>
                <c:pt idx="159">
                  <c:v>2441006.9</c:v>
                </c:pt>
                <c:pt idx="160">
                  <c:v>2441030.7999999998</c:v>
                </c:pt>
                <c:pt idx="161">
                  <c:v>2441042.6166699999</c:v>
                </c:pt>
                <c:pt idx="162">
                  <c:v>2441066.6666700002</c:v>
                </c:pt>
                <c:pt idx="163">
                  <c:v>2441082.6749999998</c:v>
                </c:pt>
                <c:pt idx="164">
                  <c:v>2441101.2999999998</c:v>
                </c:pt>
                <c:pt idx="165">
                  <c:v>2441118.84778</c:v>
                </c:pt>
                <c:pt idx="166">
                  <c:v>2441142.22438</c:v>
                </c:pt>
                <c:pt idx="167">
                  <c:v>2441160.6657099999</c:v>
                </c:pt>
                <c:pt idx="168">
                  <c:v>2441177.1778600002</c:v>
                </c:pt>
                <c:pt idx="169">
                  <c:v>2441201.088</c:v>
                </c:pt>
                <c:pt idx="170">
                  <c:v>2441213.0980000002</c:v>
                </c:pt>
                <c:pt idx="171">
                  <c:v>2441233.8739999998</c:v>
                </c:pt>
                <c:pt idx="172">
                  <c:v>2441247.7376899999</c:v>
                </c:pt>
                <c:pt idx="173">
                  <c:v>2441264.62818</c:v>
                </c:pt>
                <c:pt idx="174">
                  <c:v>2441280.4333299999</c:v>
                </c:pt>
                <c:pt idx="175">
                  <c:v>2441296.2822199999</c:v>
                </c:pt>
                <c:pt idx="176">
                  <c:v>2441326.5249999999</c:v>
                </c:pt>
                <c:pt idx="177">
                  <c:v>2441398.66</c:v>
                </c:pt>
                <c:pt idx="178">
                  <c:v>2441410.96667</c:v>
                </c:pt>
                <c:pt idx="179">
                  <c:v>2441427.52</c:v>
                </c:pt>
                <c:pt idx="180">
                  <c:v>2441443.9133299999</c:v>
                </c:pt>
                <c:pt idx="181">
                  <c:v>2441462.3250000002</c:v>
                </c:pt>
                <c:pt idx="182">
                  <c:v>2441475.8640000001</c:v>
                </c:pt>
                <c:pt idx="183">
                  <c:v>2441495.4240000001</c:v>
                </c:pt>
                <c:pt idx="184">
                  <c:v>2441510.02</c:v>
                </c:pt>
                <c:pt idx="185">
                  <c:v>2441528.68909</c:v>
                </c:pt>
                <c:pt idx="186">
                  <c:v>2441545.8199999998</c:v>
                </c:pt>
                <c:pt idx="187">
                  <c:v>2441563.9</c:v>
                </c:pt>
                <c:pt idx="188">
                  <c:v>2441581.2583300001</c:v>
                </c:pt>
                <c:pt idx="189">
                  <c:v>2441596.9481799998</c:v>
                </c:pt>
                <c:pt idx="190">
                  <c:v>2441615.5074999998</c:v>
                </c:pt>
                <c:pt idx="191">
                  <c:v>2441632.6433299999</c:v>
                </c:pt>
                <c:pt idx="192">
                  <c:v>2441646.8428600002</c:v>
                </c:pt>
                <c:pt idx="193">
                  <c:v>2441664.9683300001</c:v>
                </c:pt>
                <c:pt idx="194">
                  <c:v>2441686.1375000002</c:v>
                </c:pt>
                <c:pt idx="195">
                  <c:v>2441727.9</c:v>
                </c:pt>
                <c:pt idx="196">
                  <c:v>2441751.63</c:v>
                </c:pt>
                <c:pt idx="197">
                  <c:v>2441760.8333299998</c:v>
                </c:pt>
                <c:pt idx="198">
                  <c:v>2441787.7999999998</c:v>
                </c:pt>
                <c:pt idx="199">
                  <c:v>2441804.5499999998</c:v>
                </c:pt>
                <c:pt idx="200">
                  <c:v>2441829.38</c:v>
                </c:pt>
                <c:pt idx="201">
                  <c:v>2441842.8555600001</c:v>
                </c:pt>
                <c:pt idx="202">
                  <c:v>2441858.2628600001</c:v>
                </c:pt>
                <c:pt idx="203">
                  <c:v>2441873.59571</c:v>
                </c:pt>
                <c:pt idx="204">
                  <c:v>2441895.2658299999</c:v>
                </c:pt>
                <c:pt idx="205">
                  <c:v>2441910.9720000001</c:v>
                </c:pt>
                <c:pt idx="206">
                  <c:v>2441931.8829999999</c:v>
                </c:pt>
                <c:pt idx="207">
                  <c:v>2441947.25667</c:v>
                </c:pt>
                <c:pt idx="208">
                  <c:v>2441963.8333299998</c:v>
                </c:pt>
                <c:pt idx="209">
                  <c:v>2441980.68444</c:v>
                </c:pt>
                <c:pt idx="210">
                  <c:v>2441999.1</c:v>
                </c:pt>
                <c:pt idx="211">
                  <c:v>2442016.36</c:v>
                </c:pt>
                <c:pt idx="212">
                  <c:v>2442033.8840000001</c:v>
                </c:pt>
                <c:pt idx="213">
                  <c:v>2442060.5</c:v>
                </c:pt>
                <c:pt idx="214">
                  <c:v>2442162.4562499998</c:v>
                </c:pt>
                <c:pt idx="215">
                  <c:v>2442187.1166699999</c:v>
                </c:pt>
                <c:pt idx="216">
                  <c:v>2442216.4024999999</c:v>
                </c:pt>
                <c:pt idx="217">
                  <c:v>2442232.2914300002</c:v>
                </c:pt>
                <c:pt idx="218">
                  <c:v>2442248.4146199999</c:v>
                </c:pt>
                <c:pt idx="219">
                  <c:v>2442264.5520000001</c:v>
                </c:pt>
                <c:pt idx="220">
                  <c:v>2442276.6329999999</c:v>
                </c:pt>
                <c:pt idx="221">
                  <c:v>2442299.6179999998</c:v>
                </c:pt>
                <c:pt idx="222">
                  <c:v>2442316.02</c:v>
                </c:pt>
                <c:pt idx="223">
                  <c:v>2442331.9</c:v>
                </c:pt>
                <c:pt idx="224">
                  <c:v>2442350.2000000002</c:v>
                </c:pt>
                <c:pt idx="225">
                  <c:v>2442365.1222199998</c:v>
                </c:pt>
                <c:pt idx="226">
                  <c:v>2442382.7749999999</c:v>
                </c:pt>
                <c:pt idx="227">
                  <c:v>2442400.5</c:v>
                </c:pt>
                <c:pt idx="228">
                  <c:v>2442417.1749999998</c:v>
                </c:pt>
                <c:pt idx="229">
                  <c:v>2442518.1</c:v>
                </c:pt>
                <c:pt idx="230">
                  <c:v>2442538.4888900002</c:v>
                </c:pt>
                <c:pt idx="231">
                  <c:v>2442556.66</c:v>
                </c:pt>
                <c:pt idx="232">
                  <c:v>2442573.023</c:v>
                </c:pt>
                <c:pt idx="233">
                  <c:v>2442593.4142900002</c:v>
                </c:pt>
                <c:pt idx="234">
                  <c:v>2442604.0685700001</c:v>
                </c:pt>
                <c:pt idx="235">
                  <c:v>2442624.04</c:v>
                </c:pt>
                <c:pt idx="236">
                  <c:v>2442633.8388899998</c:v>
                </c:pt>
                <c:pt idx="237">
                  <c:v>2442656.9861499998</c:v>
                </c:pt>
                <c:pt idx="238">
                  <c:v>2442669.1933300002</c:v>
                </c:pt>
                <c:pt idx="239">
                  <c:v>2442687.7599999998</c:v>
                </c:pt>
                <c:pt idx="240">
                  <c:v>2442707.2827300001</c:v>
                </c:pt>
                <c:pt idx="241">
                  <c:v>2442719.0499999998</c:v>
                </c:pt>
                <c:pt idx="242">
                  <c:v>2442734.6175000002</c:v>
                </c:pt>
                <c:pt idx="243">
                  <c:v>2442750.3666699999</c:v>
                </c:pt>
                <c:pt idx="244">
                  <c:v>2442770.53333</c:v>
                </c:pt>
                <c:pt idx="245">
                  <c:v>2442781</c:v>
                </c:pt>
                <c:pt idx="246">
                  <c:v>2442829.9</c:v>
                </c:pt>
                <c:pt idx="247">
                  <c:v>2442874</c:v>
                </c:pt>
                <c:pt idx="248">
                  <c:v>2442896.7533300002</c:v>
                </c:pt>
                <c:pt idx="249">
                  <c:v>2442922.6</c:v>
                </c:pt>
                <c:pt idx="250">
                  <c:v>2442935</c:v>
                </c:pt>
                <c:pt idx="251">
                  <c:v>2442954.92</c:v>
                </c:pt>
                <c:pt idx="252">
                  <c:v>2442966.6714300001</c:v>
                </c:pt>
                <c:pt idx="253">
                  <c:v>2442983.8666699999</c:v>
                </c:pt>
                <c:pt idx="254">
                  <c:v>2442998.66</c:v>
                </c:pt>
                <c:pt idx="255">
                  <c:v>2443016.3363600001</c:v>
                </c:pt>
                <c:pt idx="256">
                  <c:v>2443034.2944999998</c:v>
                </c:pt>
                <c:pt idx="257">
                  <c:v>2443049.7250000001</c:v>
                </c:pt>
                <c:pt idx="258">
                  <c:v>2443065.3285699999</c:v>
                </c:pt>
                <c:pt idx="259">
                  <c:v>2443084.4</c:v>
                </c:pt>
                <c:pt idx="260">
                  <c:v>2443099.7599999998</c:v>
                </c:pt>
                <c:pt idx="261">
                  <c:v>2443114.54</c:v>
                </c:pt>
                <c:pt idx="262">
                  <c:v>2443132.5</c:v>
                </c:pt>
                <c:pt idx="263">
                  <c:v>2443204.9500000002</c:v>
                </c:pt>
                <c:pt idx="264">
                  <c:v>2443229.9</c:v>
                </c:pt>
                <c:pt idx="265">
                  <c:v>2443253.85</c:v>
                </c:pt>
                <c:pt idx="266">
                  <c:v>2443280.0249999999</c:v>
                </c:pt>
                <c:pt idx="267">
                  <c:v>2443293.8250000002</c:v>
                </c:pt>
                <c:pt idx="268">
                  <c:v>2443308.5874999999</c:v>
                </c:pt>
                <c:pt idx="269">
                  <c:v>2443335.3285699999</c:v>
                </c:pt>
                <c:pt idx="270">
                  <c:v>2443352.895</c:v>
                </c:pt>
                <c:pt idx="271">
                  <c:v>2443369.9428599998</c:v>
                </c:pt>
                <c:pt idx="272">
                  <c:v>2443392.19</c:v>
                </c:pt>
                <c:pt idx="273">
                  <c:v>2443409.1</c:v>
                </c:pt>
                <c:pt idx="274">
                  <c:v>2443423.84</c:v>
                </c:pt>
                <c:pt idx="275">
                  <c:v>2443445.1</c:v>
                </c:pt>
                <c:pt idx="276">
                  <c:v>2443459.8833300001</c:v>
                </c:pt>
                <c:pt idx="277">
                  <c:v>2443473.9</c:v>
                </c:pt>
                <c:pt idx="278">
                  <c:v>2443492.6333300001</c:v>
                </c:pt>
                <c:pt idx="279">
                  <c:v>2443515.2999999998</c:v>
                </c:pt>
                <c:pt idx="280">
                  <c:v>2443615.9</c:v>
                </c:pt>
                <c:pt idx="281">
                  <c:v>2443635.2000000002</c:v>
                </c:pt>
                <c:pt idx="282">
                  <c:v>2443655.6</c:v>
                </c:pt>
                <c:pt idx="283">
                  <c:v>2443668.6833299999</c:v>
                </c:pt>
                <c:pt idx="284">
                  <c:v>2443685.4166700002</c:v>
                </c:pt>
                <c:pt idx="285">
                  <c:v>2443698.9272699999</c:v>
                </c:pt>
                <c:pt idx="286">
                  <c:v>2443722.5444399999</c:v>
                </c:pt>
                <c:pt idx="287">
                  <c:v>2443737.4</c:v>
                </c:pt>
                <c:pt idx="288">
                  <c:v>2443754.3444400001</c:v>
                </c:pt>
                <c:pt idx="289">
                  <c:v>2443777.4410000001</c:v>
                </c:pt>
                <c:pt idx="290">
                  <c:v>2443791.8363600001</c:v>
                </c:pt>
                <c:pt idx="291">
                  <c:v>2443809.5356399999</c:v>
                </c:pt>
                <c:pt idx="292">
                  <c:v>2443825.5249999999</c:v>
                </c:pt>
                <c:pt idx="293">
                  <c:v>2443854.4</c:v>
                </c:pt>
                <c:pt idx="294">
                  <c:v>2443877.1</c:v>
                </c:pt>
                <c:pt idx="295">
                  <c:v>2443954.9</c:v>
                </c:pt>
                <c:pt idx="296">
                  <c:v>2443988.7333300002</c:v>
                </c:pt>
                <c:pt idx="297">
                  <c:v>2444003.9500000002</c:v>
                </c:pt>
                <c:pt idx="298">
                  <c:v>2444017.6888899999</c:v>
                </c:pt>
                <c:pt idx="299">
                  <c:v>2444038.8311999999</c:v>
                </c:pt>
                <c:pt idx="300">
                  <c:v>2444056.9750000001</c:v>
                </c:pt>
                <c:pt idx="301">
                  <c:v>2444076.5750000002</c:v>
                </c:pt>
                <c:pt idx="302">
                  <c:v>2444087.52</c:v>
                </c:pt>
                <c:pt idx="303">
                  <c:v>2444102.3281700001</c:v>
                </c:pt>
                <c:pt idx="304">
                  <c:v>2444120.5636399998</c:v>
                </c:pt>
                <c:pt idx="305">
                  <c:v>2444135.4571400001</c:v>
                </c:pt>
                <c:pt idx="306">
                  <c:v>2444149.4857100002</c:v>
                </c:pt>
                <c:pt idx="307">
                  <c:v>2444166.1595000001</c:v>
                </c:pt>
                <c:pt idx="308">
                  <c:v>2444183.2000000002</c:v>
                </c:pt>
                <c:pt idx="309">
                  <c:v>2444196.6005000002</c:v>
                </c:pt>
                <c:pt idx="310">
                  <c:v>2444212.9925600002</c:v>
                </c:pt>
                <c:pt idx="311">
                  <c:v>2444235.9</c:v>
                </c:pt>
                <c:pt idx="312">
                  <c:v>2444313.9</c:v>
                </c:pt>
                <c:pt idx="313">
                  <c:v>2444371.875</c:v>
                </c:pt>
                <c:pt idx="314">
                  <c:v>2444392.64</c:v>
                </c:pt>
                <c:pt idx="315">
                  <c:v>2444407.85</c:v>
                </c:pt>
                <c:pt idx="316">
                  <c:v>2444425.7476499998</c:v>
                </c:pt>
                <c:pt idx="317">
                  <c:v>2444439.5277800001</c:v>
                </c:pt>
                <c:pt idx="318">
                  <c:v>2444454.0586199998</c:v>
                </c:pt>
                <c:pt idx="319">
                  <c:v>2444470.82375</c:v>
                </c:pt>
                <c:pt idx="320">
                  <c:v>2444486.46276</c:v>
                </c:pt>
                <c:pt idx="321">
                  <c:v>2444501.2733300002</c:v>
                </c:pt>
                <c:pt idx="322">
                  <c:v>2444517.1636399999</c:v>
                </c:pt>
                <c:pt idx="323">
                  <c:v>2444530.9029399999</c:v>
                </c:pt>
                <c:pt idx="324">
                  <c:v>2444551.0416700002</c:v>
                </c:pt>
                <c:pt idx="325">
                  <c:v>2444565.2200000002</c:v>
                </c:pt>
                <c:pt idx="326">
                  <c:v>2444580.6</c:v>
                </c:pt>
                <c:pt idx="327">
                  <c:v>2444606.0720000002</c:v>
                </c:pt>
                <c:pt idx="328">
                  <c:v>2444628.9</c:v>
                </c:pt>
                <c:pt idx="329">
                  <c:v>2444725.4</c:v>
                </c:pt>
                <c:pt idx="330">
                  <c:v>2444755.4</c:v>
                </c:pt>
                <c:pt idx="331">
                  <c:v>2444766.35</c:v>
                </c:pt>
                <c:pt idx="332">
                  <c:v>2444784.6857099999</c:v>
                </c:pt>
                <c:pt idx="333">
                  <c:v>2444799.4807099998</c:v>
                </c:pt>
                <c:pt idx="334">
                  <c:v>2444814.0305900001</c:v>
                </c:pt>
                <c:pt idx="335">
                  <c:v>2444831.4916699999</c:v>
                </c:pt>
                <c:pt idx="336">
                  <c:v>2444843.2250000001</c:v>
                </c:pt>
                <c:pt idx="337">
                  <c:v>2444861.1</c:v>
                </c:pt>
                <c:pt idx="338">
                  <c:v>2444877.7957100002</c:v>
                </c:pt>
                <c:pt idx="339">
                  <c:v>2444900.5589999999</c:v>
                </c:pt>
                <c:pt idx="340">
                  <c:v>2444918.7124999999</c:v>
                </c:pt>
                <c:pt idx="341">
                  <c:v>2444936.9072199999</c:v>
                </c:pt>
                <c:pt idx="342">
                  <c:v>2444953.6749999998</c:v>
                </c:pt>
                <c:pt idx="343">
                  <c:v>2444996.9</c:v>
                </c:pt>
                <c:pt idx="344">
                  <c:v>2445032.9</c:v>
                </c:pt>
                <c:pt idx="345">
                  <c:v>2445110.6</c:v>
                </c:pt>
                <c:pt idx="346">
                  <c:v>2445135.1749999998</c:v>
                </c:pt>
                <c:pt idx="347">
                  <c:v>2445151.66</c:v>
                </c:pt>
                <c:pt idx="348">
                  <c:v>2445167.1042900002</c:v>
                </c:pt>
                <c:pt idx="349">
                  <c:v>2445180.0076899999</c:v>
                </c:pt>
                <c:pt idx="350">
                  <c:v>2445199.1529999999</c:v>
                </c:pt>
                <c:pt idx="351">
                  <c:v>2445216.7745500002</c:v>
                </c:pt>
                <c:pt idx="352">
                  <c:v>2445230.3453500001</c:v>
                </c:pt>
                <c:pt idx="353">
                  <c:v>2445245.4191700001</c:v>
                </c:pt>
                <c:pt idx="354">
                  <c:v>2445262.4096400002</c:v>
                </c:pt>
                <c:pt idx="355">
                  <c:v>2445283.0699999998</c:v>
                </c:pt>
                <c:pt idx="356">
                  <c:v>2445295.7454499998</c:v>
                </c:pt>
                <c:pt idx="357">
                  <c:v>2445316.0469999998</c:v>
                </c:pt>
                <c:pt idx="358">
                  <c:v>2445340.4033300001</c:v>
                </c:pt>
                <c:pt idx="359">
                  <c:v>2445409.9</c:v>
                </c:pt>
                <c:pt idx="360">
                  <c:v>2445437.9</c:v>
                </c:pt>
                <c:pt idx="361">
                  <c:v>2445464.7250000001</c:v>
                </c:pt>
                <c:pt idx="362">
                  <c:v>2445477.98</c:v>
                </c:pt>
                <c:pt idx="363">
                  <c:v>2445496.9192300001</c:v>
                </c:pt>
                <c:pt idx="364">
                  <c:v>2445514.2327000001</c:v>
                </c:pt>
                <c:pt idx="365">
                  <c:v>2445527.4165699999</c:v>
                </c:pt>
                <c:pt idx="366">
                  <c:v>2445544.1293500001</c:v>
                </c:pt>
                <c:pt idx="367">
                  <c:v>2445560.8088099998</c:v>
                </c:pt>
                <c:pt idx="368">
                  <c:v>2445577.4770999998</c:v>
                </c:pt>
                <c:pt idx="369">
                  <c:v>2445589.7027099999</c:v>
                </c:pt>
                <c:pt idx="370">
                  <c:v>2445607.2399300002</c:v>
                </c:pt>
                <c:pt idx="371">
                  <c:v>2445619.4510499998</c:v>
                </c:pt>
                <c:pt idx="372">
                  <c:v>2445637.2003899999</c:v>
                </c:pt>
                <c:pt idx="373">
                  <c:v>2445653.5345000001</c:v>
                </c:pt>
                <c:pt idx="374">
                  <c:v>2445667.71227</c:v>
                </c:pt>
                <c:pt idx="375">
                  <c:v>2445682.1940000001</c:v>
                </c:pt>
                <c:pt idx="376">
                  <c:v>2445702.0685999999</c:v>
                </c:pt>
                <c:pt idx="377">
                  <c:v>2445753.9</c:v>
                </c:pt>
                <c:pt idx="378">
                  <c:v>2445788.5589999999</c:v>
                </c:pt>
                <c:pt idx="379">
                  <c:v>2445821.6888000001</c:v>
                </c:pt>
                <c:pt idx="380">
                  <c:v>2445841.0687099998</c:v>
                </c:pt>
                <c:pt idx="381">
                  <c:v>2445853.38857</c:v>
                </c:pt>
                <c:pt idx="382">
                  <c:v>2445870.1034599999</c:v>
                </c:pt>
                <c:pt idx="383">
                  <c:v>2445882.6743899998</c:v>
                </c:pt>
                <c:pt idx="384">
                  <c:v>2445899.3261899999</c:v>
                </c:pt>
                <c:pt idx="385">
                  <c:v>2445914.1523500001</c:v>
                </c:pt>
                <c:pt idx="386">
                  <c:v>2445930.6296199998</c:v>
                </c:pt>
                <c:pt idx="387">
                  <c:v>2445943.6708900002</c:v>
                </c:pt>
                <c:pt idx="388">
                  <c:v>2445960.4396799998</c:v>
                </c:pt>
                <c:pt idx="389">
                  <c:v>2445975.3950999998</c:v>
                </c:pt>
                <c:pt idx="390">
                  <c:v>2445990.4882100001</c:v>
                </c:pt>
                <c:pt idx="391">
                  <c:v>2446005.73019</c:v>
                </c:pt>
                <c:pt idx="392">
                  <c:v>2446023.1077399999</c:v>
                </c:pt>
                <c:pt idx="393">
                  <c:v>2446037.3500799998</c:v>
                </c:pt>
                <c:pt idx="394">
                  <c:v>2446055.0675599999</c:v>
                </c:pt>
                <c:pt idx="395">
                  <c:v>2446088</c:v>
                </c:pt>
                <c:pt idx="396">
                  <c:v>2446104.9500000002</c:v>
                </c:pt>
                <c:pt idx="397">
                  <c:v>2446117.7544999998</c:v>
                </c:pt>
                <c:pt idx="398">
                  <c:v>2446137.2662499999</c:v>
                </c:pt>
                <c:pt idx="399">
                  <c:v>2446153.5184300002</c:v>
                </c:pt>
                <c:pt idx="400">
                  <c:v>2446170.0095500001</c:v>
                </c:pt>
                <c:pt idx="401">
                  <c:v>2446180.6124999998</c:v>
                </c:pt>
                <c:pt idx="402">
                  <c:v>2446199.68707</c:v>
                </c:pt>
                <c:pt idx="403">
                  <c:v>2446214.9213700001</c:v>
                </c:pt>
                <c:pt idx="404">
                  <c:v>2446229.0318499999</c:v>
                </c:pt>
                <c:pt idx="405">
                  <c:v>2446243.8641900001</c:v>
                </c:pt>
                <c:pt idx="406">
                  <c:v>2446259.3394599999</c:v>
                </c:pt>
                <c:pt idx="407">
                  <c:v>2446274.4361299998</c:v>
                </c:pt>
                <c:pt idx="408">
                  <c:v>2446290.1643500002</c:v>
                </c:pt>
                <c:pt idx="409">
                  <c:v>2446303.4449</c:v>
                </c:pt>
                <c:pt idx="410">
                  <c:v>2446319.96478</c:v>
                </c:pt>
                <c:pt idx="411">
                  <c:v>2446336.8761900002</c:v>
                </c:pt>
                <c:pt idx="412">
                  <c:v>2446350.4135099999</c:v>
                </c:pt>
                <c:pt idx="413">
                  <c:v>2446364.5932399998</c:v>
                </c:pt>
                <c:pt idx="414">
                  <c:v>2446382.8105199998</c:v>
                </c:pt>
                <c:pt idx="415">
                  <c:v>2446403.2837999999</c:v>
                </c:pt>
                <c:pt idx="416">
                  <c:v>2446420.6833299999</c:v>
                </c:pt>
                <c:pt idx="417">
                  <c:v>2446435.59</c:v>
                </c:pt>
                <c:pt idx="418">
                  <c:v>2446509.4649999999</c:v>
                </c:pt>
                <c:pt idx="419">
                  <c:v>2446523.7659999998</c:v>
                </c:pt>
                <c:pt idx="420">
                  <c:v>2446539.54</c:v>
                </c:pt>
                <c:pt idx="421">
                  <c:v>2446560.6981799998</c:v>
                </c:pt>
                <c:pt idx="422">
                  <c:v>2446583.2021699999</c:v>
                </c:pt>
                <c:pt idx="423">
                  <c:v>2446594.27287</c:v>
                </c:pt>
                <c:pt idx="424">
                  <c:v>2446613.4698100002</c:v>
                </c:pt>
                <c:pt idx="425">
                  <c:v>2446625.8002499999</c:v>
                </c:pt>
                <c:pt idx="426">
                  <c:v>2446642.7724899999</c:v>
                </c:pt>
                <c:pt idx="427">
                  <c:v>2446656.9840500001</c:v>
                </c:pt>
                <c:pt idx="428">
                  <c:v>2446674.6663799998</c:v>
                </c:pt>
                <c:pt idx="429">
                  <c:v>2446687.8045800002</c:v>
                </c:pt>
                <c:pt idx="430">
                  <c:v>2446705.21777</c:v>
                </c:pt>
                <c:pt idx="431">
                  <c:v>2446717.5603</c:v>
                </c:pt>
                <c:pt idx="432">
                  <c:v>2446733.9328200002</c:v>
                </c:pt>
                <c:pt idx="433">
                  <c:v>2446748.2735100002</c:v>
                </c:pt>
                <c:pt idx="434">
                  <c:v>2446766.2649900001</c:v>
                </c:pt>
                <c:pt idx="435">
                  <c:v>2446784.7000000002</c:v>
                </c:pt>
                <c:pt idx="436">
                  <c:v>2446797.2012499999</c:v>
                </c:pt>
                <c:pt idx="437">
                  <c:v>2446827.2000000002</c:v>
                </c:pt>
                <c:pt idx="438">
                  <c:v>2446851.1</c:v>
                </c:pt>
                <c:pt idx="439">
                  <c:v>2446870.7452500002</c:v>
                </c:pt>
                <c:pt idx="440">
                  <c:v>2446888.6</c:v>
                </c:pt>
                <c:pt idx="441">
                  <c:v>2446908.2813300001</c:v>
                </c:pt>
                <c:pt idx="442">
                  <c:v>2446918.85182</c:v>
                </c:pt>
                <c:pt idx="443">
                  <c:v>2446938.7370000002</c:v>
                </c:pt>
                <c:pt idx="444">
                  <c:v>2446949.97138</c:v>
                </c:pt>
                <c:pt idx="445">
                  <c:v>2446966.98863</c:v>
                </c:pt>
                <c:pt idx="446">
                  <c:v>2446981.4875599998</c:v>
                </c:pt>
                <c:pt idx="447">
                  <c:v>2446996.57436</c:v>
                </c:pt>
                <c:pt idx="448">
                  <c:v>2447010.4352799999</c:v>
                </c:pt>
                <c:pt idx="449">
                  <c:v>2447027.4704999998</c:v>
                </c:pt>
                <c:pt idx="450">
                  <c:v>2447042.6860000002</c:v>
                </c:pt>
                <c:pt idx="451">
                  <c:v>2447058.55339</c:v>
                </c:pt>
                <c:pt idx="452">
                  <c:v>2447072.4945800002</c:v>
                </c:pt>
                <c:pt idx="453">
                  <c:v>2447087.00685</c:v>
                </c:pt>
                <c:pt idx="454">
                  <c:v>2447103.9004899999</c:v>
                </c:pt>
                <c:pt idx="455">
                  <c:v>2447118.6408000002</c:v>
                </c:pt>
                <c:pt idx="456">
                  <c:v>2447137.2074199999</c:v>
                </c:pt>
                <c:pt idx="457">
                  <c:v>2447152.1038799998</c:v>
                </c:pt>
                <c:pt idx="458">
                  <c:v>2447166.165</c:v>
                </c:pt>
                <c:pt idx="459">
                  <c:v>2447184.6</c:v>
                </c:pt>
                <c:pt idx="460">
                  <c:v>2447208.8034999999</c:v>
                </c:pt>
                <c:pt idx="461">
                  <c:v>2447220.3985700002</c:v>
                </c:pt>
                <c:pt idx="462">
                  <c:v>2447237.82064</c:v>
                </c:pt>
                <c:pt idx="463">
                  <c:v>2447258.6274999999</c:v>
                </c:pt>
                <c:pt idx="464">
                  <c:v>2447272.7388900002</c:v>
                </c:pt>
                <c:pt idx="465">
                  <c:v>2447293.35152</c:v>
                </c:pt>
                <c:pt idx="466">
                  <c:v>2447304.9302300001</c:v>
                </c:pt>
                <c:pt idx="467">
                  <c:v>2447323.4276100001</c:v>
                </c:pt>
                <c:pt idx="468">
                  <c:v>2447337.55112</c:v>
                </c:pt>
                <c:pt idx="469">
                  <c:v>2447352.9955000002</c:v>
                </c:pt>
                <c:pt idx="470">
                  <c:v>2447368.4049900002</c:v>
                </c:pt>
                <c:pt idx="471">
                  <c:v>2447383.3544999999</c:v>
                </c:pt>
                <c:pt idx="472">
                  <c:v>2447397.6494700001</c:v>
                </c:pt>
                <c:pt idx="473">
                  <c:v>2447412.9724300001</c:v>
                </c:pt>
                <c:pt idx="474">
                  <c:v>2447429.4274800001</c:v>
                </c:pt>
                <c:pt idx="475">
                  <c:v>2447443.8447400001</c:v>
                </c:pt>
                <c:pt idx="476">
                  <c:v>2447463.1055200002</c:v>
                </c:pt>
                <c:pt idx="477">
                  <c:v>2447475.4399899999</c:v>
                </c:pt>
                <c:pt idx="478">
                  <c:v>2447491.9174299999</c:v>
                </c:pt>
                <c:pt idx="479">
                  <c:v>2447507.9922699998</c:v>
                </c:pt>
                <c:pt idx="480">
                  <c:v>2447527.1397099998</c:v>
                </c:pt>
                <c:pt idx="481">
                  <c:v>2447541.8833300001</c:v>
                </c:pt>
                <c:pt idx="482">
                  <c:v>2447592.7000000002</c:v>
                </c:pt>
                <c:pt idx="483">
                  <c:v>2447619.2000000002</c:v>
                </c:pt>
                <c:pt idx="484">
                  <c:v>2447635.7209999999</c:v>
                </c:pt>
                <c:pt idx="485">
                  <c:v>2447651.5382699999</c:v>
                </c:pt>
                <c:pt idx="486">
                  <c:v>2447671.0123700001</c:v>
                </c:pt>
                <c:pt idx="487">
                  <c:v>2447687.9500600002</c:v>
                </c:pt>
                <c:pt idx="488">
                  <c:v>2447702.2634100001</c:v>
                </c:pt>
                <c:pt idx="489">
                  <c:v>2447715.8510199999</c:v>
                </c:pt>
                <c:pt idx="490">
                  <c:v>2447732.79183</c:v>
                </c:pt>
                <c:pt idx="491">
                  <c:v>2447747.7379299998</c:v>
                </c:pt>
                <c:pt idx="492">
                  <c:v>2447763.3860499999</c:v>
                </c:pt>
                <c:pt idx="493">
                  <c:v>2447777.6171800001</c:v>
                </c:pt>
                <c:pt idx="494">
                  <c:v>2447794.7551199999</c:v>
                </c:pt>
                <c:pt idx="495">
                  <c:v>2447808.61148</c:v>
                </c:pt>
                <c:pt idx="496">
                  <c:v>2447824.61992</c:v>
                </c:pt>
                <c:pt idx="497">
                  <c:v>2447841.2370600002</c:v>
                </c:pt>
                <c:pt idx="498">
                  <c:v>2447855.6816500002</c:v>
                </c:pt>
                <c:pt idx="499">
                  <c:v>2447870.895</c:v>
                </c:pt>
                <c:pt idx="500">
                  <c:v>2447887.298</c:v>
                </c:pt>
                <c:pt idx="501">
                  <c:v>2447899.8360000001</c:v>
                </c:pt>
                <c:pt idx="502">
                  <c:v>2447925.7267999998</c:v>
                </c:pt>
                <c:pt idx="503">
                  <c:v>2447951.71514</c:v>
                </c:pt>
                <c:pt idx="504">
                  <c:v>2447966.64</c:v>
                </c:pt>
                <c:pt idx="505">
                  <c:v>2447982.21</c:v>
                </c:pt>
                <c:pt idx="506">
                  <c:v>2447998.1775000002</c:v>
                </c:pt>
                <c:pt idx="507">
                  <c:v>2448014.2447600001</c:v>
                </c:pt>
                <c:pt idx="508">
                  <c:v>2448031.80595</c:v>
                </c:pt>
                <c:pt idx="509">
                  <c:v>2448043.7050999999</c:v>
                </c:pt>
                <c:pt idx="510">
                  <c:v>2448062.9652100001</c:v>
                </c:pt>
                <c:pt idx="511">
                  <c:v>2448076.6603600001</c:v>
                </c:pt>
                <c:pt idx="512">
                  <c:v>2448092.9058400001</c:v>
                </c:pt>
                <c:pt idx="513">
                  <c:v>2448106.5211</c:v>
                </c:pt>
                <c:pt idx="514">
                  <c:v>2448123.9861300001</c:v>
                </c:pt>
                <c:pt idx="515">
                  <c:v>2448137.6769599998</c:v>
                </c:pt>
                <c:pt idx="516">
                  <c:v>2448153.2678899998</c:v>
                </c:pt>
                <c:pt idx="517">
                  <c:v>2448170.1804800001</c:v>
                </c:pt>
                <c:pt idx="518">
                  <c:v>2448184.8725899998</c:v>
                </c:pt>
                <c:pt idx="519">
                  <c:v>2448201.5205199998</c:v>
                </c:pt>
                <c:pt idx="520">
                  <c:v>2448214.17508</c:v>
                </c:pt>
                <c:pt idx="521">
                  <c:v>2448230.6382200001</c:v>
                </c:pt>
                <c:pt idx="522">
                  <c:v>2448244.52936</c:v>
                </c:pt>
                <c:pt idx="523">
                  <c:v>2448261.2957100002</c:v>
                </c:pt>
                <c:pt idx="524">
                  <c:v>2448276.54</c:v>
                </c:pt>
                <c:pt idx="525">
                  <c:v>2448309.12</c:v>
                </c:pt>
                <c:pt idx="526">
                  <c:v>2448329.2250000001</c:v>
                </c:pt>
                <c:pt idx="527">
                  <c:v>2448345.0942899999</c:v>
                </c:pt>
                <c:pt idx="528">
                  <c:v>2448359.7024699999</c:v>
                </c:pt>
                <c:pt idx="529">
                  <c:v>2448379.355</c:v>
                </c:pt>
                <c:pt idx="530">
                  <c:v>2448391.9884199998</c:v>
                </c:pt>
                <c:pt idx="531">
                  <c:v>2448407.5888100001</c:v>
                </c:pt>
                <c:pt idx="532">
                  <c:v>2448422.8583800001</c:v>
                </c:pt>
                <c:pt idx="533">
                  <c:v>2448439.3848899999</c:v>
                </c:pt>
                <c:pt idx="534">
                  <c:v>2448452.9508500001</c:v>
                </c:pt>
                <c:pt idx="535">
                  <c:v>2448469.1327599999</c:v>
                </c:pt>
                <c:pt idx="536">
                  <c:v>2448482.9441900002</c:v>
                </c:pt>
                <c:pt idx="537">
                  <c:v>2448500.0471700002</c:v>
                </c:pt>
                <c:pt idx="538">
                  <c:v>2448513.0290799998</c:v>
                </c:pt>
                <c:pt idx="539">
                  <c:v>2448531.2960600001</c:v>
                </c:pt>
                <c:pt idx="540">
                  <c:v>2448543.7263400001</c:v>
                </c:pt>
                <c:pt idx="541">
                  <c:v>2448558.62586</c:v>
                </c:pt>
                <c:pt idx="542">
                  <c:v>2448573.8362199999</c:v>
                </c:pt>
                <c:pt idx="543">
                  <c:v>2448591.6150600002</c:v>
                </c:pt>
                <c:pt idx="544">
                  <c:v>2448604.5782699999</c:v>
                </c:pt>
                <c:pt idx="545">
                  <c:v>2448620.01333</c:v>
                </c:pt>
                <c:pt idx="546">
                  <c:v>2448637.1</c:v>
                </c:pt>
                <c:pt idx="547">
                  <c:v>2448657.27</c:v>
                </c:pt>
                <c:pt idx="548">
                  <c:v>2448687.7742900001</c:v>
                </c:pt>
                <c:pt idx="549">
                  <c:v>2448709.6033299998</c:v>
                </c:pt>
                <c:pt idx="550">
                  <c:v>2448721.2377999998</c:v>
                </c:pt>
                <c:pt idx="551">
                  <c:v>2448739.9575</c:v>
                </c:pt>
                <c:pt idx="552">
                  <c:v>2448753.33103</c:v>
                </c:pt>
                <c:pt idx="553">
                  <c:v>2448767.49382</c:v>
                </c:pt>
                <c:pt idx="554">
                  <c:v>2448785.0200800002</c:v>
                </c:pt>
                <c:pt idx="555">
                  <c:v>2448801.41664</c:v>
                </c:pt>
                <c:pt idx="556">
                  <c:v>2448815.8348500002</c:v>
                </c:pt>
                <c:pt idx="557">
                  <c:v>2448831.4000200001</c:v>
                </c:pt>
                <c:pt idx="558">
                  <c:v>2448846.1142000002</c:v>
                </c:pt>
                <c:pt idx="559">
                  <c:v>2448861.8166299998</c:v>
                </c:pt>
                <c:pt idx="560">
                  <c:v>2448876.8989300001</c:v>
                </c:pt>
                <c:pt idx="561">
                  <c:v>2448891.72848</c:v>
                </c:pt>
                <c:pt idx="562">
                  <c:v>2448907.7601200002</c:v>
                </c:pt>
                <c:pt idx="563">
                  <c:v>2448921.7156000002</c:v>
                </c:pt>
                <c:pt idx="564">
                  <c:v>2448937.40546</c:v>
                </c:pt>
                <c:pt idx="565">
                  <c:v>2448952.4619</c:v>
                </c:pt>
                <c:pt idx="566">
                  <c:v>2448967.8052300001</c:v>
                </c:pt>
                <c:pt idx="567">
                  <c:v>2448982.5998999998</c:v>
                </c:pt>
                <c:pt idx="568">
                  <c:v>2448999.0837500002</c:v>
                </c:pt>
                <c:pt idx="569">
                  <c:v>2449022.67</c:v>
                </c:pt>
                <c:pt idx="570">
                  <c:v>2449041.1025</c:v>
                </c:pt>
                <c:pt idx="571">
                  <c:v>2449066.9759999998</c:v>
                </c:pt>
                <c:pt idx="572">
                  <c:v>2449074.10109</c:v>
                </c:pt>
                <c:pt idx="573">
                  <c:v>2449094.6640599999</c:v>
                </c:pt>
                <c:pt idx="574">
                  <c:v>2449108.8076499999</c:v>
                </c:pt>
                <c:pt idx="575">
                  <c:v>2449124.3794800001</c:v>
                </c:pt>
                <c:pt idx="576">
                  <c:v>2449139.1737500001</c:v>
                </c:pt>
                <c:pt idx="577">
                  <c:v>2449154.7534699999</c:v>
                </c:pt>
                <c:pt idx="578">
                  <c:v>2449169.1730499999</c:v>
                </c:pt>
                <c:pt idx="579">
                  <c:v>2449183.5382099999</c:v>
                </c:pt>
                <c:pt idx="580">
                  <c:v>2449199.2670300002</c:v>
                </c:pt>
                <c:pt idx="581">
                  <c:v>2449214.72187</c:v>
                </c:pt>
                <c:pt idx="582">
                  <c:v>2449229.19631</c:v>
                </c:pt>
                <c:pt idx="583">
                  <c:v>2449246.1031499999</c:v>
                </c:pt>
                <c:pt idx="584">
                  <c:v>2449260.2609000001</c:v>
                </c:pt>
                <c:pt idx="585">
                  <c:v>2449275.3140699998</c:v>
                </c:pt>
                <c:pt idx="586">
                  <c:v>2449289.6235500001</c:v>
                </c:pt>
                <c:pt idx="587">
                  <c:v>2449305.9723</c:v>
                </c:pt>
                <c:pt idx="588">
                  <c:v>2449323.3176000002</c:v>
                </c:pt>
                <c:pt idx="589">
                  <c:v>2449335.0209499998</c:v>
                </c:pt>
                <c:pt idx="590">
                  <c:v>2449353.5645699999</c:v>
                </c:pt>
                <c:pt idx="591">
                  <c:v>2449366.1355699999</c:v>
                </c:pt>
                <c:pt idx="592">
                  <c:v>2449403.9923299998</c:v>
                </c:pt>
                <c:pt idx="593">
                  <c:v>2449423.43829</c:v>
                </c:pt>
                <c:pt idx="594">
                  <c:v>2449442.2430400001</c:v>
                </c:pt>
                <c:pt idx="595">
                  <c:v>2449458.3273399998</c:v>
                </c:pt>
                <c:pt idx="596">
                  <c:v>2449477.3786300002</c:v>
                </c:pt>
                <c:pt idx="597">
                  <c:v>2449489.5487700002</c:v>
                </c:pt>
                <c:pt idx="598">
                  <c:v>2449506.2720699999</c:v>
                </c:pt>
                <c:pt idx="599">
                  <c:v>2449520.5407400001</c:v>
                </c:pt>
                <c:pt idx="600">
                  <c:v>2449537.2823999999</c:v>
                </c:pt>
                <c:pt idx="601">
                  <c:v>2449550.1889499999</c:v>
                </c:pt>
                <c:pt idx="602">
                  <c:v>2449568.2091199998</c:v>
                </c:pt>
                <c:pt idx="603">
                  <c:v>2449581.5734199998</c:v>
                </c:pt>
                <c:pt idx="604">
                  <c:v>2449597.4220500002</c:v>
                </c:pt>
                <c:pt idx="605">
                  <c:v>2449611.6101099998</c:v>
                </c:pt>
                <c:pt idx="606">
                  <c:v>2449627.9996799999</c:v>
                </c:pt>
                <c:pt idx="607">
                  <c:v>2449641.7134699998</c:v>
                </c:pt>
                <c:pt idx="608">
                  <c:v>2449658.2770099998</c:v>
                </c:pt>
                <c:pt idx="609">
                  <c:v>2449675.23349</c:v>
                </c:pt>
                <c:pt idx="610">
                  <c:v>2449688.7028800002</c:v>
                </c:pt>
                <c:pt idx="611">
                  <c:v>2449705.5414100001</c:v>
                </c:pt>
                <c:pt idx="612">
                  <c:v>2449719.8467000001</c:v>
                </c:pt>
                <c:pt idx="613">
                  <c:v>2449734.3836300001</c:v>
                </c:pt>
                <c:pt idx="614">
                  <c:v>2449755.2498400002</c:v>
                </c:pt>
                <c:pt idx="615">
                  <c:v>2449781.5951899998</c:v>
                </c:pt>
                <c:pt idx="616">
                  <c:v>2449794.2104000002</c:v>
                </c:pt>
                <c:pt idx="617">
                  <c:v>2449810.7296099998</c:v>
                </c:pt>
                <c:pt idx="618">
                  <c:v>2449828.66836</c:v>
                </c:pt>
                <c:pt idx="619">
                  <c:v>2449842.0703500002</c:v>
                </c:pt>
                <c:pt idx="620">
                  <c:v>2449861.2294899998</c:v>
                </c:pt>
                <c:pt idx="621">
                  <c:v>2449873.1842800002</c:v>
                </c:pt>
                <c:pt idx="622">
                  <c:v>2449891.6461200002</c:v>
                </c:pt>
                <c:pt idx="623">
                  <c:v>2449903.7082000002</c:v>
                </c:pt>
                <c:pt idx="624">
                  <c:v>2449922.2680700002</c:v>
                </c:pt>
                <c:pt idx="625">
                  <c:v>2449934.7821300002</c:v>
                </c:pt>
                <c:pt idx="626">
                  <c:v>2449952.2740099998</c:v>
                </c:pt>
                <c:pt idx="627">
                  <c:v>2449967.2522</c:v>
                </c:pt>
                <c:pt idx="628">
                  <c:v>2449984.6475800001</c:v>
                </c:pt>
                <c:pt idx="629">
                  <c:v>2449998.80235</c:v>
                </c:pt>
                <c:pt idx="630">
                  <c:v>2450013.7301099999</c:v>
                </c:pt>
                <c:pt idx="631">
                  <c:v>2450030.31904</c:v>
                </c:pt>
                <c:pt idx="632">
                  <c:v>2450042.4405700001</c:v>
                </c:pt>
                <c:pt idx="633">
                  <c:v>2450059.8766800002</c:v>
                </c:pt>
                <c:pt idx="634">
                  <c:v>2450075.5992000001</c:v>
                </c:pt>
                <c:pt idx="635">
                  <c:v>2450093.63191</c:v>
                </c:pt>
                <c:pt idx="636">
                  <c:v>2450111.59405</c:v>
                </c:pt>
                <c:pt idx="637">
                  <c:v>2450136.6825999999</c:v>
                </c:pt>
                <c:pt idx="638">
                  <c:v>2450144.31702</c:v>
                </c:pt>
                <c:pt idx="639">
                  <c:v>2450165.1483999998</c:v>
                </c:pt>
                <c:pt idx="640">
                  <c:v>2450180.9914799999</c:v>
                </c:pt>
                <c:pt idx="641">
                  <c:v>2450194.5129200001</c:v>
                </c:pt>
                <c:pt idx="642">
                  <c:v>2450213.6255800002</c:v>
                </c:pt>
                <c:pt idx="643">
                  <c:v>2450229.09326</c:v>
                </c:pt>
                <c:pt idx="644">
                  <c:v>2450245.8015800002</c:v>
                </c:pt>
                <c:pt idx="645">
                  <c:v>2450259.0166500001</c:v>
                </c:pt>
                <c:pt idx="646">
                  <c:v>2450274.9704900002</c:v>
                </c:pt>
                <c:pt idx="647">
                  <c:v>2450287.8790099998</c:v>
                </c:pt>
                <c:pt idx="648">
                  <c:v>2450304.0965499999</c:v>
                </c:pt>
                <c:pt idx="649">
                  <c:v>2450318.1716700001</c:v>
                </c:pt>
                <c:pt idx="650">
                  <c:v>2450336.8813399998</c:v>
                </c:pt>
                <c:pt idx="651">
                  <c:v>2450349.8284100001</c:v>
                </c:pt>
                <c:pt idx="652">
                  <c:v>2450365.3357899999</c:v>
                </c:pt>
                <c:pt idx="653">
                  <c:v>2450379.3563700002</c:v>
                </c:pt>
                <c:pt idx="654">
                  <c:v>2450397.3876800002</c:v>
                </c:pt>
                <c:pt idx="655">
                  <c:v>2450411.0213000001</c:v>
                </c:pt>
                <c:pt idx="656">
                  <c:v>2450427.1245300001</c:v>
                </c:pt>
                <c:pt idx="657">
                  <c:v>2450443.4482300002</c:v>
                </c:pt>
                <c:pt idx="658">
                  <c:v>2450459.66335</c:v>
                </c:pt>
                <c:pt idx="659">
                  <c:v>2450479.5314600002</c:v>
                </c:pt>
                <c:pt idx="660">
                  <c:v>2450491.3386599999</c:v>
                </c:pt>
                <c:pt idx="661">
                  <c:v>2450512.4504800001</c:v>
                </c:pt>
                <c:pt idx="662">
                  <c:v>2450528.4056699998</c:v>
                </c:pt>
                <c:pt idx="663">
                  <c:v>2450546.71</c:v>
                </c:pt>
                <c:pt idx="664">
                  <c:v>2450566.0510300002</c:v>
                </c:pt>
                <c:pt idx="665">
                  <c:v>2450577.5242300001</c:v>
                </c:pt>
                <c:pt idx="666">
                  <c:v>2450595.59008</c:v>
                </c:pt>
                <c:pt idx="667">
                  <c:v>2450609.65044</c:v>
                </c:pt>
                <c:pt idx="668">
                  <c:v>2450628.4465899998</c:v>
                </c:pt>
                <c:pt idx="669">
                  <c:v>2450641.4442199999</c:v>
                </c:pt>
                <c:pt idx="670">
                  <c:v>2450658.5336099998</c:v>
                </c:pt>
                <c:pt idx="671">
                  <c:v>2450672.5668500001</c:v>
                </c:pt>
                <c:pt idx="672">
                  <c:v>2450688.8569100001</c:v>
                </c:pt>
                <c:pt idx="673">
                  <c:v>2450702.2834800002</c:v>
                </c:pt>
                <c:pt idx="674">
                  <c:v>2450718.1326799998</c:v>
                </c:pt>
                <c:pt idx="675">
                  <c:v>2450732.3862299998</c:v>
                </c:pt>
                <c:pt idx="676">
                  <c:v>2450749.0444899998</c:v>
                </c:pt>
                <c:pt idx="677">
                  <c:v>2450766.8348500002</c:v>
                </c:pt>
                <c:pt idx="678">
                  <c:v>2450781.0749900001</c:v>
                </c:pt>
                <c:pt idx="679">
                  <c:v>2450796.9660800002</c:v>
                </c:pt>
                <c:pt idx="680">
                  <c:v>2450818.60409</c:v>
                </c:pt>
                <c:pt idx="681">
                  <c:v>2450840.5273799999</c:v>
                </c:pt>
                <c:pt idx="682">
                  <c:v>2450866.7069999999</c:v>
                </c:pt>
                <c:pt idx="683">
                  <c:v>2450876.2838300001</c:v>
                </c:pt>
                <c:pt idx="684">
                  <c:v>2450899.47762</c:v>
                </c:pt>
                <c:pt idx="685">
                  <c:v>2450915.2410200001</c:v>
                </c:pt>
                <c:pt idx="686">
                  <c:v>2450932.39751</c:v>
                </c:pt>
                <c:pt idx="687">
                  <c:v>2450949.15038</c:v>
                </c:pt>
                <c:pt idx="688">
                  <c:v>2450962.77311</c:v>
                </c:pt>
                <c:pt idx="689">
                  <c:v>2450978.0894300002</c:v>
                </c:pt>
                <c:pt idx="690">
                  <c:v>2450992.54018</c:v>
                </c:pt>
                <c:pt idx="691">
                  <c:v>2451010.0780000002</c:v>
                </c:pt>
                <c:pt idx="692">
                  <c:v>2451023.5837099999</c:v>
                </c:pt>
                <c:pt idx="693">
                  <c:v>2451039.8220199998</c:v>
                </c:pt>
                <c:pt idx="694">
                  <c:v>2451052.1446500001</c:v>
                </c:pt>
                <c:pt idx="695">
                  <c:v>2451070.2963800002</c:v>
                </c:pt>
                <c:pt idx="696">
                  <c:v>2451082.6543000001</c:v>
                </c:pt>
                <c:pt idx="697">
                  <c:v>2451103.0814499999</c:v>
                </c:pt>
                <c:pt idx="698">
                  <c:v>2451117.2071400001</c:v>
                </c:pt>
                <c:pt idx="699">
                  <c:v>2451133.3561100001</c:v>
                </c:pt>
                <c:pt idx="700">
                  <c:v>2451149.13986</c:v>
                </c:pt>
                <c:pt idx="701">
                  <c:v>2451163.0123200002</c:v>
                </c:pt>
                <c:pt idx="702">
                  <c:v>2451179.4387699999</c:v>
                </c:pt>
                <c:pt idx="703">
                  <c:v>2451196.22743</c:v>
                </c:pt>
                <c:pt idx="704">
                  <c:v>2451220.7340699998</c:v>
                </c:pt>
                <c:pt idx="705">
                  <c:v>2451244.9512299998</c:v>
                </c:pt>
                <c:pt idx="706">
                  <c:v>2451259.1460500001</c:v>
                </c:pt>
                <c:pt idx="707">
                  <c:v>2451278.4495700002</c:v>
                </c:pt>
                <c:pt idx="708">
                  <c:v>2451289.79642</c:v>
                </c:pt>
                <c:pt idx="709">
                  <c:v>2451305.9925600002</c:v>
                </c:pt>
                <c:pt idx="710">
                  <c:v>2451320.6492499998</c:v>
                </c:pt>
                <c:pt idx="711">
                  <c:v>2451338.6484699999</c:v>
                </c:pt>
                <c:pt idx="712">
                  <c:v>2451349.9745700001</c:v>
                </c:pt>
                <c:pt idx="713">
                  <c:v>2451369.7978599998</c:v>
                </c:pt>
                <c:pt idx="714">
                  <c:v>2451382.86815</c:v>
                </c:pt>
                <c:pt idx="715">
                  <c:v>2451398.452</c:v>
                </c:pt>
                <c:pt idx="716">
                  <c:v>2451414.1017</c:v>
                </c:pt>
                <c:pt idx="717">
                  <c:v>2451430.44264</c:v>
                </c:pt>
                <c:pt idx="718">
                  <c:v>2451445.3774999999</c:v>
                </c:pt>
                <c:pt idx="719">
                  <c:v>2451460.6256900001</c:v>
                </c:pt>
                <c:pt idx="720">
                  <c:v>2451474.8737900001</c:v>
                </c:pt>
                <c:pt idx="721">
                  <c:v>2451490.1030799998</c:v>
                </c:pt>
                <c:pt idx="722">
                  <c:v>2451508.5364899999</c:v>
                </c:pt>
                <c:pt idx="723">
                  <c:v>2451520.5547699998</c:v>
                </c:pt>
                <c:pt idx="724">
                  <c:v>2451537.2291199998</c:v>
                </c:pt>
                <c:pt idx="725">
                  <c:v>2451551.9428599998</c:v>
                </c:pt>
                <c:pt idx="726">
                  <c:v>2451580.3969999999</c:v>
                </c:pt>
                <c:pt idx="727">
                  <c:v>2451607.7749999999</c:v>
                </c:pt>
                <c:pt idx="728">
                  <c:v>2451624.1647999999</c:v>
                </c:pt>
                <c:pt idx="729">
                  <c:v>2451637.3338000001</c:v>
                </c:pt>
                <c:pt idx="730">
                  <c:v>2451657.9840000002</c:v>
                </c:pt>
                <c:pt idx="731">
                  <c:v>2451669.9046800002</c:v>
                </c:pt>
                <c:pt idx="732">
                  <c:v>2451688.3400099999</c:v>
                </c:pt>
                <c:pt idx="733">
                  <c:v>2451703.39078</c:v>
                </c:pt>
                <c:pt idx="734">
                  <c:v>2451718.3442099998</c:v>
                </c:pt>
                <c:pt idx="735">
                  <c:v>2451733.9389300002</c:v>
                </c:pt>
                <c:pt idx="736">
                  <c:v>2451749.0812599999</c:v>
                </c:pt>
                <c:pt idx="737">
                  <c:v>2451763.1528500002</c:v>
                </c:pt>
                <c:pt idx="738">
                  <c:v>2451781.0414999998</c:v>
                </c:pt>
                <c:pt idx="739">
                  <c:v>2451794.4839699999</c:v>
                </c:pt>
                <c:pt idx="740">
                  <c:v>2451811.9024800002</c:v>
                </c:pt>
                <c:pt idx="741">
                  <c:v>2451827.81849</c:v>
                </c:pt>
                <c:pt idx="742">
                  <c:v>2451842.8584599998</c:v>
                </c:pt>
                <c:pt idx="743">
                  <c:v>2451859.0734799998</c:v>
                </c:pt>
                <c:pt idx="744">
                  <c:v>2451875.4928899999</c:v>
                </c:pt>
                <c:pt idx="745">
                  <c:v>2451888.4200200001</c:v>
                </c:pt>
                <c:pt idx="746">
                  <c:v>2451907.0313200001</c:v>
                </c:pt>
                <c:pt idx="747">
                  <c:v>2451919.0685800002</c:v>
                </c:pt>
                <c:pt idx="748">
                  <c:v>2451933.1979999999</c:v>
                </c:pt>
                <c:pt idx="749">
                  <c:v>2451959.4197800001</c:v>
                </c:pt>
                <c:pt idx="750">
                  <c:v>2451970.5887699998</c:v>
                </c:pt>
                <c:pt idx="751">
                  <c:v>2451991.5449999999</c:v>
                </c:pt>
                <c:pt idx="752">
                  <c:v>2452009.4294500002</c:v>
                </c:pt>
                <c:pt idx="753">
                  <c:v>2452026.6885799998</c:v>
                </c:pt>
                <c:pt idx="754">
                  <c:v>2452043.8798000002</c:v>
                </c:pt>
                <c:pt idx="755">
                  <c:v>2452054.8543400001</c:v>
                </c:pt>
                <c:pt idx="756">
                  <c:v>2452071.9938400001</c:v>
                </c:pt>
                <c:pt idx="757">
                  <c:v>2452087.5913399998</c:v>
                </c:pt>
                <c:pt idx="758">
                  <c:v>2452106.7036799998</c:v>
                </c:pt>
                <c:pt idx="759">
                  <c:v>2452122.3066699998</c:v>
                </c:pt>
                <c:pt idx="760">
                  <c:v>2452138.3072700002</c:v>
                </c:pt>
                <c:pt idx="761">
                  <c:v>2452153.0452299998</c:v>
                </c:pt>
                <c:pt idx="762">
                  <c:v>2452169.0661800001</c:v>
                </c:pt>
                <c:pt idx="763">
                  <c:v>2452185.2750200001</c:v>
                </c:pt>
                <c:pt idx="764">
                  <c:v>2452199.04054</c:v>
                </c:pt>
                <c:pt idx="765">
                  <c:v>2452215.9877900002</c:v>
                </c:pt>
                <c:pt idx="766">
                  <c:v>2452228.2898200001</c:v>
                </c:pt>
                <c:pt idx="767">
                  <c:v>2452248.4158200002</c:v>
                </c:pt>
                <c:pt idx="768">
                  <c:v>2452261.7988800001</c:v>
                </c:pt>
                <c:pt idx="769">
                  <c:v>2452277.8159400001</c:v>
                </c:pt>
                <c:pt idx="770">
                  <c:v>2452321.4131200002</c:v>
                </c:pt>
                <c:pt idx="771">
                  <c:v>2452344.5667699999</c:v>
                </c:pt>
                <c:pt idx="772">
                  <c:v>2452372.15668</c:v>
                </c:pt>
                <c:pt idx="773">
                  <c:v>2452399.1039999998</c:v>
                </c:pt>
                <c:pt idx="774">
                  <c:v>2452413.3272899999</c:v>
                </c:pt>
                <c:pt idx="775">
                  <c:v>2452431.4128399999</c:v>
                </c:pt>
                <c:pt idx="776">
                  <c:v>2452449.8185399999</c:v>
                </c:pt>
                <c:pt idx="777">
                  <c:v>2452466.5808299999</c:v>
                </c:pt>
                <c:pt idx="778">
                  <c:v>2452481.72542</c:v>
                </c:pt>
                <c:pt idx="779">
                  <c:v>2452497.4808100001</c:v>
                </c:pt>
                <c:pt idx="780">
                  <c:v>2452514.2829</c:v>
                </c:pt>
                <c:pt idx="781">
                  <c:v>2452528.2424499998</c:v>
                </c:pt>
                <c:pt idx="782">
                  <c:v>2452547.01406</c:v>
                </c:pt>
                <c:pt idx="783">
                  <c:v>2452561.2104500001</c:v>
                </c:pt>
                <c:pt idx="784">
                  <c:v>2452577.8219599999</c:v>
                </c:pt>
                <c:pt idx="785">
                  <c:v>2452591.2505800002</c:v>
                </c:pt>
                <c:pt idx="786">
                  <c:v>2452606.4421399999</c:v>
                </c:pt>
                <c:pt idx="787">
                  <c:v>2452620.2954799999</c:v>
                </c:pt>
                <c:pt idx="788">
                  <c:v>2452641.4561200002</c:v>
                </c:pt>
                <c:pt idx="789">
                  <c:v>2452650.2249799999</c:v>
                </c:pt>
                <c:pt idx="790">
                  <c:v>2452696.3896699999</c:v>
                </c:pt>
                <c:pt idx="791">
                  <c:v>2452714.0019999999</c:v>
                </c:pt>
                <c:pt idx="792">
                  <c:v>2452735.3870000001</c:v>
                </c:pt>
                <c:pt idx="793">
                  <c:v>2452758</c:v>
                </c:pt>
                <c:pt idx="794">
                  <c:v>2452777.3121799999</c:v>
                </c:pt>
                <c:pt idx="795">
                  <c:v>2452793.3920800001</c:v>
                </c:pt>
                <c:pt idx="796">
                  <c:v>2452811.6032199999</c:v>
                </c:pt>
                <c:pt idx="797">
                  <c:v>2452827.1445399998</c:v>
                </c:pt>
                <c:pt idx="798">
                  <c:v>2452840.52385</c:v>
                </c:pt>
                <c:pt idx="799">
                  <c:v>2452855.1989199999</c:v>
                </c:pt>
                <c:pt idx="800">
                  <c:v>2452873.2204100001</c:v>
                </c:pt>
                <c:pt idx="801">
                  <c:v>2452886.1537899999</c:v>
                </c:pt>
                <c:pt idx="802">
                  <c:v>2452903.14983</c:v>
                </c:pt>
                <c:pt idx="803">
                  <c:v>2452917.81311</c:v>
                </c:pt>
                <c:pt idx="804">
                  <c:v>2452933.6045400002</c:v>
                </c:pt>
                <c:pt idx="805">
                  <c:v>2452951.14274</c:v>
                </c:pt>
                <c:pt idx="806">
                  <c:v>2452965.8230599998</c:v>
                </c:pt>
                <c:pt idx="807">
                  <c:v>2452982.7283600001</c:v>
                </c:pt>
                <c:pt idx="808">
                  <c:v>2452996.5679899999</c:v>
                </c:pt>
                <c:pt idx="809">
                  <c:v>2453020.9733799999</c:v>
                </c:pt>
                <c:pt idx="810">
                  <c:v>2453061.3366700001</c:v>
                </c:pt>
                <c:pt idx="811">
                  <c:v>2453083.6214999999</c:v>
                </c:pt>
                <c:pt idx="812">
                  <c:v>2453100.64267</c:v>
                </c:pt>
                <c:pt idx="813">
                  <c:v>2453120.7447500001</c:v>
                </c:pt>
                <c:pt idx="814">
                  <c:v>2453142.45597</c:v>
                </c:pt>
                <c:pt idx="815">
                  <c:v>2453151.6960999998</c:v>
                </c:pt>
                <c:pt idx="816">
                  <c:v>2453170.1431499999</c:v>
                </c:pt>
                <c:pt idx="817">
                  <c:v>2453183.7551500001</c:v>
                </c:pt>
                <c:pt idx="818">
                  <c:v>2453201.26559</c:v>
                </c:pt>
                <c:pt idx="819">
                  <c:v>2453217.9608900002</c:v>
                </c:pt>
                <c:pt idx="820">
                  <c:v>2453235.0521499999</c:v>
                </c:pt>
                <c:pt idx="821">
                  <c:v>2453250.2059499999</c:v>
                </c:pt>
                <c:pt idx="822">
                  <c:v>2453263.8103999998</c:v>
                </c:pt>
                <c:pt idx="823">
                  <c:v>2453280.7279500002</c:v>
                </c:pt>
                <c:pt idx="824">
                  <c:v>2453293.7853600001</c:v>
                </c:pt>
                <c:pt idx="825">
                  <c:v>2453309.6761400001</c:v>
                </c:pt>
                <c:pt idx="826">
                  <c:v>2453322.9751499998</c:v>
                </c:pt>
                <c:pt idx="827">
                  <c:v>2453341.5422800002</c:v>
                </c:pt>
                <c:pt idx="828">
                  <c:v>2453355.58366</c:v>
                </c:pt>
                <c:pt idx="829">
                  <c:v>2453375.0376200001</c:v>
                </c:pt>
                <c:pt idx="830">
                  <c:v>2453385.2579999999</c:v>
                </c:pt>
                <c:pt idx="831">
                  <c:v>2453412.6735</c:v>
                </c:pt>
                <c:pt idx="832">
                  <c:v>2453451.9638</c:v>
                </c:pt>
                <c:pt idx="833">
                  <c:v>2453469.29868</c:v>
                </c:pt>
                <c:pt idx="834">
                  <c:v>2453485.8709999998</c:v>
                </c:pt>
                <c:pt idx="835">
                  <c:v>2453504.8844300001</c:v>
                </c:pt>
                <c:pt idx="836">
                  <c:v>2453522.5062299999</c:v>
                </c:pt>
                <c:pt idx="837">
                  <c:v>2453537.2367699998</c:v>
                </c:pt>
                <c:pt idx="838">
                  <c:v>2453554.0328799998</c:v>
                </c:pt>
                <c:pt idx="839">
                  <c:v>2453568.8677400001</c:v>
                </c:pt>
                <c:pt idx="840">
                  <c:v>2453586.5506699998</c:v>
                </c:pt>
                <c:pt idx="841">
                  <c:v>2453600.7679400002</c:v>
                </c:pt>
                <c:pt idx="842">
                  <c:v>2453616.5036200001</c:v>
                </c:pt>
                <c:pt idx="843">
                  <c:v>2453632.3458599998</c:v>
                </c:pt>
                <c:pt idx="844">
                  <c:v>2453646.318</c:v>
                </c:pt>
                <c:pt idx="845">
                  <c:v>2453661.2409999999</c:v>
                </c:pt>
                <c:pt idx="846">
                  <c:v>2453677.0916599999</c:v>
                </c:pt>
                <c:pt idx="847">
                  <c:v>2453694.59002</c:v>
                </c:pt>
                <c:pt idx="848">
                  <c:v>2453712.1412900002</c:v>
                </c:pt>
                <c:pt idx="849">
                  <c:v>2453726.4459799998</c:v>
                </c:pt>
                <c:pt idx="850">
                  <c:v>2453744.9013999999</c:v>
                </c:pt>
                <c:pt idx="851">
                  <c:v>2453767.6940000001</c:v>
                </c:pt>
                <c:pt idx="852">
                  <c:v>2453804.3771500001</c:v>
                </c:pt>
                <c:pt idx="853">
                  <c:v>2453822.1285399999</c:v>
                </c:pt>
                <c:pt idx="854">
                  <c:v>2453836.60507</c:v>
                </c:pt>
                <c:pt idx="855">
                  <c:v>2453854.7597699999</c:v>
                </c:pt>
                <c:pt idx="856">
                  <c:v>2453869.93848</c:v>
                </c:pt>
                <c:pt idx="857">
                  <c:v>2453886.1956199999</c:v>
                </c:pt>
                <c:pt idx="858">
                  <c:v>2453901.2864199998</c:v>
                </c:pt>
                <c:pt idx="859">
                  <c:v>2453915.5515700001</c:v>
                </c:pt>
                <c:pt idx="860">
                  <c:v>2453932.1895400002</c:v>
                </c:pt>
                <c:pt idx="861">
                  <c:v>2453946.4554099999</c:v>
                </c:pt>
                <c:pt idx="862">
                  <c:v>2453965.1393599999</c:v>
                </c:pt>
                <c:pt idx="863">
                  <c:v>2453976.4146599998</c:v>
                </c:pt>
                <c:pt idx="864">
                  <c:v>2453992.4293</c:v>
                </c:pt>
                <c:pt idx="865">
                  <c:v>2454006.41873</c:v>
                </c:pt>
                <c:pt idx="866">
                  <c:v>2454021.42221</c:v>
                </c:pt>
                <c:pt idx="867">
                  <c:v>2454036.7225100002</c:v>
                </c:pt>
                <c:pt idx="868">
                  <c:v>2454053.2382899998</c:v>
                </c:pt>
                <c:pt idx="869">
                  <c:v>2454068.0569799999</c:v>
                </c:pt>
                <c:pt idx="870">
                  <c:v>2454083.0485800002</c:v>
                </c:pt>
                <c:pt idx="871">
                  <c:v>2454096.92876</c:v>
                </c:pt>
                <c:pt idx="872">
                  <c:v>2454112.1368</c:v>
                </c:pt>
                <c:pt idx="873">
                  <c:v>2454134.2744999998</c:v>
                </c:pt>
                <c:pt idx="874">
                  <c:v>2454172.8026399999</c:v>
                </c:pt>
                <c:pt idx="875">
                  <c:v>2454186.2058799998</c:v>
                </c:pt>
                <c:pt idx="876">
                  <c:v>2454204.1391099999</c:v>
                </c:pt>
                <c:pt idx="877">
                  <c:v>2454220.9017599998</c:v>
                </c:pt>
                <c:pt idx="878">
                  <c:v>2454236.9563500001</c:v>
                </c:pt>
                <c:pt idx="879">
                  <c:v>2454252.06225</c:v>
                </c:pt>
                <c:pt idx="880">
                  <c:v>2454268.1052199998</c:v>
                </c:pt>
                <c:pt idx="881">
                  <c:v>2454284.8284100001</c:v>
                </c:pt>
                <c:pt idx="882">
                  <c:v>2454298.5313800001</c:v>
                </c:pt>
                <c:pt idx="883">
                  <c:v>2454313.8086899999</c:v>
                </c:pt>
                <c:pt idx="884">
                  <c:v>2454327.93358</c:v>
                </c:pt>
                <c:pt idx="885">
                  <c:v>2454343.8999200002</c:v>
                </c:pt>
                <c:pt idx="886">
                  <c:v>2454359.4171000002</c:v>
                </c:pt>
                <c:pt idx="887">
                  <c:v>2454373.9683900001</c:v>
                </c:pt>
                <c:pt idx="888">
                  <c:v>2454389.2532799998</c:v>
                </c:pt>
                <c:pt idx="889">
                  <c:v>2454405.7453399999</c:v>
                </c:pt>
                <c:pt idx="890">
                  <c:v>2454419.9324599998</c:v>
                </c:pt>
                <c:pt idx="891">
                  <c:v>2454435.55498</c:v>
                </c:pt>
                <c:pt idx="892">
                  <c:v>2454449.09705</c:v>
                </c:pt>
                <c:pt idx="893">
                  <c:v>2454468.0309700002</c:v>
                </c:pt>
                <c:pt idx="894">
                  <c:v>2454500.9300000002</c:v>
                </c:pt>
                <c:pt idx="895">
                  <c:v>2454519.49346</c:v>
                </c:pt>
                <c:pt idx="896">
                  <c:v>2454534.7295599999</c:v>
                </c:pt>
                <c:pt idx="897">
                  <c:v>2454555.2969599999</c:v>
                </c:pt>
                <c:pt idx="898">
                  <c:v>2454567.3424900002</c:v>
                </c:pt>
                <c:pt idx="899">
                  <c:v>2454586.7478399999</c:v>
                </c:pt>
                <c:pt idx="900">
                  <c:v>2454598.7483000001</c:v>
                </c:pt>
                <c:pt idx="901">
                  <c:v>2454617.07118</c:v>
                </c:pt>
                <c:pt idx="902">
                  <c:v>2454631.412</c:v>
                </c:pt>
                <c:pt idx="903">
                  <c:v>2454647.7906599999</c:v>
                </c:pt>
                <c:pt idx="904">
                  <c:v>2454662.7634700001</c:v>
                </c:pt>
                <c:pt idx="905">
                  <c:v>2454679.15496</c:v>
                </c:pt>
                <c:pt idx="906">
                  <c:v>2454693.3642099998</c:v>
                </c:pt>
                <c:pt idx="907">
                  <c:v>2454709.0624000002</c:v>
                </c:pt>
                <c:pt idx="908">
                  <c:v>2454724.3575400002</c:v>
                </c:pt>
                <c:pt idx="909">
                  <c:v>2454740.1567600002</c:v>
                </c:pt>
                <c:pt idx="910">
                  <c:v>2454756.18328</c:v>
                </c:pt>
                <c:pt idx="911">
                  <c:v>2454769.4620099999</c:v>
                </c:pt>
                <c:pt idx="912">
                  <c:v>2454785.8112300001</c:v>
                </c:pt>
                <c:pt idx="913">
                  <c:v>2454799.1952800001</c:v>
                </c:pt>
                <c:pt idx="914">
                  <c:v>2454814.42753</c:v>
                </c:pt>
                <c:pt idx="915">
                  <c:v>2454832.3855699999</c:v>
                </c:pt>
                <c:pt idx="916">
                  <c:v>2454848.24657</c:v>
                </c:pt>
                <c:pt idx="917">
                  <c:v>2454861.5888999999</c:v>
                </c:pt>
                <c:pt idx="918">
                  <c:v>2454889.1733800001</c:v>
                </c:pt>
                <c:pt idx="919">
                  <c:v>2454909.4512399998</c:v>
                </c:pt>
                <c:pt idx="920">
                  <c:v>2454925.6091399998</c:v>
                </c:pt>
                <c:pt idx="921">
                  <c:v>2454944.0061499998</c:v>
                </c:pt>
                <c:pt idx="922">
                  <c:v>2454957.37524</c:v>
                </c:pt>
                <c:pt idx="923">
                  <c:v>2454975.27318</c:v>
                </c:pt>
                <c:pt idx="924">
                  <c:v>2454989.5053400001</c:v>
                </c:pt>
                <c:pt idx="925">
                  <c:v>2455005.0374500002</c:v>
                </c:pt>
                <c:pt idx="926">
                  <c:v>2455021.2045399998</c:v>
                </c:pt>
                <c:pt idx="927">
                  <c:v>2455036.75716</c:v>
                </c:pt>
                <c:pt idx="928">
                  <c:v>2455051.8355700001</c:v>
                </c:pt>
                <c:pt idx="929">
                  <c:v>2455065.4734800002</c:v>
                </c:pt>
                <c:pt idx="930">
                  <c:v>2455081.7590700001</c:v>
                </c:pt>
                <c:pt idx="931">
                  <c:v>2455096.4168600002</c:v>
                </c:pt>
                <c:pt idx="932">
                  <c:v>2455113.0700900001</c:v>
                </c:pt>
                <c:pt idx="933">
                  <c:v>2455127.4731299998</c:v>
                </c:pt>
                <c:pt idx="934">
                  <c:v>2455145.28315</c:v>
                </c:pt>
                <c:pt idx="935">
                  <c:v>2455159.7071000002</c:v>
                </c:pt>
                <c:pt idx="936">
                  <c:v>2455173.62549</c:v>
                </c:pt>
                <c:pt idx="937">
                  <c:v>2455189.52153</c:v>
                </c:pt>
                <c:pt idx="938">
                  <c:v>2455204.9163000002</c:v>
                </c:pt>
                <c:pt idx="939">
                  <c:v>2455220.2316000001</c:v>
                </c:pt>
                <c:pt idx="940">
                  <c:v>2455246.2004200001</c:v>
                </c:pt>
                <c:pt idx="941">
                  <c:v>2455262.2675100002</c:v>
                </c:pt>
                <c:pt idx="942">
                  <c:v>2455281.4588700002</c:v>
                </c:pt>
                <c:pt idx="943">
                  <c:v>2455300.5165300001</c:v>
                </c:pt>
                <c:pt idx="944">
                  <c:v>2455315.38754</c:v>
                </c:pt>
                <c:pt idx="945">
                  <c:v>2455335.01878</c:v>
                </c:pt>
                <c:pt idx="946">
                  <c:v>2455349.2148199999</c:v>
                </c:pt>
                <c:pt idx="947">
                  <c:v>2455361.4402000001</c:v>
                </c:pt>
                <c:pt idx="948">
                  <c:v>2455380.2801799998</c:v>
                </c:pt>
                <c:pt idx="949">
                  <c:v>2455392.9858400002</c:v>
                </c:pt>
                <c:pt idx="950">
                  <c:v>2455411.8992599999</c:v>
                </c:pt>
                <c:pt idx="951">
                  <c:v>2455424.0665099998</c:v>
                </c:pt>
                <c:pt idx="952">
                  <c:v>2455440.5510499999</c:v>
                </c:pt>
                <c:pt idx="953">
                  <c:v>2455454.2895900002</c:v>
                </c:pt>
                <c:pt idx="954">
                  <c:v>2455472.3958299998</c:v>
                </c:pt>
                <c:pt idx="955">
                  <c:v>2455484.13423</c:v>
                </c:pt>
                <c:pt idx="956">
                  <c:v>2455500.3221900002</c:v>
                </c:pt>
                <c:pt idx="957">
                  <c:v>2455514.9268200002</c:v>
                </c:pt>
                <c:pt idx="958">
                  <c:v>2455531.1512600002</c:v>
                </c:pt>
                <c:pt idx="959">
                  <c:v>2455543.4725600001</c:v>
                </c:pt>
                <c:pt idx="960">
                  <c:v>2455563.64059</c:v>
                </c:pt>
                <c:pt idx="961">
                  <c:v>2455578.3652900001</c:v>
                </c:pt>
                <c:pt idx="962">
                  <c:v>2455595.9568099999</c:v>
                </c:pt>
                <c:pt idx="963">
                  <c:v>2455623.2516100002</c:v>
                </c:pt>
                <c:pt idx="964">
                  <c:v>2455645.1258999999</c:v>
                </c:pt>
                <c:pt idx="965">
                  <c:v>2455659.9397999998</c:v>
                </c:pt>
                <c:pt idx="966">
                  <c:v>2455682.8926499998</c:v>
                </c:pt>
                <c:pt idx="967">
                  <c:v>2455695.3859100002</c:v>
                </c:pt>
                <c:pt idx="968">
                  <c:v>2455710.2713299999</c:v>
                </c:pt>
                <c:pt idx="969">
                  <c:v>2455726.8487399998</c:v>
                </c:pt>
                <c:pt idx="970">
                  <c:v>2455743.0993300001</c:v>
                </c:pt>
                <c:pt idx="971">
                  <c:v>2455757.89964</c:v>
                </c:pt>
                <c:pt idx="972">
                  <c:v>2455773.7471400001</c:v>
                </c:pt>
                <c:pt idx="973">
                  <c:v>2455790.0605799998</c:v>
                </c:pt>
                <c:pt idx="974">
                  <c:v>2455803.0407199999</c:v>
                </c:pt>
                <c:pt idx="975">
                  <c:v>2455819.1494700001</c:v>
                </c:pt>
                <c:pt idx="976">
                  <c:v>2455833.4903199999</c:v>
                </c:pt>
                <c:pt idx="977">
                  <c:v>2455849.9316699998</c:v>
                </c:pt>
                <c:pt idx="978">
                  <c:v>2455864.2726599998</c:v>
                </c:pt>
                <c:pt idx="979">
                  <c:v>2455879.4936099998</c:v>
                </c:pt>
                <c:pt idx="980">
                  <c:v>2455896.3427800001</c:v>
                </c:pt>
                <c:pt idx="981">
                  <c:v>2455910.3667899999</c:v>
                </c:pt>
                <c:pt idx="982">
                  <c:v>2455926.86821</c:v>
                </c:pt>
                <c:pt idx="983">
                  <c:v>2455943.9874</c:v>
                </c:pt>
                <c:pt idx="984">
                  <c:v>2455966.7999999998</c:v>
                </c:pt>
                <c:pt idx="985">
                  <c:v>2455988.8720900002</c:v>
                </c:pt>
                <c:pt idx="986">
                  <c:v>2456009.2950499998</c:v>
                </c:pt>
                <c:pt idx="987">
                  <c:v>2456025.2456999999</c:v>
                </c:pt>
                <c:pt idx="988">
                  <c:v>2456045.1546200002</c:v>
                </c:pt>
                <c:pt idx="989">
                  <c:v>2456060.3394800001</c:v>
                </c:pt>
                <c:pt idx="990">
                  <c:v>2456072.4617699999</c:v>
                </c:pt>
                <c:pt idx="991">
                  <c:v>2456092.1993200001</c:v>
                </c:pt>
                <c:pt idx="992">
                  <c:v>2456105.2757700002</c:v>
                </c:pt>
                <c:pt idx="993">
                  <c:v>2456122.7570000002</c:v>
                </c:pt>
                <c:pt idx="994">
                  <c:v>2456136.1661899998</c:v>
                </c:pt>
                <c:pt idx="995">
                  <c:v>2456154.0133699998</c:v>
                </c:pt>
                <c:pt idx="996">
                  <c:v>2456167.8509200001</c:v>
                </c:pt>
                <c:pt idx="997">
                  <c:v>2456183.5692799999</c:v>
                </c:pt>
                <c:pt idx="998">
                  <c:v>2456197.8769399999</c:v>
                </c:pt>
                <c:pt idx="999">
                  <c:v>2456214.7283999999</c:v>
                </c:pt>
                <c:pt idx="1000">
                  <c:v>2456230.2695399998</c:v>
                </c:pt>
                <c:pt idx="1001">
                  <c:v>2456243.8137099999</c:v>
                </c:pt>
                <c:pt idx="1002">
                  <c:v>2456260.4835799998</c:v>
                </c:pt>
                <c:pt idx="1003">
                  <c:v>2456273.53027</c:v>
                </c:pt>
                <c:pt idx="1004">
                  <c:v>2456293.6325699999</c:v>
                </c:pt>
                <c:pt idx="1005">
                  <c:v>2456303.2705600001</c:v>
                </c:pt>
                <c:pt idx="1006">
                  <c:v>2456323.4690999999</c:v>
                </c:pt>
                <c:pt idx="1007">
                  <c:v>2456358.6482299999</c:v>
                </c:pt>
                <c:pt idx="1008">
                  <c:v>2456389.7136900001</c:v>
                </c:pt>
                <c:pt idx="1009">
                  <c:v>2456404.4932599999</c:v>
                </c:pt>
                <c:pt idx="1010">
                  <c:v>2456422.6549300002</c:v>
                </c:pt>
                <c:pt idx="1011">
                  <c:v>2456438.45609</c:v>
                </c:pt>
                <c:pt idx="1012">
                  <c:v>2456454.8801000002</c:v>
                </c:pt>
                <c:pt idx="1013">
                  <c:v>2456470.9873899999</c:v>
                </c:pt>
                <c:pt idx="1014">
                  <c:v>2456484.4994299999</c:v>
                </c:pt>
                <c:pt idx="1015">
                  <c:v>2456500.7596800001</c:v>
                </c:pt>
                <c:pt idx="1016">
                  <c:v>2456515.6797099998</c:v>
                </c:pt>
                <c:pt idx="1017">
                  <c:v>2456532.55375</c:v>
                </c:pt>
                <c:pt idx="1018">
                  <c:v>2456545.1162999999</c:v>
                </c:pt>
                <c:pt idx="1019">
                  <c:v>2456562.2782800002</c:v>
                </c:pt>
                <c:pt idx="1020">
                  <c:v>2456575.1310299998</c:v>
                </c:pt>
                <c:pt idx="1021">
                  <c:v>2456592.54684</c:v>
                </c:pt>
                <c:pt idx="1022">
                  <c:v>2456605.38062</c:v>
                </c:pt>
                <c:pt idx="1023">
                  <c:v>2456624.6766400002</c:v>
                </c:pt>
                <c:pt idx="1024">
                  <c:v>2456634.7096199999</c:v>
                </c:pt>
                <c:pt idx="1025">
                  <c:v>2456654.7276400002</c:v>
                </c:pt>
                <c:pt idx="1026">
                  <c:v>2456667.4213700001</c:v>
                </c:pt>
                <c:pt idx="1027">
                  <c:v>2456690.3392400001</c:v>
                </c:pt>
                <c:pt idx="1028">
                  <c:v>2456714.2551000002</c:v>
                </c:pt>
                <c:pt idx="1029">
                  <c:v>2456726.6280899998</c:v>
                </c:pt>
                <c:pt idx="1030">
                  <c:v>2456750.6126999999</c:v>
                </c:pt>
                <c:pt idx="1031">
                  <c:v>2456770.8741700002</c:v>
                </c:pt>
                <c:pt idx="1032">
                  <c:v>2456791.8651999999</c:v>
                </c:pt>
                <c:pt idx="1033">
                  <c:v>2456803.1860199999</c:v>
                </c:pt>
                <c:pt idx="1034">
                  <c:v>2456817.6307700002</c:v>
                </c:pt>
                <c:pt idx="1035">
                  <c:v>2456835.3017299999</c:v>
                </c:pt>
                <c:pt idx="1036">
                  <c:v>2456849.4912800002</c:v>
                </c:pt>
                <c:pt idx="1037">
                  <c:v>2456865.4020500001</c:v>
                </c:pt>
                <c:pt idx="1038">
                  <c:v>2456883.2617199998</c:v>
                </c:pt>
                <c:pt idx="1039">
                  <c:v>2456895.44404</c:v>
                </c:pt>
                <c:pt idx="1040">
                  <c:v>2456911.3373699998</c:v>
                </c:pt>
                <c:pt idx="1041">
                  <c:v>2456926.0024100002</c:v>
                </c:pt>
                <c:pt idx="1042">
                  <c:v>2456941.57822</c:v>
                </c:pt>
                <c:pt idx="1043">
                  <c:v>2456955.5748200002</c:v>
                </c:pt>
                <c:pt idx="1044">
                  <c:v>2456970.7770400001</c:v>
                </c:pt>
                <c:pt idx="1045">
                  <c:v>2456984.5900099999</c:v>
                </c:pt>
                <c:pt idx="1046">
                  <c:v>2457002.19826</c:v>
                </c:pt>
                <c:pt idx="1047">
                  <c:v>2457017.7109599998</c:v>
                </c:pt>
                <c:pt idx="1048">
                  <c:v>2457030.5014599999</c:v>
                </c:pt>
                <c:pt idx="1049">
                  <c:v>2457053.9668999999</c:v>
                </c:pt>
                <c:pt idx="1050">
                  <c:v>2457075.1971200001</c:v>
                </c:pt>
                <c:pt idx="1051">
                  <c:v>2457099.5427399999</c:v>
                </c:pt>
                <c:pt idx="1052">
                  <c:v>2457114.4830900002</c:v>
                </c:pt>
                <c:pt idx="1053">
                  <c:v>2457130.9018000001</c:v>
                </c:pt>
                <c:pt idx="1054">
                  <c:v>2457145.78835</c:v>
                </c:pt>
                <c:pt idx="1055">
                  <c:v>2457162.2392600002</c:v>
                </c:pt>
                <c:pt idx="1056">
                  <c:v>2457178.7904400001</c:v>
                </c:pt>
                <c:pt idx="1057">
                  <c:v>2457192.9783299998</c:v>
                </c:pt>
                <c:pt idx="1058">
                  <c:v>2457209.2427500002</c:v>
                </c:pt>
                <c:pt idx="1059">
                  <c:v>2457223.67949</c:v>
                </c:pt>
                <c:pt idx="1060">
                  <c:v>2457240.5509199998</c:v>
                </c:pt>
                <c:pt idx="1061">
                  <c:v>2457255.2679400002</c:v>
                </c:pt>
                <c:pt idx="1062">
                  <c:v>2457271.9724099999</c:v>
                </c:pt>
                <c:pt idx="1063">
                  <c:v>2457285.6129700001</c:v>
                </c:pt>
                <c:pt idx="1064">
                  <c:v>2457302.0608799998</c:v>
                </c:pt>
                <c:pt idx="1065">
                  <c:v>2457316.4018799998</c:v>
                </c:pt>
                <c:pt idx="1066">
                  <c:v>2457330.8891799999</c:v>
                </c:pt>
                <c:pt idx="1067">
                  <c:v>2457345.9759300002</c:v>
                </c:pt>
                <c:pt idx="1068">
                  <c:v>2457362.0980600002</c:v>
                </c:pt>
                <c:pt idx="1069">
                  <c:v>2457378.78431</c:v>
                </c:pt>
                <c:pt idx="1070">
                  <c:v>2457389.1233899998</c:v>
                </c:pt>
                <c:pt idx="1071">
                  <c:v>2457411.1333300001</c:v>
                </c:pt>
                <c:pt idx="1072">
                  <c:v>2457430.6814700002</c:v>
                </c:pt>
                <c:pt idx="1073">
                  <c:v>2457447.9101200001</c:v>
                </c:pt>
                <c:pt idx="1074">
                  <c:v>2457466.5535900001</c:v>
                </c:pt>
                <c:pt idx="1075">
                  <c:v>2457484.1527</c:v>
                </c:pt>
                <c:pt idx="1076">
                  <c:v>2457503.6184399999</c:v>
                </c:pt>
                <c:pt idx="1077">
                  <c:v>2457516.8761399998</c:v>
                </c:pt>
                <c:pt idx="1078">
                  <c:v>2457537.2932500001</c:v>
                </c:pt>
                <c:pt idx="1079">
                  <c:v>2457550.5789000001</c:v>
                </c:pt>
                <c:pt idx="1080">
                  <c:v>2457568.0109100002</c:v>
                </c:pt>
                <c:pt idx="1081">
                  <c:v>2457581.7038400001</c:v>
                </c:pt>
                <c:pt idx="1082">
                  <c:v>2457598.6096100002</c:v>
                </c:pt>
                <c:pt idx="1083">
                  <c:v>2457611.3901200001</c:v>
                </c:pt>
                <c:pt idx="1084">
                  <c:v>2457628.7760700001</c:v>
                </c:pt>
                <c:pt idx="1085">
                  <c:v>2457641.7537600002</c:v>
                </c:pt>
                <c:pt idx="1086">
                  <c:v>2457659.4371600002</c:v>
                </c:pt>
                <c:pt idx="1087">
                  <c:v>2457674.0677499999</c:v>
                </c:pt>
                <c:pt idx="1088">
                  <c:v>2457688.4995499998</c:v>
                </c:pt>
                <c:pt idx="1089">
                  <c:v>2457704.4001500001</c:v>
                </c:pt>
                <c:pt idx="1090">
                  <c:v>2457720.7566999998</c:v>
                </c:pt>
                <c:pt idx="1091">
                  <c:v>2457736.3784500002</c:v>
                </c:pt>
                <c:pt idx="1092">
                  <c:v>2457747.2732600002</c:v>
                </c:pt>
                <c:pt idx="1093">
                  <c:v>2457756.7255000002</c:v>
                </c:pt>
                <c:pt idx="1094">
                  <c:v>2457776.8355</c:v>
                </c:pt>
                <c:pt idx="1095">
                  <c:v>2457798.22108</c:v>
                </c:pt>
                <c:pt idx="1096">
                  <c:v>2457822.8177</c:v>
                </c:pt>
                <c:pt idx="1097">
                  <c:v>2457840.5253400002</c:v>
                </c:pt>
                <c:pt idx="1098">
                  <c:v>2457862.79837</c:v>
                </c:pt>
                <c:pt idx="1099">
                  <c:v>2457872.40258</c:v>
                </c:pt>
                <c:pt idx="1100">
                  <c:v>2457887.18952</c:v>
                </c:pt>
                <c:pt idx="1101">
                  <c:v>2457901.41927</c:v>
                </c:pt>
                <c:pt idx="1102">
                  <c:v>2457917.9572700001</c:v>
                </c:pt>
                <c:pt idx="1103">
                  <c:v>2457931.42466</c:v>
                </c:pt>
                <c:pt idx="1104">
                  <c:v>2457947.0038000001</c:v>
                </c:pt>
                <c:pt idx="1105">
                  <c:v>2457961.3936100001</c:v>
                </c:pt>
                <c:pt idx="1106">
                  <c:v>2457977.5441899998</c:v>
                </c:pt>
                <c:pt idx="1107">
                  <c:v>2457992.4228500002</c:v>
                </c:pt>
                <c:pt idx="1108">
                  <c:v>2458007.9949400001</c:v>
                </c:pt>
                <c:pt idx="1109">
                  <c:v>2458022.0805600001</c:v>
                </c:pt>
                <c:pt idx="1110">
                  <c:v>2458039.08641</c:v>
                </c:pt>
                <c:pt idx="1111">
                  <c:v>2458053.0110499999</c:v>
                </c:pt>
                <c:pt idx="1112">
                  <c:v>2458069.9362599999</c:v>
                </c:pt>
                <c:pt idx="1113">
                  <c:v>2458083.50771</c:v>
                </c:pt>
                <c:pt idx="1114">
                  <c:v>2458100.3730000001</c:v>
                </c:pt>
                <c:pt idx="1115">
                  <c:v>2458111.10831</c:v>
                </c:pt>
                <c:pt idx="1116">
                  <c:v>2458128.5695799999</c:v>
                </c:pt>
                <c:pt idx="1117">
                  <c:v>2458148.17717</c:v>
                </c:pt>
                <c:pt idx="1118">
                  <c:v>2458169.7048499999</c:v>
                </c:pt>
                <c:pt idx="1119">
                  <c:v>2458185.6085000001</c:v>
                </c:pt>
                <c:pt idx="1120">
                  <c:v>2458198.5350799998</c:v>
                </c:pt>
                <c:pt idx="1121">
                  <c:v>2458217.7927700002</c:v>
                </c:pt>
                <c:pt idx="1122">
                  <c:v>2458228.6811700002</c:v>
                </c:pt>
                <c:pt idx="1123">
                  <c:v>2458248.8565799999</c:v>
                </c:pt>
                <c:pt idx="1124">
                  <c:v>2458263.3491699998</c:v>
                </c:pt>
                <c:pt idx="1125">
                  <c:v>2458279.28235</c:v>
                </c:pt>
                <c:pt idx="1126">
                  <c:v>2458296.8297799998</c:v>
                </c:pt>
                <c:pt idx="1127">
                  <c:v>2458311.7458700002</c:v>
                </c:pt>
                <c:pt idx="1128">
                  <c:v>2458326.77275</c:v>
                </c:pt>
                <c:pt idx="1129">
                  <c:v>2458340.9308199999</c:v>
                </c:pt>
                <c:pt idx="1130">
                  <c:v>2458356.43255</c:v>
                </c:pt>
                <c:pt idx="1131">
                  <c:v>2458372.44154</c:v>
                </c:pt>
                <c:pt idx="1132">
                  <c:v>2458388.3236600002</c:v>
                </c:pt>
                <c:pt idx="1133">
                  <c:v>2458401.52776</c:v>
                </c:pt>
                <c:pt idx="1134">
                  <c:v>2458418.8375800001</c:v>
                </c:pt>
                <c:pt idx="1135">
                  <c:v>2458433.8611599999</c:v>
                </c:pt>
                <c:pt idx="1136">
                  <c:v>2458449.38802</c:v>
                </c:pt>
                <c:pt idx="1137">
                  <c:v>2458462.6699000001</c:v>
                </c:pt>
                <c:pt idx="1138">
                  <c:v>2458480.1447800002</c:v>
                </c:pt>
                <c:pt idx="1139">
                  <c:v>2458494.9681000002</c:v>
                </c:pt>
                <c:pt idx="1140">
                  <c:v>2458507.0916900001</c:v>
                </c:pt>
                <c:pt idx="1141">
                  <c:v>2458527.61234</c:v>
                </c:pt>
                <c:pt idx="1142">
                  <c:v>2458542.7652599998</c:v>
                </c:pt>
                <c:pt idx="1143">
                  <c:v>2458566.6612499999</c:v>
                </c:pt>
                <c:pt idx="1144">
                  <c:v>2458581.29844</c:v>
                </c:pt>
                <c:pt idx="1145">
                  <c:v>2458599.0052100001</c:v>
                </c:pt>
                <c:pt idx="1146">
                  <c:v>2458613.8849200001</c:v>
                </c:pt>
                <c:pt idx="1147">
                  <c:v>2458632.8995500002</c:v>
                </c:pt>
                <c:pt idx="1148">
                  <c:v>2458646.5422499999</c:v>
                </c:pt>
                <c:pt idx="1149">
                  <c:v>2458663.0509700002</c:v>
                </c:pt>
                <c:pt idx="1150">
                  <c:v>2458678.6039300002</c:v>
                </c:pt>
                <c:pt idx="1151">
                  <c:v>2458693.3846499999</c:v>
                </c:pt>
                <c:pt idx="1152">
                  <c:v>2458710.5763300001</c:v>
                </c:pt>
                <c:pt idx="1153">
                  <c:v>2458727.3103100001</c:v>
                </c:pt>
                <c:pt idx="1154">
                  <c:v>2458743.2729799999</c:v>
                </c:pt>
                <c:pt idx="1155">
                  <c:v>2458758.50092</c:v>
                </c:pt>
                <c:pt idx="1156">
                  <c:v>2458776.7343299999</c:v>
                </c:pt>
                <c:pt idx="1157">
                  <c:v>2458790.0694599999</c:v>
                </c:pt>
                <c:pt idx="1158">
                  <c:v>2458805.5793900001</c:v>
                </c:pt>
                <c:pt idx="1159">
                  <c:v>2458822.2099600001</c:v>
                </c:pt>
                <c:pt idx="1160">
                  <c:v>2458842.60751</c:v>
                </c:pt>
                <c:pt idx="1161">
                  <c:v>2458853.3632</c:v>
                </c:pt>
                <c:pt idx="1162">
                  <c:v>2458880.9819399999</c:v>
                </c:pt>
              </c:numCache>
            </c:numRef>
          </c:xVal>
          <c:yVal>
            <c:numRef>
              <c:f>Vis!$C$1:$C$6000</c:f>
              <c:numCache>
                <c:formatCode>General</c:formatCode>
                <c:ptCount val="6000"/>
                <c:pt idx="0">
                  <c:v>12.05</c:v>
                </c:pt>
                <c:pt idx="1">
                  <c:v>11.737500000000001</c:v>
                </c:pt>
                <c:pt idx="2">
                  <c:v>11.666667</c:v>
                </c:pt>
                <c:pt idx="3">
                  <c:v>11.675000000000001</c:v>
                </c:pt>
                <c:pt idx="4">
                  <c:v>11.741667</c:v>
                </c:pt>
                <c:pt idx="5">
                  <c:v>11.8</c:v>
                </c:pt>
                <c:pt idx="6">
                  <c:v>11.585713999999999</c:v>
                </c:pt>
                <c:pt idx="7">
                  <c:v>11.55</c:v>
                </c:pt>
                <c:pt idx="8">
                  <c:v>11.6</c:v>
                </c:pt>
                <c:pt idx="9">
                  <c:v>11.6</c:v>
                </c:pt>
                <c:pt idx="10">
                  <c:v>11</c:v>
                </c:pt>
                <c:pt idx="11">
                  <c:v>11.6</c:v>
                </c:pt>
                <c:pt idx="12">
                  <c:v>11.7</c:v>
                </c:pt>
                <c:pt idx="13">
                  <c:v>12.2</c:v>
                </c:pt>
                <c:pt idx="14">
                  <c:v>11.8</c:v>
                </c:pt>
                <c:pt idx="15">
                  <c:v>12</c:v>
                </c:pt>
                <c:pt idx="16">
                  <c:v>12</c:v>
                </c:pt>
                <c:pt idx="17">
                  <c:v>11.9</c:v>
                </c:pt>
                <c:pt idx="18">
                  <c:v>12.4</c:v>
                </c:pt>
                <c:pt idx="19">
                  <c:v>12.2</c:v>
                </c:pt>
                <c:pt idx="20">
                  <c:v>11.8</c:v>
                </c:pt>
                <c:pt idx="21">
                  <c:v>11.8</c:v>
                </c:pt>
                <c:pt idx="22">
                  <c:v>11.9</c:v>
                </c:pt>
                <c:pt idx="23">
                  <c:v>11.8</c:v>
                </c:pt>
                <c:pt idx="24">
                  <c:v>11.6</c:v>
                </c:pt>
                <c:pt idx="25">
                  <c:v>11.6</c:v>
                </c:pt>
                <c:pt idx="26">
                  <c:v>11.9</c:v>
                </c:pt>
                <c:pt idx="27">
                  <c:v>12.3</c:v>
                </c:pt>
                <c:pt idx="28">
                  <c:v>12.4</c:v>
                </c:pt>
                <c:pt idx="29">
                  <c:v>12.2</c:v>
                </c:pt>
                <c:pt idx="30">
                  <c:v>12.05</c:v>
                </c:pt>
                <c:pt idx="31">
                  <c:v>12.6</c:v>
                </c:pt>
                <c:pt idx="32">
                  <c:v>12</c:v>
                </c:pt>
                <c:pt idx="33">
                  <c:v>12.5</c:v>
                </c:pt>
                <c:pt idx="34">
                  <c:v>11.9</c:v>
                </c:pt>
                <c:pt idx="35">
                  <c:v>11.9</c:v>
                </c:pt>
                <c:pt idx="36">
                  <c:v>12.3</c:v>
                </c:pt>
                <c:pt idx="37">
                  <c:v>11.6</c:v>
                </c:pt>
                <c:pt idx="38">
                  <c:v>11.9</c:v>
                </c:pt>
                <c:pt idx="39">
                  <c:v>12.5</c:v>
                </c:pt>
                <c:pt idx="40">
                  <c:v>11.8</c:v>
                </c:pt>
                <c:pt idx="41">
                  <c:v>12.4</c:v>
                </c:pt>
                <c:pt idx="42">
                  <c:v>11.7</c:v>
                </c:pt>
                <c:pt idx="43">
                  <c:v>11.8</c:v>
                </c:pt>
                <c:pt idx="44">
                  <c:v>11.6</c:v>
                </c:pt>
                <c:pt idx="45">
                  <c:v>11.8</c:v>
                </c:pt>
                <c:pt idx="46">
                  <c:v>12.5</c:v>
                </c:pt>
                <c:pt idx="47">
                  <c:v>11.9</c:v>
                </c:pt>
                <c:pt idx="48">
                  <c:v>12</c:v>
                </c:pt>
                <c:pt idx="49">
                  <c:v>13.3</c:v>
                </c:pt>
                <c:pt idx="50">
                  <c:v>12.7</c:v>
                </c:pt>
                <c:pt idx="51">
                  <c:v>12.3</c:v>
                </c:pt>
                <c:pt idx="52">
                  <c:v>12.5</c:v>
                </c:pt>
                <c:pt idx="53">
                  <c:v>12.5</c:v>
                </c:pt>
                <c:pt idx="54">
                  <c:v>12.4</c:v>
                </c:pt>
                <c:pt idx="55">
                  <c:v>12</c:v>
                </c:pt>
                <c:pt idx="56">
                  <c:v>12</c:v>
                </c:pt>
                <c:pt idx="57">
                  <c:v>12.324999999999999</c:v>
                </c:pt>
                <c:pt idx="58">
                  <c:v>11.35</c:v>
                </c:pt>
                <c:pt idx="59">
                  <c:v>11.2</c:v>
                </c:pt>
                <c:pt idx="60">
                  <c:v>11.933332999999999</c:v>
                </c:pt>
                <c:pt idx="61">
                  <c:v>11.92</c:v>
                </c:pt>
                <c:pt idx="62">
                  <c:v>11.866667</c:v>
                </c:pt>
                <c:pt idx="63">
                  <c:v>12</c:v>
                </c:pt>
                <c:pt idx="64">
                  <c:v>11.746154000000001</c:v>
                </c:pt>
                <c:pt idx="65">
                  <c:v>11.925000000000001</c:v>
                </c:pt>
                <c:pt idx="66">
                  <c:v>11.9</c:v>
                </c:pt>
                <c:pt idx="67">
                  <c:v>11.5</c:v>
                </c:pt>
                <c:pt idx="68">
                  <c:v>11.96</c:v>
                </c:pt>
                <c:pt idx="69">
                  <c:v>11.954545</c:v>
                </c:pt>
                <c:pt idx="70">
                  <c:v>12.133333</c:v>
                </c:pt>
                <c:pt idx="71">
                  <c:v>12</c:v>
                </c:pt>
                <c:pt idx="72">
                  <c:v>12.2</c:v>
                </c:pt>
                <c:pt idx="73">
                  <c:v>12.066667000000001</c:v>
                </c:pt>
                <c:pt idx="74">
                  <c:v>12.1</c:v>
                </c:pt>
                <c:pt idx="75">
                  <c:v>11.971429000000001</c:v>
                </c:pt>
                <c:pt idx="76">
                  <c:v>11.987500000000001</c:v>
                </c:pt>
                <c:pt idx="77">
                  <c:v>11.887499999999999</c:v>
                </c:pt>
                <c:pt idx="78">
                  <c:v>11.95</c:v>
                </c:pt>
                <c:pt idx="79">
                  <c:v>11.776923</c:v>
                </c:pt>
                <c:pt idx="80">
                  <c:v>11.728571000000001</c:v>
                </c:pt>
                <c:pt idx="81">
                  <c:v>11.844443999999999</c:v>
                </c:pt>
                <c:pt idx="82">
                  <c:v>11.841666999999999</c:v>
                </c:pt>
                <c:pt idx="83">
                  <c:v>11.862500000000001</c:v>
                </c:pt>
                <c:pt idx="84">
                  <c:v>11.914286000000001</c:v>
                </c:pt>
                <c:pt idx="85">
                  <c:v>11.95</c:v>
                </c:pt>
                <c:pt idx="86">
                  <c:v>11.933332999999999</c:v>
                </c:pt>
                <c:pt idx="87">
                  <c:v>11.966666999999999</c:v>
                </c:pt>
                <c:pt idx="88">
                  <c:v>12</c:v>
                </c:pt>
                <c:pt idx="89">
                  <c:v>12.15</c:v>
                </c:pt>
                <c:pt idx="90">
                  <c:v>12</c:v>
                </c:pt>
                <c:pt idx="91">
                  <c:v>12.033333000000001</c:v>
                </c:pt>
                <c:pt idx="92">
                  <c:v>11.9</c:v>
                </c:pt>
                <c:pt idx="93">
                  <c:v>11.824999999999999</c:v>
                </c:pt>
                <c:pt idx="94">
                  <c:v>11.871428999999999</c:v>
                </c:pt>
                <c:pt idx="95">
                  <c:v>11.728571000000001</c:v>
                </c:pt>
                <c:pt idx="96">
                  <c:v>11.75</c:v>
                </c:pt>
                <c:pt idx="97">
                  <c:v>11.607692</c:v>
                </c:pt>
                <c:pt idx="98">
                  <c:v>11.933332999999999</c:v>
                </c:pt>
                <c:pt idx="99">
                  <c:v>11.8</c:v>
                </c:pt>
                <c:pt idx="100">
                  <c:v>11.75</c:v>
                </c:pt>
                <c:pt idx="101">
                  <c:v>11.7</c:v>
                </c:pt>
                <c:pt idx="102">
                  <c:v>11.8</c:v>
                </c:pt>
                <c:pt idx="103">
                  <c:v>11.783333000000001</c:v>
                </c:pt>
                <c:pt idx="104">
                  <c:v>11.666667</c:v>
                </c:pt>
                <c:pt idx="105">
                  <c:v>11.2</c:v>
                </c:pt>
                <c:pt idx="106">
                  <c:v>11.116667</c:v>
                </c:pt>
                <c:pt idx="107">
                  <c:v>11.1</c:v>
                </c:pt>
                <c:pt idx="108">
                  <c:v>10.15</c:v>
                </c:pt>
                <c:pt idx="109">
                  <c:v>10</c:v>
                </c:pt>
                <c:pt idx="110">
                  <c:v>10.433332999999999</c:v>
                </c:pt>
                <c:pt idx="111">
                  <c:v>10.766667</c:v>
                </c:pt>
                <c:pt idx="112">
                  <c:v>11.05</c:v>
                </c:pt>
                <c:pt idx="113">
                  <c:v>10.96</c:v>
                </c:pt>
                <c:pt idx="114">
                  <c:v>11.13</c:v>
                </c:pt>
                <c:pt idx="115">
                  <c:v>10.975</c:v>
                </c:pt>
                <c:pt idx="116">
                  <c:v>11.166667</c:v>
                </c:pt>
                <c:pt idx="117">
                  <c:v>11.16</c:v>
                </c:pt>
                <c:pt idx="118">
                  <c:v>11.233333</c:v>
                </c:pt>
                <c:pt idx="119">
                  <c:v>11.407692000000001</c:v>
                </c:pt>
                <c:pt idx="120">
                  <c:v>11.5875</c:v>
                </c:pt>
                <c:pt idx="121">
                  <c:v>11.7</c:v>
                </c:pt>
                <c:pt idx="122">
                  <c:v>11.68</c:v>
                </c:pt>
                <c:pt idx="123">
                  <c:v>11.65</c:v>
                </c:pt>
                <c:pt idx="124">
                  <c:v>11.7</c:v>
                </c:pt>
                <c:pt idx="125">
                  <c:v>11.7</c:v>
                </c:pt>
                <c:pt idx="126">
                  <c:v>11.516667</c:v>
                </c:pt>
                <c:pt idx="127">
                  <c:v>11.55</c:v>
                </c:pt>
                <c:pt idx="128">
                  <c:v>11.85</c:v>
                </c:pt>
                <c:pt idx="129">
                  <c:v>11.433332999999999</c:v>
                </c:pt>
                <c:pt idx="130">
                  <c:v>11.574999999999999</c:v>
                </c:pt>
                <c:pt idx="131">
                  <c:v>11.58</c:v>
                </c:pt>
                <c:pt idx="132">
                  <c:v>11.5</c:v>
                </c:pt>
                <c:pt idx="133">
                  <c:v>11.6</c:v>
                </c:pt>
                <c:pt idx="134">
                  <c:v>11.544444</c:v>
                </c:pt>
                <c:pt idx="135">
                  <c:v>11.614286</c:v>
                </c:pt>
                <c:pt idx="136">
                  <c:v>11.555555999999999</c:v>
                </c:pt>
                <c:pt idx="137">
                  <c:v>11.425000000000001</c:v>
                </c:pt>
                <c:pt idx="138">
                  <c:v>11.328571</c:v>
                </c:pt>
                <c:pt idx="139">
                  <c:v>11.15</c:v>
                </c:pt>
                <c:pt idx="140">
                  <c:v>11.066667000000001</c:v>
                </c:pt>
                <c:pt idx="141">
                  <c:v>11.1</c:v>
                </c:pt>
                <c:pt idx="142">
                  <c:v>10.95</c:v>
                </c:pt>
                <c:pt idx="143">
                  <c:v>11.12</c:v>
                </c:pt>
                <c:pt idx="144">
                  <c:v>11.1</c:v>
                </c:pt>
                <c:pt idx="145">
                  <c:v>11.3</c:v>
                </c:pt>
                <c:pt idx="146">
                  <c:v>11.225</c:v>
                </c:pt>
                <c:pt idx="147">
                  <c:v>11.357143000000001</c:v>
                </c:pt>
                <c:pt idx="148">
                  <c:v>11.3375</c:v>
                </c:pt>
                <c:pt idx="149">
                  <c:v>11.566667000000001</c:v>
                </c:pt>
                <c:pt idx="150">
                  <c:v>11.58</c:v>
                </c:pt>
                <c:pt idx="151">
                  <c:v>11.62</c:v>
                </c:pt>
                <c:pt idx="152">
                  <c:v>11.566667000000001</c:v>
                </c:pt>
                <c:pt idx="153">
                  <c:v>11.7</c:v>
                </c:pt>
                <c:pt idx="154">
                  <c:v>11.7</c:v>
                </c:pt>
                <c:pt idx="155">
                  <c:v>11.86</c:v>
                </c:pt>
                <c:pt idx="156">
                  <c:v>11.666667</c:v>
                </c:pt>
                <c:pt idx="157">
                  <c:v>11.833333</c:v>
                </c:pt>
                <c:pt idx="158">
                  <c:v>11.6</c:v>
                </c:pt>
                <c:pt idx="159">
                  <c:v>11.6</c:v>
                </c:pt>
                <c:pt idx="160">
                  <c:v>11.5</c:v>
                </c:pt>
                <c:pt idx="161">
                  <c:v>11.516667</c:v>
                </c:pt>
                <c:pt idx="162">
                  <c:v>11.633333</c:v>
                </c:pt>
                <c:pt idx="163">
                  <c:v>11.824999999999999</c:v>
                </c:pt>
                <c:pt idx="164">
                  <c:v>11.64</c:v>
                </c:pt>
                <c:pt idx="165">
                  <c:v>11.555555999999999</c:v>
                </c:pt>
                <c:pt idx="166">
                  <c:v>11.668749999999999</c:v>
                </c:pt>
                <c:pt idx="167">
                  <c:v>11.614286</c:v>
                </c:pt>
                <c:pt idx="168">
                  <c:v>11.607143000000001</c:v>
                </c:pt>
                <c:pt idx="169">
                  <c:v>11.36</c:v>
                </c:pt>
                <c:pt idx="170">
                  <c:v>11.47</c:v>
                </c:pt>
                <c:pt idx="171">
                  <c:v>11.27</c:v>
                </c:pt>
                <c:pt idx="172">
                  <c:v>11.223077</c:v>
                </c:pt>
                <c:pt idx="173">
                  <c:v>11.027272999999999</c:v>
                </c:pt>
                <c:pt idx="174">
                  <c:v>10.983333</c:v>
                </c:pt>
                <c:pt idx="175">
                  <c:v>10.988889</c:v>
                </c:pt>
                <c:pt idx="176">
                  <c:v>10.95</c:v>
                </c:pt>
                <c:pt idx="177">
                  <c:v>10.533333000000001</c:v>
                </c:pt>
                <c:pt idx="178">
                  <c:v>10.666667</c:v>
                </c:pt>
                <c:pt idx="179">
                  <c:v>10.86</c:v>
                </c:pt>
                <c:pt idx="180">
                  <c:v>10.6</c:v>
                </c:pt>
                <c:pt idx="181">
                  <c:v>11.0375</c:v>
                </c:pt>
                <c:pt idx="182">
                  <c:v>10.88</c:v>
                </c:pt>
                <c:pt idx="183">
                  <c:v>11.02</c:v>
                </c:pt>
                <c:pt idx="184">
                  <c:v>11.12</c:v>
                </c:pt>
                <c:pt idx="185">
                  <c:v>11.154545000000001</c:v>
                </c:pt>
                <c:pt idx="186">
                  <c:v>11.32</c:v>
                </c:pt>
                <c:pt idx="187">
                  <c:v>11.375</c:v>
                </c:pt>
                <c:pt idx="188">
                  <c:v>11.45</c:v>
                </c:pt>
                <c:pt idx="189">
                  <c:v>11.336364</c:v>
                </c:pt>
                <c:pt idx="190">
                  <c:v>11.2</c:v>
                </c:pt>
                <c:pt idx="191">
                  <c:v>11.3</c:v>
                </c:pt>
                <c:pt idx="192">
                  <c:v>11.214286</c:v>
                </c:pt>
                <c:pt idx="193">
                  <c:v>11.183332999999999</c:v>
                </c:pt>
                <c:pt idx="194">
                  <c:v>11.1</c:v>
                </c:pt>
                <c:pt idx="195">
                  <c:v>11.4</c:v>
                </c:pt>
                <c:pt idx="196">
                  <c:v>10.5</c:v>
                </c:pt>
                <c:pt idx="197">
                  <c:v>10.7</c:v>
                </c:pt>
                <c:pt idx="198">
                  <c:v>10.9</c:v>
                </c:pt>
                <c:pt idx="199">
                  <c:v>10.833333</c:v>
                </c:pt>
                <c:pt idx="200">
                  <c:v>10.5</c:v>
                </c:pt>
                <c:pt idx="201">
                  <c:v>11.088889</c:v>
                </c:pt>
                <c:pt idx="202">
                  <c:v>11.071429</c:v>
                </c:pt>
                <c:pt idx="203">
                  <c:v>11.271428999999999</c:v>
                </c:pt>
                <c:pt idx="204">
                  <c:v>11.341666999999999</c:v>
                </c:pt>
                <c:pt idx="205">
                  <c:v>11.53</c:v>
                </c:pt>
                <c:pt idx="206">
                  <c:v>11.64</c:v>
                </c:pt>
                <c:pt idx="207">
                  <c:v>11.6</c:v>
                </c:pt>
                <c:pt idx="208">
                  <c:v>11.733333</c:v>
                </c:pt>
                <c:pt idx="209">
                  <c:v>11.688889</c:v>
                </c:pt>
                <c:pt idx="210">
                  <c:v>11.75</c:v>
                </c:pt>
                <c:pt idx="211">
                  <c:v>11.62</c:v>
                </c:pt>
                <c:pt idx="212">
                  <c:v>11.72</c:v>
                </c:pt>
                <c:pt idx="213">
                  <c:v>11.9</c:v>
                </c:pt>
                <c:pt idx="214">
                  <c:v>11.975</c:v>
                </c:pt>
                <c:pt idx="215">
                  <c:v>12.05</c:v>
                </c:pt>
                <c:pt idx="216">
                  <c:v>11.987500000000001</c:v>
                </c:pt>
                <c:pt idx="217">
                  <c:v>12.185714000000001</c:v>
                </c:pt>
                <c:pt idx="218">
                  <c:v>12.107692</c:v>
                </c:pt>
                <c:pt idx="219">
                  <c:v>12.14</c:v>
                </c:pt>
                <c:pt idx="220">
                  <c:v>12.08</c:v>
                </c:pt>
                <c:pt idx="221">
                  <c:v>12.31</c:v>
                </c:pt>
                <c:pt idx="222">
                  <c:v>12.46</c:v>
                </c:pt>
                <c:pt idx="223">
                  <c:v>12.314285999999999</c:v>
                </c:pt>
                <c:pt idx="224">
                  <c:v>12.38</c:v>
                </c:pt>
                <c:pt idx="225">
                  <c:v>12.322222</c:v>
                </c:pt>
                <c:pt idx="226">
                  <c:v>12.35</c:v>
                </c:pt>
                <c:pt idx="227">
                  <c:v>12.366667</c:v>
                </c:pt>
                <c:pt idx="228">
                  <c:v>12.4</c:v>
                </c:pt>
                <c:pt idx="229">
                  <c:v>11.975</c:v>
                </c:pt>
                <c:pt idx="230">
                  <c:v>12.066667000000001</c:v>
                </c:pt>
                <c:pt idx="231">
                  <c:v>11.86</c:v>
                </c:pt>
                <c:pt idx="232">
                  <c:v>11.99</c:v>
                </c:pt>
                <c:pt idx="233">
                  <c:v>11.857143000000001</c:v>
                </c:pt>
                <c:pt idx="234">
                  <c:v>11.8</c:v>
                </c:pt>
                <c:pt idx="235">
                  <c:v>11.685714000000001</c:v>
                </c:pt>
                <c:pt idx="236">
                  <c:v>11.922222</c:v>
                </c:pt>
                <c:pt idx="237">
                  <c:v>11.807691999999999</c:v>
                </c:pt>
                <c:pt idx="238">
                  <c:v>11.666667</c:v>
                </c:pt>
                <c:pt idx="239">
                  <c:v>11.85</c:v>
                </c:pt>
                <c:pt idx="240">
                  <c:v>11.827273</c:v>
                </c:pt>
                <c:pt idx="241">
                  <c:v>11.8375</c:v>
                </c:pt>
                <c:pt idx="242">
                  <c:v>11.8125</c:v>
                </c:pt>
                <c:pt idx="243">
                  <c:v>11.883333</c:v>
                </c:pt>
                <c:pt idx="244">
                  <c:v>12.066667000000001</c:v>
                </c:pt>
                <c:pt idx="245">
                  <c:v>12.05</c:v>
                </c:pt>
                <c:pt idx="246">
                  <c:v>12.4</c:v>
                </c:pt>
                <c:pt idx="247">
                  <c:v>11.8</c:v>
                </c:pt>
                <c:pt idx="248">
                  <c:v>12.1</c:v>
                </c:pt>
                <c:pt idx="249">
                  <c:v>12.15</c:v>
                </c:pt>
                <c:pt idx="250">
                  <c:v>12.25</c:v>
                </c:pt>
                <c:pt idx="251">
                  <c:v>12.24</c:v>
                </c:pt>
                <c:pt idx="252">
                  <c:v>12.285714</c:v>
                </c:pt>
                <c:pt idx="253">
                  <c:v>12.233333</c:v>
                </c:pt>
                <c:pt idx="254">
                  <c:v>12.27</c:v>
                </c:pt>
                <c:pt idx="255">
                  <c:v>12.136364</c:v>
                </c:pt>
                <c:pt idx="256">
                  <c:v>12.3375</c:v>
                </c:pt>
                <c:pt idx="257">
                  <c:v>12.4375</c:v>
                </c:pt>
                <c:pt idx="258">
                  <c:v>12.314285999999999</c:v>
                </c:pt>
                <c:pt idx="259">
                  <c:v>12.383333</c:v>
                </c:pt>
                <c:pt idx="260">
                  <c:v>12.44</c:v>
                </c:pt>
                <c:pt idx="261">
                  <c:v>12.42</c:v>
                </c:pt>
                <c:pt idx="262">
                  <c:v>12.45</c:v>
                </c:pt>
                <c:pt idx="263">
                  <c:v>12.3</c:v>
                </c:pt>
                <c:pt idx="264">
                  <c:v>12.4</c:v>
                </c:pt>
                <c:pt idx="265">
                  <c:v>12.1</c:v>
                </c:pt>
                <c:pt idx="266">
                  <c:v>12.15</c:v>
                </c:pt>
                <c:pt idx="267">
                  <c:v>12.175000000000001</c:v>
                </c:pt>
                <c:pt idx="268">
                  <c:v>12.125</c:v>
                </c:pt>
                <c:pt idx="269">
                  <c:v>12.042857</c:v>
                </c:pt>
                <c:pt idx="270">
                  <c:v>11.95</c:v>
                </c:pt>
                <c:pt idx="271">
                  <c:v>12.1</c:v>
                </c:pt>
                <c:pt idx="272">
                  <c:v>11.9</c:v>
                </c:pt>
                <c:pt idx="273">
                  <c:v>12</c:v>
                </c:pt>
                <c:pt idx="274">
                  <c:v>11.99</c:v>
                </c:pt>
                <c:pt idx="275">
                  <c:v>11.925000000000001</c:v>
                </c:pt>
                <c:pt idx="276">
                  <c:v>11.95</c:v>
                </c:pt>
                <c:pt idx="277">
                  <c:v>11.95</c:v>
                </c:pt>
                <c:pt idx="278">
                  <c:v>11.9</c:v>
                </c:pt>
                <c:pt idx="279">
                  <c:v>12.066667000000001</c:v>
                </c:pt>
                <c:pt idx="280">
                  <c:v>12.2</c:v>
                </c:pt>
                <c:pt idx="281">
                  <c:v>11.985714</c:v>
                </c:pt>
                <c:pt idx="282">
                  <c:v>12.6</c:v>
                </c:pt>
                <c:pt idx="283">
                  <c:v>12.083333</c:v>
                </c:pt>
                <c:pt idx="284">
                  <c:v>11.683332999999999</c:v>
                </c:pt>
                <c:pt idx="285">
                  <c:v>12.118181999999999</c:v>
                </c:pt>
                <c:pt idx="286">
                  <c:v>11.977778000000001</c:v>
                </c:pt>
                <c:pt idx="287">
                  <c:v>11.966666999999999</c:v>
                </c:pt>
                <c:pt idx="288">
                  <c:v>12.244444</c:v>
                </c:pt>
                <c:pt idx="289">
                  <c:v>12.07</c:v>
                </c:pt>
                <c:pt idx="290">
                  <c:v>12.163636</c:v>
                </c:pt>
                <c:pt idx="291">
                  <c:v>12.22</c:v>
                </c:pt>
                <c:pt idx="292">
                  <c:v>12.35</c:v>
                </c:pt>
                <c:pt idx="293">
                  <c:v>12.35</c:v>
                </c:pt>
                <c:pt idx="294">
                  <c:v>12.4</c:v>
                </c:pt>
                <c:pt idx="295">
                  <c:v>12.6</c:v>
                </c:pt>
                <c:pt idx="296">
                  <c:v>12.366667</c:v>
                </c:pt>
                <c:pt idx="297">
                  <c:v>11.824999999999999</c:v>
                </c:pt>
                <c:pt idx="298">
                  <c:v>11.955556</c:v>
                </c:pt>
                <c:pt idx="299">
                  <c:v>11.82</c:v>
                </c:pt>
                <c:pt idx="300">
                  <c:v>11.75</c:v>
                </c:pt>
                <c:pt idx="301">
                  <c:v>11.775</c:v>
                </c:pt>
                <c:pt idx="302">
                  <c:v>11.77</c:v>
                </c:pt>
                <c:pt idx="303">
                  <c:v>11.833333</c:v>
                </c:pt>
                <c:pt idx="304">
                  <c:v>11.909091</c:v>
                </c:pt>
                <c:pt idx="305">
                  <c:v>11.878571000000001</c:v>
                </c:pt>
                <c:pt idx="306">
                  <c:v>11.971429000000001</c:v>
                </c:pt>
                <c:pt idx="307">
                  <c:v>11.842857</c:v>
                </c:pt>
                <c:pt idx="308">
                  <c:v>11.94</c:v>
                </c:pt>
                <c:pt idx="309">
                  <c:v>11.894444</c:v>
                </c:pt>
                <c:pt idx="310">
                  <c:v>11.8375</c:v>
                </c:pt>
                <c:pt idx="311">
                  <c:v>12</c:v>
                </c:pt>
                <c:pt idx="312">
                  <c:v>11.7</c:v>
                </c:pt>
                <c:pt idx="313">
                  <c:v>12.05</c:v>
                </c:pt>
                <c:pt idx="314">
                  <c:v>11.76</c:v>
                </c:pt>
                <c:pt idx="315">
                  <c:v>11.666667</c:v>
                </c:pt>
                <c:pt idx="316">
                  <c:v>11.770588</c:v>
                </c:pt>
                <c:pt idx="317">
                  <c:v>11.705556</c:v>
                </c:pt>
                <c:pt idx="318">
                  <c:v>11.793103</c:v>
                </c:pt>
                <c:pt idx="319">
                  <c:v>11.804167</c:v>
                </c:pt>
                <c:pt idx="320">
                  <c:v>11.848276</c:v>
                </c:pt>
                <c:pt idx="321">
                  <c:v>11.926667</c:v>
                </c:pt>
                <c:pt idx="322">
                  <c:v>11.818182</c:v>
                </c:pt>
                <c:pt idx="323">
                  <c:v>11.888235</c:v>
                </c:pt>
                <c:pt idx="324">
                  <c:v>11.9</c:v>
                </c:pt>
                <c:pt idx="325">
                  <c:v>11.96</c:v>
                </c:pt>
                <c:pt idx="326">
                  <c:v>12.012499999999999</c:v>
                </c:pt>
                <c:pt idx="327">
                  <c:v>12.1</c:v>
                </c:pt>
                <c:pt idx="328">
                  <c:v>12.35</c:v>
                </c:pt>
                <c:pt idx="329">
                  <c:v>11.6</c:v>
                </c:pt>
                <c:pt idx="330">
                  <c:v>11.8</c:v>
                </c:pt>
                <c:pt idx="331">
                  <c:v>11.5</c:v>
                </c:pt>
                <c:pt idx="332">
                  <c:v>11.714286</c:v>
                </c:pt>
                <c:pt idx="333">
                  <c:v>11.621428999999999</c:v>
                </c:pt>
                <c:pt idx="334">
                  <c:v>11.694118</c:v>
                </c:pt>
                <c:pt idx="335">
                  <c:v>11.658333000000001</c:v>
                </c:pt>
                <c:pt idx="336">
                  <c:v>11.574999999999999</c:v>
                </c:pt>
                <c:pt idx="337">
                  <c:v>11.806666999999999</c:v>
                </c:pt>
                <c:pt idx="338">
                  <c:v>11.7</c:v>
                </c:pt>
                <c:pt idx="339">
                  <c:v>11.69</c:v>
                </c:pt>
                <c:pt idx="340">
                  <c:v>11.8</c:v>
                </c:pt>
                <c:pt idx="341">
                  <c:v>11.688889</c:v>
                </c:pt>
                <c:pt idx="342">
                  <c:v>11.75</c:v>
                </c:pt>
                <c:pt idx="343">
                  <c:v>11.7</c:v>
                </c:pt>
                <c:pt idx="344">
                  <c:v>12.2</c:v>
                </c:pt>
                <c:pt idx="345">
                  <c:v>12.35</c:v>
                </c:pt>
                <c:pt idx="346">
                  <c:v>12.05</c:v>
                </c:pt>
                <c:pt idx="347">
                  <c:v>11.82</c:v>
                </c:pt>
                <c:pt idx="348">
                  <c:v>11.807143</c:v>
                </c:pt>
                <c:pt idx="349">
                  <c:v>11.769231</c:v>
                </c:pt>
                <c:pt idx="350">
                  <c:v>12.117391</c:v>
                </c:pt>
                <c:pt idx="351">
                  <c:v>11.972727000000001</c:v>
                </c:pt>
                <c:pt idx="352">
                  <c:v>12.22</c:v>
                </c:pt>
                <c:pt idx="353">
                  <c:v>12.258333</c:v>
                </c:pt>
                <c:pt idx="354">
                  <c:v>12.278570999999999</c:v>
                </c:pt>
                <c:pt idx="355">
                  <c:v>12.37</c:v>
                </c:pt>
                <c:pt idx="356">
                  <c:v>12.354545</c:v>
                </c:pt>
                <c:pt idx="357">
                  <c:v>12.46</c:v>
                </c:pt>
                <c:pt idx="358">
                  <c:v>12.366667</c:v>
                </c:pt>
                <c:pt idx="359">
                  <c:v>12.5</c:v>
                </c:pt>
                <c:pt idx="360">
                  <c:v>12.4</c:v>
                </c:pt>
                <c:pt idx="361">
                  <c:v>11.9</c:v>
                </c:pt>
                <c:pt idx="362">
                  <c:v>12.14</c:v>
                </c:pt>
                <c:pt idx="363">
                  <c:v>12.223077</c:v>
                </c:pt>
                <c:pt idx="364">
                  <c:v>11.9</c:v>
                </c:pt>
                <c:pt idx="365">
                  <c:v>11.856757</c:v>
                </c:pt>
                <c:pt idx="366">
                  <c:v>11.815384999999999</c:v>
                </c:pt>
                <c:pt idx="367">
                  <c:v>11.746874999999999</c:v>
                </c:pt>
                <c:pt idx="368">
                  <c:v>11.437931000000001</c:v>
                </c:pt>
                <c:pt idx="369">
                  <c:v>11.6</c:v>
                </c:pt>
                <c:pt idx="370">
                  <c:v>11.513953000000001</c:v>
                </c:pt>
                <c:pt idx="371">
                  <c:v>11.565</c:v>
                </c:pt>
                <c:pt idx="372">
                  <c:v>11.675000000000001</c:v>
                </c:pt>
                <c:pt idx="373">
                  <c:v>11.822222</c:v>
                </c:pt>
                <c:pt idx="374">
                  <c:v>11.807691999999999</c:v>
                </c:pt>
                <c:pt idx="375">
                  <c:v>11.88</c:v>
                </c:pt>
                <c:pt idx="376">
                  <c:v>11.7</c:v>
                </c:pt>
                <c:pt idx="377">
                  <c:v>12.2</c:v>
                </c:pt>
                <c:pt idx="378">
                  <c:v>11.533333000000001</c:v>
                </c:pt>
                <c:pt idx="379">
                  <c:v>11.9</c:v>
                </c:pt>
                <c:pt idx="380">
                  <c:v>12.028570999999999</c:v>
                </c:pt>
                <c:pt idx="381">
                  <c:v>12.05</c:v>
                </c:pt>
                <c:pt idx="382">
                  <c:v>11.938461999999999</c:v>
                </c:pt>
                <c:pt idx="383">
                  <c:v>12.057143</c:v>
                </c:pt>
                <c:pt idx="384">
                  <c:v>12.022221999999999</c:v>
                </c:pt>
                <c:pt idx="385">
                  <c:v>12.084614999999999</c:v>
                </c:pt>
                <c:pt idx="386">
                  <c:v>12.237931</c:v>
                </c:pt>
                <c:pt idx="387">
                  <c:v>12.148649000000001</c:v>
                </c:pt>
                <c:pt idx="388">
                  <c:v>12.047368000000001</c:v>
                </c:pt>
                <c:pt idx="389">
                  <c:v>12.179309999999999</c:v>
                </c:pt>
                <c:pt idx="390">
                  <c:v>12.279310000000001</c:v>
                </c:pt>
                <c:pt idx="391">
                  <c:v>12.261905</c:v>
                </c:pt>
                <c:pt idx="392">
                  <c:v>12.256522</c:v>
                </c:pt>
                <c:pt idx="393">
                  <c:v>12.341666999999999</c:v>
                </c:pt>
                <c:pt idx="394">
                  <c:v>12.411111</c:v>
                </c:pt>
                <c:pt idx="395">
                  <c:v>12.15</c:v>
                </c:pt>
                <c:pt idx="396">
                  <c:v>12.475</c:v>
                </c:pt>
                <c:pt idx="397">
                  <c:v>12.45</c:v>
                </c:pt>
                <c:pt idx="398">
                  <c:v>12.324999999999999</c:v>
                </c:pt>
                <c:pt idx="399">
                  <c:v>12.157143</c:v>
                </c:pt>
                <c:pt idx="400">
                  <c:v>12.263636</c:v>
                </c:pt>
                <c:pt idx="401">
                  <c:v>12.175000000000001</c:v>
                </c:pt>
                <c:pt idx="402">
                  <c:v>12.233333</c:v>
                </c:pt>
                <c:pt idx="403">
                  <c:v>11.984211</c:v>
                </c:pt>
                <c:pt idx="404">
                  <c:v>12.073077</c:v>
                </c:pt>
                <c:pt idx="405">
                  <c:v>12.008108</c:v>
                </c:pt>
                <c:pt idx="406">
                  <c:v>12.05625</c:v>
                </c:pt>
                <c:pt idx="407">
                  <c:v>12.025641</c:v>
                </c:pt>
                <c:pt idx="408">
                  <c:v>12.030435000000001</c:v>
                </c:pt>
                <c:pt idx="409">
                  <c:v>12.043333000000001</c:v>
                </c:pt>
                <c:pt idx="410">
                  <c:v>12.019444</c:v>
                </c:pt>
                <c:pt idx="411">
                  <c:v>11.99375</c:v>
                </c:pt>
                <c:pt idx="412">
                  <c:v>11.877357999999999</c:v>
                </c:pt>
                <c:pt idx="413">
                  <c:v>11.841176000000001</c:v>
                </c:pt>
                <c:pt idx="414">
                  <c:v>11.804762</c:v>
                </c:pt>
                <c:pt idx="415">
                  <c:v>11.8</c:v>
                </c:pt>
                <c:pt idx="416">
                  <c:v>11.85</c:v>
                </c:pt>
                <c:pt idx="417">
                  <c:v>11.9</c:v>
                </c:pt>
                <c:pt idx="418">
                  <c:v>11.7</c:v>
                </c:pt>
                <c:pt idx="419">
                  <c:v>11.64</c:v>
                </c:pt>
                <c:pt idx="420">
                  <c:v>11.8</c:v>
                </c:pt>
                <c:pt idx="421">
                  <c:v>11.418182</c:v>
                </c:pt>
                <c:pt idx="422">
                  <c:v>11.533333000000001</c:v>
                </c:pt>
                <c:pt idx="423">
                  <c:v>11.56875</c:v>
                </c:pt>
                <c:pt idx="424">
                  <c:v>11.696875</c:v>
                </c:pt>
                <c:pt idx="425">
                  <c:v>11.775</c:v>
                </c:pt>
                <c:pt idx="426">
                  <c:v>11.817143</c:v>
                </c:pt>
                <c:pt idx="427">
                  <c:v>11.865854000000001</c:v>
                </c:pt>
                <c:pt idx="428">
                  <c:v>11.895745</c:v>
                </c:pt>
                <c:pt idx="429">
                  <c:v>11.804167</c:v>
                </c:pt>
                <c:pt idx="430">
                  <c:v>11.802856999999999</c:v>
                </c:pt>
                <c:pt idx="431">
                  <c:v>11.853846000000001</c:v>
                </c:pt>
                <c:pt idx="432">
                  <c:v>12.002777999999999</c:v>
                </c:pt>
                <c:pt idx="433">
                  <c:v>12</c:v>
                </c:pt>
                <c:pt idx="434">
                  <c:v>12.135</c:v>
                </c:pt>
                <c:pt idx="435">
                  <c:v>11.987500000000001</c:v>
                </c:pt>
                <c:pt idx="436">
                  <c:v>11.85</c:v>
                </c:pt>
                <c:pt idx="437">
                  <c:v>11.6</c:v>
                </c:pt>
                <c:pt idx="438">
                  <c:v>12.4</c:v>
                </c:pt>
                <c:pt idx="439">
                  <c:v>11.675000000000001</c:v>
                </c:pt>
                <c:pt idx="440">
                  <c:v>11.95</c:v>
                </c:pt>
                <c:pt idx="441">
                  <c:v>11.733333</c:v>
                </c:pt>
                <c:pt idx="442">
                  <c:v>11.336364</c:v>
                </c:pt>
                <c:pt idx="443">
                  <c:v>11.4</c:v>
                </c:pt>
                <c:pt idx="444">
                  <c:v>11.45</c:v>
                </c:pt>
                <c:pt idx="445">
                  <c:v>11.407143</c:v>
                </c:pt>
                <c:pt idx="446">
                  <c:v>11.295833</c:v>
                </c:pt>
                <c:pt idx="447">
                  <c:v>11.308695999999999</c:v>
                </c:pt>
                <c:pt idx="448">
                  <c:v>11.119230999999999</c:v>
                </c:pt>
                <c:pt idx="449">
                  <c:v>11.115556</c:v>
                </c:pt>
                <c:pt idx="450">
                  <c:v>11.115909</c:v>
                </c:pt>
                <c:pt idx="451">
                  <c:v>11.010417</c:v>
                </c:pt>
                <c:pt idx="452">
                  <c:v>10.987500000000001</c:v>
                </c:pt>
                <c:pt idx="453">
                  <c:v>11.072414</c:v>
                </c:pt>
                <c:pt idx="454">
                  <c:v>10.866667</c:v>
                </c:pt>
                <c:pt idx="455">
                  <c:v>11.124000000000001</c:v>
                </c:pt>
                <c:pt idx="456">
                  <c:v>11.215788999999999</c:v>
                </c:pt>
                <c:pt idx="457">
                  <c:v>11.15</c:v>
                </c:pt>
                <c:pt idx="458">
                  <c:v>11.333333</c:v>
                </c:pt>
                <c:pt idx="459">
                  <c:v>11.45</c:v>
                </c:pt>
                <c:pt idx="460">
                  <c:v>11.45</c:v>
                </c:pt>
                <c:pt idx="461">
                  <c:v>11.414286000000001</c:v>
                </c:pt>
                <c:pt idx="462">
                  <c:v>11.354545</c:v>
                </c:pt>
                <c:pt idx="463">
                  <c:v>11.383333</c:v>
                </c:pt>
                <c:pt idx="464">
                  <c:v>11.415789</c:v>
                </c:pt>
                <c:pt idx="465">
                  <c:v>11.458</c:v>
                </c:pt>
                <c:pt idx="466">
                  <c:v>11.509444</c:v>
                </c:pt>
                <c:pt idx="467">
                  <c:v>11.54</c:v>
                </c:pt>
                <c:pt idx="468">
                  <c:v>11.6625</c:v>
                </c:pt>
                <c:pt idx="469">
                  <c:v>11.5906</c:v>
                </c:pt>
                <c:pt idx="470">
                  <c:v>11.516852</c:v>
                </c:pt>
                <c:pt idx="471">
                  <c:v>11.370926000000001</c:v>
                </c:pt>
                <c:pt idx="472">
                  <c:v>11.375769</c:v>
                </c:pt>
                <c:pt idx="473">
                  <c:v>11.512544999999999</c:v>
                </c:pt>
                <c:pt idx="474">
                  <c:v>11.492093000000001</c:v>
                </c:pt>
                <c:pt idx="475">
                  <c:v>11.514250000000001</c:v>
                </c:pt>
                <c:pt idx="476">
                  <c:v>11.602683000000001</c:v>
                </c:pt>
                <c:pt idx="477">
                  <c:v>11.653714000000001</c:v>
                </c:pt>
                <c:pt idx="478">
                  <c:v>11.871923000000001</c:v>
                </c:pt>
                <c:pt idx="479">
                  <c:v>11.921923</c:v>
                </c:pt>
                <c:pt idx="480">
                  <c:v>11.957143</c:v>
                </c:pt>
                <c:pt idx="481">
                  <c:v>12.1</c:v>
                </c:pt>
                <c:pt idx="482">
                  <c:v>12</c:v>
                </c:pt>
                <c:pt idx="483">
                  <c:v>11.9</c:v>
                </c:pt>
                <c:pt idx="484">
                  <c:v>11.333333</c:v>
                </c:pt>
                <c:pt idx="485">
                  <c:v>11.072727</c:v>
                </c:pt>
                <c:pt idx="486">
                  <c:v>10.889474</c:v>
                </c:pt>
                <c:pt idx="487">
                  <c:v>10.584</c:v>
                </c:pt>
                <c:pt idx="488">
                  <c:v>10.577778</c:v>
                </c:pt>
                <c:pt idx="489">
                  <c:v>10.554285999999999</c:v>
                </c:pt>
                <c:pt idx="490">
                  <c:v>10.47931</c:v>
                </c:pt>
                <c:pt idx="491">
                  <c:v>10.432499999999999</c:v>
                </c:pt>
                <c:pt idx="492">
                  <c:v>10.368518999999999</c:v>
                </c:pt>
                <c:pt idx="493">
                  <c:v>10.397436000000001</c:v>
                </c:pt>
                <c:pt idx="494">
                  <c:v>10.338635999999999</c:v>
                </c:pt>
                <c:pt idx="495">
                  <c:v>10.276923</c:v>
                </c:pt>
                <c:pt idx="496">
                  <c:v>10.243137000000001</c:v>
                </c:pt>
                <c:pt idx="497">
                  <c:v>10.158333000000001</c:v>
                </c:pt>
                <c:pt idx="498">
                  <c:v>10.169110999999999</c:v>
                </c:pt>
                <c:pt idx="499">
                  <c:v>10.171429</c:v>
                </c:pt>
                <c:pt idx="500">
                  <c:v>10.119999999999999</c:v>
                </c:pt>
                <c:pt idx="501">
                  <c:v>10.06</c:v>
                </c:pt>
                <c:pt idx="502">
                  <c:v>10.16</c:v>
                </c:pt>
                <c:pt idx="503">
                  <c:v>10.014286</c:v>
                </c:pt>
                <c:pt idx="504">
                  <c:v>9.9499999999999993</c:v>
                </c:pt>
                <c:pt idx="505">
                  <c:v>10.057143</c:v>
                </c:pt>
                <c:pt idx="506">
                  <c:v>9.9250000000000007</c:v>
                </c:pt>
                <c:pt idx="507">
                  <c:v>10.023529</c:v>
                </c:pt>
                <c:pt idx="508">
                  <c:v>10.057143</c:v>
                </c:pt>
                <c:pt idx="509">
                  <c:v>10.185</c:v>
                </c:pt>
                <c:pt idx="510">
                  <c:v>10.199999999999999</c:v>
                </c:pt>
                <c:pt idx="511">
                  <c:v>10.15</c:v>
                </c:pt>
                <c:pt idx="512">
                  <c:v>10.172000000000001</c:v>
                </c:pt>
                <c:pt idx="513">
                  <c:v>10.218420999999999</c:v>
                </c:pt>
                <c:pt idx="514">
                  <c:v>10.286047</c:v>
                </c:pt>
                <c:pt idx="515">
                  <c:v>10.262045000000001</c:v>
                </c:pt>
                <c:pt idx="516">
                  <c:v>10.242292000000001</c:v>
                </c:pt>
                <c:pt idx="517">
                  <c:v>10.258824000000001</c:v>
                </c:pt>
                <c:pt idx="518">
                  <c:v>10.275</c:v>
                </c:pt>
                <c:pt idx="519">
                  <c:v>10.2576</c:v>
                </c:pt>
                <c:pt idx="520">
                  <c:v>10.231999999999999</c:v>
                </c:pt>
                <c:pt idx="521">
                  <c:v>10.255599999999999</c:v>
                </c:pt>
                <c:pt idx="522">
                  <c:v>10.307143</c:v>
                </c:pt>
                <c:pt idx="523">
                  <c:v>10.271428999999999</c:v>
                </c:pt>
                <c:pt idx="524">
                  <c:v>10.5625</c:v>
                </c:pt>
                <c:pt idx="525">
                  <c:v>10.76</c:v>
                </c:pt>
                <c:pt idx="526">
                  <c:v>10.625</c:v>
                </c:pt>
                <c:pt idx="527">
                  <c:v>10.4</c:v>
                </c:pt>
                <c:pt idx="528">
                  <c:v>10.476471</c:v>
                </c:pt>
                <c:pt idx="529">
                  <c:v>11.266667</c:v>
                </c:pt>
                <c:pt idx="530">
                  <c:v>11.531579000000001</c:v>
                </c:pt>
                <c:pt idx="531">
                  <c:v>11.633333</c:v>
                </c:pt>
                <c:pt idx="532">
                  <c:v>11.785714</c:v>
                </c:pt>
                <c:pt idx="533">
                  <c:v>11.751666999999999</c:v>
                </c:pt>
                <c:pt idx="534">
                  <c:v>11.734883999999999</c:v>
                </c:pt>
                <c:pt idx="535">
                  <c:v>11.729167</c:v>
                </c:pt>
                <c:pt idx="536">
                  <c:v>11.669193999999999</c:v>
                </c:pt>
                <c:pt idx="537">
                  <c:v>11.641802999999999</c:v>
                </c:pt>
                <c:pt idx="538">
                  <c:v>11.023913</c:v>
                </c:pt>
                <c:pt idx="539">
                  <c:v>10.911296</c:v>
                </c:pt>
                <c:pt idx="540">
                  <c:v>10.983276</c:v>
                </c:pt>
                <c:pt idx="541">
                  <c:v>11.091136000000001</c:v>
                </c:pt>
                <c:pt idx="542">
                  <c:v>10.916176</c:v>
                </c:pt>
                <c:pt idx="543">
                  <c:v>10.842646999999999</c:v>
                </c:pt>
                <c:pt idx="544">
                  <c:v>10.797586000000001</c:v>
                </c:pt>
                <c:pt idx="545">
                  <c:v>10.827999999999999</c:v>
                </c:pt>
                <c:pt idx="546">
                  <c:v>10.987500000000001</c:v>
                </c:pt>
                <c:pt idx="547">
                  <c:v>11.033333000000001</c:v>
                </c:pt>
                <c:pt idx="548">
                  <c:v>11.142856999999999</c:v>
                </c:pt>
                <c:pt idx="549">
                  <c:v>11</c:v>
                </c:pt>
                <c:pt idx="550">
                  <c:v>11.1525</c:v>
                </c:pt>
                <c:pt idx="551">
                  <c:v>11.18</c:v>
                </c:pt>
                <c:pt idx="552">
                  <c:v>11.083226</c:v>
                </c:pt>
                <c:pt idx="553">
                  <c:v>10.923913000000001</c:v>
                </c:pt>
                <c:pt idx="554">
                  <c:v>10.896070999999999</c:v>
                </c:pt>
                <c:pt idx="555">
                  <c:v>10.923793</c:v>
                </c:pt>
                <c:pt idx="556">
                  <c:v>10.980816000000001</c:v>
                </c:pt>
                <c:pt idx="557">
                  <c:v>11.056207000000001</c:v>
                </c:pt>
                <c:pt idx="558">
                  <c:v>11.016406</c:v>
                </c:pt>
                <c:pt idx="559">
                  <c:v>10.776471000000001</c:v>
                </c:pt>
                <c:pt idx="560">
                  <c:v>10.989305999999999</c:v>
                </c:pt>
                <c:pt idx="561">
                  <c:v>11.042536999999999</c:v>
                </c:pt>
                <c:pt idx="562">
                  <c:v>11.231999999999999</c:v>
                </c:pt>
                <c:pt idx="563">
                  <c:v>11.257679</c:v>
                </c:pt>
                <c:pt idx="564">
                  <c:v>11.295405000000001</c:v>
                </c:pt>
                <c:pt idx="565">
                  <c:v>11.428571</c:v>
                </c:pt>
                <c:pt idx="566">
                  <c:v>11.6</c:v>
                </c:pt>
                <c:pt idx="567">
                  <c:v>11.503939000000001</c:v>
                </c:pt>
                <c:pt idx="568">
                  <c:v>11.6625</c:v>
                </c:pt>
                <c:pt idx="569">
                  <c:v>11.8</c:v>
                </c:pt>
                <c:pt idx="570">
                  <c:v>11.65</c:v>
                </c:pt>
                <c:pt idx="571">
                  <c:v>11.98</c:v>
                </c:pt>
                <c:pt idx="572">
                  <c:v>11.918182</c:v>
                </c:pt>
                <c:pt idx="573">
                  <c:v>12.043749999999999</c:v>
                </c:pt>
                <c:pt idx="574">
                  <c:v>12.1</c:v>
                </c:pt>
                <c:pt idx="575">
                  <c:v>12.171429</c:v>
                </c:pt>
                <c:pt idx="576">
                  <c:v>12.286364000000001</c:v>
                </c:pt>
                <c:pt idx="577">
                  <c:v>12.313207999999999</c:v>
                </c:pt>
                <c:pt idx="578">
                  <c:v>12.269643</c:v>
                </c:pt>
                <c:pt idx="579">
                  <c:v>12.386066</c:v>
                </c:pt>
                <c:pt idx="580">
                  <c:v>12.322464</c:v>
                </c:pt>
                <c:pt idx="581">
                  <c:v>12.294521</c:v>
                </c:pt>
                <c:pt idx="582">
                  <c:v>12.171697999999999</c:v>
                </c:pt>
                <c:pt idx="583">
                  <c:v>12.254716999999999</c:v>
                </c:pt>
                <c:pt idx="584">
                  <c:v>12.228889000000001</c:v>
                </c:pt>
                <c:pt idx="585">
                  <c:v>12.166364</c:v>
                </c:pt>
                <c:pt idx="586">
                  <c:v>12.119355000000001</c:v>
                </c:pt>
                <c:pt idx="587">
                  <c:v>12.137499999999999</c:v>
                </c:pt>
                <c:pt idx="588">
                  <c:v>12.111110999999999</c:v>
                </c:pt>
                <c:pt idx="589">
                  <c:v>12.146667000000001</c:v>
                </c:pt>
                <c:pt idx="590">
                  <c:v>11.942857</c:v>
                </c:pt>
                <c:pt idx="591">
                  <c:v>11.771428999999999</c:v>
                </c:pt>
                <c:pt idx="592">
                  <c:v>11.9</c:v>
                </c:pt>
                <c:pt idx="593">
                  <c:v>11.957143</c:v>
                </c:pt>
                <c:pt idx="594">
                  <c:v>11.785714</c:v>
                </c:pt>
                <c:pt idx="595">
                  <c:v>11.975</c:v>
                </c:pt>
                <c:pt idx="596">
                  <c:v>11.890909000000001</c:v>
                </c:pt>
                <c:pt idx="597">
                  <c:v>11.7468</c:v>
                </c:pt>
                <c:pt idx="598">
                  <c:v>11.712726999999999</c:v>
                </c:pt>
                <c:pt idx="599">
                  <c:v>11.783607</c:v>
                </c:pt>
                <c:pt idx="600">
                  <c:v>11.761486</c:v>
                </c:pt>
                <c:pt idx="601">
                  <c:v>11.782278</c:v>
                </c:pt>
                <c:pt idx="602">
                  <c:v>11.846104</c:v>
                </c:pt>
                <c:pt idx="603">
                  <c:v>11.826415000000001</c:v>
                </c:pt>
                <c:pt idx="604">
                  <c:v>11.834058000000001</c:v>
                </c:pt>
                <c:pt idx="605">
                  <c:v>11.928409</c:v>
                </c:pt>
                <c:pt idx="606">
                  <c:v>11.924576</c:v>
                </c:pt>
                <c:pt idx="607">
                  <c:v>11.95</c:v>
                </c:pt>
                <c:pt idx="608">
                  <c:v>11.963542</c:v>
                </c:pt>
                <c:pt idx="609">
                  <c:v>12.074074</c:v>
                </c:pt>
                <c:pt idx="610">
                  <c:v>12.053571</c:v>
                </c:pt>
                <c:pt idx="611">
                  <c:v>12.023683999999999</c:v>
                </c:pt>
                <c:pt idx="612">
                  <c:v>12.09</c:v>
                </c:pt>
                <c:pt idx="613">
                  <c:v>11.914286000000001</c:v>
                </c:pt>
                <c:pt idx="614">
                  <c:v>12.14</c:v>
                </c:pt>
                <c:pt idx="615">
                  <c:v>12.25</c:v>
                </c:pt>
                <c:pt idx="616">
                  <c:v>12.1</c:v>
                </c:pt>
                <c:pt idx="617">
                  <c:v>12.353332999999999</c:v>
                </c:pt>
                <c:pt idx="618">
                  <c:v>12.375</c:v>
                </c:pt>
                <c:pt idx="619">
                  <c:v>12.33</c:v>
                </c:pt>
                <c:pt idx="620">
                  <c:v>12.372059</c:v>
                </c:pt>
                <c:pt idx="621">
                  <c:v>12.669354999999999</c:v>
                </c:pt>
                <c:pt idx="622">
                  <c:v>12.681578999999999</c:v>
                </c:pt>
                <c:pt idx="623">
                  <c:v>12.681666999999999</c:v>
                </c:pt>
                <c:pt idx="624">
                  <c:v>12.614545</c:v>
                </c:pt>
                <c:pt idx="625">
                  <c:v>12.703191</c:v>
                </c:pt>
                <c:pt idx="626">
                  <c:v>12.786885</c:v>
                </c:pt>
                <c:pt idx="627">
                  <c:v>12.588234999999999</c:v>
                </c:pt>
                <c:pt idx="628">
                  <c:v>12.554309999999999</c:v>
                </c:pt>
                <c:pt idx="629">
                  <c:v>12.506061000000001</c:v>
                </c:pt>
                <c:pt idx="630">
                  <c:v>12.454717</c:v>
                </c:pt>
                <c:pt idx="631">
                  <c:v>12.58</c:v>
                </c:pt>
                <c:pt idx="632">
                  <c:v>12.459258999999999</c:v>
                </c:pt>
                <c:pt idx="633">
                  <c:v>12.33</c:v>
                </c:pt>
                <c:pt idx="634">
                  <c:v>12.285216999999999</c:v>
                </c:pt>
                <c:pt idx="635">
                  <c:v>12.242857000000001</c:v>
                </c:pt>
                <c:pt idx="636">
                  <c:v>12.35</c:v>
                </c:pt>
                <c:pt idx="637">
                  <c:v>12.3</c:v>
                </c:pt>
                <c:pt idx="638">
                  <c:v>12.04</c:v>
                </c:pt>
                <c:pt idx="639">
                  <c:v>12.085713999999999</c:v>
                </c:pt>
                <c:pt idx="640">
                  <c:v>12.1175</c:v>
                </c:pt>
                <c:pt idx="641">
                  <c:v>12.13</c:v>
                </c:pt>
                <c:pt idx="642">
                  <c:v>11.837647</c:v>
                </c:pt>
                <c:pt idx="643">
                  <c:v>12.050689999999999</c:v>
                </c:pt>
                <c:pt idx="644">
                  <c:v>11.91122</c:v>
                </c:pt>
                <c:pt idx="645">
                  <c:v>11.925946</c:v>
                </c:pt>
                <c:pt idx="646">
                  <c:v>11.878500000000001</c:v>
                </c:pt>
                <c:pt idx="647">
                  <c:v>11.827619</c:v>
                </c:pt>
                <c:pt idx="648">
                  <c:v>11.858596</c:v>
                </c:pt>
                <c:pt idx="649">
                  <c:v>11.859643</c:v>
                </c:pt>
                <c:pt idx="650">
                  <c:v>11.848599999999999</c:v>
                </c:pt>
                <c:pt idx="651">
                  <c:v>11.872339999999999</c:v>
                </c:pt>
                <c:pt idx="652">
                  <c:v>11.901864</c:v>
                </c:pt>
                <c:pt idx="653">
                  <c:v>11.874375000000001</c:v>
                </c:pt>
                <c:pt idx="654">
                  <c:v>11.993273</c:v>
                </c:pt>
                <c:pt idx="655">
                  <c:v>11.903333</c:v>
                </c:pt>
                <c:pt idx="656">
                  <c:v>11.9168</c:v>
                </c:pt>
                <c:pt idx="657">
                  <c:v>11.791765</c:v>
                </c:pt>
                <c:pt idx="658">
                  <c:v>11.888182</c:v>
                </c:pt>
                <c:pt idx="659">
                  <c:v>11.76</c:v>
                </c:pt>
                <c:pt idx="660">
                  <c:v>11.94</c:v>
                </c:pt>
                <c:pt idx="661">
                  <c:v>12.086667</c:v>
                </c:pt>
                <c:pt idx="662">
                  <c:v>12.016667</c:v>
                </c:pt>
                <c:pt idx="663">
                  <c:v>12.237500000000001</c:v>
                </c:pt>
                <c:pt idx="664">
                  <c:v>12.344286</c:v>
                </c:pt>
                <c:pt idx="665">
                  <c:v>12.387143</c:v>
                </c:pt>
                <c:pt idx="666">
                  <c:v>12.441852000000001</c:v>
                </c:pt>
                <c:pt idx="667">
                  <c:v>12.557368</c:v>
                </c:pt>
                <c:pt idx="668">
                  <c:v>12.733333</c:v>
                </c:pt>
                <c:pt idx="669">
                  <c:v>12.691143</c:v>
                </c:pt>
                <c:pt idx="670">
                  <c:v>12.751714</c:v>
                </c:pt>
                <c:pt idx="671">
                  <c:v>12.640476</c:v>
                </c:pt>
                <c:pt idx="672">
                  <c:v>12.684374999999999</c:v>
                </c:pt>
                <c:pt idx="673">
                  <c:v>12.551304</c:v>
                </c:pt>
                <c:pt idx="674">
                  <c:v>12.529783</c:v>
                </c:pt>
                <c:pt idx="675">
                  <c:v>12.5</c:v>
                </c:pt>
                <c:pt idx="676">
                  <c:v>12.407273</c:v>
                </c:pt>
                <c:pt idx="677">
                  <c:v>12.302631999999999</c:v>
                </c:pt>
                <c:pt idx="678">
                  <c:v>12.356249999999999</c:v>
                </c:pt>
                <c:pt idx="679">
                  <c:v>12.346667</c:v>
                </c:pt>
                <c:pt idx="680">
                  <c:v>12.371428999999999</c:v>
                </c:pt>
                <c:pt idx="681">
                  <c:v>12.3</c:v>
                </c:pt>
                <c:pt idx="682">
                  <c:v>12.15</c:v>
                </c:pt>
                <c:pt idx="683">
                  <c:v>12.2</c:v>
                </c:pt>
                <c:pt idx="684">
                  <c:v>12.0875</c:v>
                </c:pt>
                <c:pt idx="685">
                  <c:v>12.06</c:v>
                </c:pt>
                <c:pt idx="686">
                  <c:v>11.949332999999999</c:v>
                </c:pt>
                <c:pt idx="687">
                  <c:v>11.985455</c:v>
                </c:pt>
                <c:pt idx="688">
                  <c:v>11.961379000000001</c:v>
                </c:pt>
                <c:pt idx="689">
                  <c:v>11.987083</c:v>
                </c:pt>
                <c:pt idx="690">
                  <c:v>11.941034</c:v>
                </c:pt>
                <c:pt idx="691">
                  <c:v>11.964839</c:v>
                </c:pt>
                <c:pt idx="692">
                  <c:v>12.032444</c:v>
                </c:pt>
                <c:pt idx="693">
                  <c:v>11.873396</c:v>
                </c:pt>
                <c:pt idx="694">
                  <c:v>11.9024</c:v>
                </c:pt>
                <c:pt idx="695">
                  <c:v>12.002889</c:v>
                </c:pt>
                <c:pt idx="696">
                  <c:v>11.962051000000001</c:v>
                </c:pt>
                <c:pt idx="697">
                  <c:v>11.9795</c:v>
                </c:pt>
                <c:pt idx="698">
                  <c:v>11.945556</c:v>
                </c:pt>
                <c:pt idx="699">
                  <c:v>11.937856999999999</c:v>
                </c:pt>
                <c:pt idx="700">
                  <c:v>11.9</c:v>
                </c:pt>
                <c:pt idx="701">
                  <c:v>12.103125</c:v>
                </c:pt>
                <c:pt idx="702">
                  <c:v>11.823333</c:v>
                </c:pt>
                <c:pt idx="703">
                  <c:v>11.975</c:v>
                </c:pt>
                <c:pt idx="704">
                  <c:v>12.213333</c:v>
                </c:pt>
                <c:pt idx="705">
                  <c:v>12.383333</c:v>
                </c:pt>
                <c:pt idx="706">
                  <c:v>12.4125</c:v>
                </c:pt>
                <c:pt idx="707">
                  <c:v>12.505556</c:v>
                </c:pt>
                <c:pt idx="708">
                  <c:v>12.637143</c:v>
                </c:pt>
                <c:pt idx="709">
                  <c:v>12.5425</c:v>
                </c:pt>
                <c:pt idx="710">
                  <c:v>12.471923</c:v>
                </c:pt>
                <c:pt idx="711">
                  <c:v>12.5375</c:v>
                </c:pt>
                <c:pt idx="712">
                  <c:v>12.499231</c:v>
                </c:pt>
                <c:pt idx="713">
                  <c:v>12.554773000000001</c:v>
                </c:pt>
                <c:pt idx="714">
                  <c:v>12.549524</c:v>
                </c:pt>
                <c:pt idx="715">
                  <c:v>12.732778</c:v>
                </c:pt>
                <c:pt idx="716">
                  <c:v>12.796250000000001</c:v>
                </c:pt>
                <c:pt idx="717">
                  <c:v>12.818947</c:v>
                </c:pt>
                <c:pt idx="718">
                  <c:v>12.744999999999999</c:v>
                </c:pt>
                <c:pt idx="719">
                  <c:v>12.711429000000001</c:v>
                </c:pt>
                <c:pt idx="720">
                  <c:v>12.652414</c:v>
                </c:pt>
                <c:pt idx="721">
                  <c:v>12.468332999999999</c:v>
                </c:pt>
                <c:pt idx="722">
                  <c:v>12.387499999999999</c:v>
                </c:pt>
                <c:pt idx="723">
                  <c:v>12.358461999999999</c:v>
                </c:pt>
                <c:pt idx="724">
                  <c:v>12.26</c:v>
                </c:pt>
                <c:pt idx="725">
                  <c:v>12.3</c:v>
                </c:pt>
                <c:pt idx="726">
                  <c:v>12.4</c:v>
                </c:pt>
                <c:pt idx="727">
                  <c:v>12.55</c:v>
                </c:pt>
                <c:pt idx="728">
                  <c:v>12.14</c:v>
                </c:pt>
                <c:pt idx="729">
                  <c:v>12.16</c:v>
                </c:pt>
                <c:pt idx="730">
                  <c:v>12.128571000000001</c:v>
                </c:pt>
                <c:pt idx="731">
                  <c:v>12.153333</c:v>
                </c:pt>
                <c:pt idx="732">
                  <c:v>12.066000000000001</c:v>
                </c:pt>
                <c:pt idx="733">
                  <c:v>12.02</c:v>
                </c:pt>
                <c:pt idx="734">
                  <c:v>11.999231</c:v>
                </c:pt>
                <c:pt idx="735">
                  <c:v>12.111480999999999</c:v>
                </c:pt>
                <c:pt idx="736">
                  <c:v>11.942273</c:v>
                </c:pt>
                <c:pt idx="737">
                  <c:v>11.998293</c:v>
                </c:pt>
                <c:pt idx="738">
                  <c:v>11.968235</c:v>
                </c:pt>
                <c:pt idx="739">
                  <c:v>11.941713999999999</c:v>
                </c:pt>
                <c:pt idx="740">
                  <c:v>11.953846</c:v>
                </c:pt>
                <c:pt idx="741">
                  <c:v>11.892187</c:v>
                </c:pt>
                <c:pt idx="742">
                  <c:v>11.893784</c:v>
                </c:pt>
                <c:pt idx="743">
                  <c:v>11.8208</c:v>
                </c:pt>
                <c:pt idx="744">
                  <c:v>11.798</c:v>
                </c:pt>
                <c:pt idx="745">
                  <c:v>11.734</c:v>
                </c:pt>
                <c:pt idx="746">
                  <c:v>11.651111</c:v>
                </c:pt>
                <c:pt idx="747">
                  <c:v>11.7</c:v>
                </c:pt>
                <c:pt idx="748">
                  <c:v>12</c:v>
                </c:pt>
                <c:pt idx="749">
                  <c:v>11.8</c:v>
                </c:pt>
                <c:pt idx="750">
                  <c:v>11.966666999999999</c:v>
                </c:pt>
                <c:pt idx="751">
                  <c:v>12.25</c:v>
                </c:pt>
                <c:pt idx="752">
                  <c:v>11.875</c:v>
                </c:pt>
                <c:pt idx="753">
                  <c:v>11.961537999999999</c:v>
                </c:pt>
                <c:pt idx="754">
                  <c:v>12.071429</c:v>
                </c:pt>
                <c:pt idx="755">
                  <c:v>12.234999999999999</c:v>
                </c:pt>
                <c:pt idx="756">
                  <c:v>12.257142999999999</c:v>
                </c:pt>
                <c:pt idx="757">
                  <c:v>12.284848</c:v>
                </c:pt>
                <c:pt idx="758">
                  <c:v>12.411538</c:v>
                </c:pt>
                <c:pt idx="759">
                  <c:v>12.407143</c:v>
                </c:pt>
                <c:pt idx="760">
                  <c:v>12.478125</c:v>
                </c:pt>
                <c:pt idx="761">
                  <c:v>12.615152</c:v>
                </c:pt>
                <c:pt idx="762">
                  <c:v>12.436</c:v>
                </c:pt>
                <c:pt idx="763">
                  <c:v>12.454167</c:v>
                </c:pt>
                <c:pt idx="764">
                  <c:v>12.474194000000001</c:v>
                </c:pt>
                <c:pt idx="765">
                  <c:v>12.544117999999999</c:v>
                </c:pt>
                <c:pt idx="766">
                  <c:v>12.555555999999999</c:v>
                </c:pt>
                <c:pt idx="767">
                  <c:v>12.609090999999999</c:v>
                </c:pt>
                <c:pt idx="768">
                  <c:v>12.554167</c:v>
                </c:pt>
                <c:pt idx="769">
                  <c:v>12.375</c:v>
                </c:pt>
                <c:pt idx="770">
                  <c:v>12.15</c:v>
                </c:pt>
                <c:pt idx="771">
                  <c:v>12.425000000000001</c:v>
                </c:pt>
                <c:pt idx="772">
                  <c:v>12.225</c:v>
                </c:pt>
                <c:pt idx="773">
                  <c:v>12.26</c:v>
                </c:pt>
                <c:pt idx="774">
                  <c:v>12.028570999999999</c:v>
                </c:pt>
                <c:pt idx="775">
                  <c:v>12.042857</c:v>
                </c:pt>
                <c:pt idx="776">
                  <c:v>12</c:v>
                </c:pt>
                <c:pt idx="777">
                  <c:v>12.025</c:v>
                </c:pt>
                <c:pt idx="778">
                  <c:v>12.028570999999999</c:v>
                </c:pt>
                <c:pt idx="779">
                  <c:v>11.982609</c:v>
                </c:pt>
                <c:pt idx="780">
                  <c:v>11.854286</c:v>
                </c:pt>
                <c:pt idx="781">
                  <c:v>11.845238</c:v>
                </c:pt>
                <c:pt idx="782">
                  <c:v>11.827500000000001</c:v>
                </c:pt>
                <c:pt idx="783">
                  <c:v>11.875</c:v>
                </c:pt>
                <c:pt idx="784">
                  <c:v>11.830303000000001</c:v>
                </c:pt>
                <c:pt idx="785">
                  <c:v>11.75625</c:v>
                </c:pt>
                <c:pt idx="786">
                  <c:v>11.8</c:v>
                </c:pt>
                <c:pt idx="787">
                  <c:v>11.836364</c:v>
                </c:pt>
                <c:pt idx="788">
                  <c:v>11.838462</c:v>
                </c:pt>
                <c:pt idx="789">
                  <c:v>11.65</c:v>
                </c:pt>
                <c:pt idx="790">
                  <c:v>11.9</c:v>
                </c:pt>
                <c:pt idx="791">
                  <c:v>11.9</c:v>
                </c:pt>
                <c:pt idx="792">
                  <c:v>12.05</c:v>
                </c:pt>
                <c:pt idx="793">
                  <c:v>12.2</c:v>
                </c:pt>
                <c:pt idx="794">
                  <c:v>12.2</c:v>
                </c:pt>
                <c:pt idx="795">
                  <c:v>12.185714000000001</c:v>
                </c:pt>
                <c:pt idx="796">
                  <c:v>12.229167</c:v>
                </c:pt>
                <c:pt idx="797">
                  <c:v>12.335293999999999</c:v>
                </c:pt>
                <c:pt idx="798">
                  <c:v>12.431034</c:v>
                </c:pt>
                <c:pt idx="799">
                  <c:v>12.478947</c:v>
                </c:pt>
                <c:pt idx="800">
                  <c:v>12.552631999999999</c:v>
                </c:pt>
                <c:pt idx="801">
                  <c:v>12.667647000000001</c:v>
                </c:pt>
                <c:pt idx="802">
                  <c:v>12.715384999999999</c:v>
                </c:pt>
                <c:pt idx="803">
                  <c:v>12.842307999999999</c:v>
                </c:pt>
                <c:pt idx="804">
                  <c:v>12.651515</c:v>
                </c:pt>
                <c:pt idx="805">
                  <c:v>12.72381</c:v>
                </c:pt>
                <c:pt idx="806">
                  <c:v>12.7</c:v>
                </c:pt>
                <c:pt idx="807">
                  <c:v>12.475</c:v>
                </c:pt>
                <c:pt idx="808">
                  <c:v>12.49375</c:v>
                </c:pt>
                <c:pt idx="809">
                  <c:v>12.4</c:v>
                </c:pt>
                <c:pt idx="810">
                  <c:v>12.433332999999999</c:v>
                </c:pt>
                <c:pt idx="811">
                  <c:v>12.45</c:v>
                </c:pt>
                <c:pt idx="812">
                  <c:v>12.333333</c:v>
                </c:pt>
                <c:pt idx="813">
                  <c:v>12.4</c:v>
                </c:pt>
                <c:pt idx="814">
                  <c:v>12.207692</c:v>
                </c:pt>
                <c:pt idx="815">
                  <c:v>12.137499999999999</c:v>
                </c:pt>
                <c:pt idx="816">
                  <c:v>12.144444</c:v>
                </c:pt>
                <c:pt idx="817">
                  <c:v>11.966666999999999</c:v>
                </c:pt>
                <c:pt idx="818">
                  <c:v>11.972222</c:v>
                </c:pt>
                <c:pt idx="819">
                  <c:v>11.9</c:v>
                </c:pt>
                <c:pt idx="820">
                  <c:v>11.853571000000001</c:v>
                </c:pt>
                <c:pt idx="821">
                  <c:v>11.760526</c:v>
                </c:pt>
                <c:pt idx="822">
                  <c:v>11.811363999999999</c:v>
                </c:pt>
                <c:pt idx="823">
                  <c:v>11.691667000000001</c:v>
                </c:pt>
                <c:pt idx="824">
                  <c:v>11.718182000000001</c:v>
                </c:pt>
                <c:pt idx="825">
                  <c:v>11.584211</c:v>
                </c:pt>
                <c:pt idx="826">
                  <c:v>11.569231</c:v>
                </c:pt>
                <c:pt idx="827">
                  <c:v>11.533333000000001</c:v>
                </c:pt>
                <c:pt idx="828">
                  <c:v>11.4</c:v>
                </c:pt>
                <c:pt idx="829">
                  <c:v>11.4</c:v>
                </c:pt>
                <c:pt idx="830">
                  <c:v>11.65</c:v>
                </c:pt>
                <c:pt idx="831">
                  <c:v>11.45</c:v>
                </c:pt>
                <c:pt idx="832">
                  <c:v>11.56</c:v>
                </c:pt>
                <c:pt idx="833">
                  <c:v>11.475</c:v>
                </c:pt>
                <c:pt idx="834">
                  <c:v>11.228571000000001</c:v>
                </c:pt>
                <c:pt idx="835">
                  <c:v>11.55</c:v>
                </c:pt>
                <c:pt idx="836">
                  <c:v>11.642105000000001</c:v>
                </c:pt>
                <c:pt idx="837">
                  <c:v>11.8</c:v>
                </c:pt>
                <c:pt idx="838">
                  <c:v>12</c:v>
                </c:pt>
                <c:pt idx="839">
                  <c:v>12.017391</c:v>
                </c:pt>
                <c:pt idx="840">
                  <c:v>11.996295999999999</c:v>
                </c:pt>
                <c:pt idx="841">
                  <c:v>11.996295999999999</c:v>
                </c:pt>
                <c:pt idx="842">
                  <c:v>12.025</c:v>
                </c:pt>
                <c:pt idx="843">
                  <c:v>12.137143</c:v>
                </c:pt>
                <c:pt idx="844">
                  <c:v>12.291176</c:v>
                </c:pt>
                <c:pt idx="845">
                  <c:v>12.39</c:v>
                </c:pt>
                <c:pt idx="846">
                  <c:v>12.397500000000001</c:v>
                </c:pt>
                <c:pt idx="847">
                  <c:v>12.392856999999999</c:v>
                </c:pt>
                <c:pt idx="848">
                  <c:v>12.366667</c:v>
                </c:pt>
                <c:pt idx="849">
                  <c:v>12.45</c:v>
                </c:pt>
                <c:pt idx="850">
                  <c:v>12.7</c:v>
                </c:pt>
                <c:pt idx="851">
                  <c:v>12.5</c:v>
                </c:pt>
                <c:pt idx="852">
                  <c:v>12.2</c:v>
                </c:pt>
                <c:pt idx="853">
                  <c:v>12.44</c:v>
                </c:pt>
                <c:pt idx="854">
                  <c:v>12.283333000000001</c:v>
                </c:pt>
                <c:pt idx="855">
                  <c:v>12.428571</c:v>
                </c:pt>
                <c:pt idx="856">
                  <c:v>12.35</c:v>
                </c:pt>
                <c:pt idx="857">
                  <c:v>12.173684</c:v>
                </c:pt>
                <c:pt idx="858">
                  <c:v>11.963158</c:v>
                </c:pt>
                <c:pt idx="859">
                  <c:v>11.885294</c:v>
                </c:pt>
                <c:pt idx="860">
                  <c:v>11.826316</c:v>
                </c:pt>
                <c:pt idx="861">
                  <c:v>11.760465</c:v>
                </c:pt>
                <c:pt idx="862">
                  <c:v>10.38125</c:v>
                </c:pt>
                <c:pt idx="863">
                  <c:v>10.284302</c:v>
                </c:pt>
                <c:pt idx="864">
                  <c:v>10.251905000000001</c:v>
                </c:pt>
                <c:pt idx="865">
                  <c:v>10.302809</c:v>
                </c:pt>
                <c:pt idx="866">
                  <c:v>10.239474</c:v>
                </c:pt>
                <c:pt idx="867">
                  <c:v>10.276471000000001</c:v>
                </c:pt>
                <c:pt idx="868">
                  <c:v>10.326530999999999</c:v>
                </c:pt>
                <c:pt idx="869">
                  <c:v>10.260870000000001</c:v>
                </c:pt>
                <c:pt idx="870">
                  <c:v>10.341025999999999</c:v>
                </c:pt>
                <c:pt idx="871">
                  <c:v>10.333333</c:v>
                </c:pt>
                <c:pt idx="872">
                  <c:v>10.166667</c:v>
                </c:pt>
                <c:pt idx="873">
                  <c:v>10.3</c:v>
                </c:pt>
                <c:pt idx="874">
                  <c:v>10.266667</c:v>
                </c:pt>
                <c:pt idx="875">
                  <c:v>10.31875</c:v>
                </c:pt>
                <c:pt idx="876">
                  <c:v>10.240909</c:v>
                </c:pt>
                <c:pt idx="877">
                  <c:v>10.333333</c:v>
                </c:pt>
                <c:pt idx="878">
                  <c:v>10.345454999999999</c:v>
                </c:pt>
                <c:pt idx="879">
                  <c:v>10.336667</c:v>
                </c:pt>
                <c:pt idx="880">
                  <c:v>10.422826000000001</c:v>
                </c:pt>
                <c:pt idx="881">
                  <c:v>10.471052999999999</c:v>
                </c:pt>
                <c:pt idx="882">
                  <c:v>10.509677</c:v>
                </c:pt>
                <c:pt idx="883">
                  <c:v>10.584375</c:v>
                </c:pt>
                <c:pt idx="884">
                  <c:v>10.627535999999999</c:v>
                </c:pt>
                <c:pt idx="885">
                  <c:v>10.660494</c:v>
                </c:pt>
                <c:pt idx="886">
                  <c:v>10.74878</c:v>
                </c:pt>
                <c:pt idx="887">
                  <c:v>10.808197</c:v>
                </c:pt>
                <c:pt idx="888">
                  <c:v>10.837857</c:v>
                </c:pt>
                <c:pt idx="889">
                  <c:v>10.819048</c:v>
                </c:pt>
                <c:pt idx="890">
                  <c:v>10.875806000000001</c:v>
                </c:pt>
                <c:pt idx="891">
                  <c:v>10.891304</c:v>
                </c:pt>
                <c:pt idx="892">
                  <c:v>10.952631999999999</c:v>
                </c:pt>
                <c:pt idx="893">
                  <c:v>10.88</c:v>
                </c:pt>
                <c:pt idx="894">
                  <c:v>10.75</c:v>
                </c:pt>
                <c:pt idx="895">
                  <c:v>10.42</c:v>
                </c:pt>
                <c:pt idx="896">
                  <c:v>10.376923</c:v>
                </c:pt>
                <c:pt idx="897">
                  <c:v>10.35</c:v>
                </c:pt>
                <c:pt idx="898">
                  <c:v>10.246667</c:v>
                </c:pt>
                <c:pt idx="899">
                  <c:v>10.081481</c:v>
                </c:pt>
                <c:pt idx="900">
                  <c:v>9.9604169999999996</c:v>
                </c:pt>
                <c:pt idx="901">
                  <c:v>9.9574999999999996</c:v>
                </c:pt>
                <c:pt idx="902">
                  <c:v>9.8371429999999993</c:v>
                </c:pt>
                <c:pt idx="903">
                  <c:v>9.8704920000000005</c:v>
                </c:pt>
                <c:pt idx="904">
                  <c:v>9.8133330000000001</c:v>
                </c:pt>
                <c:pt idx="905">
                  <c:v>9.8123079999999998</c:v>
                </c:pt>
                <c:pt idx="906">
                  <c:v>9.7674420000000008</c:v>
                </c:pt>
                <c:pt idx="907">
                  <c:v>9.7289469999999998</c:v>
                </c:pt>
                <c:pt idx="908">
                  <c:v>9.6707319999999992</c:v>
                </c:pt>
                <c:pt idx="909">
                  <c:v>9.7192980000000002</c:v>
                </c:pt>
                <c:pt idx="910">
                  <c:v>9.6288459999999993</c:v>
                </c:pt>
                <c:pt idx="911">
                  <c:v>9.6146340000000006</c:v>
                </c:pt>
                <c:pt idx="912">
                  <c:v>9.64</c:v>
                </c:pt>
                <c:pt idx="913">
                  <c:v>9.7249999999999996</c:v>
                </c:pt>
                <c:pt idx="914">
                  <c:v>9.6833329999999993</c:v>
                </c:pt>
                <c:pt idx="915">
                  <c:v>9.6999999999999993</c:v>
                </c:pt>
                <c:pt idx="916">
                  <c:v>9.4250000000000007</c:v>
                </c:pt>
                <c:pt idx="917">
                  <c:v>9.6</c:v>
                </c:pt>
                <c:pt idx="918">
                  <c:v>9.85</c:v>
                </c:pt>
                <c:pt idx="919">
                  <c:v>9.66</c:v>
                </c:pt>
                <c:pt idx="920">
                  <c:v>9.7083329999999997</c:v>
                </c:pt>
                <c:pt idx="921">
                  <c:v>9.6826089999999994</c:v>
                </c:pt>
                <c:pt idx="922">
                  <c:v>9.6653850000000006</c:v>
                </c:pt>
                <c:pt idx="923">
                  <c:v>9.7418180000000003</c:v>
                </c:pt>
                <c:pt idx="924">
                  <c:v>9.6742860000000004</c:v>
                </c:pt>
                <c:pt idx="925">
                  <c:v>9.7309520000000003</c:v>
                </c:pt>
                <c:pt idx="926">
                  <c:v>9.7409090000000003</c:v>
                </c:pt>
                <c:pt idx="927">
                  <c:v>9.8147540000000006</c:v>
                </c:pt>
                <c:pt idx="928">
                  <c:v>9.8447370000000003</c:v>
                </c:pt>
                <c:pt idx="929">
                  <c:v>9.8866669999999992</c:v>
                </c:pt>
                <c:pt idx="930">
                  <c:v>9.9255809999999993</c:v>
                </c:pt>
                <c:pt idx="931">
                  <c:v>9.9406780000000001</c:v>
                </c:pt>
                <c:pt idx="932">
                  <c:v>9.8468750000000007</c:v>
                </c:pt>
                <c:pt idx="933">
                  <c:v>10.028570999999999</c:v>
                </c:pt>
                <c:pt idx="934">
                  <c:v>10.02069</c:v>
                </c:pt>
                <c:pt idx="935">
                  <c:v>10.075676</c:v>
                </c:pt>
                <c:pt idx="936">
                  <c:v>10.199999999999999</c:v>
                </c:pt>
                <c:pt idx="937">
                  <c:v>10.123077</c:v>
                </c:pt>
                <c:pt idx="938">
                  <c:v>10.238462</c:v>
                </c:pt>
                <c:pt idx="939">
                  <c:v>10.35</c:v>
                </c:pt>
                <c:pt idx="940">
                  <c:v>10.1</c:v>
                </c:pt>
                <c:pt idx="941">
                  <c:v>10.18</c:v>
                </c:pt>
                <c:pt idx="942">
                  <c:v>10.057143</c:v>
                </c:pt>
                <c:pt idx="943">
                  <c:v>9.9933329999999998</c:v>
                </c:pt>
                <c:pt idx="944">
                  <c:v>9.9222219999999997</c:v>
                </c:pt>
                <c:pt idx="945">
                  <c:v>9.8000000000000007</c:v>
                </c:pt>
                <c:pt idx="946">
                  <c:v>9.8444439999999993</c:v>
                </c:pt>
                <c:pt idx="947">
                  <c:v>9.85</c:v>
                </c:pt>
                <c:pt idx="948">
                  <c:v>9.8142859999999992</c:v>
                </c:pt>
                <c:pt idx="949">
                  <c:v>9.84</c:v>
                </c:pt>
                <c:pt idx="950">
                  <c:v>9.8172409999999992</c:v>
                </c:pt>
                <c:pt idx="951">
                  <c:v>9.8260869999999993</c:v>
                </c:pt>
                <c:pt idx="952">
                  <c:v>9.7901959999999999</c:v>
                </c:pt>
                <c:pt idx="953">
                  <c:v>9.7063830000000006</c:v>
                </c:pt>
                <c:pt idx="954">
                  <c:v>9.6483869999999996</c:v>
                </c:pt>
                <c:pt idx="955">
                  <c:v>9.6530609999999992</c:v>
                </c:pt>
                <c:pt idx="956">
                  <c:v>9.651923</c:v>
                </c:pt>
                <c:pt idx="957">
                  <c:v>9.6833329999999993</c:v>
                </c:pt>
                <c:pt idx="958">
                  <c:v>9.6807689999999997</c:v>
                </c:pt>
                <c:pt idx="959">
                  <c:v>9.7214290000000005</c:v>
                </c:pt>
                <c:pt idx="960">
                  <c:v>9.7090910000000008</c:v>
                </c:pt>
                <c:pt idx="961">
                  <c:v>9.5555559999999993</c:v>
                </c:pt>
                <c:pt idx="962">
                  <c:v>9.58</c:v>
                </c:pt>
                <c:pt idx="963">
                  <c:v>9.61</c:v>
                </c:pt>
                <c:pt idx="964">
                  <c:v>9.65</c:v>
                </c:pt>
                <c:pt idx="965">
                  <c:v>9.6750000000000007</c:v>
                </c:pt>
                <c:pt idx="966">
                  <c:v>9.6916670000000007</c:v>
                </c:pt>
                <c:pt idx="967">
                  <c:v>9.8357139999999994</c:v>
                </c:pt>
                <c:pt idx="968">
                  <c:v>9.8633330000000008</c:v>
                </c:pt>
                <c:pt idx="969">
                  <c:v>9.8461540000000003</c:v>
                </c:pt>
                <c:pt idx="970">
                  <c:v>9.8370370000000005</c:v>
                </c:pt>
                <c:pt idx="971">
                  <c:v>9.9700000000000006</c:v>
                </c:pt>
                <c:pt idx="972">
                  <c:v>9.9645829999999993</c:v>
                </c:pt>
                <c:pt idx="973">
                  <c:v>9.9369569999999996</c:v>
                </c:pt>
                <c:pt idx="974">
                  <c:v>10.005357</c:v>
                </c:pt>
                <c:pt idx="975">
                  <c:v>9.9895829999999997</c:v>
                </c:pt>
                <c:pt idx="976">
                  <c:v>9.9357140000000008</c:v>
                </c:pt>
                <c:pt idx="977">
                  <c:v>9.9279069999999994</c:v>
                </c:pt>
                <c:pt idx="978">
                  <c:v>9.9875000000000007</c:v>
                </c:pt>
                <c:pt idx="979">
                  <c:v>10.036364000000001</c:v>
                </c:pt>
                <c:pt idx="980">
                  <c:v>10.128571000000001</c:v>
                </c:pt>
                <c:pt idx="981">
                  <c:v>10.142856999999999</c:v>
                </c:pt>
                <c:pt idx="982">
                  <c:v>10.158823999999999</c:v>
                </c:pt>
                <c:pt idx="983">
                  <c:v>10.3375</c:v>
                </c:pt>
                <c:pt idx="984">
                  <c:v>10.4</c:v>
                </c:pt>
                <c:pt idx="985">
                  <c:v>10.4</c:v>
                </c:pt>
                <c:pt idx="986">
                  <c:v>10.138462000000001</c:v>
                </c:pt>
                <c:pt idx="987">
                  <c:v>10.042857</c:v>
                </c:pt>
                <c:pt idx="988">
                  <c:v>10.057143</c:v>
                </c:pt>
                <c:pt idx="989">
                  <c:v>10.109524</c:v>
                </c:pt>
                <c:pt idx="990">
                  <c:v>10.109090999999999</c:v>
                </c:pt>
                <c:pt idx="991">
                  <c:v>10.173333</c:v>
                </c:pt>
                <c:pt idx="992">
                  <c:v>10.192105</c:v>
                </c:pt>
                <c:pt idx="993">
                  <c:v>10.178378</c:v>
                </c:pt>
                <c:pt idx="994">
                  <c:v>10.215152</c:v>
                </c:pt>
                <c:pt idx="995">
                  <c:v>10.263514000000001</c:v>
                </c:pt>
                <c:pt idx="996">
                  <c:v>10.206122000000001</c:v>
                </c:pt>
                <c:pt idx="997">
                  <c:v>10.182051</c:v>
                </c:pt>
                <c:pt idx="998">
                  <c:v>10.121622</c:v>
                </c:pt>
                <c:pt idx="999">
                  <c:v>10.072642</c:v>
                </c:pt>
                <c:pt idx="1000">
                  <c:v>10.016</c:v>
                </c:pt>
                <c:pt idx="1001">
                  <c:v>10.045946000000001</c:v>
                </c:pt>
                <c:pt idx="1002">
                  <c:v>9.9318179999999998</c:v>
                </c:pt>
                <c:pt idx="1003">
                  <c:v>10.021053</c:v>
                </c:pt>
                <c:pt idx="1004">
                  <c:v>9.9105260000000008</c:v>
                </c:pt>
                <c:pt idx="1005">
                  <c:v>9.9</c:v>
                </c:pt>
                <c:pt idx="1006">
                  <c:v>9.9</c:v>
                </c:pt>
                <c:pt idx="1007">
                  <c:v>9.9375</c:v>
                </c:pt>
                <c:pt idx="1008">
                  <c:v>9.92</c:v>
                </c:pt>
                <c:pt idx="1009">
                  <c:v>10</c:v>
                </c:pt>
                <c:pt idx="1010">
                  <c:v>10.070588000000001</c:v>
                </c:pt>
                <c:pt idx="1011">
                  <c:v>10.119999999999999</c:v>
                </c:pt>
                <c:pt idx="1012">
                  <c:v>10.121874999999999</c:v>
                </c:pt>
                <c:pt idx="1013">
                  <c:v>10.174194</c:v>
                </c:pt>
                <c:pt idx="1014">
                  <c:v>10.204000000000001</c:v>
                </c:pt>
                <c:pt idx="1015">
                  <c:v>10.252632</c:v>
                </c:pt>
                <c:pt idx="1016">
                  <c:v>10.201537999999999</c:v>
                </c:pt>
                <c:pt idx="1017">
                  <c:v>10.218182000000001</c:v>
                </c:pt>
                <c:pt idx="1018">
                  <c:v>10.232143000000001</c:v>
                </c:pt>
                <c:pt idx="1019">
                  <c:v>10.295745</c:v>
                </c:pt>
                <c:pt idx="1020">
                  <c:v>10.317073000000001</c:v>
                </c:pt>
                <c:pt idx="1021">
                  <c:v>10.311628000000001</c:v>
                </c:pt>
                <c:pt idx="1022">
                  <c:v>10.373333000000001</c:v>
                </c:pt>
                <c:pt idx="1023">
                  <c:v>10.487500000000001</c:v>
                </c:pt>
                <c:pt idx="1024">
                  <c:v>10.45</c:v>
                </c:pt>
                <c:pt idx="1025">
                  <c:v>10.63913</c:v>
                </c:pt>
                <c:pt idx="1026">
                  <c:v>10.7</c:v>
                </c:pt>
                <c:pt idx="1027">
                  <c:v>10.75</c:v>
                </c:pt>
                <c:pt idx="1028">
                  <c:v>10.72</c:v>
                </c:pt>
                <c:pt idx="1029">
                  <c:v>10.86</c:v>
                </c:pt>
                <c:pt idx="1030">
                  <c:v>10.454545</c:v>
                </c:pt>
                <c:pt idx="1031">
                  <c:v>10.933332999999999</c:v>
                </c:pt>
                <c:pt idx="1032">
                  <c:v>10.781817999999999</c:v>
                </c:pt>
                <c:pt idx="1033">
                  <c:v>10.958824</c:v>
                </c:pt>
                <c:pt idx="1034">
                  <c:v>10.95</c:v>
                </c:pt>
                <c:pt idx="1035">
                  <c:v>10.803704</c:v>
                </c:pt>
                <c:pt idx="1036">
                  <c:v>10.8</c:v>
                </c:pt>
                <c:pt idx="1037">
                  <c:v>10.829762000000001</c:v>
                </c:pt>
                <c:pt idx="1038">
                  <c:v>10.715999999999999</c:v>
                </c:pt>
                <c:pt idx="1039">
                  <c:v>10.741667</c:v>
                </c:pt>
                <c:pt idx="1040">
                  <c:v>10.828749999999999</c:v>
                </c:pt>
                <c:pt idx="1041">
                  <c:v>10.840566000000001</c:v>
                </c:pt>
                <c:pt idx="1042">
                  <c:v>10.8</c:v>
                </c:pt>
                <c:pt idx="1043">
                  <c:v>10.771428999999999</c:v>
                </c:pt>
                <c:pt idx="1044">
                  <c:v>10.71</c:v>
                </c:pt>
                <c:pt idx="1045">
                  <c:v>10.744999999999999</c:v>
                </c:pt>
                <c:pt idx="1046">
                  <c:v>10.5</c:v>
                </c:pt>
                <c:pt idx="1047">
                  <c:v>10.324999999999999</c:v>
                </c:pt>
                <c:pt idx="1048">
                  <c:v>9.9571430000000003</c:v>
                </c:pt>
                <c:pt idx="1049">
                  <c:v>9.65</c:v>
                </c:pt>
                <c:pt idx="1050">
                  <c:v>9.625</c:v>
                </c:pt>
                <c:pt idx="1051">
                  <c:v>9.5783330000000007</c:v>
                </c:pt>
                <c:pt idx="1052">
                  <c:v>9.5573680000000003</c:v>
                </c:pt>
                <c:pt idx="1053">
                  <c:v>9.5754549999999998</c:v>
                </c:pt>
                <c:pt idx="1054">
                  <c:v>9.5894739999999992</c:v>
                </c:pt>
                <c:pt idx="1055">
                  <c:v>9.8279069999999997</c:v>
                </c:pt>
                <c:pt idx="1056">
                  <c:v>9.8024389999999997</c:v>
                </c:pt>
                <c:pt idx="1057">
                  <c:v>9.9704549999999994</c:v>
                </c:pt>
                <c:pt idx="1058">
                  <c:v>9.9137249999999995</c:v>
                </c:pt>
                <c:pt idx="1059">
                  <c:v>9.9878049999999998</c:v>
                </c:pt>
                <c:pt idx="1060">
                  <c:v>10.095000000000001</c:v>
                </c:pt>
                <c:pt idx="1061">
                  <c:v>10.129761999999999</c:v>
                </c:pt>
                <c:pt idx="1062">
                  <c:v>10.119999999999999</c:v>
                </c:pt>
                <c:pt idx="1063">
                  <c:v>10.119149</c:v>
                </c:pt>
                <c:pt idx="1064">
                  <c:v>10.17193</c:v>
                </c:pt>
                <c:pt idx="1065">
                  <c:v>10.195556</c:v>
                </c:pt>
                <c:pt idx="1066">
                  <c:v>10.219048000000001</c:v>
                </c:pt>
                <c:pt idx="1067">
                  <c:v>10.222727000000001</c:v>
                </c:pt>
                <c:pt idx="1068">
                  <c:v>10.280951999999999</c:v>
                </c:pt>
                <c:pt idx="1069">
                  <c:v>10.130000000000001</c:v>
                </c:pt>
                <c:pt idx="1070">
                  <c:v>10.128571000000001</c:v>
                </c:pt>
                <c:pt idx="1071">
                  <c:v>10.34</c:v>
                </c:pt>
                <c:pt idx="1072">
                  <c:v>10.3</c:v>
                </c:pt>
                <c:pt idx="1073">
                  <c:v>10.371428999999999</c:v>
                </c:pt>
                <c:pt idx="1074">
                  <c:v>10.45</c:v>
                </c:pt>
                <c:pt idx="1075">
                  <c:v>10.55</c:v>
                </c:pt>
                <c:pt idx="1076">
                  <c:v>10.552174000000001</c:v>
                </c:pt>
                <c:pt idx="1077">
                  <c:v>10.609524</c:v>
                </c:pt>
                <c:pt idx="1078">
                  <c:v>10.546429</c:v>
                </c:pt>
                <c:pt idx="1079">
                  <c:v>10.596774</c:v>
                </c:pt>
                <c:pt idx="1080">
                  <c:v>10.651282</c:v>
                </c:pt>
                <c:pt idx="1081">
                  <c:v>10.562856999999999</c:v>
                </c:pt>
                <c:pt idx="1082">
                  <c:v>10.535556</c:v>
                </c:pt>
                <c:pt idx="1083">
                  <c:v>10.545676</c:v>
                </c:pt>
                <c:pt idx="1084">
                  <c:v>10.520725000000001</c:v>
                </c:pt>
                <c:pt idx="1085">
                  <c:v>10.564515999999999</c:v>
                </c:pt>
                <c:pt idx="1086">
                  <c:v>10.5326</c:v>
                </c:pt>
                <c:pt idx="1087">
                  <c:v>10.503448000000001</c:v>
                </c:pt>
                <c:pt idx="1088">
                  <c:v>10.430332999999999</c:v>
                </c:pt>
                <c:pt idx="1089">
                  <c:v>10.524782999999999</c:v>
                </c:pt>
                <c:pt idx="1090">
                  <c:v>10.466786000000001</c:v>
                </c:pt>
                <c:pt idx="1091">
                  <c:v>10.413333</c:v>
                </c:pt>
                <c:pt idx="1092">
                  <c:v>10.35</c:v>
                </c:pt>
                <c:pt idx="1093">
                  <c:v>10.18</c:v>
                </c:pt>
                <c:pt idx="1094">
                  <c:v>9.7874999999999996</c:v>
                </c:pt>
                <c:pt idx="1095">
                  <c:v>9.6716669999999993</c:v>
                </c:pt>
                <c:pt idx="1096">
                  <c:v>9.5</c:v>
                </c:pt>
                <c:pt idx="1097">
                  <c:v>9.5250000000000004</c:v>
                </c:pt>
                <c:pt idx="1098">
                  <c:v>9.4</c:v>
                </c:pt>
                <c:pt idx="1099">
                  <c:v>9.5453329999999994</c:v>
                </c:pt>
                <c:pt idx="1100">
                  <c:v>9.4934999999999992</c:v>
                </c:pt>
                <c:pt idx="1101">
                  <c:v>9.647907</c:v>
                </c:pt>
                <c:pt idx="1102">
                  <c:v>9.6057889999999997</c:v>
                </c:pt>
                <c:pt idx="1103">
                  <c:v>9.5987799999999996</c:v>
                </c:pt>
                <c:pt idx="1104">
                  <c:v>9.5942310000000006</c:v>
                </c:pt>
                <c:pt idx="1105">
                  <c:v>9.6404650000000007</c:v>
                </c:pt>
                <c:pt idx="1106">
                  <c:v>9.649756</c:v>
                </c:pt>
                <c:pt idx="1107">
                  <c:v>9.6782050000000002</c:v>
                </c:pt>
                <c:pt idx="1108">
                  <c:v>9.6602700000000006</c:v>
                </c:pt>
                <c:pt idx="1109">
                  <c:v>9.6754759999999997</c:v>
                </c:pt>
                <c:pt idx="1110">
                  <c:v>9.6607690000000002</c:v>
                </c:pt>
                <c:pt idx="1111">
                  <c:v>9.6551720000000003</c:v>
                </c:pt>
                <c:pt idx="1112">
                  <c:v>9.7799999999999994</c:v>
                </c:pt>
                <c:pt idx="1113">
                  <c:v>9.7136359999999993</c:v>
                </c:pt>
                <c:pt idx="1114">
                  <c:v>9.7015379999999993</c:v>
                </c:pt>
                <c:pt idx="1115">
                  <c:v>9.6608330000000002</c:v>
                </c:pt>
                <c:pt idx="1116">
                  <c:v>9.8666669999999996</c:v>
                </c:pt>
                <c:pt idx="1117">
                  <c:v>9.733333</c:v>
                </c:pt>
                <c:pt idx="1118">
                  <c:v>9.8937500000000007</c:v>
                </c:pt>
                <c:pt idx="1119">
                  <c:v>9.875</c:v>
                </c:pt>
                <c:pt idx="1120">
                  <c:v>9.8625000000000007</c:v>
                </c:pt>
                <c:pt idx="1121">
                  <c:v>10.050000000000001</c:v>
                </c:pt>
                <c:pt idx="1122">
                  <c:v>10.068</c:v>
                </c:pt>
                <c:pt idx="1123">
                  <c:v>10.092727</c:v>
                </c:pt>
                <c:pt idx="1124">
                  <c:v>9.9458330000000004</c:v>
                </c:pt>
                <c:pt idx="1125">
                  <c:v>9.8762500000000006</c:v>
                </c:pt>
                <c:pt idx="1126">
                  <c:v>9.9321870000000008</c:v>
                </c:pt>
                <c:pt idx="1127">
                  <c:v>9.9216219999999993</c:v>
                </c:pt>
                <c:pt idx="1128">
                  <c:v>9.8863640000000004</c:v>
                </c:pt>
                <c:pt idx="1129">
                  <c:v>9.8955359999999999</c:v>
                </c:pt>
                <c:pt idx="1130">
                  <c:v>9.7899999999999991</c:v>
                </c:pt>
                <c:pt idx="1131">
                  <c:v>9.8117649999999994</c:v>
                </c:pt>
                <c:pt idx="1132">
                  <c:v>9.7736839999999994</c:v>
                </c:pt>
                <c:pt idx="1133">
                  <c:v>9.8251059999999999</c:v>
                </c:pt>
                <c:pt idx="1134">
                  <c:v>9.8051279999999998</c:v>
                </c:pt>
                <c:pt idx="1135">
                  <c:v>9.7941179999999992</c:v>
                </c:pt>
                <c:pt idx="1136">
                  <c:v>9.7449999999999992</c:v>
                </c:pt>
                <c:pt idx="1137">
                  <c:v>9.7521050000000002</c:v>
                </c:pt>
                <c:pt idx="1138">
                  <c:v>9.8742859999999997</c:v>
                </c:pt>
                <c:pt idx="1139">
                  <c:v>9.3233329999999999</c:v>
                </c:pt>
                <c:pt idx="1140">
                  <c:v>9.5</c:v>
                </c:pt>
                <c:pt idx="1141">
                  <c:v>9.7375000000000007</c:v>
                </c:pt>
                <c:pt idx="1142">
                  <c:v>9.6666670000000003</c:v>
                </c:pt>
                <c:pt idx="1143">
                  <c:v>9.5692310000000003</c:v>
                </c:pt>
                <c:pt idx="1144">
                  <c:v>9.5785710000000002</c:v>
                </c:pt>
                <c:pt idx="1145">
                  <c:v>9.5500000000000007</c:v>
                </c:pt>
                <c:pt idx="1146">
                  <c:v>9.608333</c:v>
                </c:pt>
                <c:pt idx="1147">
                  <c:v>9.703125</c:v>
                </c:pt>
                <c:pt idx="1148">
                  <c:v>9.6722219999999997</c:v>
                </c:pt>
                <c:pt idx="1149">
                  <c:v>9.6868420000000004</c:v>
                </c:pt>
                <c:pt idx="1150">
                  <c:v>9.766667</c:v>
                </c:pt>
                <c:pt idx="1151">
                  <c:v>9.7949999999999999</c:v>
                </c:pt>
                <c:pt idx="1152">
                  <c:v>9.7460000000000004</c:v>
                </c:pt>
                <c:pt idx="1153">
                  <c:v>9.8230559999999993</c:v>
                </c:pt>
                <c:pt idx="1154">
                  <c:v>9.8208330000000004</c:v>
                </c:pt>
                <c:pt idx="1155">
                  <c:v>9.8175860000000004</c:v>
                </c:pt>
                <c:pt idx="1156">
                  <c:v>9.8907139999999991</c:v>
                </c:pt>
                <c:pt idx="1157">
                  <c:v>9.9039999999999999</c:v>
                </c:pt>
                <c:pt idx="1158">
                  <c:v>9.9092310000000001</c:v>
                </c:pt>
                <c:pt idx="1159">
                  <c:v>9.8576920000000001</c:v>
                </c:pt>
                <c:pt idx="1160">
                  <c:v>9.91</c:v>
                </c:pt>
                <c:pt idx="1161">
                  <c:v>9.85</c:v>
                </c:pt>
                <c:pt idx="116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27-469A-BCB2-94DEFF39D25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Index!$M$72:$M$178</c:f>
              <c:numCache>
                <c:formatCode>General</c:formatCode>
                <c:ptCount val="107"/>
              </c:numCache>
            </c:numRef>
          </c:xVal>
          <c:yVal>
            <c:numRef>
              <c:f>Index!$N$72:$N$178</c:f>
              <c:numCache>
                <c:formatCode>General</c:formatCode>
                <c:ptCount val="10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27-469A-BCB2-94DEFF39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742848"/>
        <c:axId val="705744024"/>
      </c:scatterChart>
      <c:valAx>
        <c:axId val="705742848"/>
        <c:scaling>
          <c:orientation val="minMax"/>
          <c:min val="2457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744024"/>
        <c:crosses val="max"/>
        <c:crossBetween val="midCat"/>
        <c:majorUnit val="100"/>
      </c:valAx>
      <c:valAx>
        <c:axId val="705744024"/>
        <c:scaling>
          <c:orientation val="maxMin"/>
          <c:min val="9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74284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V!$A$840:$A$857</c:f>
              <c:numCache>
                <c:formatCode>General</c:formatCode>
                <c:ptCount val="18"/>
                <c:pt idx="0">
                  <c:v>2458149.9797</c:v>
                </c:pt>
                <c:pt idx="1">
                  <c:v>2458162.7272600001</c:v>
                </c:pt>
                <c:pt idx="2">
                  <c:v>2458168.9748499999</c:v>
                </c:pt>
                <c:pt idx="3">
                  <c:v>2458177.6699600001</c:v>
                </c:pt>
                <c:pt idx="4">
                  <c:v>2458187.95799</c:v>
                </c:pt>
                <c:pt idx="5">
                  <c:v>2458200.9480499998</c:v>
                </c:pt>
                <c:pt idx="6">
                  <c:v>2458204.6232599998</c:v>
                </c:pt>
                <c:pt idx="7">
                  <c:v>2458205.9378999998</c:v>
                </c:pt>
                <c:pt idx="8">
                  <c:v>2458214.6310800002</c:v>
                </c:pt>
                <c:pt idx="9">
                  <c:v>2458221.92827</c:v>
                </c:pt>
                <c:pt idx="10">
                  <c:v>2458222.9311299999</c:v>
                </c:pt>
                <c:pt idx="11">
                  <c:v>2458224.6403000001</c:v>
                </c:pt>
                <c:pt idx="12">
                  <c:v>2458239.9189499998</c:v>
                </c:pt>
                <c:pt idx="13">
                  <c:v>2458241.9090399998</c:v>
                </c:pt>
                <c:pt idx="14">
                  <c:v>2458243.41255</c:v>
                </c:pt>
                <c:pt idx="15">
                  <c:v>2458247.43664</c:v>
                </c:pt>
                <c:pt idx="16">
                  <c:v>2458256.4274200001</c:v>
                </c:pt>
                <c:pt idx="17">
                  <c:v>2458275.4385099998</c:v>
                </c:pt>
              </c:numCache>
            </c:numRef>
          </c:xVal>
          <c:yVal>
            <c:numRef>
              <c:f>V!$C$840:$C$857</c:f>
              <c:numCache>
                <c:formatCode>General</c:formatCode>
                <c:ptCount val="18"/>
                <c:pt idx="0">
                  <c:v>9.7609999999999992</c:v>
                </c:pt>
                <c:pt idx="1">
                  <c:v>9.8439999999999994</c:v>
                </c:pt>
                <c:pt idx="2">
                  <c:v>9.8019999999999996</c:v>
                </c:pt>
                <c:pt idx="3">
                  <c:v>9.891</c:v>
                </c:pt>
                <c:pt idx="4">
                  <c:v>9.8510000000000009</c:v>
                </c:pt>
                <c:pt idx="5">
                  <c:v>9.9960000000000004</c:v>
                </c:pt>
                <c:pt idx="6">
                  <c:v>10.074</c:v>
                </c:pt>
                <c:pt idx="7">
                  <c:v>10.132999999999999</c:v>
                </c:pt>
                <c:pt idx="8">
                  <c:v>10.105</c:v>
                </c:pt>
                <c:pt idx="9">
                  <c:v>10.119999999999999</c:v>
                </c:pt>
                <c:pt idx="10">
                  <c:v>10.079000000000001</c:v>
                </c:pt>
                <c:pt idx="11">
                  <c:v>10.116</c:v>
                </c:pt>
                <c:pt idx="12">
                  <c:v>10.031000000000001</c:v>
                </c:pt>
                <c:pt idx="13">
                  <c:v>10.050000000000001</c:v>
                </c:pt>
                <c:pt idx="14">
                  <c:v>10.093500000000001</c:v>
                </c:pt>
                <c:pt idx="15">
                  <c:v>10.074</c:v>
                </c:pt>
                <c:pt idx="16">
                  <c:v>10.023999999999999</c:v>
                </c:pt>
                <c:pt idx="17">
                  <c:v>9.9659999999999993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9-4D5D-99D7-064DEFEE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06456"/>
        <c:axId val="626914328"/>
      </c:scatterChart>
      <c:valAx>
        <c:axId val="6269064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6914328"/>
        <c:crosses val="autoZero"/>
        <c:crossBetween val="midCat"/>
      </c:valAx>
      <c:valAx>
        <c:axId val="6269143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690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Vis!$A$1:$A$4104</c:f>
              <c:numCache>
                <c:formatCode>General</c:formatCode>
                <c:ptCount val="4104"/>
                <c:pt idx="0">
                  <c:v>2430184.2124999999</c:v>
                </c:pt>
                <c:pt idx="1">
                  <c:v>2430200.2374999998</c:v>
                </c:pt>
                <c:pt idx="2">
                  <c:v>2430215.7333300002</c:v>
                </c:pt>
                <c:pt idx="3">
                  <c:v>2430232.1833299999</c:v>
                </c:pt>
                <c:pt idx="4">
                  <c:v>2430252.75</c:v>
                </c:pt>
                <c:pt idx="5">
                  <c:v>2430272.2666699998</c:v>
                </c:pt>
                <c:pt idx="6">
                  <c:v>2430284.4857100002</c:v>
                </c:pt>
                <c:pt idx="7">
                  <c:v>2430314.0499999998</c:v>
                </c:pt>
                <c:pt idx="8">
                  <c:v>2435637.7000000002</c:v>
                </c:pt>
                <c:pt idx="9">
                  <c:v>2435727.7000000002</c:v>
                </c:pt>
                <c:pt idx="10">
                  <c:v>2435749.7000000002</c:v>
                </c:pt>
                <c:pt idx="11">
                  <c:v>2435807.7000000002</c:v>
                </c:pt>
                <c:pt idx="12">
                  <c:v>2436010.7000000002</c:v>
                </c:pt>
                <c:pt idx="13">
                  <c:v>2436026.7000000002</c:v>
                </c:pt>
                <c:pt idx="14">
                  <c:v>2436103.7999999998</c:v>
                </c:pt>
                <c:pt idx="15">
                  <c:v>2436158.7000000002</c:v>
                </c:pt>
                <c:pt idx="16">
                  <c:v>2436198.6</c:v>
                </c:pt>
                <c:pt idx="17">
                  <c:v>2436354.7999999998</c:v>
                </c:pt>
                <c:pt idx="18">
                  <c:v>2436379.7999999998</c:v>
                </c:pt>
                <c:pt idx="19">
                  <c:v>2436404.7000000002</c:v>
                </c:pt>
                <c:pt idx="20">
                  <c:v>2436454.7999999998</c:v>
                </c:pt>
                <c:pt idx="21">
                  <c:v>2436498.7000000002</c:v>
                </c:pt>
                <c:pt idx="22">
                  <c:v>2436526.6</c:v>
                </c:pt>
                <c:pt idx="23">
                  <c:v>2436671</c:v>
                </c:pt>
                <c:pt idx="24">
                  <c:v>2436720.7999999998</c:v>
                </c:pt>
                <c:pt idx="25">
                  <c:v>2436775.7000000002</c:v>
                </c:pt>
                <c:pt idx="26">
                  <c:v>2436839.7999999998</c:v>
                </c:pt>
                <c:pt idx="27">
                  <c:v>2436865.7000000002</c:v>
                </c:pt>
                <c:pt idx="28">
                  <c:v>2436897.6</c:v>
                </c:pt>
                <c:pt idx="29">
                  <c:v>2437106.7999999998</c:v>
                </c:pt>
                <c:pt idx="30">
                  <c:v>2437146.7000000002</c:v>
                </c:pt>
                <c:pt idx="31">
                  <c:v>2437167.9</c:v>
                </c:pt>
                <c:pt idx="32">
                  <c:v>2437189.7000000002</c:v>
                </c:pt>
                <c:pt idx="33">
                  <c:v>2437225.7000000002</c:v>
                </c:pt>
                <c:pt idx="34">
                  <c:v>2437257.7000000002</c:v>
                </c:pt>
                <c:pt idx="35">
                  <c:v>2437476.7999999998</c:v>
                </c:pt>
                <c:pt idx="36">
                  <c:v>2437517.7999999998</c:v>
                </c:pt>
                <c:pt idx="37">
                  <c:v>2437560.7034999998</c:v>
                </c:pt>
                <c:pt idx="38">
                  <c:v>2437846.4</c:v>
                </c:pt>
                <c:pt idx="39">
                  <c:v>2437874.7000000002</c:v>
                </c:pt>
                <c:pt idx="40">
                  <c:v>2437931.7999999998</c:v>
                </c:pt>
                <c:pt idx="41">
                  <c:v>2437958.6</c:v>
                </c:pt>
                <c:pt idx="42">
                  <c:v>2438005.7000000002</c:v>
                </c:pt>
                <c:pt idx="43">
                  <c:v>2438169.7999999998</c:v>
                </c:pt>
                <c:pt idx="44">
                  <c:v>2438211.7999999998</c:v>
                </c:pt>
                <c:pt idx="45">
                  <c:v>2438236.7000000002</c:v>
                </c:pt>
                <c:pt idx="46">
                  <c:v>2438290.7000000002</c:v>
                </c:pt>
                <c:pt idx="47">
                  <c:v>2438327.7000000002</c:v>
                </c:pt>
                <c:pt idx="48">
                  <c:v>2438356.6</c:v>
                </c:pt>
                <c:pt idx="49">
                  <c:v>2438538.7999999998</c:v>
                </c:pt>
                <c:pt idx="50">
                  <c:v>2438574.7999999998</c:v>
                </c:pt>
                <c:pt idx="51">
                  <c:v>2438592.7000000002</c:v>
                </c:pt>
                <c:pt idx="52">
                  <c:v>2438621.7000000002</c:v>
                </c:pt>
                <c:pt idx="53">
                  <c:v>2438670.3333299998</c:v>
                </c:pt>
                <c:pt idx="54">
                  <c:v>2438688.65</c:v>
                </c:pt>
                <c:pt idx="55">
                  <c:v>2438707.6</c:v>
                </c:pt>
                <c:pt idx="56">
                  <c:v>2438718.6</c:v>
                </c:pt>
                <c:pt idx="57">
                  <c:v>2438737.5750000002</c:v>
                </c:pt>
                <c:pt idx="58">
                  <c:v>2438857.85</c:v>
                </c:pt>
                <c:pt idx="59">
                  <c:v>2438879.7999999998</c:v>
                </c:pt>
                <c:pt idx="60">
                  <c:v>2438910.7999999998</c:v>
                </c:pt>
                <c:pt idx="61">
                  <c:v>2438922.1800000002</c:v>
                </c:pt>
                <c:pt idx="62">
                  <c:v>2438935.2777800001</c:v>
                </c:pt>
                <c:pt idx="63">
                  <c:v>2438954</c:v>
                </c:pt>
                <c:pt idx="64">
                  <c:v>2438971.2230799999</c:v>
                </c:pt>
                <c:pt idx="65">
                  <c:v>2438985.25</c:v>
                </c:pt>
                <c:pt idx="66">
                  <c:v>2439001.4636400002</c:v>
                </c:pt>
                <c:pt idx="67">
                  <c:v>2439027.6</c:v>
                </c:pt>
                <c:pt idx="68">
                  <c:v>2439035.88</c:v>
                </c:pt>
                <c:pt idx="69">
                  <c:v>2439056.70909</c:v>
                </c:pt>
                <c:pt idx="70">
                  <c:v>2439070.5666700001</c:v>
                </c:pt>
                <c:pt idx="71">
                  <c:v>2439095.5</c:v>
                </c:pt>
                <c:pt idx="72">
                  <c:v>2439123.5</c:v>
                </c:pt>
                <c:pt idx="73">
                  <c:v>2439173.6666700002</c:v>
                </c:pt>
                <c:pt idx="74">
                  <c:v>2439185.2000000002</c:v>
                </c:pt>
                <c:pt idx="75">
                  <c:v>2439208.3142900001</c:v>
                </c:pt>
                <c:pt idx="76">
                  <c:v>2439223.125</c:v>
                </c:pt>
                <c:pt idx="77">
                  <c:v>2439242.1</c:v>
                </c:pt>
                <c:pt idx="78">
                  <c:v>2439253.35</c:v>
                </c:pt>
                <c:pt idx="79">
                  <c:v>2439270.75385</c:v>
                </c:pt>
                <c:pt idx="80">
                  <c:v>2439289.28571</c:v>
                </c:pt>
                <c:pt idx="81">
                  <c:v>2439309.3666699999</c:v>
                </c:pt>
                <c:pt idx="82">
                  <c:v>2439326.8083299999</c:v>
                </c:pt>
                <c:pt idx="83">
                  <c:v>2439342.125</c:v>
                </c:pt>
                <c:pt idx="84">
                  <c:v>2439357.5428599999</c:v>
                </c:pt>
                <c:pt idx="85">
                  <c:v>2439371.9750000001</c:v>
                </c:pt>
                <c:pt idx="86">
                  <c:v>2439388.75</c:v>
                </c:pt>
                <c:pt idx="87">
                  <c:v>2439406.85</c:v>
                </c:pt>
                <c:pt idx="88">
                  <c:v>2439426.1</c:v>
                </c:pt>
                <c:pt idx="89">
                  <c:v>2439442.6</c:v>
                </c:pt>
                <c:pt idx="90">
                  <c:v>2439460</c:v>
                </c:pt>
                <c:pt idx="91">
                  <c:v>2439474.5666700001</c:v>
                </c:pt>
                <c:pt idx="92">
                  <c:v>2439567.9</c:v>
                </c:pt>
                <c:pt idx="93">
                  <c:v>2439581.15</c:v>
                </c:pt>
                <c:pt idx="94">
                  <c:v>2439592.3285699999</c:v>
                </c:pt>
                <c:pt idx="95">
                  <c:v>2439611.2571399999</c:v>
                </c:pt>
                <c:pt idx="96">
                  <c:v>2439625.2999999998</c:v>
                </c:pt>
                <c:pt idx="97">
                  <c:v>2439641.0538499998</c:v>
                </c:pt>
                <c:pt idx="98">
                  <c:v>2439660.03333</c:v>
                </c:pt>
                <c:pt idx="99">
                  <c:v>2439674.7000000002</c:v>
                </c:pt>
                <c:pt idx="100">
                  <c:v>2439692.1749999998</c:v>
                </c:pt>
                <c:pt idx="101">
                  <c:v>2439711.25</c:v>
                </c:pt>
                <c:pt idx="102">
                  <c:v>2439735.8374999999</c:v>
                </c:pt>
                <c:pt idx="103">
                  <c:v>2439750.2000000002</c:v>
                </c:pt>
                <c:pt idx="104">
                  <c:v>2439766.71667</c:v>
                </c:pt>
                <c:pt idx="105">
                  <c:v>2439786.35</c:v>
                </c:pt>
                <c:pt idx="106">
                  <c:v>2439798.0666700001</c:v>
                </c:pt>
                <c:pt idx="107">
                  <c:v>2439816.9500000002</c:v>
                </c:pt>
                <c:pt idx="108">
                  <c:v>2439915.4</c:v>
                </c:pt>
                <c:pt idx="109">
                  <c:v>2439928.9</c:v>
                </c:pt>
                <c:pt idx="110">
                  <c:v>2439948.6666700002</c:v>
                </c:pt>
                <c:pt idx="111">
                  <c:v>2439976.1333300001</c:v>
                </c:pt>
                <c:pt idx="112">
                  <c:v>2440000.3312499998</c:v>
                </c:pt>
                <c:pt idx="113">
                  <c:v>2440019.0520000001</c:v>
                </c:pt>
                <c:pt idx="114">
                  <c:v>2440037.378</c:v>
                </c:pt>
                <c:pt idx="115">
                  <c:v>2440057.1549999998</c:v>
                </c:pt>
                <c:pt idx="116">
                  <c:v>2440067.3450000002</c:v>
                </c:pt>
                <c:pt idx="117">
                  <c:v>2440088.622</c:v>
                </c:pt>
                <c:pt idx="118">
                  <c:v>2440106.2650000001</c:v>
                </c:pt>
                <c:pt idx="119">
                  <c:v>2440121.8276900002</c:v>
                </c:pt>
                <c:pt idx="120">
                  <c:v>2440140.0649999999</c:v>
                </c:pt>
                <c:pt idx="121">
                  <c:v>2440158.00667</c:v>
                </c:pt>
                <c:pt idx="122">
                  <c:v>2440177.946</c:v>
                </c:pt>
                <c:pt idx="123">
                  <c:v>2440198.4849999999</c:v>
                </c:pt>
                <c:pt idx="124">
                  <c:v>2440265.7999999998</c:v>
                </c:pt>
                <c:pt idx="125">
                  <c:v>2440297.4</c:v>
                </c:pt>
                <c:pt idx="126">
                  <c:v>2440328.3166700001</c:v>
                </c:pt>
                <c:pt idx="127">
                  <c:v>2440355.0249999999</c:v>
                </c:pt>
                <c:pt idx="128">
                  <c:v>2440372.4500000002</c:v>
                </c:pt>
                <c:pt idx="129">
                  <c:v>2440386.25556</c:v>
                </c:pt>
                <c:pt idx="130">
                  <c:v>2440406.6749999998</c:v>
                </c:pt>
                <c:pt idx="131">
                  <c:v>2440421.6800000002</c:v>
                </c:pt>
                <c:pt idx="132">
                  <c:v>2440439.7000000002</c:v>
                </c:pt>
                <c:pt idx="133">
                  <c:v>2440457.875</c:v>
                </c:pt>
                <c:pt idx="134">
                  <c:v>2440478.3111100001</c:v>
                </c:pt>
                <c:pt idx="135">
                  <c:v>2440494.5857099998</c:v>
                </c:pt>
                <c:pt idx="136">
                  <c:v>2440510.1666700002</c:v>
                </c:pt>
                <c:pt idx="137">
                  <c:v>2440528.15</c:v>
                </c:pt>
                <c:pt idx="138">
                  <c:v>2440550.1285700002</c:v>
                </c:pt>
                <c:pt idx="139">
                  <c:v>2440568</c:v>
                </c:pt>
                <c:pt idx="140">
                  <c:v>2440591.53333</c:v>
                </c:pt>
                <c:pt idx="141">
                  <c:v>2440639.4500000002</c:v>
                </c:pt>
                <c:pt idx="142">
                  <c:v>2440656.35</c:v>
                </c:pt>
                <c:pt idx="143">
                  <c:v>2440685.7799999998</c:v>
                </c:pt>
                <c:pt idx="144">
                  <c:v>2440699.7000000002</c:v>
                </c:pt>
                <c:pt idx="145">
                  <c:v>2440716.7999999998</c:v>
                </c:pt>
                <c:pt idx="146">
                  <c:v>2440738.5625</c:v>
                </c:pt>
                <c:pt idx="147">
                  <c:v>2440754.8285699999</c:v>
                </c:pt>
                <c:pt idx="148">
                  <c:v>2440772.2999999998</c:v>
                </c:pt>
                <c:pt idx="149">
                  <c:v>2440788.2999999998</c:v>
                </c:pt>
                <c:pt idx="150">
                  <c:v>2440805.5</c:v>
                </c:pt>
                <c:pt idx="151">
                  <c:v>2440828</c:v>
                </c:pt>
                <c:pt idx="152">
                  <c:v>2440842.3333299998</c:v>
                </c:pt>
                <c:pt idx="153">
                  <c:v>2440861.2333300002</c:v>
                </c:pt>
                <c:pt idx="154">
                  <c:v>2440880.125</c:v>
                </c:pt>
                <c:pt idx="155">
                  <c:v>2440891.58</c:v>
                </c:pt>
                <c:pt idx="156">
                  <c:v>2440910.9</c:v>
                </c:pt>
                <c:pt idx="157">
                  <c:v>2440929.8666699999</c:v>
                </c:pt>
                <c:pt idx="158">
                  <c:v>2440951.8666699999</c:v>
                </c:pt>
                <c:pt idx="159">
                  <c:v>2441006.9</c:v>
                </c:pt>
                <c:pt idx="160">
                  <c:v>2441030.7999999998</c:v>
                </c:pt>
                <c:pt idx="161">
                  <c:v>2441042.6166699999</c:v>
                </c:pt>
                <c:pt idx="162">
                  <c:v>2441066.6666700002</c:v>
                </c:pt>
                <c:pt idx="163">
                  <c:v>2441082.6749999998</c:v>
                </c:pt>
                <c:pt idx="164">
                  <c:v>2441101.2999999998</c:v>
                </c:pt>
                <c:pt idx="165">
                  <c:v>2441118.84778</c:v>
                </c:pt>
                <c:pt idx="166">
                  <c:v>2441142.22438</c:v>
                </c:pt>
                <c:pt idx="167">
                  <c:v>2441160.6657099999</c:v>
                </c:pt>
                <c:pt idx="168">
                  <c:v>2441177.1778600002</c:v>
                </c:pt>
                <c:pt idx="169">
                  <c:v>2441201.088</c:v>
                </c:pt>
                <c:pt idx="170">
                  <c:v>2441213.0980000002</c:v>
                </c:pt>
                <c:pt idx="171">
                  <c:v>2441233.8739999998</c:v>
                </c:pt>
                <c:pt idx="172">
                  <c:v>2441247.7376899999</c:v>
                </c:pt>
                <c:pt idx="173">
                  <c:v>2441264.62818</c:v>
                </c:pt>
                <c:pt idx="174">
                  <c:v>2441280.4333299999</c:v>
                </c:pt>
                <c:pt idx="175">
                  <c:v>2441296.2822199999</c:v>
                </c:pt>
                <c:pt idx="176">
                  <c:v>2441326.5249999999</c:v>
                </c:pt>
                <c:pt idx="177">
                  <c:v>2441398.66</c:v>
                </c:pt>
                <c:pt idx="178">
                  <c:v>2441410.96667</c:v>
                </c:pt>
                <c:pt idx="179">
                  <c:v>2441427.52</c:v>
                </c:pt>
                <c:pt idx="180">
                  <c:v>2441443.9133299999</c:v>
                </c:pt>
                <c:pt idx="181">
                  <c:v>2441462.3250000002</c:v>
                </c:pt>
                <c:pt idx="182">
                  <c:v>2441475.8640000001</c:v>
                </c:pt>
                <c:pt idx="183">
                  <c:v>2441495.4240000001</c:v>
                </c:pt>
                <c:pt idx="184">
                  <c:v>2441510.02</c:v>
                </c:pt>
                <c:pt idx="185">
                  <c:v>2441528.68909</c:v>
                </c:pt>
                <c:pt idx="186">
                  <c:v>2441545.8199999998</c:v>
                </c:pt>
                <c:pt idx="187">
                  <c:v>2441563.9</c:v>
                </c:pt>
                <c:pt idx="188">
                  <c:v>2441581.2583300001</c:v>
                </c:pt>
                <c:pt idx="189">
                  <c:v>2441596.9481799998</c:v>
                </c:pt>
                <c:pt idx="190">
                  <c:v>2441615.5074999998</c:v>
                </c:pt>
                <c:pt idx="191">
                  <c:v>2441632.6433299999</c:v>
                </c:pt>
                <c:pt idx="192">
                  <c:v>2441646.8428600002</c:v>
                </c:pt>
                <c:pt idx="193">
                  <c:v>2441664.9683300001</c:v>
                </c:pt>
                <c:pt idx="194">
                  <c:v>2441686.1375000002</c:v>
                </c:pt>
                <c:pt idx="195">
                  <c:v>2441727.9</c:v>
                </c:pt>
                <c:pt idx="196">
                  <c:v>2441751.63</c:v>
                </c:pt>
                <c:pt idx="197">
                  <c:v>2441760.8333299998</c:v>
                </c:pt>
                <c:pt idx="198">
                  <c:v>2441787.7999999998</c:v>
                </c:pt>
                <c:pt idx="199">
                  <c:v>2441804.5499999998</c:v>
                </c:pt>
                <c:pt idx="200">
                  <c:v>2441829.38</c:v>
                </c:pt>
                <c:pt idx="201">
                  <c:v>2441842.8555600001</c:v>
                </c:pt>
                <c:pt idx="202">
                  <c:v>2441858.2628600001</c:v>
                </c:pt>
                <c:pt idx="203">
                  <c:v>2441873.59571</c:v>
                </c:pt>
                <c:pt idx="204">
                  <c:v>2441895.2658299999</c:v>
                </c:pt>
                <c:pt idx="205">
                  <c:v>2441910.9720000001</c:v>
                </c:pt>
                <c:pt idx="206">
                  <c:v>2441931.8829999999</c:v>
                </c:pt>
                <c:pt idx="207">
                  <c:v>2441947.25667</c:v>
                </c:pt>
                <c:pt idx="208">
                  <c:v>2441963.8333299998</c:v>
                </c:pt>
                <c:pt idx="209">
                  <c:v>2441980.68444</c:v>
                </c:pt>
                <c:pt idx="210">
                  <c:v>2441999.1</c:v>
                </c:pt>
                <c:pt idx="211">
                  <c:v>2442016.36</c:v>
                </c:pt>
                <c:pt idx="212">
                  <c:v>2442033.8840000001</c:v>
                </c:pt>
                <c:pt idx="213">
                  <c:v>2442060.5</c:v>
                </c:pt>
                <c:pt idx="214">
                  <c:v>2442162.4562499998</c:v>
                </c:pt>
                <c:pt idx="215">
                  <c:v>2442187.1166699999</c:v>
                </c:pt>
                <c:pt idx="216">
                  <c:v>2442216.4024999999</c:v>
                </c:pt>
                <c:pt idx="217">
                  <c:v>2442232.2914300002</c:v>
                </c:pt>
                <c:pt idx="218">
                  <c:v>2442248.4146199999</c:v>
                </c:pt>
                <c:pt idx="219">
                  <c:v>2442264.5520000001</c:v>
                </c:pt>
                <c:pt idx="220">
                  <c:v>2442276.6329999999</c:v>
                </c:pt>
                <c:pt idx="221">
                  <c:v>2442299.6179999998</c:v>
                </c:pt>
                <c:pt idx="222">
                  <c:v>2442316.02</c:v>
                </c:pt>
                <c:pt idx="223">
                  <c:v>2442331.9</c:v>
                </c:pt>
                <c:pt idx="224">
                  <c:v>2442350.2000000002</c:v>
                </c:pt>
                <c:pt idx="225">
                  <c:v>2442365.1222199998</c:v>
                </c:pt>
                <c:pt idx="226">
                  <c:v>2442382.7749999999</c:v>
                </c:pt>
                <c:pt idx="227">
                  <c:v>2442400.5</c:v>
                </c:pt>
                <c:pt idx="228">
                  <c:v>2442417.1749999998</c:v>
                </c:pt>
                <c:pt idx="229">
                  <c:v>2442518.1</c:v>
                </c:pt>
                <c:pt idx="230">
                  <c:v>2442538.4888900002</c:v>
                </c:pt>
                <c:pt idx="231">
                  <c:v>2442556.66</c:v>
                </c:pt>
                <c:pt idx="232">
                  <c:v>2442573.023</c:v>
                </c:pt>
                <c:pt idx="233">
                  <c:v>2442593.4142900002</c:v>
                </c:pt>
                <c:pt idx="234">
                  <c:v>2442604.0685700001</c:v>
                </c:pt>
                <c:pt idx="235">
                  <c:v>2442624.04</c:v>
                </c:pt>
                <c:pt idx="236">
                  <c:v>2442633.8388899998</c:v>
                </c:pt>
                <c:pt idx="237">
                  <c:v>2442656.9861499998</c:v>
                </c:pt>
                <c:pt idx="238">
                  <c:v>2442669.1933300002</c:v>
                </c:pt>
                <c:pt idx="239">
                  <c:v>2442687.7599999998</c:v>
                </c:pt>
                <c:pt idx="240">
                  <c:v>2442707.2827300001</c:v>
                </c:pt>
                <c:pt idx="241">
                  <c:v>2442719.0499999998</c:v>
                </c:pt>
                <c:pt idx="242">
                  <c:v>2442734.6175000002</c:v>
                </c:pt>
                <c:pt idx="243">
                  <c:v>2442750.3666699999</c:v>
                </c:pt>
                <c:pt idx="244">
                  <c:v>2442770.53333</c:v>
                </c:pt>
                <c:pt idx="245">
                  <c:v>2442781</c:v>
                </c:pt>
                <c:pt idx="246">
                  <c:v>2442829.9</c:v>
                </c:pt>
                <c:pt idx="247">
                  <c:v>2442874</c:v>
                </c:pt>
                <c:pt idx="248">
                  <c:v>2442896.7533300002</c:v>
                </c:pt>
                <c:pt idx="249">
                  <c:v>2442922.6</c:v>
                </c:pt>
                <c:pt idx="250">
                  <c:v>2442935</c:v>
                </c:pt>
                <c:pt idx="251">
                  <c:v>2442954.92</c:v>
                </c:pt>
                <c:pt idx="252">
                  <c:v>2442966.6714300001</c:v>
                </c:pt>
                <c:pt idx="253">
                  <c:v>2442983.8666699999</c:v>
                </c:pt>
                <c:pt idx="254">
                  <c:v>2442998.66</c:v>
                </c:pt>
                <c:pt idx="255">
                  <c:v>2443016.3363600001</c:v>
                </c:pt>
                <c:pt idx="256">
                  <c:v>2443034.2944999998</c:v>
                </c:pt>
                <c:pt idx="257">
                  <c:v>2443049.7250000001</c:v>
                </c:pt>
                <c:pt idx="258">
                  <c:v>2443065.3285699999</c:v>
                </c:pt>
                <c:pt idx="259">
                  <c:v>2443084.4</c:v>
                </c:pt>
                <c:pt idx="260">
                  <c:v>2443099.7599999998</c:v>
                </c:pt>
                <c:pt idx="261">
                  <c:v>2443114.54</c:v>
                </c:pt>
                <c:pt idx="262">
                  <c:v>2443132.5</c:v>
                </c:pt>
                <c:pt idx="263">
                  <c:v>2443204.9500000002</c:v>
                </c:pt>
                <c:pt idx="264">
                  <c:v>2443229.9</c:v>
                </c:pt>
                <c:pt idx="265">
                  <c:v>2443253.85</c:v>
                </c:pt>
                <c:pt idx="266">
                  <c:v>2443280.0249999999</c:v>
                </c:pt>
                <c:pt idx="267">
                  <c:v>2443293.8250000002</c:v>
                </c:pt>
                <c:pt idx="268">
                  <c:v>2443308.5874999999</c:v>
                </c:pt>
                <c:pt idx="269">
                  <c:v>2443335.3285699999</c:v>
                </c:pt>
                <c:pt idx="270">
                  <c:v>2443352.895</c:v>
                </c:pt>
                <c:pt idx="271">
                  <c:v>2443369.9428599998</c:v>
                </c:pt>
                <c:pt idx="272">
                  <c:v>2443392.19</c:v>
                </c:pt>
                <c:pt idx="273">
                  <c:v>2443409.1</c:v>
                </c:pt>
                <c:pt idx="274">
                  <c:v>2443423.84</c:v>
                </c:pt>
                <c:pt idx="275">
                  <c:v>2443445.1</c:v>
                </c:pt>
                <c:pt idx="276">
                  <c:v>2443459.8833300001</c:v>
                </c:pt>
                <c:pt idx="277">
                  <c:v>2443473.9</c:v>
                </c:pt>
                <c:pt idx="278">
                  <c:v>2443492.6333300001</c:v>
                </c:pt>
                <c:pt idx="279">
                  <c:v>2443515.2999999998</c:v>
                </c:pt>
                <c:pt idx="280">
                  <c:v>2443615.9</c:v>
                </c:pt>
                <c:pt idx="281">
                  <c:v>2443635.2000000002</c:v>
                </c:pt>
                <c:pt idx="282">
                  <c:v>2443655.6</c:v>
                </c:pt>
                <c:pt idx="283">
                  <c:v>2443668.6833299999</c:v>
                </c:pt>
                <c:pt idx="284">
                  <c:v>2443685.4166700002</c:v>
                </c:pt>
                <c:pt idx="285">
                  <c:v>2443698.9272699999</c:v>
                </c:pt>
                <c:pt idx="286">
                  <c:v>2443722.5444399999</c:v>
                </c:pt>
                <c:pt idx="287">
                  <c:v>2443737.4</c:v>
                </c:pt>
                <c:pt idx="288">
                  <c:v>2443754.3444400001</c:v>
                </c:pt>
                <c:pt idx="289">
                  <c:v>2443777.4410000001</c:v>
                </c:pt>
                <c:pt idx="290">
                  <c:v>2443791.8363600001</c:v>
                </c:pt>
                <c:pt idx="291">
                  <c:v>2443809.5356399999</c:v>
                </c:pt>
                <c:pt idx="292">
                  <c:v>2443825.5249999999</c:v>
                </c:pt>
                <c:pt idx="293">
                  <c:v>2443854.4</c:v>
                </c:pt>
                <c:pt idx="294">
                  <c:v>2443877.1</c:v>
                </c:pt>
                <c:pt idx="295">
                  <c:v>2443954.9</c:v>
                </c:pt>
                <c:pt idx="296">
                  <c:v>2443988.7333300002</c:v>
                </c:pt>
                <c:pt idx="297">
                  <c:v>2444003.9500000002</c:v>
                </c:pt>
                <c:pt idx="298">
                  <c:v>2444017.6888899999</c:v>
                </c:pt>
                <c:pt idx="299">
                  <c:v>2444038.8311999999</c:v>
                </c:pt>
                <c:pt idx="300">
                  <c:v>2444056.9750000001</c:v>
                </c:pt>
                <c:pt idx="301">
                  <c:v>2444076.5750000002</c:v>
                </c:pt>
                <c:pt idx="302">
                  <c:v>2444087.52</c:v>
                </c:pt>
                <c:pt idx="303">
                  <c:v>2444102.3281700001</c:v>
                </c:pt>
                <c:pt idx="304">
                  <c:v>2444120.5636399998</c:v>
                </c:pt>
                <c:pt idx="305">
                  <c:v>2444135.4571400001</c:v>
                </c:pt>
                <c:pt idx="306">
                  <c:v>2444149.4857100002</c:v>
                </c:pt>
                <c:pt idx="307">
                  <c:v>2444166.1595000001</c:v>
                </c:pt>
                <c:pt idx="308">
                  <c:v>2444183.2000000002</c:v>
                </c:pt>
                <c:pt idx="309">
                  <c:v>2444196.6005000002</c:v>
                </c:pt>
                <c:pt idx="310">
                  <c:v>2444212.9925600002</c:v>
                </c:pt>
                <c:pt idx="311">
                  <c:v>2444235.9</c:v>
                </c:pt>
                <c:pt idx="312">
                  <c:v>2444313.9</c:v>
                </c:pt>
                <c:pt idx="313">
                  <c:v>2444371.875</c:v>
                </c:pt>
                <c:pt idx="314">
                  <c:v>2444392.64</c:v>
                </c:pt>
                <c:pt idx="315">
                  <c:v>2444407.85</c:v>
                </c:pt>
                <c:pt idx="316">
                  <c:v>2444425.7476499998</c:v>
                </c:pt>
                <c:pt idx="317">
                  <c:v>2444439.5277800001</c:v>
                </c:pt>
                <c:pt idx="318">
                  <c:v>2444454.0586199998</c:v>
                </c:pt>
                <c:pt idx="319">
                  <c:v>2444470.82375</c:v>
                </c:pt>
                <c:pt idx="320">
                  <c:v>2444486.46276</c:v>
                </c:pt>
                <c:pt idx="321">
                  <c:v>2444501.2733300002</c:v>
                </c:pt>
                <c:pt idx="322">
                  <c:v>2444517.1636399999</c:v>
                </c:pt>
                <c:pt idx="323">
                  <c:v>2444530.9029399999</c:v>
                </c:pt>
                <c:pt idx="324">
                  <c:v>2444551.0416700002</c:v>
                </c:pt>
                <c:pt idx="325">
                  <c:v>2444565.2200000002</c:v>
                </c:pt>
                <c:pt idx="326">
                  <c:v>2444580.6</c:v>
                </c:pt>
                <c:pt idx="327">
                  <c:v>2444606.0720000002</c:v>
                </c:pt>
                <c:pt idx="328">
                  <c:v>2444628.9</c:v>
                </c:pt>
                <c:pt idx="329">
                  <c:v>2444725.4</c:v>
                </c:pt>
                <c:pt idx="330">
                  <c:v>2444755.4</c:v>
                </c:pt>
                <c:pt idx="331">
                  <c:v>2444766.35</c:v>
                </c:pt>
                <c:pt idx="332">
                  <c:v>2444784.6857099999</c:v>
                </c:pt>
                <c:pt idx="333">
                  <c:v>2444799.4807099998</c:v>
                </c:pt>
                <c:pt idx="334">
                  <c:v>2444814.0305900001</c:v>
                </c:pt>
                <c:pt idx="335">
                  <c:v>2444831.4916699999</c:v>
                </c:pt>
                <c:pt idx="336">
                  <c:v>2444843.2250000001</c:v>
                </c:pt>
                <c:pt idx="337">
                  <c:v>2444861.1</c:v>
                </c:pt>
                <c:pt idx="338">
                  <c:v>2444877.7957100002</c:v>
                </c:pt>
                <c:pt idx="339">
                  <c:v>2444900.5589999999</c:v>
                </c:pt>
                <c:pt idx="340">
                  <c:v>2444918.7124999999</c:v>
                </c:pt>
                <c:pt idx="341">
                  <c:v>2444936.9072199999</c:v>
                </c:pt>
                <c:pt idx="342">
                  <c:v>2444953.6749999998</c:v>
                </c:pt>
                <c:pt idx="343">
                  <c:v>2444996.9</c:v>
                </c:pt>
                <c:pt idx="344">
                  <c:v>2445032.9</c:v>
                </c:pt>
                <c:pt idx="345">
                  <c:v>2445110.6</c:v>
                </c:pt>
                <c:pt idx="346">
                  <c:v>2445135.1749999998</c:v>
                </c:pt>
                <c:pt idx="347">
                  <c:v>2445151.66</c:v>
                </c:pt>
                <c:pt idx="348">
                  <c:v>2445167.1042900002</c:v>
                </c:pt>
                <c:pt idx="349">
                  <c:v>2445180.0076899999</c:v>
                </c:pt>
                <c:pt idx="350">
                  <c:v>2445199.1529999999</c:v>
                </c:pt>
                <c:pt idx="351">
                  <c:v>2445216.7745500002</c:v>
                </c:pt>
                <c:pt idx="352">
                  <c:v>2445230.3453500001</c:v>
                </c:pt>
                <c:pt idx="353">
                  <c:v>2445245.4191700001</c:v>
                </c:pt>
                <c:pt idx="354">
                  <c:v>2445262.4096400002</c:v>
                </c:pt>
                <c:pt idx="355">
                  <c:v>2445283.0699999998</c:v>
                </c:pt>
                <c:pt idx="356">
                  <c:v>2445295.7454499998</c:v>
                </c:pt>
                <c:pt idx="357">
                  <c:v>2445316.0469999998</c:v>
                </c:pt>
                <c:pt idx="358">
                  <c:v>2445340.4033300001</c:v>
                </c:pt>
                <c:pt idx="359">
                  <c:v>2445409.9</c:v>
                </c:pt>
                <c:pt idx="360">
                  <c:v>2445437.9</c:v>
                </c:pt>
                <c:pt idx="361">
                  <c:v>2445464.7250000001</c:v>
                </c:pt>
                <c:pt idx="362">
                  <c:v>2445477.98</c:v>
                </c:pt>
                <c:pt idx="363">
                  <c:v>2445496.9192300001</c:v>
                </c:pt>
                <c:pt idx="364">
                  <c:v>2445514.2327000001</c:v>
                </c:pt>
                <c:pt idx="365">
                  <c:v>2445527.4165699999</c:v>
                </c:pt>
                <c:pt idx="366">
                  <c:v>2445544.1293500001</c:v>
                </c:pt>
                <c:pt idx="367">
                  <c:v>2445560.8088099998</c:v>
                </c:pt>
                <c:pt idx="368">
                  <c:v>2445577.4770999998</c:v>
                </c:pt>
                <c:pt idx="369">
                  <c:v>2445589.7027099999</c:v>
                </c:pt>
                <c:pt idx="370">
                  <c:v>2445607.2399300002</c:v>
                </c:pt>
                <c:pt idx="371">
                  <c:v>2445619.4510499998</c:v>
                </c:pt>
                <c:pt idx="372">
                  <c:v>2445637.2003899999</c:v>
                </c:pt>
                <c:pt idx="373">
                  <c:v>2445653.5345000001</c:v>
                </c:pt>
                <c:pt idx="374">
                  <c:v>2445667.71227</c:v>
                </c:pt>
                <c:pt idx="375">
                  <c:v>2445682.1940000001</c:v>
                </c:pt>
                <c:pt idx="376">
                  <c:v>2445702.0685999999</c:v>
                </c:pt>
                <c:pt idx="377">
                  <c:v>2445753.9</c:v>
                </c:pt>
                <c:pt idx="378">
                  <c:v>2445788.5589999999</c:v>
                </c:pt>
                <c:pt idx="379">
                  <c:v>2445821.6888000001</c:v>
                </c:pt>
                <c:pt idx="380">
                  <c:v>2445841.0687099998</c:v>
                </c:pt>
                <c:pt idx="381">
                  <c:v>2445853.38857</c:v>
                </c:pt>
                <c:pt idx="382">
                  <c:v>2445870.1034599999</c:v>
                </c:pt>
                <c:pt idx="383">
                  <c:v>2445882.6743899998</c:v>
                </c:pt>
                <c:pt idx="384">
                  <c:v>2445899.3261899999</c:v>
                </c:pt>
                <c:pt idx="385">
                  <c:v>2445914.1523500001</c:v>
                </c:pt>
                <c:pt idx="386">
                  <c:v>2445930.6296199998</c:v>
                </c:pt>
                <c:pt idx="387">
                  <c:v>2445943.6708900002</c:v>
                </c:pt>
                <c:pt idx="388">
                  <c:v>2445960.4396799998</c:v>
                </c:pt>
                <c:pt idx="389">
                  <c:v>2445975.3950999998</c:v>
                </c:pt>
                <c:pt idx="390">
                  <c:v>2445990.4882100001</c:v>
                </c:pt>
                <c:pt idx="391">
                  <c:v>2446005.73019</c:v>
                </c:pt>
                <c:pt idx="392">
                  <c:v>2446023.1077399999</c:v>
                </c:pt>
                <c:pt idx="393">
                  <c:v>2446037.3500799998</c:v>
                </c:pt>
                <c:pt idx="394">
                  <c:v>2446055.0675599999</c:v>
                </c:pt>
                <c:pt idx="395">
                  <c:v>2446088</c:v>
                </c:pt>
                <c:pt idx="396">
                  <c:v>2446104.9500000002</c:v>
                </c:pt>
                <c:pt idx="397">
                  <c:v>2446117.7544999998</c:v>
                </c:pt>
                <c:pt idx="398">
                  <c:v>2446137.2662499999</c:v>
                </c:pt>
                <c:pt idx="399">
                  <c:v>2446153.5184300002</c:v>
                </c:pt>
                <c:pt idx="400">
                  <c:v>2446170.0095500001</c:v>
                </c:pt>
                <c:pt idx="401">
                  <c:v>2446180.6124999998</c:v>
                </c:pt>
                <c:pt idx="402">
                  <c:v>2446199.68707</c:v>
                </c:pt>
                <c:pt idx="403">
                  <c:v>2446214.9213700001</c:v>
                </c:pt>
                <c:pt idx="404">
                  <c:v>2446229.0318499999</c:v>
                </c:pt>
                <c:pt idx="405">
                  <c:v>2446243.8641900001</c:v>
                </c:pt>
                <c:pt idx="406">
                  <c:v>2446259.3394599999</c:v>
                </c:pt>
                <c:pt idx="407">
                  <c:v>2446274.4361299998</c:v>
                </c:pt>
                <c:pt idx="408">
                  <c:v>2446290.1643500002</c:v>
                </c:pt>
                <c:pt idx="409">
                  <c:v>2446303.4449</c:v>
                </c:pt>
                <c:pt idx="410">
                  <c:v>2446319.96478</c:v>
                </c:pt>
                <c:pt idx="411">
                  <c:v>2446336.8761900002</c:v>
                </c:pt>
                <c:pt idx="412">
                  <c:v>2446350.4135099999</c:v>
                </c:pt>
                <c:pt idx="413">
                  <c:v>2446364.5932399998</c:v>
                </c:pt>
                <c:pt idx="414">
                  <c:v>2446382.8105199998</c:v>
                </c:pt>
                <c:pt idx="415">
                  <c:v>2446403.2837999999</c:v>
                </c:pt>
                <c:pt idx="416">
                  <c:v>2446420.6833299999</c:v>
                </c:pt>
                <c:pt idx="417">
                  <c:v>2446435.59</c:v>
                </c:pt>
                <c:pt idx="418">
                  <c:v>2446509.4649999999</c:v>
                </c:pt>
                <c:pt idx="419">
                  <c:v>2446523.7659999998</c:v>
                </c:pt>
                <c:pt idx="420">
                  <c:v>2446539.54</c:v>
                </c:pt>
                <c:pt idx="421">
                  <c:v>2446560.6981799998</c:v>
                </c:pt>
                <c:pt idx="422">
                  <c:v>2446583.2021699999</c:v>
                </c:pt>
                <c:pt idx="423">
                  <c:v>2446594.27287</c:v>
                </c:pt>
                <c:pt idx="424">
                  <c:v>2446613.4698100002</c:v>
                </c:pt>
                <c:pt idx="425">
                  <c:v>2446625.8002499999</c:v>
                </c:pt>
                <c:pt idx="426">
                  <c:v>2446642.7724899999</c:v>
                </c:pt>
                <c:pt idx="427">
                  <c:v>2446656.9840500001</c:v>
                </c:pt>
                <c:pt idx="428">
                  <c:v>2446674.6663799998</c:v>
                </c:pt>
                <c:pt idx="429">
                  <c:v>2446687.8045800002</c:v>
                </c:pt>
                <c:pt idx="430">
                  <c:v>2446705.21777</c:v>
                </c:pt>
                <c:pt idx="431">
                  <c:v>2446717.5603</c:v>
                </c:pt>
                <c:pt idx="432">
                  <c:v>2446733.9328200002</c:v>
                </c:pt>
                <c:pt idx="433">
                  <c:v>2446748.2735100002</c:v>
                </c:pt>
                <c:pt idx="434">
                  <c:v>2446766.2649900001</c:v>
                </c:pt>
                <c:pt idx="435">
                  <c:v>2446784.7000000002</c:v>
                </c:pt>
                <c:pt idx="436">
                  <c:v>2446797.2012499999</c:v>
                </c:pt>
                <c:pt idx="437">
                  <c:v>2446827.2000000002</c:v>
                </c:pt>
                <c:pt idx="438">
                  <c:v>2446851.1</c:v>
                </c:pt>
                <c:pt idx="439">
                  <c:v>2446870.7452500002</c:v>
                </c:pt>
                <c:pt idx="440">
                  <c:v>2446888.6</c:v>
                </c:pt>
                <c:pt idx="441">
                  <c:v>2446908.2813300001</c:v>
                </c:pt>
                <c:pt idx="442">
                  <c:v>2446918.85182</c:v>
                </c:pt>
                <c:pt idx="443">
                  <c:v>2446938.7370000002</c:v>
                </c:pt>
                <c:pt idx="444">
                  <c:v>2446949.97138</c:v>
                </c:pt>
                <c:pt idx="445">
                  <c:v>2446966.98863</c:v>
                </c:pt>
                <c:pt idx="446">
                  <c:v>2446981.4875599998</c:v>
                </c:pt>
                <c:pt idx="447">
                  <c:v>2446996.57436</c:v>
                </c:pt>
                <c:pt idx="448">
                  <c:v>2447010.4352799999</c:v>
                </c:pt>
                <c:pt idx="449">
                  <c:v>2447027.4704999998</c:v>
                </c:pt>
                <c:pt idx="450">
                  <c:v>2447042.6860000002</c:v>
                </c:pt>
                <c:pt idx="451">
                  <c:v>2447058.55339</c:v>
                </c:pt>
                <c:pt idx="452">
                  <c:v>2447072.4945800002</c:v>
                </c:pt>
                <c:pt idx="453">
                  <c:v>2447087.00685</c:v>
                </c:pt>
                <c:pt idx="454">
                  <c:v>2447103.9004899999</c:v>
                </c:pt>
                <c:pt idx="455">
                  <c:v>2447118.6408000002</c:v>
                </c:pt>
                <c:pt idx="456">
                  <c:v>2447137.2074199999</c:v>
                </c:pt>
                <c:pt idx="457">
                  <c:v>2447152.1038799998</c:v>
                </c:pt>
                <c:pt idx="458">
                  <c:v>2447166.165</c:v>
                </c:pt>
                <c:pt idx="459">
                  <c:v>2447184.6</c:v>
                </c:pt>
                <c:pt idx="460">
                  <c:v>2447208.8034999999</c:v>
                </c:pt>
                <c:pt idx="461">
                  <c:v>2447220.3985700002</c:v>
                </c:pt>
                <c:pt idx="462">
                  <c:v>2447237.82064</c:v>
                </c:pt>
                <c:pt idx="463">
                  <c:v>2447258.6274999999</c:v>
                </c:pt>
                <c:pt idx="464">
                  <c:v>2447272.7388900002</c:v>
                </c:pt>
                <c:pt idx="465">
                  <c:v>2447293.35152</c:v>
                </c:pt>
                <c:pt idx="466">
                  <c:v>2447304.9302300001</c:v>
                </c:pt>
                <c:pt idx="467">
                  <c:v>2447323.4276100001</c:v>
                </c:pt>
                <c:pt idx="468">
                  <c:v>2447337.55112</c:v>
                </c:pt>
                <c:pt idx="469">
                  <c:v>2447352.9955000002</c:v>
                </c:pt>
                <c:pt idx="470">
                  <c:v>2447368.4049900002</c:v>
                </c:pt>
                <c:pt idx="471">
                  <c:v>2447383.3544999999</c:v>
                </c:pt>
                <c:pt idx="472">
                  <c:v>2447397.6494700001</c:v>
                </c:pt>
                <c:pt idx="473">
                  <c:v>2447412.9724300001</c:v>
                </c:pt>
                <c:pt idx="474">
                  <c:v>2447429.4274800001</c:v>
                </c:pt>
                <c:pt idx="475">
                  <c:v>2447443.8447400001</c:v>
                </c:pt>
                <c:pt idx="476">
                  <c:v>2447463.1055200002</c:v>
                </c:pt>
                <c:pt idx="477">
                  <c:v>2447475.4399899999</c:v>
                </c:pt>
                <c:pt idx="478">
                  <c:v>2447491.9174299999</c:v>
                </c:pt>
                <c:pt idx="479">
                  <c:v>2447507.9922699998</c:v>
                </c:pt>
                <c:pt idx="480">
                  <c:v>2447527.1397099998</c:v>
                </c:pt>
                <c:pt idx="481">
                  <c:v>2447541.8833300001</c:v>
                </c:pt>
                <c:pt idx="482">
                  <c:v>2447592.7000000002</c:v>
                </c:pt>
                <c:pt idx="483">
                  <c:v>2447619.2000000002</c:v>
                </c:pt>
                <c:pt idx="484">
                  <c:v>2447635.7209999999</c:v>
                </c:pt>
                <c:pt idx="485">
                  <c:v>2447651.5382699999</c:v>
                </c:pt>
                <c:pt idx="486">
                  <c:v>2447671.0123700001</c:v>
                </c:pt>
                <c:pt idx="487">
                  <c:v>2447687.9500600002</c:v>
                </c:pt>
                <c:pt idx="488">
                  <c:v>2447702.2634100001</c:v>
                </c:pt>
                <c:pt idx="489">
                  <c:v>2447715.8510199999</c:v>
                </c:pt>
                <c:pt idx="490">
                  <c:v>2447732.79183</c:v>
                </c:pt>
                <c:pt idx="491">
                  <c:v>2447747.7379299998</c:v>
                </c:pt>
                <c:pt idx="492">
                  <c:v>2447763.3860499999</c:v>
                </c:pt>
                <c:pt idx="493">
                  <c:v>2447777.6171800001</c:v>
                </c:pt>
                <c:pt idx="494">
                  <c:v>2447794.7551199999</c:v>
                </c:pt>
                <c:pt idx="495">
                  <c:v>2447808.61148</c:v>
                </c:pt>
                <c:pt idx="496">
                  <c:v>2447824.61992</c:v>
                </c:pt>
                <c:pt idx="497">
                  <c:v>2447841.2370600002</c:v>
                </c:pt>
                <c:pt idx="498">
                  <c:v>2447855.6816500002</c:v>
                </c:pt>
                <c:pt idx="499">
                  <c:v>2447870.895</c:v>
                </c:pt>
                <c:pt idx="500">
                  <c:v>2447887.298</c:v>
                </c:pt>
                <c:pt idx="501">
                  <c:v>2447899.8360000001</c:v>
                </c:pt>
                <c:pt idx="502">
                  <c:v>2447925.7267999998</c:v>
                </c:pt>
                <c:pt idx="503">
                  <c:v>2447951.71514</c:v>
                </c:pt>
                <c:pt idx="504">
                  <c:v>2447966.64</c:v>
                </c:pt>
                <c:pt idx="505">
                  <c:v>2447982.21</c:v>
                </c:pt>
                <c:pt idx="506">
                  <c:v>2447998.1775000002</c:v>
                </c:pt>
                <c:pt idx="507">
                  <c:v>2448014.2447600001</c:v>
                </c:pt>
                <c:pt idx="508">
                  <c:v>2448031.80595</c:v>
                </c:pt>
                <c:pt idx="509">
                  <c:v>2448043.7050999999</c:v>
                </c:pt>
                <c:pt idx="510">
                  <c:v>2448062.9652100001</c:v>
                </c:pt>
                <c:pt idx="511">
                  <c:v>2448076.6603600001</c:v>
                </c:pt>
                <c:pt idx="512">
                  <c:v>2448092.9058400001</c:v>
                </c:pt>
                <c:pt idx="513">
                  <c:v>2448106.5211</c:v>
                </c:pt>
                <c:pt idx="514">
                  <c:v>2448123.9861300001</c:v>
                </c:pt>
                <c:pt idx="515">
                  <c:v>2448137.6769599998</c:v>
                </c:pt>
                <c:pt idx="516">
                  <c:v>2448153.2678899998</c:v>
                </c:pt>
                <c:pt idx="517">
                  <c:v>2448170.1804800001</c:v>
                </c:pt>
                <c:pt idx="518">
                  <c:v>2448184.8725899998</c:v>
                </c:pt>
                <c:pt idx="519">
                  <c:v>2448201.5205199998</c:v>
                </c:pt>
                <c:pt idx="520">
                  <c:v>2448214.17508</c:v>
                </c:pt>
                <c:pt idx="521">
                  <c:v>2448230.6382200001</c:v>
                </c:pt>
                <c:pt idx="522">
                  <c:v>2448244.52936</c:v>
                </c:pt>
                <c:pt idx="523">
                  <c:v>2448261.2957100002</c:v>
                </c:pt>
                <c:pt idx="524">
                  <c:v>2448276.54</c:v>
                </c:pt>
                <c:pt idx="525">
                  <c:v>2448309.12</c:v>
                </c:pt>
                <c:pt idx="526">
                  <c:v>2448329.2250000001</c:v>
                </c:pt>
                <c:pt idx="527">
                  <c:v>2448345.0942899999</c:v>
                </c:pt>
                <c:pt idx="528">
                  <c:v>2448359.7024699999</c:v>
                </c:pt>
                <c:pt idx="529">
                  <c:v>2448379.355</c:v>
                </c:pt>
                <c:pt idx="530">
                  <c:v>2448391.9884199998</c:v>
                </c:pt>
                <c:pt idx="531">
                  <c:v>2448407.5888100001</c:v>
                </c:pt>
                <c:pt idx="532">
                  <c:v>2448422.8583800001</c:v>
                </c:pt>
                <c:pt idx="533">
                  <c:v>2448439.3848899999</c:v>
                </c:pt>
                <c:pt idx="534">
                  <c:v>2448452.9508500001</c:v>
                </c:pt>
                <c:pt idx="535">
                  <c:v>2448469.1327599999</c:v>
                </c:pt>
                <c:pt idx="536">
                  <c:v>2448482.9441900002</c:v>
                </c:pt>
                <c:pt idx="537">
                  <c:v>2448500.0471700002</c:v>
                </c:pt>
                <c:pt idx="538">
                  <c:v>2448513.0290799998</c:v>
                </c:pt>
                <c:pt idx="539">
                  <c:v>2448531.2960600001</c:v>
                </c:pt>
                <c:pt idx="540">
                  <c:v>2448543.7263400001</c:v>
                </c:pt>
                <c:pt idx="541">
                  <c:v>2448558.62586</c:v>
                </c:pt>
                <c:pt idx="542">
                  <c:v>2448573.8362199999</c:v>
                </c:pt>
                <c:pt idx="543">
                  <c:v>2448591.6150600002</c:v>
                </c:pt>
                <c:pt idx="544">
                  <c:v>2448604.5782699999</c:v>
                </c:pt>
                <c:pt idx="545">
                  <c:v>2448620.01333</c:v>
                </c:pt>
                <c:pt idx="546">
                  <c:v>2448637.1</c:v>
                </c:pt>
                <c:pt idx="547">
                  <c:v>2448657.27</c:v>
                </c:pt>
                <c:pt idx="548">
                  <c:v>2448687.7742900001</c:v>
                </c:pt>
                <c:pt idx="549">
                  <c:v>2448709.6033299998</c:v>
                </c:pt>
                <c:pt idx="550">
                  <c:v>2448721.2377999998</c:v>
                </c:pt>
                <c:pt idx="551">
                  <c:v>2448739.9575</c:v>
                </c:pt>
                <c:pt idx="552">
                  <c:v>2448753.33103</c:v>
                </c:pt>
                <c:pt idx="553">
                  <c:v>2448767.49382</c:v>
                </c:pt>
                <c:pt idx="554">
                  <c:v>2448785.0200800002</c:v>
                </c:pt>
                <c:pt idx="555">
                  <c:v>2448801.41664</c:v>
                </c:pt>
                <c:pt idx="556">
                  <c:v>2448815.8348500002</c:v>
                </c:pt>
                <c:pt idx="557">
                  <c:v>2448831.4000200001</c:v>
                </c:pt>
                <c:pt idx="558">
                  <c:v>2448846.1142000002</c:v>
                </c:pt>
                <c:pt idx="559">
                  <c:v>2448861.8166299998</c:v>
                </c:pt>
                <c:pt idx="560">
                  <c:v>2448876.8989300001</c:v>
                </c:pt>
                <c:pt idx="561">
                  <c:v>2448891.72848</c:v>
                </c:pt>
                <c:pt idx="562">
                  <c:v>2448907.7601200002</c:v>
                </c:pt>
                <c:pt idx="563">
                  <c:v>2448921.7156000002</c:v>
                </c:pt>
                <c:pt idx="564">
                  <c:v>2448937.40546</c:v>
                </c:pt>
                <c:pt idx="565">
                  <c:v>2448952.4619</c:v>
                </c:pt>
                <c:pt idx="566">
                  <c:v>2448967.8052300001</c:v>
                </c:pt>
                <c:pt idx="567">
                  <c:v>2448982.5998999998</c:v>
                </c:pt>
                <c:pt idx="568">
                  <c:v>2448999.0837500002</c:v>
                </c:pt>
                <c:pt idx="569">
                  <c:v>2449022.67</c:v>
                </c:pt>
                <c:pt idx="570">
                  <c:v>2449041.1025</c:v>
                </c:pt>
                <c:pt idx="571">
                  <c:v>2449066.9759999998</c:v>
                </c:pt>
                <c:pt idx="572">
                  <c:v>2449074.10109</c:v>
                </c:pt>
                <c:pt idx="573">
                  <c:v>2449094.6640599999</c:v>
                </c:pt>
                <c:pt idx="574">
                  <c:v>2449108.8076499999</c:v>
                </c:pt>
                <c:pt idx="575">
                  <c:v>2449124.3794800001</c:v>
                </c:pt>
                <c:pt idx="576">
                  <c:v>2449139.1737500001</c:v>
                </c:pt>
                <c:pt idx="577">
                  <c:v>2449154.7534699999</c:v>
                </c:pt>
                <c:pt idx="578">
                  <c:v>2449169.1730499999</c:v>
                </c:pt>
                <c:pt idx="579">
                  <c:v>2449183.5382099999</c:v>
                </c:pt>
                <c:pt idx="580">
                  <c:v>2449199.2670300002</c:v>
                </c:pt>
                <c:pt idx="581">
                  <c:v>2449214.72187</c:v>
                </c:pt>
                <c:pt idx="582">
                  <c:v>2449229.19631</c:v>
                </c:pt>
                <c:pt idx="583">
                  <c:v>2449246.1031499999</c:v>
                </c:pt>
                <c:pt idx="584">
                  <c:v>2449260.2609000001</c:v>
                </c:pt>
                <c:pt idx="585">
                  <c:v>2449275.3140699998</c:v>
                </c:pt>
                <c:pt idx="586">
                  <c:v>2449289.6235500001</c:v>
                </c:pt>
                <c:pt idx="587">
                  <c:v>2449305.9723</c:v>
                </c:pt>
                <c:pt idx="588">
                  <c:v>2449323.3176000002</c:v>
                </c:pt>
                <c:pt idx="589">
                  <c:v>2449335.0209499998</c:v>
                </c:pt>
                <c:pt idx="590">
                  <c:v>2449353.5645699999</c:v>
                </c:pt>
                <c:pt idx="591">
                  <c:v>2449366.1355699999</c:v>
                </c:pt>
                <c:pt idx="592">
                  <c:v>2449403.9923299998</c:v>
                </c:pt>
                <c:pt idx="593">
                  <c:v>2449423.43829</c:v>
                </c:pt>
                <c:pt idx="594">
                  <c:v>2449442.2430400001</c:v>
                </c:pt>
                <c:pt idx="595">
                  <c:v>2449458.3273399998</c:v>
                </c:pt>
                <c:pt idx="596">
                  <c:v>2449477.3786300002</c:v>
                </c:pt>
                <c:pt idx="597">
                  <c:v>2449489.5487700002</c:v>
                </c:pt>
                <c:pt idx="598">
                  <c:v>2449506.2720699999</c:v>
                </c:pt>
                <c:pt idx="599">
                  <c:v>2449520.5407400001</c:v>
                </c:pt>
                <c:pt idx="600">
                  <c:v>2449537.2823999999</c:v>
                </c:pt>
                <c:pt idx="601">
                  <c:v>2449550.1889499999</c:v>
                </c:pt>
                <c:pt idx="602">
                  <c:v>2449568.2091199998</c:v>
                </c:pt>
                <c:pt idx="603">
                  <c:v>2449581.5734199998</c:v>
                </c:pt>
                <c:pt idx="604">
                  <c:v>2449597.4220500002</c:v>
                </c:pt>
                <c:pt idx="605">
                  <c:v>2449611.6101099998</c:v>
                </c:pt>
                <c:pt idx="606">
                  <c:v>2449627.9996799999</c:v>
                </c:pt>
                <c:pt idx="607">
                  <c:v>2449641.7134699998</c:v>
                </c:pt>
                <c:pt idx="608">
                  <c:v>2449658.2770099998</c:v>
                </c:pt>
                <c:pt idx="609">
                  <c:v>2449675.23349</c:v>
                </c:pt>
                <c:pt idx="610">
                  <c:v>2449688.7028800002</c:v>
                </c:pt>
                <c:pt idx="611">
                  <c:v>2449705.5414100001</c:v>
                </c:pt>
                <c:pt idx="612">
                  <c:v>2449719.8467000001</c:v>
                </c:pt>
                <c:pt idx="613">
                  <c:v>2449734.3836300001</c:v>
                </c:pt>
                <c:pt idx="614">
                  <c:v>2449755.2498400002</c:v>
                </c:pt>
                <c:pt idx="615">
                  <c:v>2449781.5951899998</c:v>
                </c:pt>
                <c:pt idx="616">
                  <c:v>2449794.2104000002</c:v>
                </c:pt>
                <c:pt idx="617">
                  <c:v>2449810.7296099998</c:v>
                </c:pt>
                <c:pt idx="618">
                  <c:v>2449828.66836</c:v>
                </c:pt>
                <c:pt idx="619">
                  <c:v>2449842.0703500002</c:v>
                </c:pt>
                <c:pt idx="620">
                  <c:v>2449861.2294899998</c:v>
                </c:pt>
                <c:pt idx="621">
                  <c:v>2449873.1842800002</c:v>
                </c:pt>
                <c:pt idx="622">
                  <c:v>2449891.6461200002</c:v>
                </c:pt>
                <c:pt idx="623">
                  <c:v>2449903.7082000002</c:v>
                </c:pt>
                <c:pt idx="624">
                  <c:v>2449922.2680700002</c:v>
                </c:pt>
                <c:pt idx="625">
                  <c:v>2449934.7821300002</c:v>
                </c:pt>
                <c:pt idx="626">
                  <c:v>2449952.2740099998</c:v>
                </c:pt>
                <c:pt idx="627">
                  <c:v>2449967.2522</c:v>
                </c:pt>
                <c:pt idx="628">
                  <c:v>2449984.6475800001</c:v>
                </c:pt>
                <c:pt idx="629">
                  <c:v>2449998.80235</c:v>
                </c:pt>
                <c:pt idx="630">
                  <c:v>2450013.7301099999</c:v>
                </c:pt>
                <c:pt idx="631">
                  <c:v>2450030.31904</c:v>
                </c:pt>
                <c:pt idx="632">
                  <c:v>2450042.4405700001</c:v>
                </c:pt>
                <c:pt idx="633">
                  <c:v>2450059.8766800002</c:v>
                </c:pt>
                <c:pt idx="634">
                  <c:v>2450075.5992000001</c:v>
                </c:pt>
                <c:pt idx="635">
                  <c:v>2450093.63191</c:v>
                </c:pt>
                <c:pt idx="636">
                  <c:v>2450111.59405</c:v>
                </c:pt>
                <c:pt idx="637">
                  <c:v>2450136.6825999999</c:v>
                </c:pt>
                <c:pt idx="638">
                  <c:v>2450144.31702</c:v>
                </c:pt>
                <c:pt idx="639">
                  <c:v>2450165.1483999998</c:v>
                </c:pt>
                <c:pt idx="640">
                  <c:v>2450180.9914799999</c:v>
                </c:pt>
                <c:pt idx="641">
                  <c:v>2450194.5129200001</c:v>
                </c:pt>
                <c:pt idx="642">
                  <c:v>2450213.6255800002</c:v>
                </c:pt>
                <c:pt idx="643">
                  <c:v>2450229.09326</c:v>
                </c:pt>
                <c:pt idx="644">
                  <c:v>2450245.8015800002</c:v>
                </c:pt>
                <c:pt idx="645">
                  <c:v>2450259.0166500001</c:v>
                </c:pt>
                <c:pt idx="646">
                  <c:v>2450274.9704900002</c:v>
                </c:pt>
                <c:pt idx="647">
                  <c:v>2450287.8790099998</c:v>
                </c:pt>
                <c:pt idx="648">
                  <c:v>2450304.0965499999</c:v>
                </c:pt>
                <c:pt idx="649">
                  <c:v>2450318.1716700001</c:v>
                </c:pt>
                <c:pt idx="650">
                  <c:v>2450336.8813399998</c:v>
                </c:pt>
                <c:pt idx="651">
                  <c:v>2450349.8284100001</c:v>
                </c:pt>
                <c:pt idx="652">
                  <c:v>2450365.3357899999</c:v>
                </c:pt>
                <c:pt idx="653">
                  <c:v>2450379.3563700002</c:v>
                </c:pt>
                <c:pt idx="654">
                  <c:v>2450397.3876800002</c:v>
                </c:pt>
                <c:pt idx="655">
                  <c:v>2450411.0213000001</c:v>
                </c:pt>
                <c:pt idx="656">
                  <c:v>2450427.1245300001</c:v>
                </c:pt>
                <c:pt idx="657">
                  <c:v>2450443.4482300002</c:v>
                </c:pt>
                <c:pt idx="658">
                  <c:v>2450459.66335</c:v>
                </c:pt>
                <c:pt idx="659">
                  <c:v>2450479.5314600002</c:v>
                </c:pt>
                <c:pt idx="660">
                  <c:v>2450491.3386599999</c:v>
                </c:pt>
                <c:pt idx="661">
                  <c:v>2450512.4504800001</c:v>
                </c:pt>
                <c:pt idx="662">
                  <c:v>2450528.4056699998</c:v>
                </c:pt>
                <c:pt idx="663">
                  <c:v>2450546.71</c:v>
                </c:pt>
                <c:pt idx="664">
                  <c:v>2450566.0510300002</c:v>
                </c:pt>
                <c:pt idx="665">
                  <c:v>2450577.5242300001</c:v>
                </c:pt>
                <c:pt idx="666">
                  <c:v>2450595.59008</c:v>
                </c:pt>
                <c:pt idx="667">
                  <c:v>2450609.65044</c:v>
                </c:pt>
                <c:pt idx="668">
                  <c:v>2450628.4465899998</c:v>
                </c:pt>
                <c:pt idx="669">
                  <c:v>2450641.4442199999</c:v>
                </c:pt>
                <c:pt idx="670">
                  <c:v>2450658.5336099998</c:v>
                </c:pt>
                <c:pt idx="671">
                  <c:v>2450672.5668500001</c:v>
                </c:pt>
                <c:pt idx="672">
                  <c:v>2450688.8569100001</c:v>
                </c:pt>
                <c:pt idx="673">
                  <c:v>2450702.2834800002</c:v>
                </c:pt>
                <c:pt idx="674">
                  <c:v>2450718.1326799998</c:v>
                </c:pt>
                <c:pt idx="675">
                  <c:v>2450732.3862299998</c:v>
                </c:pt>
                <c:pt idx="676">
                  <c:v>2450749.0444899998</c:v>
                </c:pt>
                <c:pt idx="677">
                  <c:v>2450766.8348500002</c:v>
                </c:pt>
                <c:pt idx="678">
                  <c:v>2450781.0749900001</c:v>
                </c:pt>
                <c:pt idx="679">
                  <c:v>2450796.9660800002</c:v>
                </c:pt>
                <c:pt idx="680">
                  <c:v>2450818.60409</c:v>
                </c:pt>
                <c:pt idx="681">
                  <c:v>2450840.5273799999</c:v>
                </c:pt>
                <c:pt idx="682">
                  <c:v>2450866.7069999999</c:v>
                </c:pt>
                <c:pt idx="683">
                  <c:v>2450876.2838300001</c:v>
                </c:pt>
                <c:pt idx="684">
                  <c:v>2450899.47762</c:v>
                </c:pt>
                <c:pt idx="685">
                  <c:v>2450915.2410200001</c:v>
                </c:pt>
                <c:pt idx="686">
                  <c:v>2450932.39751</c:v>
                </c:pt>
                <c:pt idx="687">
                  <c:v>2450949.15038</c:v>
                </c:pt>
                <c:pt idx="688">
                  <c:v>2450962.77311</c:v>
                </c:pt>
                <c:pt idx="689">
                  <c:v>2450978.0894300002</c:v>
                </c:pt>
                <c:pt idx="690">
                  <c:v>2450992.54018</c:v>
                </c:pt>
                <c:pt idx="691">
                  <c:v>2451010.0780000002</c:v>
                </c:pt>
                <c:pt idx="692">
                  <c:v>2451023.5837099999</c:v>
                </c:pt>
                <c:pt idx="693">
                  <c:v>2451039.8220199998</c:v>
                </c:pt>
                <c:pt idx="694">
                  <c:v>2451052.1446500001</c:v>
                </c:pt>
                <c:pt idx="695">
                  <c:v>2451070.2963800002</c:v>
                </c:pt>
                <c:pt idx="696">
                  <c:v>2451082.6543000001</c:v>
                </c:pt>
                <c:pt idx="697">
                  <c:v>2451103.0814499999</c:v>
                </c:pt>
                <c:pt idx="698">
                  <c:v>2451117.2071400001</c:v>
                </c:pt>
                <c:pt idx="699">
                  <c:v>2451133.3561100001</c:v>
                </c:pt>
                <c:pt idx="700">
                  <c:v>2451149.13986</c:v>
                </c:pt>
                <c:pt idx="701">
                  <c:v>2451163.0123200002</c:v>
                </c:pt>
                <c:pt idx="702">
                  <c:v>2451179.4387699999</c:v>
                </c:pt>
                <c:pt idx="703">
                  <c:v>2451196.22743</c:v>
                </c:pt>
                <c:pt idx="704">
                  <c:v>2451220.7340699998</c:v>
                </c:pt>
                <c:pt idx="705">
                  <c:v>2451244.9512299998</c:v>
                </c:pt>
                <c:pt idx="706">
                  <c:v>2451259.1460500001</c:v>
                </c:pt>
                <c:pt idx="707">
                  <c:v>2451278.4495700002</c:v>
                </c:pt>
                <c:pt idx="708">
                  <c:v>2451289.79642</c:v>
                </c:pt>
                <c:pt idx="709">
                  <c:v>2451305.9925600002</c:v>
                </c:pt>
                <c:pt idx="710">
                  <c:v>2451320.6492499998</c:v>
                </c:pt>
                <c:pt idx="711">
                  <c:v>2451338.6484699999</c:v>
                </c:pt>
                <c:pt idx="712">
                  <c:v>2451349.9745700001</c:v>
                </c:pt>
                <c:pt idx="713">
                  <c:v>2451369.7978599998</c:v>
                </c:pt>
                <c:pt idx="714">
                  <c:v>2451382.86815</c:v>
                </c:pt>
                <c:pt idx="715">
                  <c:v>2451398.452</c:v>
                </c:pt>
                <c:pt idx="716">
                  <c:v>2451414.1017</c:v>
                </c:pt>
                <c:pt idx="717">
                  <c:v>2451430.44264</c:v>
                </c:pt>
                <c:pt idx="718">
                  <c:v>2451445.3774999999</c:v>
                </c:pt>
                <c:pt idx="719">
                  <c:v>2451460.6256900001</c:v>
                </c:pt>
                <c:pt idx="720">
                  <c:v>2451474.8737900001</c:v>
                </c:pt>
                <c:pt idx="721">
                  <c:v>2451490.1030799998</c:v>
                </c:pt>
                <c:pt idx="722">
                  <c:v>2451508.5364899999</c:v>
                </c:pt>
                <c:pt idx="723">
                  <c:v>2451520.5547699998</c:v>
                </c:pt>
                <c:pt idx="724">
                  <c:v>2451537.2291199998</c:v>
                </c:pt>
                <c:pt idx="725">
                  <c:v>2451551.9428599998</c:v>
                </c:pt>
                <c:pt idx="726">
                  <c:v>2451580.3969999999</c:v>
                </c:pt>
                <c:pt idx="727">
                  <c:v>2451607.7749999999</c:v>
                </c:pt>
                <c:pt idx="728">
                  <c:v>2451624.1647999999</c:v>
                </c:pt>
                <c:pt idx="729">
                  <c:v>2451637.3338000001</c:v>
                </c:pt>
                <c:pt idx="730">
                  <c:v>2451657.9840000002</c:v>
                </c:pt>
                <c:pt idx="731">
                  <c:v>2451669.9046800002</c:v>
                </c:pt>
                <c:pt idx="732">
                  <c:v>2451688.3400099999</c:v>
                </c:pt>
                <c:pt idx="733">
                  <c:v>2451703.39078</c:v>
                </c:pt>
                <c:pt idx="734">
                  <c:v>2451718.3442099998</c:v>
                </c:pt>
                <c:pt idx="735">
                  <c:v>2451733.9389300002</c:v>
                </c:pt>
                <c:pt idx="736">
                  <c:v>2451749.0812599999</c:v>
                </c:pt>
                <c:pt idx="737">
                  <c:v>2451763.1528500002</c:v>
                </c:pt>
                <c:pt idx="738">
                  <c:v>2451781.0414999998</c:v>
                </c:pt>
                <c:pt idx="739">
                  <c:v>2451794.4839699999</c:v>
                </c:pt>
                <c:pt idx="740">
                  <c:v>2451811.9024800002</c:v>
                </c:pt>
                <c:pt idx="741">
                  <c:v>2451827.81849</c:v>
                </c:pt>
                <c:pt idx="742">
                  <c:v>2451842.8584599998</c:v>
                </c:pt>
                <c:pt idx="743">
                  <c:v>2451859.0734799998</c:v>
                </c:pt>
                <c:pt idx="744">
                  <c:v>2451875.4928899999</c:v>
                </c:pt>
                <c:pt idx="745">
                  <c:v>2451888.4200200001</c:v>
                </c:pt>
                <c:pt idx="746">
                  <c:v>2451907.0313200001</c:v>
                </c:pt>
                <c:pt idx="747">
                  <c:v>2451919.0685800002</c:v>
                </c:pt>
                <c:pt idx="748">
                  <c:v>2451933.1979999999</c:v>
                </c:pt>
                <c:pt idx="749">
                  <c:v>2451959.4197800001</c:v>
                </c:pt>
                <c:pt idx="750">
                  <c:v>2451970.5887699998</c:v>
                </c:pt>
                <c:pt idx="751">
                  <c:v>2451991.5449999999</c:v>
                </c:pt>
                <c:pt idx="752">
                  <c:v>2452009.4294500002</c:v>
                </c:pt>
                <c:pt idx="753">
                  <c:v>2452026.6885799998</c:v>
                </c:pt>
                <c:pt idx="754">
                  <c:v>2452043.8798000002</c:v>
                </c:pt>
                <c:pt idx="755">
                  <c:v>2452054.8543400001</c:v>
                </c:pt>
                <c:pt idx="756">
                  <c:v>2452071.9938400001</c:v>
                </c:pt>
                <c:pt idx="757">
                  <c:v>2452087.5913399998</c:v>
                </c:pt>
                <c:pt idx="758">
                  <c:v>2452106.7036799998</c:v>
                </c:pt>
                <c:pt idx="759">
                  <c:v>2452122.3066699998</c:v>
                </c:pt>
                <c:pt idx="760">
                  <c:v>2452138.3072700002</c:v>
                </c:pt>
                <c:pt idx="761">
                  <c:v>2452153.0452299998</c:v>
                </c:pt>
                <c:pt idx="762">
                  <c:v>2452169.0661800001</c:v>
                </c:pt>
                <c:pt idx="763">
                  <c:v>2452185.2750200001</c:v>
                </c:pt>
                <c:pt idx="764">
                  <c:v>2452199.04054</c:v>
                </c:pt>
                <c:pt idx="765">
                  <c:v>2452215.9877900002</c:v>
                </c:pt>
                <c:pt idx="766">
                  <c:v>2452228.2898200001</c:v>
                </c:pt>
                <c:pt idx="767">
                  <c:v>2452248.4158200002</c:v>
                </c:pt>
                <c:pt idx="768">
                  <c:v>2452261.7988800001</c:v>
                </c:pt>
                <c:pt idx="769">
                  <c:v>2452277.8159400001</c:v>
                </c:pt>
                <c:pt idx="770">
                  <c:v>2452321.4131200002</c:v>
                </c:pt>
                <c:pt idx="771">
                  <c:v>2452344.5667699999</c:v>
                </c:pt>
                <c:pt idx="772">
                  <c:v>2452372.15668</c:v>
                </c:pt>
                <c:pt idx="773">
                  <c:v>2452399.1039999998</c:v>
                </c:pt>
                <c:pt idx="774">
                  <c:v>2452413.3272899999</c:v>
                </c:pt>
                <c:pt idx="775">
                  <c:v>2452431.4128399999</c:v>
                </c:pt>
                <c:pt idx="776">
                  <c:v>2452449.8185399999</c:v>
                </c:pt>
                <c:pt idx="777">
                  <c:v>2452466.5808299999</c:v>
                </c:pt>
                <c:pt idx="778">
                  <c:v>2452481.72542</c:v>
                </c:pt>
                <c:pt idx="779">
                  <c:v>2452497.4808100001</c:v>
                </c:pt>
                <c:pt idx="780">
                  <c:v>2452514.2829</c:v>
                </c:pt>
                <c:pt idx="781">
                  <c:v>2452528.2424499998</c:v>
                </c:pt>
                <c:pt idx="782">
                  <c:v>2452547.01406</c:v>
                </c:pt>
                <c:pt idx="783">
                  <c:v>2452561.2104500001</c:v>
                </c:pt>
                <c:pt idx="784">
                  <c:v>2452577.8219599999</c:v>
                </c:pt>
                <c:pt idx="785">
                  <c:v>2452591.2505800002</c:v>
                </c:pt>
                <c:pt idx="786">
                  <c:v>2452606.4421399999</c:v>
                </c:pt>
                <c:pt idx="787">
                  <c:v>2452620.2954799999</c:v>
                </c:pt>
                <c:pt idx="788">
                  <c:v>2452641.4561200002</c:v>
                </c:pt>
                <c:pt idx="789">
                  <c:v>2452650.2249799999</c:v>
                </c:pt>
                <c:pt idx="790">
                  <c:v>2452696.3896699999</c:v>
                </c:pt>
                <c:pt idx="791">
                  <c:v>2452714.0019999999</c:v>
                </c:pt>
                <c:pt idx="792">
                  <c:v>2452735.3870000001</c:v>
                </c:pt>
                <c:pt idx="793">
                  <c:v>2452758</c:v>
                </c:pt>
                <c:pt idx="794">
                  <c:v>2452777.3121799999</c:v>
                </c:pt>
                <c:pt idx="795">
                  <c:v>2452793.3920800001</c:v>
                </c:pt>
                <c:pt idx="796">
                  <c:v>2452811.6032199999</c:v>
                </c:pt>
                <c:pt idx="797">
                  <c:v>2452827.1445399998</c:v>
                </c:pt>
                <c:pt idx="798">
                  <c:v>2452840.52385</c:v>
                </c:pt>
                <c:pt idx="799">
                  <c:v>2452855.1989199999</c:v>
                </c:pt>
                <c:pt idx="800">
                  <c:v>2452873.2204100001</c:v>
                </c:pt>
                <c:pt idx="801">
                  <c:v>2452886.1537899999</c:v>
                </c:pt>
                <c:pt idx="802">
                  <c:v>2452903.14983</c:v>
                </c:pt>
                <c:pt idx="803">
                  <c:v>2452917.81311</c:v>
                </c:pt>
                <c:pt idx="804">
                  <c:v>2452933.6045400002</c:v>
                </c:pt>
                <c:pt idx="805">
                  <c:v>2452951.14274</c:v>
                </c:pt>
                <c:pt idx="806">
                  <c:v>2452965.8230599998</c:v>
                </c:pt>
                <c:pt idx="807">
                  <c:v>2452982.7283600001</c:v>
                </c:pt>
                <c:pt idx="808">
                  <c:v>2452996.5679899999</c:v>
                </c:pt>
                <c:pt idx="809">
                  <c:v>2453020.9733799999</c:v>
                </c:pt>
                <c:pt idx="810">
                  <c:v>2453061.3366700001</c:v>
                </c:pt>
                <c:pt idx="811">
                  <c:v>2453083.6214999999</c:v>
                </c:pt>
                <c:pt idx="812">
                  <c:v>2453100.64267</c:v>
                </c:pt>
                <c:pt idx="813">
                  <c:v>2453120.7447500001</c:v>
                </c:pt>
                <c:pt idx="814">
                  <c:v>2453142.45597</c:v>
                </c:pt>
                <c:pt idx="815">
                  <c:v>2453151.6960999998</c:v>
                </c:pt>
                <c:pt idx="816">
                  <c:v>2453170.1431499999</c:v>
                </c:pt>
                <c:pt idx="817">
                  <c:v>2453183.7551500001</c:v>
                </c:pt>
                <c:pt idx="818">
                  <c:v>2453201.26559</c:v>
                </c:pt>
                <c:pt idx="819">
                  <c:v>2453217.9608900002</c:v>
                </c:pt>
                <c:pt idx="820">
                  <c:v>2453235.0521499999</c:v>
                </c:pt>
                <c:pt idx="821">
                  <c:v>2453250.2059499999</c:v>
                </c:pt>
                <c:pt idx="822">
                  <c:v>2453263.8103999998</c:v>
                </c:pt>
                <c:pt idx="823">
                  <c:v>2453280.7279500002</c:v>
                </c:pt>
                <c:pt idx="824">
                  <c:v>2453293.7853600001</c:v>
                </c:pt>
                <c:pt idx="825">
                  <c:v>2453309.6761400001</c:v>
                </c:pt>
                <c:pt idx="826">
                  <c:v>2453322.9751499998</c:v>
                </c:pt>
                <c:pt idx="827">
                  <c:v>2453341.5422800002</c:v>
                </c:pt>
                <c:pt idx="828">
                  <c:v>2453355.58366</c:v>
                </c:pt>
                <c:pt idx="829">
                  <c:v>2453375.0376200001</c:v>
                </c:pt>
                <c:pt idx="830">
                  <c:v>2453385.2579999999</c:v>
                </c:pt>
                <c:pt idx="831">
                  <c:v>2453412.6735</c:v>
                </c:pt>
                <c:pt idx="832">
                  <c:v>2453451.9638</c:v>
                </c:pt>
                <c:pt idx="833">
                  <c:v>2453469.29868</c:v>
                </c:pt>
                <c:pt idx="834">
                  <c:v>2453485.8709999998</c:v>
                </c:pt>
                <c:pt idx="835">
                  <c:v>2453504.8844300001</c:v>
                </c:pt>
                <c:pt idx="836">
                  <c:v>2453522.5062299999</c:v>
                </c:pt>
                <c:pt idx="837">
                  <c:v>2453537.2367699998</c:v>
                </c:pt>
                <c:pt idx="838">
                  <c:v>2453554.0328799998</c:v>
                </c:pt>
                <c:pt idx="839">
                  <c:v>2453568.8677400001</c:v>
                </c:pt>
                <c:pt idx="840">
                  <c:v>2453586.5506699998</c:v>
                </c:pt>
                <c:pt idx="841">
                  <c:v>2453600.7679400002</c:v>
                </c:pt>
                <c:pt idx="842">
                  <c:v>2453616.5036200001</c:v>
                </c:pt>
                <c:pt idx="843">
                  <c:v>2453632.3458599998</c:v>
                </c:pt>
                <c:pt idx="844">
                  <c:v>2453646.318</c:v>
                </c:pt>
                <c:pt idx="845">
                  <c:v>2453661.2409999999</c:v>
                </c:pt>
                <c:pt idx="846">
                  <c:v>2453677.0916599999</c:v>
                </c:pt>
                <c:pt idx="847">
                  <c:v>2453694.59002</c:v>
                </c:pt>
                <c:pt idx="848">
                  <c:v>2453712.1412900002</c:v>
                </c:pt>
                <c:pt idx="849">
                  <c:v>2453726.4459799998</c:v>
                </c:pt>
                <c:pt idx="850">
                  <c:v>2453744.9013999999</c:v>
                </c:pt>
                <c:pt idx="851">
                  <c:v>2453767.6940000001</c:v>
                </c:pt>
                <c:pt idx="852">
                  <c:v>2453804.3771500001</c:v>
                </c:pt>
                <c:pt idx="853">
                  <c:v>2453822.1285399999</c:v>
                </c:pt>
                <c:pt idx="854">
                  <c:v>2453836.60507</c:v>
                </c:pt>
                <c:pt idx="855">
                  <c:v>2453854.7597699999</c:v>
                </c:pt>
                <c:pt idx="856">
                  <c:v>2453869.93848</c:v>
                </c:pt>
                <c:pt idx="857">
                  <c:v>2453886.1956199999</c:v>
                </c:pt>
                <c:pt idx="858">
                  <c:v>2453901.2864199998</c:v>
                </c:pt>
                <c:pt idx="859">
                  <c:v>2453915.5515700001</c:v>
                </c:pt>
                <c:pt idx="860">
                  <c:v>2453932.1895400002</c:v>
                </c:pt>
                <c:pt idx="861">
                  <c:v>2453946.4554099999</c:v>
                </c:pt>
                <c:pt idx="862">
                  <c:v>2453965.1393599999</c:v>
                </c:pt>
                <c:pt idx="863">
                  <c:v>2453976.4146599998</c:v>
                </c:pt>
                <c:pt idx="864">
                  <c:v>2453992.4293</c:v>
                </c:pt>
                <c:pt idx="865">
                  <c:v>2454006.41873</c:v>
                </c:pt>
                <c:pt idx="866">
                  <c:v>2454021.42221</c:v>
                </c:pt>
                <c:pt idx="867">
                  <c:v>2454036.7225100002</c:v>
                </c:pt>
                <c:pt idx="868">
                  <c:v>2454053.2382899998</c:v>
                </c:pt>
                <c:pt idx="869">
                  <c:v>2454068.0569799999</c:v>
                </c:pt>
                <c:pt idx="870">
                  <c:v>2454083.0485800002</c:v>
                </c:pt>
                <c:pt idx="871">
                  <c:v>2454096.92876</c:v>
                </c:pt>
                <c:pt idx="872">
                  <c:v>2454112.1368</c:v>
                </c:pt>
                <c:pt idx="873">
                  <c:v>2454134.2744999998</c:v>
                </c:pt>
                <c:pt idx="874">
                  <c:v>2454172.8026399999</c:v>
                </c:pt>
                <c:pt idx="875">
                  <c:v>2454186.2058799998</c:v>
                </c:pt>
                <c:pt idx="876">
                  <c:v>2454204.1391099999</c:v>
                </c:pt>
                <c:pt idx="877">
                  <c:v>2454220.9017599998</c:v>
                </c:pt>
                <c:pt idx="878">
                  <c:v>2454236.9563500001</c:v>
                </c:pt>
                <c:pt idx="879">
                  <c:v>2454252.06225</c:v>
                </c:pt>
                <c:pt idx="880">
                  <c:v>2454268.1052199998</c:v>
                </c:pt>
                <c:pt idx="881">
                  <c:v>2454284.8284100001</c:v>
                </c:pt>
                <c:pt idx="882">
                  <c:v>2454298.5313800001</c:v>
                </c:pt>
                <c:pt idx="883">
                  <c:v>2454313.8086899999</c:v>
                </c:pt>
                <c:pt idx="884">
                  <c:v>2454327.93358</c:v>
                </c:pt>
                <c:pt idx="885">
                  <c:v>2454343.8999200002</c:v>
                </c:pt>
                <c:pt idx="886">
                  <c:v>2454359.4171000002</c:v>
                </c:pt>
                <c:pt idx="887">
                  <c:v>2454373.9683900001</c:v>
                </c:pt>
                <c:pt idx="888">
                  <c:v>2454389.2532799998</c:v>
                </c:pt>
                <c:pt idx="889">
                  <c:v>2454405.7453399999</c:v>
                </c:pt>
                <c:pt idx="890">
                  <c:v>2454419.9324599998</c:v>
                </c:pt>
                <c:pt idx="891">
                  <c:v>2454435.55498</c:v>
                </c:pt>
                <c:pt idx="892">
                  <c:v>2454449.09705</c:v>
                </c:pt>
                <c:pt idx="893">
                  <c:v>2454468.0309700002</c:v>
                </c:pt>
                <c:pt idx="894">
                  <c:v>2454500.9300000002</c:v>
                </c:pt>
                <c:pt idx="895">
                  <c:v>2454519.49346</c:v>
                </c:pt>
                <c:pt idx="896">
                  <c:v>2454534.7295599999</c:v>
                </c:pt>
                <c:pt idx="897">
                  <c:v>2454555.2969599999</c:v>
                </c:pt>
                <c:pt idx="898">
                  <c:v>2454567.3424900002</c:v>
                </c:pt>
                <c:pt idx="899">
                  <c:v>2454586.7478399999</c:v>
                </c:pt>
                <c:pt idx="900">
                  <c:v>2454598.7483000001</c:v>
                </c:pt>
                <c:pt idx="901">
                  <c:v>2454617.07118</c:v>
                </c:pt>
                <c:pt idx="902">
                  <c:v>2454631.412</c:v>
                </c:pt>
                <c:pt idx="903">
                  <c:v>2454647.7906599999</c:v>
                </c:pt>
                <c:pt idx="904">
                  <c:v>2454662.7634700001</c:v>
                </c:pt>
                <c:pt idx="905">
                  <c:v>2454679.15496</c:v>
                </c:pt>
                <c:pt idx="906">
                  <c:v>2454693.3642099998</c:v>
                </c:pt>
                <c:pt idx="907">
                  <c:v>2454709.0624000002</c:v>
                </c:pt>
                <c:pt idx="908">
                  <c:v>2454724.3575400002</c:v>
                </c:pt>
                <c:pt idx="909">
                  <c:v>2454740.1567600002</c:v>
                </c:pt>
                <c:pt idx="910">
                  <c:v>2454756.18328</c:v>
                </c:pt>
                <c:pt idx="911">
                  <c:v>2454769.4620099999</c:v>
                </c:pt>
                <c:pt idx="912">
                  <c:v>2454785.8112300001</c:v>
                </c:pt>
                <c:pt idx="913">
                  <c:v>2454799.1952800001</c:v>
                </c:pt>
                <c:pt idx="914">
                  <c:v>2454814.42753</c:v>
                </c:pt>
                <c:pt idx="915">
                  <c:v>2454832.3855699999</c:v>
                </c:pt>
                <c:pt idx="916">
                  <c:v>2454848.24657</c:v>
                </c:pt>
                <c:pt idx="917">
                  <c:v>2454861.5888999999</c:v>
                </c:pt>
                <c:pt idx="918">
                  <c:v>2454889.1733800001</c:v>
                </c:pt>
                <c:pt idx="919">
                  <c:v>2454909.4512399998</c:v>
                </c:pt>
                <c:pt idx="920">
                  <c:v>2454925.6091399998</c:v>
                </c:pt>
                <c:pt idx="921">
                  <c:v>2454944.0061499998</c:v>
                </c:pt>
                <c:pt idx="922">
                  <c:v>2454957.37524</c:v>
                </c:pt>
                <c:pt idx="923">
                  <c:v>2454975.27318</c:v>
                </c:pt>
                <c:pt idx="924">
                  <c:v>2454989.5053400001</c:v>
                </c:pt>
                <c:pt idx="925">
                  <c:v>2455005.0374500002</c:v>
                </c:pt>
                <c:pt idx="926">
                  <c:v>2455021.2045399998</c:v>
                </c:pt>
                <c:pt idx="927">
                  <c:v>2455036.75716</c:v>
                </c:pt>
                <c:pt idx="928">
                  <c:v>2455051.8355700001</c:v>
                </c:pt>
                <c:pt idx="929">
                  <c:v>2455065.4734800002</c:v>
                </c:pt>
                <c:pt idx="930">
                  <c:v>2455081.7590700001</c:v>
                </c:pt>
                <c:pt idx="931">
                  <c:v>2455096.4168600002</c:v>
                </c:pt>
                <c:pt idx="932">
                  <c:v>2455113.0700900001</c:v>
                </c:pt>
                <c:pt idx="933">
                  <c:v>2455127.4731299998</c:v>
                </c:pt>
                <c:pt idx="934">
                  <c:v>2455145.28315</c:v>
                </c:pt>
                <c:pt idx="935">
                  <c:v>2455159.7071000002</c:v>
                </c:pt>
                <c:pt idx="936">
                  <c:v>2455173.62549</c:v>
                </c:pt>
                <c:pt idx="937">
                  <c:v>2455189.52153</c:v>
                </c:pt>
                <c:pt idx="938">
                  <c:v>2455204.9163000002</c:v>
                </c:pt>
                <c:pt idx="939">
                  <c:v>2455220.2316000001</c:v>
                </c:pt>
                <c:pt idx="940">
                  <c:v>2455246.2004200001</c:v>
                </c:pt>
                <c:pt idx="941">
                  <c:v>2455262.2675100002</c:v>
                </c:pt>
                <c:pt idx="942">
                  <c:v>2455281.4588700002</c:v>
                </c:pt>
                <c:pt idx="943">
                  <c:v>2455300.5165300001</c:v>
                </c:pt>
                <c:pt idx="944">
                  <c:v>2455315.38754</c:v>
                </c:pt>
                <c:pt idx="945">
                  <c:v>2455335.01878</c:v>
                </c:pt>
                <c:pt idx="946">
                  <c:v>2455349.2148199999</c:v>
                </c:pt>
                <c:pt idx="947">
                  <c:v>2455361.4402000001</c:v>
                </c:pt>
                <c:pt idx="948">
                  <c:v>2455380.2801799998</c:v>
                </c:pt>
                <c:pt idx="949">
                  <c:v>2455392.9858400002</c:v>
                </c:pt>
                <c:pt idx="950">
                  <c:v>2455411.8992599999</c:v>
                </c:pt>
                <c:pt idx="951">
                  <c:v>2455424.0665099998</c:v>
                </c:pt>
                <c:pt idx="952">
                  <c:v>2455440.5510499999</c:v>
                </c:pt>
                <c:pt idx="953">
                  <c:v>2455454.2895900002</c:v>
                </c:pt>
                <c:pt idx="954">
                  <c:v>2455472.3958299998</c:v>
                </c:pt>
                <c:pt idx="955">
                  <c:v>2455484.13423</c:v>
                </c:pt>
                <c:pt idx="956">
                  <c:v>2455500.3221900002</c:v>
                </c:pt>
                <c:pt idx="957">
                  <c:v>2455514.9268200002</c:v>
                </c:pt>
                <c:pt idx="958">
                  <c:v>2455531.1512600002</c:v>
                </c:pt>
                <c:pt idx="959">
                  <c:v>2455543.4725600001</c:v>
                </c:pt>
                <c:pt idx="960">
                  <c:v>2455563.64059</c:v>
                </c:pt>
                <c:pt idx="961">
                  <c:v>2455578.3652900001</c:v>
                </c:pt>
                <c:pt idx="962">
                  <c:v>2455595.9568099999</c:v>
                </c:pt>
                <c:pt idx="963">
                  <c:v>2455623.2516100002</c:v>
                </c:pt>
                <c:pt idx="964">
                  <c:v>2455645.1258999999</c:v>
                </c:pt>
                <c:pt idx="965">
                  <c:v>2455659.9397999998</c:v>
                </c:pt>
                <c:pt idx="966">
                  <c:v>2455682.8926499998</c:v>
                </c:pt>
                <c:pt idx="967">
                  <c:v>2455695.3859100002</c:v>
                </c:pt>
                <c:pt idx="968">
                  <c:v>2455710.2713299999</c:v>
                </c:pt>
                <c:pt idx="969">
                  <c:v>2455726.8487399998</c:v>
                </c:pt>
                <c:pt idx="970">
                  <c:v>2455743.0993300001</c:v>
                </c:pt>
                <c:pt idx="971">
                  <c:v>2455757.89964</c:v>
                </c:pt>
                <c:pt idx="972">
                  <c:v>2455773.7471400001</c:v>
                </c:pt>
                <c:pt idx="973">
                  <c:v>2455790.0605799998</c:v>
                </c:pt>
                <c:pt idx="974">
                  <c:v>2455803.0407199999</c:v>
                </c:pt>
                <c:pt idx="975">
                  <c:v>2455819.1494700001</c:v>
                </c:pt>
                <c:pt idx="976">
                  <c:v>2455833.4903199999</c:v>
                </c:pt>
                <c:pt idx="977">
                  <c:v>2455849.9316699998</c:v>
                </c:pt>
                <c:pt idx="978">
                  <c:v>2455864.2726599998</c:v>
                </c:pt>
                <c:pt idx="979">
                  <c:v>2455879.4936099998</c:v>
                </c:pt>
                <c:pt idx="980">
                  <c:v>2455896.3427800001</c:v>
                </c:pt>
                <c:pt idx="981">
                  <c:v>2455910.3667899999</c:v>
                </c:pt>
                <c:pt idx="982">
                  <c:v>2455926.86821</c:v>
                </c:pt>
                <c:pt idx="983">
                  <c:v>2455943.9874</c:v>
                </c:pt>
                <c:pt idx="984">
                  <c:v>2455966.7999999998</c:v>
                </c:pt>
                <c:pt idx="985">
                  <c:v>2455988.8720900002</c:v>
                </c:pt>
                <c:pt idx="986">
                  <c:v>2456009.2950499998</c:v>
                </c:pt>
                <c:pt idx="987">
                  <c:v>2456025.2456999999</c:v>
                </c:pt>
                <c:pt idx="988">
                  <c:v>2456045.1546200002</c:v>
                </c:pt>
                <c:pt idx="989">
                  <c:v>2456060.3394800001</c:v>
                </c:pt>
                <c:pt idx="990">
                  <c:v>2456072.4617699999</c:v>
                </c:pt>
                <c:pt idx="991">
                  <c:v>2456092.1993200001</c:v>
                </c:pt>
                <c:pt idx="992">
                  <c:v>2456105.2757700002</c:v>
                </c:pt>
                <c:pt idx="993">
                  <c:v>2456122.7570000002</c:v>
                </c:pt>
                <c:pt idx="994">
                  <c:v>2456136.1661899998</c:v>
                </c:pt>
                <c:pt idx="995">
                  <c:v>2456154.0133699998</c:v>
                </c:pt>
                <c:pt idx="996">
                  <c:v>2456167.8509200001</c:v>
                </c:pt>
                <c:pt idx="997">
                  <c:v>2456183.5692799999</c:v>
                </c:pt>
                <c:pt idx="998">
                  <c:v>2456197.8769399999</c:v>
                </c:pt>
                <c:pt idx="999">
                  <c:v>2456214.7283999999</c:v>
                </c:pt>
                <c:pt idx="1000">
                  <c:v>2456230.2695399998</c:v>
                </c:pt>
                <c:pt idx="1001">
                  <c:v>2456243.8137099999</c:v>
                </c:pt>
                <c:pt idx="1002">
                  <c:v>2456260.4835799998</c:v>
                </c:pt>
                <c:pt idx="1003">
                  <c:v>2456273.53027</c:v>
                </c:pt>
                <c:pt idx="1004">
                  <c:v>2456293.6325699999</c:v>
                </c:pt>
                <c:pt idx="1005">
                  <c:v>2456303.2705600001</c:v>
                </c:pt>
                <c:pt idx="1006">
                  <c:v>2456323.4690999999</c:v>
                </c:pt>
                <c:pt idx="1007">
                  <c:v>2456358.6482299999</c:v>
                </c:pt>
                <c:pt idx="1008">
                  <c:v>2456389.7136900001</c:v>
                </c:pt>
                <c:pt idx="1009">
                  <c:v>2456404.4932599999</c:v>
                </c:pt>
                <c:pt idx="1010">
                  <c:v>2456422.6549300002</c:v>
                </c:pt>
                <c:pt idx="1011">
                  <c:v>2456438.45609</c:v>
                </c:pt>
                <c:pt idx="1012">
                  <c:v>2456454.8801000002</c:v>
                </c:pt>
                <c:pt idx="1013">
                  <c:v>2456470.9873899999</c:v>
                </c:pt>
                <c:pt idx="1014">
                  <c:v>2456484.4994299999</c:v>
                </c:pt>
                <c:pt idx="1015">
                  <c:v>2456500.7596800001</c:v>
                </c:pt>
                <c:pt idx="1016">
                  <c:v>2456515.6797099998</c:v>
                </c:pt>
                <c:pt idx="1017">
                  <c:v>2456532.55375</c:v>
                </c:pt>
                <c:pt idx="1018">
                  <c:v>2456545.1162999999</c:v>
                </c:pt>
                <c:pt idx="1019">
                  <c:v>2456562.2782800002</c:v>
                </c:pt>
                <c:pt idx="1020">
                  <c:v>2456575.1310299998</c:v>
                </c:pt>
                <c:pt idx="1021">
                  <c:v>2456592.54684</c:v>
                </c:pt>
                <c:pt idx="1022">
                  <c:v>2456605.38062</c:v>
                </c:pt>
                <c:pt idx="1023">
                  <c:v>2456624.6766400002</c:v>
                </c:pt>
                <c:pt idx="1024">
                  <c:v>2456634.7096199999</c:v>
                </c:pt>
                <c:pt idx="1025">
                  <c:v>2456654.7276400002</c:v>
                </c:pt>
                <c:pt idx="1026">
                  <c:v>2456667.4213700001</c:v>
                </c:pt>
                <c:pt idx="1027">
                  <c:v>2456690.3392400001</c:v>
                </c:pt>
                <c:pt idx="1028">
                  <c:v>2456714.2551000002</c:v>
                </c:pt>
                <c:pt idx="1029">
                  <c:v>2456726.6280899998</c:v>
                </c:pt>
                <c:pt idx="1030">
                  <c:v>2456750.6126999999</c:v>
                </c:pt>
                <c:pt idx="1031">
                  <c:v>2456770.8741700002</c:v>
                </c:pt>
                <c:pt idx="1032">
                  <c:v>2456791.8651999999</c:v>
                </c:pt>
                <c:pt idx="1033">
                  <c:v>2456803.1860199999</c:v>
                </c:pt>
                <c:pt idx="1034">
                  <c:v>2456817.6307700002</c:v>
                </c:pt>
                <c:pt idx="1035">
                  <c:v>2456835.3017299999</c:v>
                </c:pt>
                <c:pt idx="1036">
                  <c:v>2456849.4912800002</c:v>
                </c:pt>
                <c:pt idx="1037">
                  <c:v>2456865.4020500001</c:v>
                </c:pt>
                <c:pt idx="1038">
                  <c:v>2456883.2617199998</c:v>
                </c:pt>
                <c:pt idx="1039">
                  <c:v>2456895.44404</c:v>
                </c:pt>
                <c:pt idx="1040">
                  <c:v>2456911.3373699998</c:v>
                </c:pt>
                <c:pt idx="1041">
                  <c:v>2456926.0024100002</c:v>
                </c:pt>
                <c:pt idx="1042">
                  <c:v>2456941.57822</c:v>
                </c:pt>
                <c:pt idx="1043">
                  <c:v>2456955.5748200002</c:v>
                </c:pt>
                <c:pt idx="1044">
                  <c:v>2456970.7770400001</c:v>
                </c:pt>
                <c:pt idx="1045">
                  <c:v>2456984.5900099999</c:v>
                </c:pt>
                <c:pt idx="1046">
                  <c:v>2457002.19826</c:v>
                </c:pt>
                <c:pt idx="1047">
                  <c:v>2457017.7109599998</c:v>
                </c:pt>
                <c:pt idx="1048">
                  <c:v>2457030.5014599999</c:v>
                </c:pt>
                <c:pt idx="1049">
                  <c:v>2457053.9668999999</c:v>
                </c:pt>
                <c:pt idx="1050">
                  <c:v>2457075.1971200001</c:v>
                </c:pt>
                <c:pt idx="1051">
                  <c:v>2457099.5427399999</c:v>
                </c:pt>
                <c:pt idx="1052">
                  <c:v>2457114.4830900002</c:v>
                </c:pt>
                <c:pt idx="1053">
                  <c:v>2457130.9018000001</c:v>
                </c:pt>
                <c:pt idx="1054">
                  <c:v>2457145.78835</c:v>
                </c:pt>
                <c:pt idx="1055">
                  <c:v>2457162.2392600002</c:v>
                </c:pt>
                <c:pt idx="1056">
                  <c:v>2457178.7904400001</c:v>
                </c:pt>
                <c:pt idx="1057">
                  <c:v>2457192.9783299998</c:v>
                </c:pt>
                <c:pt idx="1058">
                  <c:v>2457209.2427500002</c:v>
                </c:pt>
                <c:pt idx="1059">
                  <c:v>2457223.67949</c:v>
                </c:pt>
                <c:pt idx="1060">
                  <c:v>2457240.5509199998</c:v>
                </c:pt>
                <c:pt idx="1061">
                  <c:v>2457255.2679400002</c:v>
                </c:pt>
                <c:pt idx="1062">
                  <c:v>2457271.9724099999</c:v>
                </c:pt>
                <c:pt idx="1063">
                  <c:v>2457285.6129700001</c:v>
                </c:pt>
                <c:pt idx="1064">
                  <c:v>2457302.0608799998</c:v>
                </c:pt>
                <c:pt idx="1065">
                  <c:v>2457316.4018799998</c:v>
                </c:pt>
                <c:pt idx="1066">
                  <c:v>2457330.8891799999</c:v>
                </c:pt>
                <c:pt idx="1067">
                  <c:v>2457345.9759300002</c:v>
                </c:pt>
                <c:pt idx="1068">
                  <c:v>2457362.0980600002</c:v>
                </c:pt>
                <c:pt idx="1069">
                  <c:v>2457378.78431</c:v>
                </c:pt>
                <c:pt idx="1070">
                  <c:v>2457389.1233899998</c:v>
                </c:pt>
                <c:pt idx="1071">
                  <c:v>2457411.1333300001</c:v>
                </c:pt>
                <c:pt idx="1072">
                  <c:v>2457430.6814700002</c:v>
                </c:pt>
                <c:pt idx="1073">
                  <c:v>2457447.9101200001</c:v>
                </c:pt>
                <c:pt idx="1074">
                  <c:v>2457466.5535900001</c:v>
                </c:pt>
                <c:pt idx="1075">
                  <c:v>2457484.1527</c:v>
                </c:pt>
                <c:pt idx="1076">
                  <c:v>2457503.6184399999</c:v>
                </c:pt>
                <c:pt idx="1077">
                  <c:v>2457516.8761399998</c:v>
                </c:pt>
                <c:pt idx="1078">
                  <c:v>2457537.2932500001</c:v>
                </c:pt>
                <c:pt idx="1079">
                  <c:v>2457550.5789000001</c:v>
                </c:pt>
                <c:pt idx="1080">
                  <c:v>2457568.0109100002</c:v>
                </c:pt>
                <c:pt idx="1081">
                  <c:v>2457581.7038400001</c:v>
                </c:pt>
                <c:pt idx="1082">
                  <c:v>2457598.6096100002</c:v>
                </c:pt>
                <c:pt idx="1083">
                  <c:v>2457611.3901200001</c:v>
                </c:pt>
                <c:pt idx="1084">
                  <c:v>2457628.7760700001</c:v>
                </c:pt>
                <c:pt idx="1085">
                  <c:v>2457641.7537600002</c:v>
                </c:pt>
                <c:pt idx="1086">
                  <c:v>2457659.4371600002</c:v>
                </c:pt>
                <c:pt idx="1087">
                  <c:v>2457674.0677499999</c:v>
                </c:pt>
                <c:pt idx="1088">
                  <c:v>2457688.4995499998</c:v>
                </c:pt>
                <c:pt idx="1089">
                  <c:v>2457704.4001500001</c:v>
                </c:pt>
                <c:pt idx="1090">
                  <c:v>2457720.7566999998</c:v>
                </c:pt>
                <c:pt idx="1091">
                  <c:v>2457736.3784500002</c:v>
                </c:pt>
                <c:pt idx="1092">
                  <c:v>2457747.2732600002</c:v>
                </c:pt>
                <c:pt idx="1093">
                  <c:v>2457756.7255000002</c:v>
                </c:pt>
                <c:pt idx="1094">
                  <c:v>2457776.8355</c:v>
                </c:pt>
                <c:pt idx="1095">
                  <c:v>2457798.22108</c:v>
                </c:pt>
                <c:pt idx="1096">
                  <c:v>2457822.8177</c:v>
                </c:pt>
                <c:pt idx="1097">
                  <c:v>2457840.5253400002</c:v>
                </c:pt>
                <c:pt idx="1098">
                  <c:v>2457862.79837</c:v>
                </c:pt>
                <c:pt idx="1099">
                  <c:v>2457872.40258</c:v>
                </c:pt>
                <c:pt idx="1100">
                  <c:v>2457887.18952</c:v>
                </c:pt>
                <c:pt idx="1101">
                  <c:v>2457901.41927</c:v>
                </c:pt>
                <c:pt idx="1102">
                  <c:v>2457917.9572700001</c:v>
                </c:pt>
                <c:pt idx="1103">
                  <c:v>2457931.42466</c:v>
                </c:pt>
                <c:pt idx="1104">
                  <c:v>2457947.0038000001</c:v>
                </c:pt>
                <c:pt idx="1105">
                  <c:v>2457961.3936100001</c:v>
                </c:pt>
                <c:pt idx="1106">
                  <c:v>2457977.5441899998</c:v>
                </c:pt>
                <c:pt idx="1107">
                  <c:v>2457992.4228500002</c:v>
                </c:pt>
                <c:pt idx="1108">
                  <c:v>2458007.9949400001</c:v>
                </c:pt>
                <c:pt idx="1109">
                  <c:v>2458022.0805600001</c:v>
                </c:pt>
                <c:pt idx="1110">
                  <c:v>2458039.08641</c:v>
                </c:pt>
                <c:pt idx="1111">
                  <c:v>2458053.0110499999</c:v>
                </c:pt>
                <c:pt idx="1112">
                  <c:v>2458069.9362599999</c:v>
                </c:pt>
                <c:pt idx="1113">
                  <c:v>2458083.50771</c:v>
                </c:pt>
                <c:pt idx="1114">
                  <c:v>2458100.3730000001</c:v>
                </c:pt>
                <c:pt idx="1115">
                  <c:v>2458111.10831</c:v>
                </c:pt>
                <c:pt idx="1116">
                  <c:v>2458128.5695799999</c:v>
                </c:pt>
                <c:pt idx="1117">
                  <c:v>2458148.17717</c:v>
                </c:pt>
                <c:pt idx="1118">
                  <c:v>2458169.7048499999</c:v>
                </c:pt>
                <c:pt idx="1119">
                  <c:v>2458185.6085000001</c:v>
                </c:pt>
                <c:pt idx="1120">
                  <c:v>2458198.5350799998</c:v>
                </c:pt>
                <c:pt idx="1121">
                  <c:v>2458217.7927700002</c:v>
                </c:pt>
                <c:pt idx="1122">
                  <c:v>2458228.6811700002</c:v>
                </c:pt>
                <c:pt idx="1123">
                  <c:v>2458248.8565799999</c:v>
                </c:pt>
                <c:pt idx="1124">
                  <c:v>2458263.3491699998</c:v>
                </c:pt>
                <c:pt idx="1125">
                  <c:v>2458279.28235</c:v>
                </c:pt>
                <c:pt idx="1126">
                  <c:v>2458296.8297799998</c:v>
                </c:pt>
                <c:pt idx="1127">
                  <c:v>2458311.7458700002</c:v>
                </c:pt>
                <c:pt idx="1128">
                  <c:v>2458326.77275</c:v>
                </c:pt>
                <c:pt idx="1129">
                  <c:v>2458340.9308199999</c:v>
                </c:pt>
                <c:pt idx="1130">
                  <c:v>2458356.43255</c:v>
                </c:pt>
                <c:pt idx="1131">
                  <c:v>2458372.44154</c:v>
                </c:pt>
                <c:pt idx="1132">
                  <c:v>2458388.3236600002</c:v>
                </c:pt>
                <c:pt idx="1133">
                  <c:v>2458401.52776</c:v>
                </c:pt>
                <c:pt idx="1134">
                  <c:v>2458418.8375800001</c:v>
                </c:pt>
                <c:pt idx="1135">
                  <c:v>2458433.8611599999</c:v>
                </c:pt>
                <c:pt idx="1136">
                  <c:v>2458449.38802</c:v>
                </c:pt>
                <c:pt idx="1137">
                  <c:v>2458462.6699000001</c:v>
                </c:pt>
                <c:pt idx="1138">
                  <c:v>2458480.1447800002</c:v>
                </c:pt>
                <c:pt idx="1139">
                  <c:v>2458494.9681000002</c:v>
                </c:pt>
                <c:pt idx="1140">
                  <c:v>2458507.0916900001</c:v>
                </c:pt>
                <c:pt idx="1141">
                  <c:v>2458527.61234</c:v>
                </c:pt>
                <c:pt idx="1142">
                  <c:v>2458542.7652599998</c:v>
                </c:pt>
                <c:pt idx="1143">
                  <c:v>2458566.6612499999</c:v>
                </c:pt>
                <c:pt idx="1144">
                  <c:v>2458581.29844</c:v>
                </c:pt>
                <c:pt idx="1145">
                  <c:v>2458599.0052100001</c:v>
                </c:pt>
                <c:pt idx="1146">
                  <c:v>2458613.8849200001</c:v>
                </c:pt>
                <c:pt idx="1147">
                  <c:v>2458632.8995500002</c:v>
                </c:pt>
                <c:pt idx="1148">
                  <c:v>2458646.5422499999</c:v>
                </c:pt>
                <c:pt idx="1149">
                  <c:v>2458663.0509700002</c:v>
                </c:pt>
                <c:pt idx="1150">
                  <c:v>2458678.6039300002</c:v>
                </c:pt>
                <c:pt idx="1151">
                  <c:v>2458693.3846499999</c:v>
                </c:pt>
                <c:pt idx="1152">
                  <c:v>2458710.5763300001</c:v>
                </c:pt>
                <c:pt idx="1153">
                  <c:v>2458727.3103100001</c:v>
                </c:pt>
                <c:pt idx="1154">
                  <c:v>2458743.2729799999</c:v>
                </c:pt>
                <c:pt idx="1155">
                  <c:v>2458758.50092</c:v>
                </c:pt>
                <c:pt idx="1156">
                  <c:v>2458776.7343299999</c:v>
                </c:pt>
                <c:pt idx="1157">
                  <c:v>2458790.0694599999</c:v>
                </c:pt>
                <c:pt idx="1158">
                  <c:v>2458805.5793900001</c:v>
                </c:pt>
                <c:pt idx="1159">
                  <c:v>2458822.2099600001</c:v>
                </c:pt>
                <c:pt idx="1160">
                  <c:v>2458842.60751</c:v>
                </c:pt>
                <c:pt idx="1161">
                  <c:v>2458853.3632</c:v>
                </c:pt>
                <c:pt idx="1162">
                  <c:v>2458880.9819399999</c:v>
                </c:pt>
              </c:numCache>
            </c:numRef>
          </c:xVal>
          <c:yVal>
            <c:numRef>
              <c:f>Vis!$C$1:$C$4104</c:f>
              <c:numCache>
                <c:formatCode>General</c:formatCode>
                <c:ptCount val="4104"/>
                <c:pt idx="0">
                  <c:v>12.05</c:v>
                </c:pt>
                <c:pt idx="1">
                  <c:v>11.737500000000001</c:v>
                </c:pt>
                <c:pt idx="2">
                  <c:v>11.666667</c:v>
                </c:pt>
                <c:pt idx="3">
                  <c:v>11.675000000000001</c:v>
                </c:pt>
                <c:pt idx="4">
                  <c:v>11.741667</c:v>
                </c:pt>
                <c:pt idx="5">
                  <c:v>11.8</c:v>
                </c:pt>
                <c:pt idx="6">
                  <c:v>11.585713999999999</c:v>
                </c:pt>
                <c:pt idx="7">
                  <c:v>11.55</c:v>
                </c:pt>
                <c:pt idx="8">
                  <c:v>11.6</c:v>
                </c:pt>
                <c:pt idx="9">
                  <c:v>11.6</c:v>
                </c:pt>
                <c:pt idx="10">
                  <c:v>11</c:v>
                </c:pt>
                <c:pt idx="11">
                  <c:v>11.6</c:v>
                </c:pt>
                <c:pt idx="12">
                  <c:v>11.7</c:v>
                </c:pt>
                <c:pt idx="13">
                  <c:v>12.2</c:v>
                </c:pt>
                <c:pt idx="14">
                  <c:v>11.8</c:v>
                </c:pt>
                <c:pt idx="15">
                  <c:v>12</c:v>
                </c:pt>
                <c:pt idx="16">
                  <c:v>12</c:v>
                </c:pt>
                <c:pt idx="17">
                  <c:v>11.9</c:v>
                </c:pt>
                <c:pt idx="18">
                  <c:v>12.4</c:v>
                </c:pt>
                <c:pt idx="19">
                  <c:v>12.2</c:v>
                </c:pt>
                <c:pt idx="20">
                  <c:v>11.8</c:v>
                </c:pt>
                <c:pt idx="21">
                  <c:v>11.8</c:v>
                </c:pt>
                <c:pt idx="22">
                  <c:v>11.9</c:v>
                </c:pt>
                <c:pt idx="23">
                  <c:v>11.8</c:v>
                </c:pt>
                <c:pt idx="24">
                  <c:v>11.6</c:v>
                </c:pt>
                <c:pt idx="25">
                  <c:v>11.6</c:v>
                </c:pt>
                <c:pt idx="26">
                  <c:v>11.9</c:v>
                </c:pt>
                <c:pt idx="27">
                  <c:v>12.3</c:v>
                </c:pt>
                <c:pt idx="28">
                  <c:v>12.4</c:v>
                </c:pt>
                <c:pt idx="29">
                  <c:v>12.2</c:v>
                </c:pt>
                <c:pt idx="30">
                  <c:v>12.05</c:v>
                </c:pt>
                <c:pt idx="31">
                  <c:v>12.6</c:v>
                </c:pt>
                <c:pt idx="32">
                  <c:v>12</c:v>
                </c:pt>
                <c:pt idx="33">
                  <c:v>12.5</c:v>
                </c:pt>
                <c:pt idx="34">
                  <c:v>11.9</c:v>
                </c:pt>
                <c:pt idx="35">
                  <c:v>11.9</c:v>
                </c:pt>
                <c:pt idx="36">
                  <c:v>12.3</c:v>
                </c:pt>
                <c:pt idx="37">
                  <c:v>11.6</c:v>
                </c:pt>
                <c:pt idx="38">
                  <c:v>11.9</c:v>
                </c:pt>
                <c:pt idx="39">
                  <c:v>12.5</c:v>
                </c:pt>
                <c:pt idx="40">
                  <c:v>11.8</c:v>
                </c:pt>
                <c:pt idx="41">
                  <c:v>12.4</c:v>
                </c:pt>
                <c:pt idx="42">
                  <c:v>11.7</c:v>
                </c:pt>
                <c:pt idx="43">
                  <c:v>11.8</c:v>
                </c:pt>
                <c:pt idx="44">
                  <c:v>11.6</c:v>
                </c:pt>
                <c:pt idx="45">
                  <c:v>11.8</c:v>
                </c:pt>
                <c:pt idx="46">
                  <c:v>12.5</c:v>
                </c:pt>
                <c:pt idx="47">
                  <c:v>11.9</c:v>
                </c:pt>
                <c:pt idx="48">
                  <c:v>12</c:v>
                </c:pt>
                <c:pt idx="49">
                  <c:v>13.3</c:v>
                </c:pt>
                <c:pt idx="50">
                  <c:v>12.7</c:v>
                </c:pt>
                <c:pt idx="51">
                  <c:v>12.3</c:v>
                </c:pt>
                <c:pt idx="52">
                  <c:v>12.5</c:v>
                </c:pt>
                <c:pt idx="53">
                  <c:v>12.5</c:v>
                </c:pt>
                <c:pt idx="54">
                  <c:v>12.4</c:v>
                </c:pt>
                <c:pt idx="55">
                  <c:v>12</c:v>
                </c:pt>
                <c:pt idx="56">
                  <c:v>12</c:v>
                </c:pt>
                <c:pt idx="57">
                  <c:v>12.324999999999999</c:v>
                </c:pt>
                <c:pt idx="58">
                  <c:v>11.35</c:v>
                </c:pt>
                <c:pt idx="59">
                  <c:v>11.2</c:v>
                </c:pt>
                <c:pt idx="60">
                  <c:v>11.933332999999999</c:v>
                </c:pt>
                <c:pt idx="61">
                  <c:v>11.92</c:v>
                </c:pt>
                <c:pt idx="62">
                  <c:v>11.866667</c:v>
                </c:pt>
                <c:pt idx="63">
                  <c:v>12</c:v>
                </c:pt>
                <c:pt idx="64">
                  <c:v>11.746154000000001</c:v>
                </c:pt>
                <c:pt idx="65">
                  <c:v>11.925000000000001</c:v>
                </c:pt>
                <c:pt idx="66">
                  <c:v>11.9</c:v>
                </c:pt>
                <c:pt idx="67">
                  <c:v>11.5</c:v>
                </c:pt>
                <c:pt idx="68">
                  <c:v>11.96</c:v>
                </c:pt>
                <c:pt idx="69">
                  <c:v>11.954545</c:v>
                </c:pt>
                <c:pt idx="70">
                  <c:v>12.133333</c:v>
                </c:pt>
                <c:pt idx="71">
                  <c:v>12</c:v>
                </c:pt>
                <c:pt idx="72">
                  <c:v>12.2</c:v>
                </c:pt>
                <c:pt idx="73">
                  <c:v>12.066667000000001</c:v>
                </c:pt>
                <c:pt idx="74">
                  <c:v>12.1</c:v>
                </c:pt>
                <c:pt idx="75">
                  <c:v>11.971429000000001</c:v>
                </c:pt>
                <c:pt idx="76">
                  <c:v>11.987500000000001</c:v>
                </c:pt>
                <c:pt idx="77">
                  <c:v>11.887499999999999</c:v>
                </c:pt>
                <c:pt idx="78">
                  <c:v>11.95</c:v>
                </c:pt>
                <c:pt idx="79">
                  <c:v>11.776923</c:v>
                </c:pt>
                <c:pt idx="80">
                  <c:v>11.728571000000001</c:v>
                </c:pt>
                <c:pt idx="81">
                  <c:v>11.844443999999999</c:v>
                </c:pt>
                <c:pt idx="82">
                  <c:v>11.841666999999999</c:v>
                </c:pt>
                <c:pt idx="83">
                  <c:v>11.862500000000001</c:v>
                </c:pt>
                <c:pt idx="84">
                  <c:v>11.914286000000001</c:v>
                </c:pt>
                <c:pt idx="85">
                  <c:v>11.95</c:v>
                </c:pt>
                <c:pt idx="86">
                  <c:v>11.933332999999999</c:v>
                </c:pt>
                <c:pt idx="87">
                  <c:v>11.966666999999999</c:v>
                </c:pt>
                <c:pt idx="88">
                  <c:v>12</c:v>
                </c:pt>
                <c:pt idx="89">
                  <c:v>12.15</c:v>
                </c:pt>
                <c:pt idx="90">
                  <c:v>12</c:v>
                </c:pt>
                <c:pt idx="91">
                  <c:v>12.033333000000001</c:v>
                </c:pt>
                <c:pt idx="92">
                  <c:v>11.9</c:v>
                </c:pt>
                <c:pt idx="93">
                  <c:v>11.824999999999999</c:v>
                </c:pt>
                <c:pt idx="94">
                  <c:v>11.871428999999999</c:v>
                </c:pt>
                <c:pt idx="95">
                  <c:v>11.728571000000001</c:v>
                </c:pt>
                <c:pt idx="96">
                  <c:v>11.75</c:v>
                </c:pt>
                <c:pt idx="97">
                  <c:v>11.607692</c:v>
                </c:pt>
                <c:pt idx="98">
                  <c:v>11.933332999999999</c:v>
                </c:pt>
                <c:pt idx="99">
                  <c:v>11.8</c:v>
                </c:pt>
                <c:pt idx="100">
                  <c:v>11.75</c:v>
                </c:pt>
                <c:pt idx="101">
                  <c:v>11.7</c:v>
                </c:pt>
                <c:pt idx="102">
                  <c:v>11.8</c:v>
                </c:pt>
                <c:pt idx="103">
                  <c:v>11.783333000000001</c:v>
                </c:pt>
                <c:pt idx="104">
                  <c:v>11.666667</c:v>
                </c:pt>
                <c:pt idx="105">
                  <c:v>11.2</c:v>
                </c:pt>
                <c:pt idx="106">
                  <c:v>11.116667</c:v>
                </c:pt>
                <c:pt idx="107">
                  <c:v>11.1</c:v>
                </c:pt>
                <c:pt idx="108">
                  <c:v>10.15</c:v>
                </c:pt>
                <c:pt idx="109">
                  <c:v>10</c:v>
                </c:pt>
                <c:pt idx="110">
                  <c:v>10.433332999999999</c:v>
                </c:pt>
                <c:pt idx="111">
                  <c:v>10.766667</c:v>
                </c:pt>
                <c:pt idx="112">
                  <c:v>11.05</c:v>
                </c:pt>
                <c:pt idx="113">
                  <c:v>10.96</c:v>
                </c:pt>
                <c:pt idx="114">
                  <c:v>11.13</c:v>
                </c:pt>
                <c:pt idx="115">
                  <c:v>10.975</c:v>
                </c:pt>
                <c:pt idx="116">
                  <c:v>11.166667</c:v>
                </c:pt>
                <c:pt idx="117">
                  <c:v>11.16</c:v>
                </c:pt>
                <c:pt idx="118">
                  <c:v>11.233333</c:v>
                </c:pt>
                <c:pt idx="119">
                  <c:v>11.407692000000001</c:v>
                </c:pt>
                <c:pt idx="120">
                  <c:v>11.5875</c:v>
                </c:pt>
                <c:pt idx="121">
                  <c:v>11.7</c:v>
                </c:pt>
                <c:pt idx="122">
                  <c:v>11.68</c:v>
                </c:pt>
                <c:pt idx="123">
                  <c:v>11.65</c:v>
                </c:pt>
                <c:pt idx="124">
                  <c:v>11.7</c:v>
                </c:pt>
                <c:pt idx="125">
                  <c:v>11.7</c:v>
                </c:pt>
                <c:pt idx="126">
                  <c:v>11.516667</c:v>
                </c:pt>
                <c:pt idx="127">
                  <c:v>11.55</c:v>
                </c:pt>
                <c:pt idx="128">
                  <c:v>11.85</c:v>
                </c:pt>
                <c:pt idx="129">
                  <c:v>11.433332999999999</c:v>
                </c:pt>
                <c:pt idx="130">
                  <c:v>11.574999999999999</c:v>
                </c:pt>
                <c:pt idx="131">
                  <c:v>11.58</c:v>
                </c:pt>
                <c:pt idx="132">
                  <c:v>11.5</c:v>
                </c:pt>
                <c:pt idx="133">
                  <c:v>11.6</c:v>
                </c:pt>
                <c:pt idx="134">
                  <c:v>11.544444</c:v>
                </c:pt>
                <c:pt idx="135">
                  <c:v>11.614286</c:v>
                </c:pt>
                <c:pt idx="136">
                  <c:v>11.555555999999999</c:v>
                </c:pt>
                <c:pt idx="137">
                  <c:v>11.425000000000001</c:v>
                </c:pt>
                <c:pt idx="138">
                  <c:v>11.328571</c:v>
                </c:pt>
                <c:pt idx="139">
                  <c:v>11.15</c:v>
                </c:pt>
                <c:pt idx="140">
                  <c:v>11.066667000000001</c:v>
                </c:pt>
                <c:pt idx="141">
                  <c:v>11.1</c:v>
                </c:pt>
                <c:pt idx="142">
                  <c:v>10.95</c:v>
                </c:pt>
                <c:pt idx="143">
                  <c:v>11.12</c:v>
                </c:pt>
                <c:pt idx="144">
                  <c:v>11.1</c:v>
                </c:pt>
                <c:pt idx="145">
                  <c:v>11.3</c:v>
                </c:pt>
                <c:pt idx="146">
                  <c:v>11.225</c:v>
                </c:pt>
                <c:pt idx="147">
                  <c:v>11.357143000000001</c:v>
                </c:pt>
                <c:pt idx="148">
                  <c:v>11.3375</c:v>
                </c:pt>
                <c:pt idx="149">
                  <c:v>11.566667000000001</c:v>
                </c:pt>
                <c:pt idx="150">
                  <c:v>11.58</c:v>
                </c:pt>
                <c:pt idx="151">
                  <c:v>11.62</c:v>
                </c:pt>
                <c:pt idx="152">
                  <c:v>11.566667000000001</c:v>
                </c:pt>
                <c:pt idx="153">
                  <c:v>11.7</c:v>
                </c:pt>
                <c:pt idx="154">
                  <c:v>11.7</c:v>
                </c:pt>
                <c:pt idx="155">
                  <c:v>11.86</c:v>
                </c:pt>
                <c:pt idx="156">
                  <c:v>11.666667</c:v>
                </c:pt>
                <c:pt idx="157">
                  <c:v>11.833333</c:v>
                </c:pt>
                <c:pt idx="158">
                  <c:v>11.6</c:v>
                </c:pt>
                <c:pt idx="159">
                  <c:v>11.6</c:v>
                </c:pt>
                <c:pt idx="160">
                  <c:v>11.5</c:v>
                </c:pt>
                <c:pt idx="161">
                  <c:v>11.516667</c:v>
                </c:pt>
                <c:pt idx="162">
                  <c:v>11.633333</c:v>
                </c:pt>
                <c:pt idx="163">
                  <c:v>11.824999999999999</c:v>
                </c:pt>
                <c:pt idx="164">
                  <c:v>11.64</c:v>
                </c:pt>
                <c:pt idx="165">
                  <c:v>11.555555999999999</c:v>
                </c:pt>
                <c:pt idx="166">
                  <c:v>11.668749999999999</c:v>
                </c:pt>
                <c:pt idx="167">
                  <c:v>11.614286</c:v>
                </c:pt>
                <c:pt idx="168">
                  <c:v>11.607143000000001</c:v>
                </c:pt>
                <c:pt idx="169">
                  <c:v>11.36</c:v>
                </c:pt>
                <c:pt idx="170">
                  <c:v>11.47</c:v>
                </c:pt>
                <c:pt idx="171">
                  <c:v>11.27</c:v>
                </c:pt>
                <c:pt idx="172">
                  <c:v>11.223077</c:v>
                </c:pt>
                <c:pt idx="173">
                  <c:v>11.027272999999999</c:v>
                </c:pt>
                <c:pt idx="174">
                  <c:v>10.983333</c:v>
                </c:pt>
                <c:pt idx="175">
                  <c:v>10.988889</c:v>
                </c:pt>
                <c:pt idx="176">
                  <c:v>10.95</c:v>
                </c:pt>
                <c:pt idx="177">
                  <c:v>10.533333000000001</c:v>
                </c:pt>
                <c:pt idx="178">
                  <c:v>10.666667</c:v>
                </c:pt>
                <c:pt idx="179">
                  <c:v>10.86</c:v>
                </c:pt>
                <c:pt idx="180">
                  <c:v>10.6</c:v>
                </c:pt>
                <c:pt idx="181">
                  <c:v>11.0375</c:v>
                </c:pt>
                <c:pt idx="182">
                  <c:v>10.88</c:v>
                </c:pt>
                <c:pt idx="183">
                  <c:v>11.02</c:v>
                </c:pt>
                <c:pt idx="184">
                  <c:v>11.12</c:v>
                </c:pt>
                <c:pt idx="185">
                  <c:v>11.154545000000001</c:v>
                </c:pt>
                <c:pt idx="186">
                  <c:v>11.32</c:v>
                </c:pt>
                <c:pt idx="187">
                  <c:v>11.375</c:v>
                </c:pt>
                <c:pt idx="188">
                  <c:v>11.45</c:v>
                </c:pt>
                <c:pt idx="189">
                  <c:v>11.336364</c:v>
                </c:pt>
                <c:pt idx="190">
                  <c:v>11.2</c:v>
                </c:pt>
                <c:pt idx="191">
                  <c:v>11.3</c:v>
                </c:pt>
                <c:pt idx="192">
                  <c:v>11.214286</c:v>
                </c:pt>
                <c:pt idx="193">
                  <c:v>11.183332999999999</c:v>
                </c:pt>
                <c:pt idx="194">
                  <c:v>11.1</c:v>
                </c:pt>
                <c:pt idx="195">
                  <c:v>11.4</c:v>
                </c:pt>
                <c:pt idx="196">
                  <c:v>10.5</c:v>
                </c:pt>
                <c:pt idx="197">
                  <c:v>10.7</c:v>
                </c:pt>
                <c:pt idx="198">
                  <c:v>10.9</c:v>
                </c:pt>
                <c:pt idx="199">
                  <c:v>10.833333</c:v>
                </c:pt>
                <c:pt idx="200">
                  <c:v>10.5</c:v>
                </c:pt>
                <c:pt idx="201">
                  <c:v>11.088889</c:v>
                </c:pt>
                <c:pt idx="202">
                  <c:v>11.071429</c:v>
                </c:pt>
                <c:pt idx="203">
                  <c:v>11.271428999999999</c:v>
                </c:pt>
                <c:pt idx="204">
                  <c:v>11.341666999999999</c:v>
                </c:pt>
                <c:pt idx="205">
                  <c:v>11.53</c:v>
                </c:pt>
                <c:pt idx="206">
                  <c:v>11.64</c:v>
                </c:pt>
                <c:pt idx="207">
                  <c:v>11.6</c:v>
                </c:pt>
                <c:pt idx="208">
                  <c:v>11.733333</c:v>
                </c:pt>
                <c:pt idx="209">
                  <c:v>11.688889</c:v>
                </c:pt>
                <c:pt idx="210">
                  <c:v>11.75</c:v>
                </c:pt>
                <c:pt idx="211">
                  <c:v>11.62</c:v>
                </c:pt>
                <c:pt idx="212">
                  <c:v>11.72</c:v>
                </c:pt>
                <c:pt idx="213">
                  <c:v>11.9</c:v>
                </c:pt>
                <c:pt idx="214">
                  <c:v>11.975</c:v>
                </c:pt>
                <c:pt idx="215">
                  <c:v>12.05</c:v>
                </c:pt>
                <c:pt idx="216">
                  <c:v>11.987500000000001</c:v>
                </c:pt>
                <c:pt idx="217">
                  <c:v>12.185714000000001</c:v>
                </c:pt>
                <c:pt idx="218">
                  <c:v>12.107692</c:v>
                </c:pt>
                <c:pt idx="219">
                  <c:v>12.14</c:v>
                </c:pt>
                <c:pt idx="220">
                  <c:v>12.08</c:v>
                </c:pt>
                <c:pt idx="221">
                  <c:v>12.31</c:v>
                </c:pt>
                <c:pt idx="222">
                  <c:v>12.46</c:v>
                </c:pt>
                <c:pt idx="223">
                  <c:v>12.314285999999999</c:v>
                </c:pt>
                <c:pt idx="224">
                  <c:v>12.38</c:v>
                </c:pt>
                <c:pt idx="225">
                  <c:v>12.322222</c:v>
                </c:pt>
                <c:pt idx="226">
                  <c:v>12.35</c:v>
                </c:pt>
                <c:pt idx="227">
                  <c:v>12.366667</c:v>
                </c:pt>
                <c:pt idx="228">
                  <c:v>12.4</c:v>
                </c:pt>
                <c:pt idx="229">
                  <c:v>11.975</c:v>
                </c:pt>
                <c:pt idx="230">
                  <c:v>12.066667000000001</c:v>
                </c:pt>
                <c:pt idx="231">
                  <c:v>11.86</c:v>
                </c:pt>
                <c:pt idx="232">
                  <c:v>11.99</c:v>
                </c:pt>
                <c:pt idx="233">
                  <c:v>11.857143000000001</c:v>
                </c:pt>
                <c:pt idx="234">
                  <c:v>11.8</c:v>
                </c:pt>
                <c:pt idx="235">
                  <c:v>11.685714000000001</c:v>
                </c:pt>
                <c:pt idx="236">
                  <c:v>11.922222</c:v>
                </c:pt>
                <c:pt idx="237">
                  <c:v>11.807691999999999</c:v>
                </c:pt>
                <c:pt idx="238">
                  <c:v>11.666667</c:v>
                </c:pt>
                <c:pt idx="239">
                  <c:v>11.85</c:v>
                </c:pt>
                <c:pt idx="240">
                  <c:v>11.827273</c:v>
                </c:pt>
                <c:pt idx="241">
                  <c:v>11.8375</c:v>
                </c:pt>
                <c:pt idx="242">
                  <c:v>11.8125</c:v>
                </c:pt>
                <c:pt idx="243">
                  <c:v>11.883333</c:v>
                </c:pt>
                <c:pt idx="244">
                  <c:v>12.066667000000001</c:v>
                </c:pt>
                <c:pt idx="245">
                  <c:v>12.05</c:v>
                </c:pt>
                <c:pt idx="246">
                  <c:v>12.4</c:v>
                </c:pt>
                <c:pt idx="247">
                  <c:v>11.8</c:v>
                </c:pt>
                <c:pt idx="248">
                  <c:v>12.1</c:v>
                </c:pt>
                <c:pt idx="249">
                  <c:v>12.15</c:v>
                </c:pt>
                <c:pt idx="250">
                  <c:v>12.25</c:v>
                </c:pt>
                <c:pt idx="251">
                  <c:v>12.24</c:v>
                </c:pt>
                <c:pt idx="252">
                  <c:v>12.285714</c:v>
                </c:pt>
                <c:pt idx="253">
                  <c:v>12.233333</c:v>
                </c:pt>
                <c:pt idx="254">
                  <c:v>12.27</c:v>
                </c:pt>
                <c:pt idx="255">
                  <c:v>12.136364</c:v>
                </c:pt>
                <c:pt idx="256">
                  <c:v>12.3375</c:v>
                </c:pt>
                <c:pt idx="257">
                  <c:v>12.4375</c:v>
                </c:pt>
                <c:pt idx="258">
                  <c:v>12.314285999999999</c:v>
                </c:pt>
                <c:pt idx="259">
                  <c:v>12.383333</c:v>
                </c:pt>
                <c:pt idx="260">
                  <c:v>12.44</c:v>
                </c:pt>
                <c:pt idx="261">
                  <c:v>12.42</c:v>
                </c:pt>
                <c:pt idx="262">
                  <c:v>12.45</c:v>
                </c:pt>
                <c:pt idx="263">
                  <c:v>12.3</c:v>
                </c:pt>
                <c:pt idx="264">
                  <c:v>12.4</c:v>
                </c:pt>
                <c:pt idx="265">
                  <c:v>12.1</c:v>
                </c:pt>
                <c:pt idx="266">
                  <c:v>12.15</c:v>
                </c:pt>
                <c:pt idx="267">
                  <c:v>12.175000000000001</c:v>
                </c:pt>
                <c:pt idx="268">
                  <c:v>12.125</c:v>
                </c:pt>
                <c:pt idx="269">
                  <c:v>12.042857</c:v>
                </c:pt>
                <c:pt idx="270">
                  <c:v>11.95</c:v>
                </c:pt>
                <c:pt idx="271">
                  <c:v>12.1</c:v>
                </c:pt>
                <c:pt idx="272">
                  <c:v>11.9</c:v>
                </c:pt>
                <c:pt idx="273">
                  <c:v>12</c:v>
                </c:pt>
                <c:pt idx="274">
                  <c:v>11.99</c:v>
                </c:pt>
                <c:pt idx="275">
                  <c:v>11.925000000000001</c:v>
                </c:pt>
                <c:pt idx="276">
                  <c:v>11.95</c:v>
                </c:pt>
                <c:pt idx="277">
                  <c:v>11.95</c:v>
                </c:pt>
                <c:pt idx="278">
                  <c:v>11.9</c:v>
                </c:pt>
                <c:pt idx="279">
                  <c:v>12.066667000000001</c:v>
                </c:pt>
                <c:pt idx="280">
                  <c:v>12.2</c:v>
                </c:pt>
                <c:pt idx="281">
                  <c:v>11.985714</c:v>
                </c:pt>
                <c:pt idx="282">
                  <c:v>12.6</c:v>
                </c:pt>
                <c:pt idx="283">
                  <c:v>12.083333</c:v>
                </c:pt>
                <c:pt idx="284">
                  <c:v>11.683332999999999</c:v>
                </c:pt>
                <c:pt idx="285">
                  <c:v>12.118181999999999</c:v>
                </c:pt>
                <c:pt idx="286">
                  <c:v>11.977778000000001</c:v>
                </c:pt>
                <c:pt idx="287">
                  <c:v>11.966666999999999</c:v>
                </c:pt>
                <c:pt idx="288">
                  <c:v>12.244444</c:v>
                </c:pt>
                <c:pt idx="289">
                  <c:v>12.07</c:v>
                </c:pt>
                <c:pt idx="290">
                  <c:v>12.163636</c:v>
                </c:pt>
                <c:pt idx="291">
                  <c:v>12.22</c:v>
                </c:pt>
                <c:pt idx="292">
                  <c:v>12.35</c:v>
                </c:pt>
                <c:pt idx="293">
                  <c:v>12.35</c:v>
                </c:pt>
                <c:pt idx="294">
                  <c:v>12.4</c:v>
                </c:pt>
                <c:pt idx="295">
                  <c:v>12.6</c:v>
                </c:pt>
                <c:pt idx="296">
                  <c:v>12.366667</c:v>
                </c:pt>
                <c:pt idx="297">
                  <c:v>11.824999999999999</c:v>
                </c:pt>
                <c:pt idx="298">
                  <c:v>11.955556</c:v>
                </c:pt>
                <c:pt idx="299">
                  <c:v>11.82</c:v>
                </c:pt>
                <c:pt idx="300">
                  <c:v>11.75</c:v>
                </c:pt>
                <c:pt idx="301">
                  <c:v>11.775</c:v>
                </c:pt>
                <c:pt idx="302">
                  <c:v>11.77</c:v>
                </c:pt>
                <c:pt idx="303">
                  <c:v>11.833333</c:v>
                </c:pt>
                <c:pt idx="304">
                  <c:v>11.909091</c:v>
                </c:pt>
                <c:pt idx="305">
                  <c:v>11.878571000000001</c:v>
                </c:pt>
                <c:pt idx="306">
                  <c:v>11.971429000000001</c:v>
                </c:pt>
                <c:pt idx="307">
                  <c:v>11.842857</c:v>
                </c:pt>
                <c:pt idx="308">
                  <c:v>11.94</c:v>
                </c:pt>
                <c:pt idx="309">
                  <c:v>11.894444</c:v>
                </c:pt>
                <c:pt idx="310">
                  <c:v>11.8375</c:v>
                </c:pt>
                <c:pt idx="311">
                  <c:v>12</c:v>
                </c:pt>
                <c:pt idx="312">
                  <c:v>11.7</c:v>
                </c:pt>
                <c:pt idx="313">
                  <c:v>12.05</c:v>
                </c:pt>
                <c:pt idx="314">
                  <c:v>11.76</c:v>
                </c:pt>
                <c:pt idx="315">
                  <c:v>11.666667</c:v>
                </c:pt>
                <c:pt idx="316">
                  <c:v>11.770588</c:v>
                </c:pt>
                <c:pt idx="317">
                  <c:v>11.705556</c:v>
                </c:pt>
                <c:pt idx="318">
                  <c:v>11.793103</c:v>
                </c:pt>
                <c:pt idx="319">
                  <c:v>11.804167</c:v>
                </c:pt>
                <c:pt idx="320">
                  <c:v>11.848276</c:v>
                </c:pt>
                <c:pt idx="321">
                  <c:v>11.926667</c:v>
                </c:pt>
                <c:pt idx="322">
                  <c:v>11.818182</c:v>
                </c:pt>
                <c:pt idx="323">
                  <c:v>11.888235</c:v>
                </c:pt>
                <c:pt idx="324">
                  <c:v>11.9</c:v>
                </c:pt>
                <c:pt idx="325">
                  <c:v>11.96</c:v>
                </c:pt>
                <c:pt idx="326">
                  <c:v>12.012499999999999</c:v>
                </c:pt>
                <c:pt idx="327">
                  <c:v>12.1</c:v>
                </c:pt>
                <c:pt idx="328">
                  <c:v>12.35</c:v>
                </c:pt>
                <c:pt idx="329">
                  <c:v>11.6</c:v>
                </c:pt>
                <c:pt idx="330">
                  <c:v>11.8</c:v>
                </c:pt>
                <c:pt idx="331">
                  <c:v>11.5</c:v>
                </c:pt>
                <c:pt idx="332">
                  <c:v>11.714286</c:v>
                </c:pt>
                <c:pt idx="333">
                  <c:v>11.621428999999999</c:v>
                </c:pt>
                <c:pt idx="334">
                  <c:v>11.694118</c:v>
                </c:pt>
                <c:pt idx="335">
                  <c:v>11.658333000000001</c:v>
                </c:pt>
                <c:pt idx="336">
                  <c:v>11.574999999999999</c:v>
                </c:pt>
                <c:pt idx="337">
                  <c:v>11.806666999999999</c:v>
                </c:pt>
                <c:pt idx="338">
                  <c:v>11.7</c:v>
                </c:pt>
                <c:pt idx="339">
                  <c:v>11.69</c:v>
                </c:pt>
                <c:pt idx="340">
                  <c:v>11.8</c:v>
                </c:pt>
                <c:pt idx="341">
                  <c:v>11.688889</c:v>
                </c:pt>
                <c:pt idx="342">
                  <c:v>11.75</c:v>
                </c:pt>
                <c:pt idx="343">
                  <c:v>11.7</c:v>
                </c:pt>
                <c:pt idx="344">
                  <c:v>12.2</c:v>
                </c:pt>
                <c:pt idx="345">
                  <c:v>12.35</c:v>
                </c:pt>
                <c:pt idx="346">
                  <c:v>12.05</c:v>
                </c:pt>
                <c:pt idx="347">
                  <c:v>11.82</c:v>
                </c:pt>
                <c:pt idx="348">
                  <c:v>11.807143</c:v>
                </c:pt>
                <c:pt idx="349">
                  <c:v>11.769231</c:v>
                </c:pt>
                <c:pt idx="350">
                  <c:v>12.117391</c:v>
                </c:pt>
                <c:pt idx="351">
                  <c:v>11.972727000000001</c:v>
                </c:pt>
                <c:pt idx="352">
                  <c:v>12.22</c:v>
                </c:pt>
                <c:pt idx="353">
                  <c:v>12.258333</c:v>
                </c:pt>
                <c:pt idx="354">
                  <c:v>12.278570999999999</c:v>
                </c:pt>
                <c:pt idx="355">
                  <c:v>12.37</c:v>
                </c:pt>
                <c:pt idx="356">
                  <c:v>12.354545</c:v>
                </c:pt>
                <c:pt idx="357">
                  <c:v>12.46</c:v>
                </c:pt>
                <c:pt idx="358">
                  <c:v>12.366667</c:v>
                </c:pt>
                <c:pt idx="359">
                  <c:v>12.5</c:v>
                </c:pt>
                <c:pt idx="360">
                  <c:v>12.4</c:v>
                </c:pt>
                <c:pt idx="361">
                  <c:v>11.9</c:v>
                </c:pt>
                <c:pt idx="362">
                  <c:v>12.14</c:v>
                </c:pt>
                <c:pt idx="363">
                  <c:v>12.223077</c:v>
                </c:pt>
                <c:pt idx="364">
                  <c:v>11.9</c:v>
                </c:pt>
                <c:pt idx="365">
                  <c:v>11.856757</c:v>
                </c:pt>
                <c:pt idx="366">
                  <c:v>11.815384999999999</c:v>
                </c:pt>
                <c:pt idx="367">
                  <c:v>11.746874999999999</c:v>
                </c:pt>
                <c:pt idx="368">
                  <c:v>11.437931000000001</c:v>
                </c:pt>
                <c:pt idx="369">
                  <c:v>11.6</c:v>
                </c:pt>
                <c:pt idx="370">
                  <c:v>11.513953000000001</c:v>
                </c:pt>
                <c:pt idx="371">
                  <c:v>11.565</c:v>
                </c:pt>
                <c:pt idx="372">
                  <c:v>11.675000000000001</c:v>
                </c:pt>
                <c:pt idx="373">
                  <c:v>11.822222</c:v>
                </c:pt>
                <c:pt idx="374">
                  <c:v>11.807691999999999</c:v>
                </c:pt>
                <c:pt idx="375">
                  <c:v>11.88</c:v>
                </c:pt>
                <c:pt idx="376">
                  <c:v>11.7</c:v>
                </c:pt>
                <c:pt idx="377">
                  <c:v>12.2</c:v>
                </c:pt>
                <c:pt idx="378">
                  <c:v>11.533333000000001</c:v>
                </c:pt>
                <c:pt idx="379">
                  <c:v>11.9</c:v>
                </c:pt>
                <c:pt idx="380">
                  <c:v>12.028570999999999</c:v>
                </c:pt>
                <c:pt idx="381">
                  <c:v>12.05</c:v>
                </c:pt>
                <c:pt idx="382">
                  <c:v>11.938461999999999</c:v>
                </c:pt>
                <c:pt idx="383">
                  <c:v>12.057143</c:v>
                </c:pt>
                <c:pt idx="384">
                  <c:v>12.022221999999999</c:v>
                </c:pt>
                <c:pt idx="385">
                  <c:v>12.084614999999999</c:v>
                </c:pt>
                <c:pt idx="386">
                  <c:v>12.237931</c:v>
                </c:pt>
                <c:pt idx="387">
                  <c:v>12.148649000000001</c:v>
                </c:pt>
                <c:pt idx="388">
                  <c:v>12.047368000000001</c:v>
                </c:pt>
                <c:pt idx="389">
                  <c:v>12.179309999999999</c:v>
                </c:pt>
                <c:pt idx="390">
                  <c:v>12.279310000000001</c:v>
                </c:pt>
                <c:pt idx="391">
                  <c:v>12.261905</c:v>
                </c:pt>
                <c:pt idx="392">
                  <c:v>12.256522</c:v>
                </c:pt>
                <c:pt idx="393">
                  <c:v>12.341666999999999</c:v>
                </c:pt>
                <c:pt idx="394">
                  <c:v>12.411111</c:v>
                </c:pt>
                <c:pt idx="395">
                  <c:v>12.15</c:v>
                </c:pt>
                <c:pt idx="396">
                  <c:v>12.475</c:v>
                </c:pt>
                <c:pt idx="397">
                  <c:v>12.45</c:v>
                </c:pt>
                <c:pt idx="398">
                  <c:v>12.324999999999999</c:v>
                </c:pt>
                <c:pt idx="399">
                  <c:v>12.157143</c:v>
                </c:pt>
                <c:pt idx="400">
                  <c:v>12.263636</c:v>
                </c:pt>
                <c:pt idx="401">
                  <c:v>12.175000000000001</c:v>
                </c:pt>
                <c:pt idx="402">
                  <c:v>12.233333</c:v>
                </c:pt>
                <c:pt idx="403">
                  <c:v>11.984211</c:v>
                </c:pt>
                <c:pt idx="404">
                  <c:v>12.073077</c:v>
                </c:pt>
                <c:pt idx="405">
                  <c:v>12.008108</c:v>
                </c:pt>
                <c:pt idx="406">
                  <c:v>12.05625</c:v>
                </c:pt>
                <c:pt idx="407">
                  <c:v>12.025641</c:v>
                </c:pt>
                <c:pt idx="408">
                  <c:v>12.030435000000001</c:v>
                </c:pt>
                <c:pt idx="409">
                  <c:v>12.043333000000001</c:v>
                </c:pt>
                <c:pt idx="410">
                  <c:v>12.019444</c:v>
                </c:pt>
                <c:pt idx="411">
                  <c:v>11.99375</c:v>
                </c:pt>
                <c:pt idx="412">
                  <c:v>11.877357999999999</c:v>
                </c:pt>
                <c:pt idx="413">
                  <c:v>11.841176000000001</c:v>
                </c:pt>
                <c:pt idx="414">
                  <c:v>11.804762</c:v>
                </c:pt>
                <c:pt idx="415">
                  <c:v>11.8</c:v>
                </c:pt>
                <c:pt idx="416">
                  <c:v>11.85</c:v>
                </c:pt>
                <c:pt idx="417">
                  <c:v>11.9</c:v>
                </c:pt>
                <c:pt idx="418">
                  <c:v>11.7</c:v>
                </c:pt>
                <c:pt idx="419">
                  <c:v>11.64</c:v>
                </c:pt>
                <c:pt idx="420">
                  <c:v>11.8</c:v>
                </c:pt>
                <c:pt idx="421">
                  <c:v>11.418182</c:v>
                </c:pt>
                <c:pt idx="422">
                  <c:v>11.533333000000001</c:v>
                </c:pt>
                <c:pt idx="423">
                  <c:v>11.56875</c:v>
                </c:pt>
                <c:pt idx="424">
                  <c:v>11.696875</c:v>
                </c:pt>
                <c:pt idx="425">
                  <c:v>11.775</c:v>
                </c:pt>
                <c:pt idx="426">
                  <c:v>11.817143</c:v>
                </c:pt>
                <c:pt idx="427">
                  <c:v>11.865854000000001</c:v>
                </c:pt>
                <c:pt idx="428">
                  <c:v>11.895745</c:v>
                </c:pt>
                <c:pt idx="429">
                  <c:v>11.804167</c:v>
                </c:pt>
                <c:pt idx="430">
                  <c:v>11.802856999999999</c:v>
                </c:pt>
                <c:pt idx="431">
                  <c:v>11.853846000000001</c:v>
                </c:pt>
                <c:pt idx="432">
                  <c:v>12.002777999999999</c:v>
                </c:pt>
                <c:pt idx="433">
                  <c:v>12</c:v>
                </c:pt>
                <c:pt idx="434">
                  <c:v>12.135</c:v>
                </c:pt>
                <c:pt idx="435">
                  <c:v>11.987500000000001</c:v>
                </c:pt>
                <c:pt idx="436">
                  <c:v>11.85</c:v>
                </c:pt>
                <c:pt idx="437">
                  <c:v>11.6</c:v>
                </c:pt>
                <c:pt idx="438">
                  <c:v>12.4</c:v>
                </c:pt>
                <c:pt idx="439">
                  <c:v>11.675000000000001</c:v>
                </c:pt>
                <c:pt idx="440">
                  <c:v>11.95</c:v>
                </c:pt>
                <c:pt idx="441">
                  <c:v>11.733333</c:v>
                </c:pt>
                <c:pt idx="442">
                  <c:v>11.336364</c:v>
                </c:pt>
                <c:pt idx="443">
                  <c:v>11.4</c:v>
                </c:pt>
                <c:pt idx="444">
                  <c:v>11.45</c:v>
                </c:pt>
                <c:pt idx="445">
                  <c:v>11.407143</c:v>
                </c:pt>
                <c:pt idx="446">
                  <c:v>11.295833</c:v>
                </c:pt>
                <c:pt idx="447">
                  <c:v>11.308695999999999</c:v>
                </c:pt>
                <c:pt idx="448">
                  <c:v>11.119230999999999</c:v>
                </c:pt>
                <c:pt idx="449">
                  <c:v>11.115556</c:v>
                </c:pt>
                <c:pt idx="450">
                  <c:v>11.115909</c:v>
                </c:pt>
                <c:pt idx="451">
                  <c:v>11.010417</c:v>
                </c:pt>
                <c:pt idx="452">
                  <c:v>10.987500000000001</c:v>
                </c:pt>
                <c:pt idx="453">
                  <c:v>11.072414</c:v>
                </c:pt>
                <c:pt idx="454">
                  <c:v>10.866667</c:v>
                </c:pt>
                <c:pt idx="455">
                  <c:v>11.124000000000001</c:v>
                </c:pt>
                <c:pt idx="456">
                  <c:v>11.215788999999999</c:v>
                </c:pt>
                <c:pt idx="457">
                  <c:v>11.15</c:v>
                </c:pt>
                <c:pt idx="458">
                  <c:v>11.333333</c:v>
                </c:pt>
                <c:pt idx="459">
                  <c:v>11.45</c:v>
                </c:pt>
                <c:pt idx="460">
                  <c:v>11.45</c:v>
                </c:pt>
                <c:pt idx="461">
                  <c:v>11.414286000000001</c:v>
                </c:pt>
                <c:pt idx="462">
                  <c:v>11.354545</c:v>
                </c:pt>
                <c:pt idx="463">
                  <c:v>11.383333</c:v>
                </c:pt>
                <c:pt idx="464">
                  <c:v>11.415789</c:v>
                </c:pt>
                <c:pt idx="465">
                  <c:v>11.458</c:v>
                </c:pt>
                <c:pt idx="466">
                  <c:v>11.509444</c:v>
                </c:pt>
                <c:pt idx="467">
                  <c:v>11.54</c:v>
                </c:pt>
                <c:pt idx="468">
                  <c:v>11.6625</c:v>
                </c:pt>
                <c:pt idx="469">
                  <c:v>11.5906</c:v>
                </c:pt>
                <c:pt idx="470">
                  <c:v>11.516852</c:v>
                </c:pt>
                <c:pt idx="471">
                  <c:v>11.370926000000001</c:v>
                </c:pt>
                <c:pt idx="472">
                  <c:v>11.375769</c:v>
                </c:pt>
                <c:pt idx="473">
                  <c:v>11.512544999999999</c:v>
                </c:pt>
                <c:pt idx="474">
                  <c:v>11.492093000000001</c:v>
                </c:pt>
                <c:pt idx="475">
                  <c:v>11.514250000000001</c:v>
                </c:pt>
                <c:pt idx="476">
                  <c:v>11.602683000000001</c:v>
                </c:pt>
                <c:pt idx="477">
                  <c:v>11.653714000000001</c:v>
                </c:pt>
                <c:pt idx="478">
                  <c:v>11.871923000000001</c:v>
                </c:pt>
                <c:pt idx="479">
                  <c:v>11.921923</c:v>
                </c:pt>
                <c:pt idx="480">
                  <c:v>11.957143</c:v>
                </c:pt>
                <c:pt idx="481">
                  <c:v>12.1</c:v>
                </c:pt>
                <c:pt idx="482">
                  <c:v>12</c:v>
                </c:pt>
                <c:pt idx="483">
                  <c:v>11.9</c:v>
                </c:pt>
                <c:pt idx="484">
                  <c:v>11.333333</c:v>
                </c:pt>
                <c:pt idx="485">
                  <c:v>11.072727</c:v>
                </c:pt>
                <c:pt idx="486">
                  <c:v>10.889474</c:v>
                </c:pt>
                <c:pt idx="487">
                  <c:v>10.584</c:v>
                </c:pt>
                <c:pt idx="488">
                  <c:v>10.577778</c:v>
                </c:pt>
                <c:pt idx="489">
                  <c:v>10.554285999999999</c:v>
                </c:pt>
                <c:pt idx="490">
                  <c:v>10.47931</c:v>
                </c:pt>
                <c:pt idx="491">
                  <c:v>10.432499999999999</c:v>
                </c:pt>
                <c:pt idx="492">
                  <c:v>10.368518999999999</c:v>
                </c:pt>
                <c:pt idx="493">
                  <c:v>10.397436000000001</c:v>
                </c:pt>
                <c:pt idx="494">
                  <c:v>10.338635999999999</c:v>
                </c:pt>
                <c:pt idx="495">
                  <c:v>10.276923</c:v>
                </c:pt>
                <c:pt idx="496">
                  <c:v>10.243137000000001</c:v>
                </c:pt>
                <c:pt idx="497">
                  <c:v>10.158333000000001</c:v>
                </c:pt>
                <c:pt idx="498">
                  <c:v>10.169110999999999</c:v>
                </c:pt>
                <c:pt idx="499">
                  <c:v>10.171429</c:v>
                </c:pt>
                <c:pt idx="500">
                  <c:v>10.119999999999999</c:v>
                </c:pt>
                <c:pt idx="501">
                  <c:v>10.06</c:v>
                </c:pt>
                <c:pt idx="502">
                  <c:v>10.16</c:v>
                </c:pt>
                <c:pt idx="503">
                  <c:v>10.014286</c:v>
                </c:pt>
                <c:pt idx="504">
                  <c:v>9.9499999999999993</c:v>
                </c:pt>
                <c:pt idx="505">
                  <c:v>10.057143</c:v>
                </c:pt>
                <c:pt idx="506">
                  <c:v>9.9250000000000007</c:v>
                </c:pt>
                <c:pt idx="507">
                  <c:v>10.023529</c:v>
                </c:pt>
                <c:pt idx="508">
                  <c:v>10.057143</c:v>
                </c:pt>
                <c:pt idx="509">
                  <c:v>10.185</c:v>
                </c:pt>
                <c:pt idx="510">
                  <c:v>10.199999999999999</c:v>
                </c:pt>
                <c:pt idx="511">
                  <c:v>10.15</c:v>
                </c:pt>
                <c:pt idx="512">
                  <c:v>10.172000000000001</c:v>
                </c:pt>
                <c:pt idx="513">
                  <c:v>10.218420999999999</c:v>
                </c:pt>
                <c:pt idx="514">
                  <c:v>10.286047</c:v>
                </c:pt>
                <c:pt idx="515">
                  <c:v>10.262045000000001</c:v>
                </c:pt>
                <c:pt idx="516">
                  <c:v>10.242292000000001</c:v>
                </c:pt>
                <c:pt idx="517">
                  <c:v>10.258824000000001</c:v>
                </c:pt>
                <c:pt idx="518">
                  <c:v>10.275</c:v>
                </c:pt>
                <c:pt idx="519">
                  <c:v>10.2576</c:v>
                </c:pt>
                <c:pt idx="520">
                  <c:v>10.231999999999999</c:v>
                </c:pt>
                <c:pt idx="521">
                  <c:v>10.255599999999999</c:v>
                </c:pt>
                <c:pt idx="522">
                  <c:v>10.307143</c:v>
                </c:pt>
                <c:pt idx="523">
                  <c:v>10.271428999999999</c:v>
                </c:pt>
                <c:pt idx="524">
                  <c:v>10.5625</c:v>
                </c:pt>
                <c:pt idx="525">
                  <c:v>10.76</c:v>
                </c:pt>
                <c:pt idx="526">
                  <c:v>10.625</c:v>
                </c:pt>
                <c:pt idx="527">
                  <c:v>10.4</c:v>
                </c:pt>
                <c:pt idx="528">
                  <c:v>10.476471</c:v>
                </c:pt>
                <c:pt idx="529">
                  <c:v>11.266667</c:v>
                </c:pt>
                <c:pt idx="530">
                  <c:v>11.531579000000001</c:v>
                </c:pt>
                <c:pt idx="531">
                  <c:v>11.633333</c:v>
                </c:pt>
                <c:pt idx="532">
                  <c:v>11.785714</c:v>
                </c:pt>
                <c:pt idx="533">
                  <c:v>11.751666999999999</c:v>
                </c:pt>
                <c:pt idx="534">
                  <c:v>11.734883999999999</c:v>
                </c:pt>
                <c:pt idx="535">
                  <c:v>11.729167</c:v>
                </c:pt>
                <c:pt idx="536">
                  <c:v>11.669193999999999</c:v>
                </c:pt>
                <c:pt idx="537">
                  <c:v>11.641802999999999</c:v>
                </c:pt>
                <c:pt idx="538">
                  <c:v>11.023913</c:v>
                </c:pt>
                <c:pt idx="539">
                  <c:v>10.911296</c:v>
                </c:pt>
                <c:pt idx="540">
                  <c:v>10.983276</c:v>
                </c:pt>
                <c:pt idx="541">
                  <c:v>11.091136000000001</c:v>
                </c:pt>
                <c:pt idx="542">
                  <c:v>10.916176</c:v>
                </c:pt>
                <c:pt idx="543">
                  <c:v>10.842646999999999</c:v>
                </c:pt>
                <c:pt idx="544">
                  <c:v>10.797586000000001</c:v>
                </c:pt>
                <c:pt idx="545">
                  <c:v>10.827999999999999</c:v>
                </c:pt>
                <c:pt idx="546">
                  <c:v>10.987500000000001</c:v>
                </c:pt>
                <c:pt idx="547">
                  <c:v>11.033333000000001</c:v>
                </c:pt>
                <c:pt idx="548">
                  <c:v>11.142856999999999</c:v>
                </c:pt>
                <c:pt idx="549">
                  <c:v>11</c:v>
                </c:pt>
                <c:pt idx="550">
                  <c:v>11.1525</c:v>
                </c:pt>
                <c:pt idx="551">
                  <c:v>11.18</c:v>
                </c:pt>
                <c:pt idx="552">
                  <c:v>11.083226</c:v>
                </c:pt>
                <c:pt idx="553">
                  <c:v>10.923913000000001</c:v>
                </c:pt>
                <c:pt idx="554">
                  <c:v>10.896070999999999</c:v>
                </c:pt>
                <c:pt idx="555">
                  <c:v>10.923793</c:v>
                </c:pt>
                <c:pt idx="556">
                  <c:v>10.980816000000001</c:v>
                </c:pt>
                <c:pt idx="557">
                  <c:v>11.056207000000001</c:v>
                </c:pt>
                <c:pt idx="558">
                  <c:v>11.016406</c:v>
                </c:pt>
                <c:pt idx="559">
                  <c:v>10.776471000000001</c:v>
                </c:pt>
                <c:pt idx="560">
                  <c:v>10.989305999999999</c:v>
                </c:pt>
                <c:pt idx="561">
                  <c:v>11.042536999999999</c:v>
                </c:pt>
                <c:pt idx="562">
                  <c:v>11.231999999999999</c:v>
                </c:pt>
                <c:pt idx="563">
                  <c:v>11.257679</c:v>
                </c:pt>
                <c:pt idx="564">
                  <c:v>11.295405000000001</c:v>
                </c:pt>
                <c:pt idx="565">
                  <c:v>11.428571</c:v>
                </c:pt>
                <c:pt idx="566">
                  <c:v>11.6</c:v>
                </c:pt>
                <c:pt idx="567">
                  <c:v>11.503939000000001</c:v>
                </c:pt>
                <c:pt idx="568">
                  <c:v>11.6625</c:v>
                </c:pt>
                <c:pt idx="569">
                  <c:v>11.8</c:v>
                </c:pt>
                <c:pt idx="570">
                  <c:v>11.65</c:v>
                </c:pt>
                <c:pt idx="571">
                  <c:v>11.98</c:v>
                </c:pt>
                <c:pt idx="572">
                  <c:v>11.918182</c:v>
                </c:pt>
                <c:pt idx="573">
                  <c:v>12.043749999999999</c:v>
                </c:pt>
                <c:pt idx="574">
                  <c:v>12.1</c:v>
                </c:pt>
                <c:pt idx="575">
                  <c:v>12.171429</c:v>
                </c:pt>
                <c:pt idx="576">
                  <c:v>12.286364000000001</c:v>
                </c:pt>
                <c:pt idx="577">
                  <c:v>12.313207999999999</c:v>
                </c:pt>
                <c:pt idx="578">
                  <c:v>12.269643</c:v>
                </c:pt>
                <c:pt idx="579">
                  <c:v>12.386066</c:v>
                </c:pt>
                <c:pt idx="580">
                  <c:v>12.322464</c:v>
                </c:pt>
                <c:pt idx="581">
                  <c:v>12.294521</c:v>
                </c:pt>
                <c:pt idx="582">
                  <c:v>12.171697999999999</c:v>
                </c:pt>
                <c:pt idx="583">
                  <c:v>12.254716999999999</c:v>
                </c:pt>
                <c:pt idx="584">
                  <c:v>12.228889000000001</c:v>
                </c:pt>
                <c:pt idx="585">
                  <c:v>12.166364</c:v>
                </c:pt>
                <c:pt idx="586">
                  <c:v>12.119355000000001</c:v>
                </c:pt>
                <c:pt idx="587">
                  <c:v>12.137499999999999</c:v>
                </c:pt>
                <c:pt idx="588">
                  <c:v>12.111110999999999</c:v>
                </c:pt>
                <c:pt idx="589">
                  <c:v>12.146667000000001</c:v>
                </c:pt>
                <c:pt idx="590">
                  <c:v>11.942857</c:v>
                </c:pt>
                <c:pt idx="591">
                  <c:v>11.771428999999999</c:v>
                </c:pt>
                <c:pt idx="592">
                  <c:v>11.9</c:v>
                </c:pt>
                <c:pt idx="593">
                  <c:v>11.957143</c:v>
                </c:pt>
                <c:pt idx="594">
                  <c:v>11.785714</c:v>
                </c:pt>
                <c:pt idx="595">
                  <c:v>11.975</c:v>
                </c:pt>
                <c:pt idx="596">
                  <c:v>11.890909000000001</c:v>
                </c:pt>
                <c:pt idx="597">
                  <c:v>11.7468</c:v>
                </c:pt>
                <c:pt idx="598">
                  <c:v>11.712726999999999</c:v>
                </c:pt>
                <c:pt idx="599">
                  <c:v>11.783607</c:v>
                </c:pt>
                <c:pt idx="600">
                  <c:v>11.761486</c:v>
                </c:pt>
                <c:pt idx="601">
                  <c:v>11.782278</c:v>
                </c:pt>
                <c:pt idx="602">
                  <c:v>11.846104</c:v>
                </c:pt>
                <c:pt idx="603">
                  <c:v>11.826415000000001</c:v>
                </c:pt>
                <c:pt idx="604">
                  <c:v>11.834058000000001</c:v>
                </c:pt>
                <c:pt idx="605">
                  <c:v>11.928409</c:v>
                </c:pt>
                <c:pt idx="606">
                  <c:v>11.924576</c:v>
                </c:pt>
                <c:pt idx="607">
                  <c:v>11.95</c:v>
                </c:pt>
                <c:pt idx="608">
                  <c:v>11.963542</c:v>
                </c:pt>
                <c:pt idx="609">
                  <c:v>12.074074</c:v>
                </c:pt>
                <c:pt idx="610">
                  <c:v>12.053571</c:v>
                </c:pt>
                <c:pt idx="611">
                  <c:v>12.023683999999999</c:v>
                </c:pt>
                <c:pt idx="612">
                  <c:v>12.09</c:v>
                </c:pt>
                <c:pt idx="613">
                  <c:v>11.914286000000001</c:v>
                </c:pt>
                <c:pt idx="614">
                  <c:v>12.14</c:v>
                </c:pt>
                <c:pt idx="615">
                  <c:v>12.25</c:v>
                </c:pt>
                <c:pt idx="616">
                  <c:v>12.1</c:v>
                </c:pt>
                <c:pt idx="617">
                  <c:v>12.353332999999999</c:v>
                </c:pt>
                <c:pt idx="618">
                  <c:v>12.375</c:v>
                </c:pt>
                <c:pt idx="619">
                  <c:v>12.33</c:v>
                </c:pt>
                <c:pt idx="620">
                  <c:v>12.372059</c:v>
                </c:pt>
                <c:pt idx="621">
                  <c:v>12.669354999999999</c:v>
                </c:pt>
                <c:pt idx="622">
                  <c:v>12.681578999999999</c:v>
                </c:pt>
                <c:pt idx="623">
                  <c:v>12.681666999999999</c:v>
                </c:pt>
                <c:pt idx="624">
                  <c:v>12.614545</c:v>
                </c:pt>
                <c:pt idx="625">
                  <c:v>12.703191</c:v>
                </c:pt>
                <c:pt idx="626">
                  <c:v>12.786885</c:v>
                </c:pt>
                <c:pt idx="627">
                  <c:v>12.588234999999999</c:v>
                </c:pt>
                <c:pt idx="628">
                  <c:v>12.554309999999999</c:v>
                </c:pt>
                <c:pt idx="629">
                  <c:v>12.506061000000001</c:v>
                </c:pt>
                <c:pt idx="630">
                  <c:v>12.454717</c:v>
                </c:pt>
                <c:pt idx="631">
                  <c:v>12.58</c:v>
                </c:pt>
                <c:pt idx="632">
                  <c:v>12.459258999999999</c:v>
                </c:pt>
                <c:pt idx="633">
                  <c:v>12.33</c:v>
                </c:pt>
                <c:pt idx="634">
                  <c:v>12.285216999999999</c:v>
                </c:pt>
                <c:pt idx="635">
                  <c:v>12.242857000000001</c:v>
                </c:pt>
                <c:pt idx="636">
                  <c:v>12.35</c:v>
                </c:pt>
                <c:pt idx="637">
                  <c:v>12.3</c:v>
                </c:pt>
                <c:pt idx="638">
                  <c:v>12.04</c:v>
                </c:pt>
                <c:pt idx="639">
                  <c:v>12.085713999999999</c:v>
                </c:pt>
                <c:pt idx="640">
                  <c:v>12.1175</c:v>
                </c:pt>
                <c:pt idx="641">
                  <c:v>12.13</c:v>
                </c:pt>
                <c:pt idx="642">
                  <c:v>11.837647</c:v>
                </c:pt>
                <c:pt idx="643">
                  <c:v>12.050689999999999</c:v>
                </c:pt>
                <c:pt idx="644">
                  <c:v>11.91122</c:v>
                </c:pt>
                <c:pt idx="645">
                  <c:v>11.925946</c:v>
                </c:pt>
                <c:pt idx="646">
                  <c:v>11.878500000000001</c:v>
                </c:pt>
                <c:pt idx="647">
                  <c:v>11.827619</c:v>
                </c:pt>
                <c:pt idx="648">
                  <c:v>11.858596</c:v>
                </c:pt>
                <c:pt idx="649">
                  <c:v>11.859643</c:v>
                </c:pt>
                <c:pt idx="650">
                  <c:v>11.848599999999999</c:v>
                </c:pt>
                <c:pt idx="651">
                  <c:v>11.872339999999999</c:v>
                </c:pt>
                <c:pt idx="652">
                  <c:v>11.901864</c:v>
                </c:pt>
                <c:pt idx="653">
                  <c:v>11.874375000000001</c:v>
                </c:pt>
                <c:pt idx="654">
                  <c:v>11.993273</c:v>
                </c:pt>
                <c:pt idx="655">
                  <c:v>11.903333</c:v>
                </c:pt>
                <c:pt idx="656">
                  <c:v>11.9168</c:v>
                </c:pt>
                <c:pt idx="657">
                  <c:v>11.791765</c:v>
                </c:pt>
                <c:pt idx="658">
                  <c:v>11.888182</c:v>
                </c:pt>
                <c:pt idx="659">
                  <c:v>11.76</c:v>
                </c:pt>
                <c:pt idx="660">
                  <c:v>11.94</c:v>
                </c:pt>
                <c:pt idx="661">
                  <c:v>12.086667</c:v>
                </c:pt>
                <c:pt idx="662">
                  <c:v>12.016667</c:v>
                </c:pt>
                <c:pt idx="663">
                  <c:v>12.237500000000001</c:v>
                </c:pt>
                <c:pt idx="664">
                  <c:v>12.344286</c:v>
                </c:pt>
                <c:pt idx="665">
                  <c:v>12.387143</c:v>
                </c:pt>
                <c:pt idx="666">
                  <c:v>12.441852000000001</c:v>
                </c:pt>
                <c:pt idx="667">
                  <c:v>12.557368</c:v>
                </c:pt>
                <c:pt idx="668">
                  <c:v>12.733333</c:v>
                </c:pt>
                <c:pt idx="669">
                  <c:v>12.691143</c:v>
                </c:pt>
                <c:pt idx="670">
                  <c:v>12.751714</c:v>
                </c:pt>
                <c:pt idx="671">
                  <c:v>12.640476</c:v>
                </c:pt>
                <c:pt idx="672">
                  <c:v>12.684374999999999</c:v>
                </c:pt>
                <c:pt idx="673">
                  <c:v>12.551304</c:v>
                </c:pt>
                <c:pt idx="674">
                  <c:v>12.529783</c:v>
                </c:pt>
                <c:pt idx="675">
                  <c:v>12.5</c:v>
                </c:pt>
                <c:pt idx="676">
                  <c:v>12.407273</c:v>
                </c:pt>
                <c:pt idx="677">
                  <c:v>12.302631999999999</c:v>
                </c:pt>
                <c:pt idx="678">
                  <c:v>12.356249999999999</c:v>
                </c:pt>
                <c:pt idx="679">
                  <c:v>12.346667</c:v>
                </c:pt>
                <c:pt idx="680">
                  <c:v>12.371428999999999</c:v>
                </c:pt>
                <c:pt idx="681">
                  <c:v>12.3</c:v>
                </c:pt>
                <c:pt idx="682">
                  <c:v>12.15</c:v>
                </c:pt>
                <c:pt idx="683">
                  <c:v>12.2</c:v>
                </c:pt>
                <c:pt idx="684">
                  <c:v>12.0875</c:v>
                </c:pt>
                <c:pt idx="685">
                  <c:v>12.06</c:v>
                </c:pt>
                <c:pt idx="686">
                  <c:v>11.949332999999999</c:v>
                </c:pt>
                <c:pt idx="687">
                  <c:v>11.985455</c:v>
                </c:pt>
                <c:pt idx="688">
                  <c:v>11.961379000000001</c:v>
                </c:pt>
                <c:pt idx="689">
                  <c:v>11.987083</c:v>
                </c:pt>
                <c:pt idx="690">
                  <c:v>11.941034</c:v>
                </c:pt>
                <c:pt idx="691">
                  <c:v>11.964839</c:v>
                </c:pt>
                <c:pt idx="692">
                  <c:v>12.032444</c:v>
                </c:pt>
                <c:pt idx="693">
                  <c:v>11.873396</c:v>
                </c:pt>
                <c:pt idx="694">
                  <c:v>11.9024</c:v>
                </c:pt>
                <c:pt idx="695">
                  <c:v>12.002889</c:v>
                </c:pt>
                <c:pt idx="696">
                  <c:v>11.962051000000001</c:v>
                </c:pt>
                <c:pt idx="697">
                  <c:v>11.9795</c:v>
                </c:pt>
                <c:pt idx="698">
                  <c:v>11.945556</c:v>
                </c:pt>
                <c:pt idx="699">
                  <c:v>11.937856999999999</c:v>
                </c:pt>
                <c:pt idx="700">
                  <c:v>11.9</c:v>
                </c:pt>
                <c:pt idx="701">
                  <c:v>12.103125</c:v>
                </c:pt>
                <c:pt idx="702">
                  <c:v>11.823333</c:v>
                </c:pt>
                <c:pt idx="703">
                  <c:v>11.975</c:v>
                </c:pt>
                <c:pt idx="704">
                  <c:v>12.213333</c:v>
                </c:pt>
                <c:pt idx="705">
                  <c:v>12.383333</c:v>
                </c:pt>
                <c:pt idx="706">
                  <c:v>12.4125</c:v>
                </c:pt>
                <c:pt idx="707">
                  <c:v>12.505556</c:v>
                </c:pt>
                <c:pt idx="708">
                  <c:v>12.637143</c:v>
                </c:pt>
                <c:pt idx="709">
                  <c:v>12.5425</c:v>
                </c:pt>
                <c:pt idx="710">
                  <c:v>12.471923</c:v>
                </c:pt>
                <c:pt idx="711">
                  <c:v>12.5375</c:v>
                </c:pt>
                <c:pt idx="712">
                  <c:v>12.499231</c:v>
                </c:pt>
                <c:pt idx="713">
                  <c:v>12.554773000000001</c:v>
                </c:pt>
                <c:pt idx="714">
                  <c:v>12.549524</c:v>
                </c:pt>
                <c:pt idx="715">
                  <c:v>12.732778</c:v>
                </c:pt>
                <c:pt idx="716">
                  <c:v>12.796250000000001</c:v>
                </c:pt>
                <c:pt idx="717">
                  <c:v>12.818947</c:v>
                </c:pt>
                <c:pt idx="718">
                  <c:v>12.744999999999999</c:v>
                </c:pt>
                <c:pt idx="719">
                  <c:v>12.711429000000001</c:v>
                </c:pt>
                <c:pt idx="720">
                  <c:v>12.652414</c:v>
                </c:pt>
                <c:pt idx="721">
                  <c:v>12.468332999999999</c:v>
                </c:pt>
                <c:pt idx="722">
                  <c:v>12.387499999999999</c:v>
                </c:pt>
                <c:pt idx="723">
                  <c:v>12.358461999999999</c:v>
                </c:pt>
                <c:pt idx="724">
                  <c:v>12.26</c:v>
                </c:pt>
                <c:pt idx="725">
                  <c:v>12.3</c:v>
                </c:pt>
                <c:pt idx="726">
                  <c:v>12.4</c:v>
                </c:pt>
                <c:pt idx="727">
                  <c:v>12.55</c:v>
                </c:pt>
                <c:pt idx="728">
                  <c:v>12.14</c:v>
                </c:pt>
                <c:pt idx="729">
                  <c:v>12.16</c:v>
                </c:pt>
                <c:pt idx="730">
                  <c:v>12.128571000000001</c:v>
                </c:pt>
                <c:pt idx="731">
                  <c:v>12.153333</c:v>
                </c:pt>
                <c:pt idx="732">
                  <c:v>12.066000000000001</c:v>
                </c:pt>
                <c:pt idx="733">
                  <c:v>12.02</c:v>
                </c:pt>
                <c:pt idx="734">
                  <c:v>11.999231</c:v>
                </c:pt>
                <c:pt idx="735">
                  <c:v>12.111480999999999</c:v>
                </c:pt>
                <c:pt idx="736">
                  <c:v>11.942273</c:v>
                </c:pt>
                <c:pt idx="737">
                  <c:v>11.998293</c:v>
                </c:pt>
                <c:pt idx="738">
                  <c:v>11.968235</c:v>
                </c:pt>
                <c:pt idx="739">
                  <c:v>11.941713999999999</c:v>
                </c:pt>
                <c:pt idx="740">
                  <c:v>11.953846</c:v>
                </c:pt>
                <c:pt idx="741">
                  <c:v>11.892187</c:v>
                </c:pt>
                <c:pt idx="742">
                  <c:v>11.893784</c:v>
                </c:pt>
                <c:pt idx="743">
                  <c:v>11.8208</c:v>
                </c:pt>
                <c:pt idx="744">
                  <c:v>11.798</c:v>
                </c:pt>
                <c:pt idx="745">
                  <c:v>11.734</c:v>
                </c:pt>
                <c:pt idx="746">
                  <c:v>11.651111</c:v>
                </c:pt>
                <c:pt idx="747">
                  <c:v>11.7</c:v>
                </c:pt>
                <c:pt idx="748">
                  <c:v>12</c:v>
                </c:pt>
                <c:pt idx="749">
                  <c:v>11.8</c:v>
                </c:pt>
                <c:pt idx="750">
                  <c:v>11.966666999999999</c:v>
                </c:pt>
                <c:pt idx="751">
                  <c:v>12.25</c:v>
                </c:pt>
                <c:pt idx="752">
                  <c:v>11.875</c:v>
                </c:pt>
                <c:pt idx="753">
                  <c:v>11.961537999999999</c:v>
                </c:pt>
                <c:pt idx="754">
                  <c:v>12.071429</c:v>
                </c:pt>
                <c:pt idx="755">
                  <c:v>12.234999999999999</c:v>
                </c:pt>
                <c:pt idx="756">
                  <c:v>12.257142999999999</c:v>
                </c:pt>
                <c:pt idx="757">
                  <c:v>12.284848</c:v>
                </c:pt>
                <c:pt idx="758">
                  <c:v>12.411538</c:v>
                </c:pt>
                <c:pt idx="759">
                  <c:v>12.407143</c:v>
                </c:pt>
                <c:pt idx="760">
                  <c:v>12.478125</c:v>
                </c:pt>
                <c:pt idx="761">
                  <c:v>12.615152</c:v>
                </c:pt>
                <c:pt idx="762">
                  <c:v>12.436</c:v>
                </c:pt>
                <c:pt idx="763">
                  <c:v>12.454167</c:v>
                </c:pt>
                <c:pt idx="764">
                  <c:v>12.474194000000001</c:v>
                </c:pt>
                <c:pt idx="765">
                  <c:v>12.544117999999999</c:v>
                </c:pt>
                <c:pt idx="766">
                  <c:v>12.555555999999999</c:v>
                </c:pt>
                <c:pt idx="767">
                  <c:v>12.609090999999999</c:v>
                </c:pt>
                <c:pt idx="768">
                  <c:v>12.554167</c:v>
                </c:pt>
                <c:pt idx="769">
                  <c:v>12.375</c:v>
                </c:pt>
                <c:pt idx="770">
                  <c:v>12.15</c:v>
                </c:pt>
                <c:pt idx="771">
                  <c:v>12.425000000000001</c:v>
                </c:pt>
                <c:pt idx="772">
                  <c:v>12.225</c:v>
                </c:pt>
                <c:pt idx="773">
                  <c:v>12.26</c:v>
                </c:pt>
                <c:pt idx="774">
                  <c:v>12.028570999999999</c:v>
                </c:pt>
                <c:pt idx="775">
                  <c:v>12.042857</c:v>
                </c:pt>
                <c:pt idx="776">
                  <c:v>12</c:v>
                </c:pt>
                <c:pt idx="777">
                  <c:v>12.025</c:v>
                </c:pt>
                <c:pt idx="778">
                  <c:v>12.028570999999999</c:v>
                </c:pt>
                <c:pt idx="779">
                  <c:v>11.982609</c:v>
                </c:pt>
                <c:pt idx="780">
                  <c:v>11.854286</c:v>
                </c:pt>
                <c:pt idx="781">
                  <c:v>11.845238</c:v>
                </c:pt>
                <c:pt idx="782">
                  <c:v>11.827500000000001</c:v>
                </c:pt>
                <c:pt idx="783">
                  <c:v>11.875</c:v>
                </c:pt>
                <c:pt idx="784">
                  <c:v>11.830303000000001</c:v>
                </c:pt>
                <c:pt idx="785">
                  <c:v>11.75625</c:v>
                </c:pt>
                <c:pt idx="786">
                  <c:v>11.8</c:v>
                </c:pt>
                <c:pt idx="787">
                  <c:v>11.836364</c:v>
                </c:pt>
                <c:pt idx="788">
                  <c:v>11.838462</c:v>
                </c:pt>
                <c:pt idx="789">
                  <c:v>11.65</c:v>
                </c:pt>
                <c:pt idx="790">
                  <c:v>11.9</c:v>
                </c:pt>
                <c:pt idx="791">
                  <c:v>11.9</c:v>
                </c:pt>
                <c:pt idx="792">
                  <c:v>12.05</c:v>
                </c:pt>
                <c:pt idx="793">
                  <c:v>12.2</c:v>
                </c:pt>
                <c:pt idx="794">
                  <c:v>12.2</c:v>
                </c:pt>
                <c:pt idx="795">
                  <c:v>12.185714000000001</c:v>
                </c:pt>
                <c:pt idx="796">
                  <c:v>12.229167</c:v>
                </c:pt>
                <c:pt idx="797">
                  <c:v>12.335293999999999</c:v>
                </c:pt>
                <c:pt idx="798">
                  <c:v>12.431034</c:v>
                </c:pt>
                <c:pt idx="799">
                  <c:v>12.478947</c:v>
                </c:pt>
                <c:pt idx="800">
                  <c:v>12.552631999999999</c:v>
                </c:pt>
                <c:pt idx="801">
                  <c:v>12.667647000000001</c:v>
                </c:pt>
                <c:pt idx="802">
                  <c:v>12.715384999999999</c:v>
                </c:pt>
                <c:pt idx="803">
                  <c:v>12.842307999999999</c:v>
                </c:pt>
                <c:pt idx="804">
                  <c:v>12.651515</c:v>
                </c:pt>
                <c:pt idx="805">
                  <c:v>12.72381</c:v>
                </c:pt>
                <c:pt idx="806">
                  <c:v>12.7</c:v>
                </c:pt>
                <c:pt idx="807">
                  <c:v>12.475</c:v>
                </c:pt>
                <c:pt idx="808">
                  <c:v>12.49375</c:v>
                </c:pt>
                <c:pt idx="809">
                  <c:v>12.4</c:v>
                </c:pt>
                <c:pt idx="810">
                  <c:v>12.433332999999999</c:v>
                </c:pt>
                <c:pt idx="811">
                  <c:v>12.45</c:v>
                </c:pt>
                <c:pt idx="812">
                  <c:v>12.333333</c:v>
                </c:pt>
                <c:pt idx="813">
                  <c:v>12.4</c:v>
                </c:pt>
                <c:pt idx="814">
                  <c:v>12.207692</c:v>
                </c:pt>
                <c:pt idx="815">
                  <c:v>12.137499999999999</c:v>
                </c:pt>
                <c:pt idx="816">
                  <c:v>12.144444</c:v>
                </c:pt>
                <c:pt idx="817">
                  <c:v>11.966666999999999</c:v>
                </c:pt>
                <c:pt idx="818">
                  <c:v>11.972222</c:v>
                </c:pt>
                <c:pt idx="819">
                  <c:v>11.9</c:v>
                </c:pt>
                <c:pt idx="820">
                  <c:v>11.853571000000001</c:v>
                </c:pt>
                <c:pt idx="821">
                  <c:v>11.760526</c:v>
                </c:pt>
                <c:pt idx="822">
                  <c:v>11.811363999999999</c:v>
                </c:pt>
                <c:pt idx="823">
                  <c:v>11.691667000000001</c:v>
                </c:pt>
                <c:pt idx="824">
                  <c:v>11.718182000000001</c:v>
                </c:pt>
                <c:pt idx="825">
                  <c:v>11.584211</c:v>
                </c:pt>
                <c:pt idx="826">
                  <c:v>11.569231</c:v>
                </c:pt>
                <c:pt idx="827">
                  <c:v>11.533333000000001</c:v>
                </c:pt>
                <c:pt idx="828">
                  <c:v>11.4</c:v>
                </c:pt>
                <c:pt idx="829">
                  <c:v>11.4</c:v>
                </c:pt>
                <c:pt idx="830">
                  <c:v>11.65</c:v>
                </c:pt>
                <c:pt idx="831">
                  <c:v>11.45</c:v>
                </c:pt>
                <c:pt idx="832">
                  <c:v>11.56</c:v>
                </c:pt>
                <c:pt idx="833">
                  <c:v>11.475</c:v>
                </c:pt>
                <c:pt idx="834">
                  <c:v>11.228571000000001</c:v>
                </c:pt>
                <c:pt idx="835">
                  <c:v>11.55</c:v>
                </c:pt>
                <c:pt idx="836">
                  <c:v>11.642105000000001</c:v>
                </c:pt>
                <c:pt idx="837">
                  <c:v>11.8</c:v>
                </c:pt>
                <c:pt idx="838">
                  <c:v>12</c:v>
                </c:pt>
                <c:pt idx="839">
                  <c:v>12.017391</c:v>
                </c:pt>
                <c:pt idx="840">
                  <c:v>11.996295999999999</c:v>
                </c:pt>
                <c:pt idx="841">
                  <c:v>11.996295999999999</c:v>
                </c:pt>
                <c:pt idx="842">
                  <c:v>12.025</c:v>
                </c:pt>
                <c:pt idx="843">
                  <c:v>12.137143</c:v>
                </c:pt>
                <c:pt idx="844">
                  <c:v>12.291176</c:v>
                </c:pt>
                <c:pt idx="845">
                  <c:v>12.39</c:v>
                </c:pt>
                <c:pt idx="846">
                  <c:v>12.397500000000001</c:v>
                </c:pt>
                <c:pt idx="847">
                  <c:v>12.392856999999999</c:v>
                </c:pt>
                <c:pt idx="848">
                  <c:v>12.366667</c:v>
                </c:pt>
                <c:pt idx="849">
                  <c:v>12.45</c:v>
                </c:pt>
                <c:pt idx="850">
                  <c:v>12.7</c:v>
                </c:pt>
                <c:pt idx="851">
                  <c:v>12.5</c:v>
                </c:pt>
                <c:pt idx="852">
                  <c:v>12.2</c:v>
                </c:pt>
                <c:pt idx="853">
                  <c:v>12.44</c:v>
                </c:pt>
                <c:pt idx="854">
                  <c:v>12.283333000000001</c:v>
                </c:pt>
                <c:pt idx="855">
                  <c:v>12.428571</c:v>
                </c:pt>
                <c:pt idx="856">
                  <c:v>12.35</c:v>
                </c:pt>
                <c:pt idx="857">
                  <c:v>12.173684</c:v>
                </c:pt>
                <c:pt idx="858">
                  <c:v>11.963158</c:v>
                </c:pt>
                <c:pt idx="859">
                  <c:v>11.885294</c:v>
                </c:pt>
                <c:pt idx="860">
                  <c:v>11.826316</c:v>
                </c:pt>
                <c:pt idx="861">
                  <c:v>11.760465</c:v>
                </c:pt>
                <c:pt idx="862">
                  <c:v>10.38125</c:v>
                </c:pt>
                <c:pt idx="863">
                  <c:v>10.284302</c:v>
                </c:pt>
                <c:pt idx="864">
                  <c:v>10.251905000000001</c:v>
                </c:pt>
                <c:pt idx="865">
                  <c:v>10.302809</c:v>
                </c:pt>
                <c:pt idx="866">
                  <c:v>10.239474</c:v>
                </c:pt>
                <c:pt idx="867">
                  <c:v>10.276471000000001</c:v>
                </c:pt>
                <c:pt idx="868">
                  <c:v>10.326530999999999</c:v>
                </c:pt>
                <c:pt idx="869">
                  <c:v>10.260870000000001</c:v>
                </c:pt>
                <c:pt idx="870">
                  <c:v>10.341025999999999</c:v>
                </c:pt>
                <c:pt idx="871">
                  <c:v>10.333333</c:v>
                </c:pt>
                <c:pt idx="872">
                  <c:v>10.166667</c:v>
                </c:pt>
                <c:pt idx="873">
                  <c:v>10.3</c:v>
                </c:pt>
                <c:pt idx="874">
                  <c:v>10.266667</c:v>
                </c:pt>
                <c:pt idx="875">
                  <c:v>10.31875</c:v>
                </c:pt>
                <c:pt idx="876">
                  <c:v>10.240909</c:v>
                </c:pt>
                <c:pt idx="877">
                  <c:v>10.333333</c:v>
                </c:pt>
                <c:pt idx="878">
                  <c:v>10.345454999999999</c:v>
                </c:pt>
                <c:pt idx="879">
                  <c:v>10.336667</c:v>
                </c:pt>
                <c:pt idx="880">
                  <c:v>10.422826000000001</c:v>
                </c:pt>
                <c:pt idx="881">
                  <c:v>10.471052999999999</c:v>
                </c:pt>
                <c:pt idx="882">
                  <c:v>10.509677</c:v>
                </c:pt>
                <c:pt idx="883">
                  <c:v>10.584375</c:v>
                </c:pt>
                <c:pt idx="884">
                  <c:v>10.627535999999999</c:v>
                </c:pt>
                <c:pt idx="885">
                  <c:v>10.660494</c:v>
                </c:pt>
                <c:pt idx="886">
                  <c:v>10.74878</c:v>
                </c:pt>
                <c:pt idx="887">
                  <c:v>10.808197</c:v>
                </c:pt>
                <c:pt idx="888">
                  <c:v>10.837857</c:v>
                </c:pt>
                <c:pt idx="889">
                  <c:v>10.819048</c:v>
                </c:pt>
                <c:pt idx="890">
                  <c:v>10.875806000000001</c:v>
                </c:pt>
                <c:pt idx="891">
                  <c:v>10.891304</c:v>
                </c:pt>
                <c:pt idx="892">
                  <c:v>10.952631999999999</c:v>
                </c:pt>
                <c:pt idx="893">
                  <c:v>10.88</c:v>
                </c:pt>
                <c:pt idx="894">
                  <c:v>10.75</c:v>
                </c:pt>
                <c:pt idx="895">
                  <c:v>10.42</c:v>
                </c:pt>
                <c:pt idx="896">
                  <c:v>10.376923</c:v>
                </c:pt>
                <c:pt idx="897">
                  <c:v>10.35</c:v>
                </c:pt>
                <c:pt idx="898">
                  <c:v>10.246667</c:v>
                </c:pt>
                <c:pt idx="899">
                  <c:v>10.081481</c:v>
                </c:pt>
                <c:pt idx="900">
                  <c:v>9.9604169999999996</c:v>
                </c:pt>
                <c:pt idx="901">
                  <c:v>9.9574999999999996</c:v>
                </c:pt>
                <c:pt idx="902">
                  <c:v>9.8371429999999993</c:v>
                </c:pt>
                <c:pt idx="903">
                  <c:v>9.8704920000000005</c:v>
                </c:pt>
                <c:pt idx="904">
                  <c:v>9.8133330000000001</c:v>
                </c:pt>
                <c:pt idx="905">
                  <c:v>9.8123079999999998</c:v>
                </c:pt>
                <c:pt idx="906">
                  <c:v>9.7674420000000008</c:v>
                </c:pt>
                <c:pt idx="907">
                  <c:v>9.7289469999999998</c:v>
                </c:pt>
                <c:pt idx="908">
                  <c:v>9.6707319999999992</c:v>
                </c:pt>
                <c:pt idx="909">
                  <c:v>9.7192980000000002</c:v>
                </c:pt>
                <c:pt idx="910">
                  <c:v>9.6288459999999993</c:v>
                </c:pt>
                <c:pt idx="911">
                  <c:v>9.6146340000000006</c:v>
                </c:pt>
                <c:pt idx="912">
                  <c:v>9.64</c:v>
                </c:pt>
                <c:pt idx="913">
                  <c:v>9.7249999999999996</c:v>
                </c:pt>
                <c:pt idx="914">
                  <c:v>9.6833329999999993</c:v>
                </c:pt>
                <c:pt idx="915">
                  <c:v>9.6999999999999993</c:v>
                </c:pt>
                <c:pt idx="916">
                  <c:v>9.4250000000000007</c:v>
                </c:pt>
                <c:pt idx="917">
                  <c:v>9.6</c:v>
                </c:pt>
                <c:pt idx="918">
                  <c:v>9.85</c:v>
                </c:pt>
                <c:pt idx="919">
                  <c:v>9.66</c:v>
                </c:pt>
                <c:pt idx="920">
                  <c:v>9.7083329999999997</c:v>
                </c:pt>
                <c:pt idx="921">
                  <c:v>9.6826089999999994</c:v>
                </c:pt>
                <c:pt idx="922">
                  <c:v>9.6653850000000006</c:v>
                </c:pt>
                <c:pt idx="923">
                  <c:v>9.7418180000000003</c:v>
                </c:pt>
                <c:pt idx="924">
                  <c:v>9.6742860000000004</c:v>
                </c:pt>
                <c:pt idx="925">
                  <c:v>9.7309520000000003</c:v>
                </c:pt>
                <c:pt idx="926">
                  <c:v>9.7409090000000003</c:v>
                </c:pt>
                <c:pt idx="927">
                  <c:v>9.8147540000000006</c:v>
                </c:pt>
                <c:pt idx="928">
                  <c:v>9.8447370000000003</c:v>
                </c:pt>
                <c:pt idx="929">
                  <c:v>9.8866669999999992</c:v>
                </c:pt>
                <c:pt idx="930">
                  <c:v>9.9255809999999993</c:v>
                </c:pt>
                <c:pt idx="931">
                  <c:v>9.9406780000000001</c:v>
                </c:pt>
                <c:pt idx="932">
                  <c:v>9.8468750000000007</c:v>
                </c:pt>
                <c:pt idx="933">
                  <c:v>10.028570999999999</c:v>
                </c:pt>
                <c:pt idx="934">
                  <c:v>10.02069</c:v>
                </c:pt>
                <c:pt idx="935">
                  <c:v>10.075676</c:v>
                </c:pt>
                <c:pt idx="936">
                  <c:v>10.199999999999999</c:v>
                </c:pt>
                <c:pt idx="937">
                  <c:v>10.123077</c:v>
                </c:pt>
                <c:pt idx="938">
                  <c:v>10.238462</c:v>
                </c:pt>
                <c:pt idx="939">
                  <c:v>10.35</c:v>
                </c:pt>
                <c:pt idx="940">
                  <c:v>10.1</c:v>
                </c:pt>
                <c:pt idx="941">
                  <c:v>10.18</c:v>
                </c:pt>
                <c:pt idx="942">
                  <c:v>10.057143</c:v>
                </c:pt>
                <c:pt idx="943">
                  <c:v>9.9933329999999998</c:v>
                </c:pt>
                <c:pt idx="944">
                  <c:v>9.9222219999999997</c:v>
                </c:pt>
                <c:pt idx="945">
                  <c:v>9.8000000000000007</c:v>
                </c:pt>
                <c:pt idx="946">
                  <c:v>9.8444439999999993</c:v>
                </c:pt>
                <c:pt idx="947">
                  <c:v>9.85</c:v>
                </c:pt>
                <c:pt idx="948">
                  <c:v>9.8142859999999992</c:v>
                </c:pt>
                <c:pt idx="949">
                  <c:v>9.84</c:v>
                </c:pt>
                <c:pt idx="950">
                  <c:v>9.8172409999999992</c:v>
                </c:pt>
                <c:pt idx="951">
                  <c:v>9.8260869999999993</c:v>
                </c:pt>
                <c:pt idx="952">
                  <c:v>9.7901959999999999</c:v>
                </c:pt>
                <c:pt idx="953">
                  <c:v>9.7063830000000006</c:v>
                </c:pt>
                <c:pt idx="954">
                  <c:v>9.6483869999999996</c:v>
                </c:pt>
                <c:pt idx="955">
                  <c:v>9.6530609999999992</c:v>
                </c:pt>
                <c:pt idx="956">
                  <c:v>9.651923</c:v>
                </c:pt>
                <c:pt idx="957">
                  <c:v>9.6833329999999993</c:v>
                </c:pt>
                <c:pt idx="958">
                  <c:v>9.6807689999999997</c:v>
                </c:pt>
                <c:pt idx="959">
                  <c:v>9.7214290000000005</c:v>
                </c:pt>
                <c:pt idx="960">
                  <c:v>9.7090910000000008</c:v>
                </c:pt>
                <c:pt idx="961">
                  <c:v>9.5555559999999993</c:v>
                </c:pt>
                <c:pt idx="962">
                  <c:v>9.58</c:v>
                </c:pt>
                <c:pt idx="963">
                  <c:v>9.61</c:v>
                </c:pt>
                <c:pt idx="964">
                  <c:v>9.65</c:v>
                </c:pt>
                <c:pt idx="965">
                  <c:v>9.6750000000000007</c:v>
                </c:pt>
                <c:pt idx="966">
                  <c:v>9.6916670000000007</c:v>
                </c:pt>
                <c:pt idx="967">
                  <c:v>9.8357139999999994</c:v>
                </c:pt>
                <c:pt idx="968">
                  <c:v>9.8633330000000008</c:v>
                </c:pt>
                <c:pt idx="969">
                  <c:v>9.8461540000000003</c:v>
                </c:pt>
                <c:pt idx="970">
                  <c:v>9.8370370000000005</c:v>
                </c:pt>
                <c:pt idx="971">
                  <c:v>9.9700000000000006</c:v>
                </c:pt>
                <c:pt idx="972">
                  <c:v>9.9645829999999993</c:v>
                </c:pt>
                <c:pt idx="973">
                  <c:v>9.9369569999999996</c:v>
                </c:pt>
                <c:pt idx="974">
                  <c:v>10.005357</c:v>
                </c:pt>
                <c:pt idx="975">
                  <c:v>9.9895829999999997</c:v>
                </c:pt>
                <c:pt idx="976">
                  <c:v>9.9357140000000008</c:v>
                </c:pt>
                <c:pt idx="977">
                  <c:v>9.9279069999999994</c:v>
                </c:pt>
                <c:pt idx="978">
                  <c:v>9.9875000000000007</c:v>
                </c:pt>
                <c:pt idx="979">
                  <c:v>10.036364000000001</c:v>
                </c:pt>
                <c:pt idx="980">
                  <c:v>10.128571000000001</c:v>
                </c:pt>
                <c:pt idx="981">
                  <c:v>10.142856999999999</c:v>
                </c:pt>
                <c:pt idx="982">
                  <c:v>10.158823999999999</c:v>
                </c:pt>
                <c:pt idx="983">
                  <c:v>10.3375</c:v>
                </c:pt>
                <c:pt idx="984">
                  <c:v>10.4</c:v>
                </c:pt>
                <c:pt idx="985">
                  <c:v>10.4</c:v>
                </c:pt>
                <c:pt idx="986">
                  <c:v>10.138462000000001</c:v>
                </c:pt>
                <c:pt idx="987">
                  <c:v>10.042857</c:v>
                </c:pt>
                <c:pt idx="988">
                  <c:v>10.057143</c:v>
                </c:pt>
                <c:pt idx="989">
                  <c:v>10.109524</c:v>
                </c:pt>
                <c:pt idx="990">
                  <c:v>10.109090999999999</c:v>
                </c:pt>
                <c:pt idx="991">
                  <c:v>10.173333</c:v>
                </c:pt>
                <c:pt idx="992">
                  <c:v>10.192105</c:v>
                </c:pt>
                <c:pt idx="993">
                  <c:v>10.178378</c:v>
                </c:pt>
                <c:pt idx="994">
                  <c:v>10.215152</c:v>
                </c:pt>
                <c:pt idx="995">
                  <c:v>10.263514000000001</c:v>
                </c:pt>
                <c:pt idx="996">
                  <c:v>10.206122000000001</c:v>
                </c:pt>
                <c:pt idx="997">
                  <c:v>10.182051</c:v>
                </c:pt>
                <c:pt idx="998">
                  <c:v>10.121622</c:v>
                </c:pt>
                <c:pt idx="999">
                  <c:v>10.072642</c:v>
                </c:pt>
                <c:pt idx="1000">
                  <c:v>10.016</c:v>
                </c:pt>
                <c:pt idx="1001">
                  <c:v>10.045946000000001</c:v>
                </c:pt>
                <c:pt idx="1002">
                  <c:v>9.9318179999999998</c:v>
                </c:pt>
                <c:pt idx="1003">
                  <c:v>10.021053</c:v>
                </c:pt>
                <c:pt idx="1004">
                  <c:v>9.9105260000000008</c:v>
                </c:pt>
                <c:pt idx="1005">
                  <c:v>9.9</c:v>
                </c:pt>
                <c:pt idx="1006">
                  <c:v>9.9</c:v>
                </c:pt>
                <c:pt idx="1007">
                  <c:v>9.9375</c:v>
                </c:pt>
                <c:pt idx="1008">
                  <c:v>9.92</c:v>
                </c:pt>
                <c:pt idx="1009">
                  <c:v>10</c:v>
                </c:pt>
                <c:pt idx="1010">
                  <c:v>10.070588000000001</c:v>
                </c:pt>
                <c:pt idx="1011">
                  <c:v>10.119999999999999</c:v>
                </c:pt>
                <c:pt idx="1012">
                  <c:v>10.121874999999999</c:v>
                </c:pt>
                <c:pt idx="1013">
                  <c:v>10.174194</c:v>
                </c:pt>
                <c:pt idx="1014">
                  <c:v>10.204000000000001</c:v>
                </c:pt>
                <c:pt idx="1015">
                  <c:v>10.252632</c:v>
                </c:pt>
                <c:pt idx="1016">
                  <c:v>10.201537999999999</c:v>
                </c:pt>
                <c:pt idx="1017">
                  <c:v>10.218182000000001</c:v>
                </c:pt>
                <c:pt idx="1018">
                  <c:v>10.232143000000001</c:v>
                </c:pt>
                <c:pt idx="1019">
                  <c:v>10.295745</c:v>
                </c:pt>
                <c:pt idx="1020">
                  <c:v>10.317073000000001</c:v>
                </c:pt>
                <c:pt idx="1021">
                  <c:v>10.311628000000001</c:v>
                </c:pt>
                <c:pt idx="1022">
                  <c:v>10.373333000000001</c:v>
                </c:pt>
                <c:pt idx="1023">
                  <c:v>10.487500000000001</c:v>
                </c:pt>
                <c:pt idx="1024">
                  <c:v>10.45</c:v>
                </c:pt>
                <c:pt idx="1025">
                  <c:v>10.63913</c:v>
                </c:pt>
                <c:pt idx="1026">
                  <c:v>10.7</c:v>
                </c:pt>
                <c:pt idx="1027">
                  <c:v>10.75</c:v>
                </c:pt>
                <c:pt idx="1028">
                  <c:v>10.72</c:v>
                </c:pt>
                <c:pt idx="1029">
                  <c:v>10.86</c:v>
                </c:pt>
                <c:pt idx="1030">
                  <c:v>10.454545</c:v>
                </c:pt>
                <c:pt idx="1031">
                  <c:v>10.933332999999999</c:v>
                </c:pt>
                <c:pt idx="1032">
                  <c:v>10.781817999999999</c:v>
                </c:pt>
                <c:pt idx="1033">
                  <c:v>10.958824</c:v>
                </c:pt>
                <c:pt idx="1034">
                  <c:v>10.95</c:v>
                </c:pt>
                <c:pt idx="1035">
                  <c:v>10.803704</c:v>
                </c:pt>
                <c:pt idx="1036">
                  <c:v>10.8</c:v>
                </c:pt>
                <c:pt idx="1037">
                  <c:v>10.829762000000001</c:v>
                </c:pt>
                <c:pt idx="1038">
                  <c:v>10.715999999999999</c:v>
                </c:pt>
                <c:pt idx="1039">
                  <c:v>10.741667</c:v>
                </c:pt>
                <c:pt idx="1040">
                  <c:v>10.828749999999999</c:v>
                </c:pt>
                <c:pt idx="1041">
                  <c:v>10.840566000000001</c:v>
                </c:pt>
                <c:pt idx="1042">
                  <c:v>10.8</c:v>
                </c:pt>
                <c:pt idx="1043">
                  <c:v>10.771428999999999</c:v>
                </c:pt>
                <c:pt idx="1044">
                  <c:v>10.71</c:v>
                </c:pt>
                <c:pt idx="1045">
                  <c:v>10.744999999999999</c:v>
                </c:pt>
                <c:pt idx="1046">
                  <c:v>10.5</c:v>
                </c:pt>
                <c:pt idx="1047">
                  <c:v>10.324999999999999</c:v>
                </c:pt>
                <c:pt idx="1048">
                  <c:v>9.9571430000000003</c:v>
                </c:pt>
                <c:pt idx="1049">
                  <c:v>9.65</c:v>
                </c:pt>
                <c:pt idx="1050">
                  <c:v>9.625</c:v>
                </c:pt>
                <c:pt idx="1051">
                  <c:v>9.5783330000000007</c:v>
                </c:pt>
                <c:pt idx="1052">
                  <c:v>9.5573680000000003</c:v>
                </c:pt>
                <c:pt idx="1053">
                  <c:v>9.5754549999999998</c:v>
                </c:pt>
                <c:pt idx="1054">
                  <c:v>9.5894739999999992</c:v>
                </c:pt>
                <c:pt idx="1055">
                  <c:v>9.8279069999999997</c:v>
                </c:pt>
                <c:pt idx="1056">
                  <c:v>9.8024389999999997</c:v>
                </c:pt>
                <c:pt idx="1057">
                  <c:v>9.9704549999999994</c:v>
                </c:pt>
                <c:pt idx="1058">
                  <c:v>9.9137249999999995</c:v>
                </c:pt>
                <c:pt idx="1059">
                  <c:v>9.9878049999999998</c:v>
                </c:pt>
                <c:pt idx="1060">
                  <c:v>10.095000000000001</c:v>
                </c:pt>
                <c:pt idx="1061">
                  <c:v>10.129761999999999</c:v>
                </c:pt>
                <c:pt idx="1062">
                  <c:v>10.119999999999999</c:v>
                </c:pt>
                <c:pt idx="1063">
                  <c:v>10.119149</c:v>
                </c:pt>
                <c:pt idx="1064">
                  <c:v>10.17193</c:v>
                </c:pt>
                <c:pt idx="1065">
                  <c:v>10.195556</c:v>
                </c:pt>
                <c:pt idx="1066">
                  <c:v>10.219048000000001</c:v>
                </c:pt>
                <c:pt idx="1067">
                  <c:v>10.222727000000001</c:v>
                </c:pt>
                <c:pt idx="1068">
                  <c:v>10.280951999999999</c:v>
                </c:pt>
                <c:pt idx="1069">
                  <c:v>10.130000000000001</c:v>
                </c:pt>
                <c:pt idx="1070">
                  <c:v>10.128571000000001</c:v>
                </c:pt>
                <c:pt idx="1071">
                  <c:v>10.34</c:v>
                </c:pt>
                <c:pt idx="1072">
                  <c:v>10.3</c:v>
                </c:pt>
                <c:pt idx="1073">
                  <c:v>10.371428999999999</c:v>
                </c:pt>
                <c:pt idx="1074">
                  <c:v>10.45</c:v>
                </c:pt>
                <c:pt idx="1075">
                  <c:v>10.55</c:v>
                </c:pt>
                <c:pt idx="1076">
                  <c:v>10.552174000000001</c:v>
                </c:pt>
                <c:pt idx="1077">
                  <c:v>10.609524</c:v>
                </c:pt>
                <c:pt idx="1078">
                  <c:v>10.546429</c:v>
                </c:pt>
                <c:pt idx="1079">
                  <c:v>10.596774</c:v>
                </c:pt>
                <c:pt idx="1080">
                  <c:v>10.651282</c:v>
                </c:pt>
                <c:pt idx="1081">
                  <c:v>10.562856999999999</c:v>
                </c:pt>
                <c:pt idx="1082">
                  <c:v>10.535556</c:v>
                </c:pt>
                <c:pt idx="1083">
                  <c:v>10.545676</c:v>
                </c:pt>
                <c:pt idx="1084">
                  <c:v>10.520725000000001</c:v>
                </c:pt>
                <c:pt idx="1085">
                  <c:v>10.564515999999999</c:v>
                </c:pt>
                <c:pt idx="1086">
                  <c:v>10.5326</c:v>
                </c:pt>
                <c:pt idx="1087">
                  <c:v>10.503448000000001</c:v>
                </c:pt>
                <c:pt idx="1088">
                  <c:v>10.430332999999999</c:v>
                </c:pt>
                <c:pt idx="1089">
                  <c:v>10.524782999999999</c:v>
                </c:pt>
                <c:pt idx="1090">
                  <c:v>10.466786000000001</c:v>
                </c:pt>
                <c:pt idx="1091">
                  <c:v>10.413333</c:v>
                </c:pt>
                <c:pt idx="1092">
                  <c:v>10.35</c:v>
                </c:pt>
                <c:pt idx="1093">
                  <c:v>10.18</c:v>
                </c:pt>
                <c:pt idx="1094">
                  <c:v>9.7874999999999996</c:v>
                </c:pt>
                <c:pt idx="1095">
                  <c:v>9.6716669999999993</c:v>
                </c:pt>
                <c:pt idx="1096">
                  <c:v>9.5</c:v>
                </c:pt>
                <c:pt idx="1097">
                  <c:v>9.5250000000000004</c:v>
                </c:pt>
                <c:pt idx="1098">
                  <c:v>9.4</c:v>
                </c:pt>
                <c:pt idx="1099">
                  <c:v>9.5453329999999994</c:v>
                </c:pt>
                <c:pt idx="1100">
                  <c:v>9.4934999999999992</c:v>
                </c:pt>
                <c:pt idx="1101">
                  <c:v>9.647907</c:v>
                </c:pt>
                <c:pt idx="1102">
                  <c:v>9.6057889999999997</c:v>
                </c:pt>
                <c:pt idx="1103">
                  <c:v>9.5987799999999996</c:v>
                </c:pt>
                <c:pt idx="1104">
                  <c:v>9.5942310000000006</c:v>
                </c:pt>
                <c:pt idx="1105">
                  <c:v>9.6404650000000007</c:v>
                </c:pt>
                <c:pt idx="1106">
                  <c:v>9.649756</c:v>
                </c:pt>
                <c:pt idx="1107">
                  <c:v>9.6782050000000002</c:v>
                </c:pt>
                <c:pt idx="1108">
                  <c:v>9.6602700000000006</c:v>
                </c:pt>
                <c:pt idx="1109">
                  <c:v>9.6754759999999997</c:v>
                </c:pt>
                <c:pt idx="1110">
                  <c:v>9.6607690000000002</c:v>
                </c:pt>
                <c:pt idx="1111">
                  <c:v>9.6551720000000003</c:v>
                </c:pt>
                <c:pt idx="1112">
                  <c:v>9.7799999999999994</c:v>
                </c:pt>
                <c:pt idx="1113">
                  <c:v>9.7136359999999993</c:v>
                </c:pt>
                <c:pt idx="1114">
                  <c:v>9.7015379999999993</c:v>
                </c:pt>
                <c:pt idx="1115">
                  <c:v>9.6608330000000002</c:v>
                </c:pt>
                <c:pt idx="1116">
                  <c:v>9.8666669999999996</c:v>
                </c:pt>
                <c:pt idx="1117">
                  <c:v>9.733333</c:v>
                </c:pt>
                <c:pt idx="1118">
                  <c:v>9.8937500000000007</c:v>
                </c:pt>
                <c:pt idx="1119">
                  <c:v>9.875</c:v>
                </c:pt>
                <c:pt idx="1120">
                  <c:v>9.8625000000000007</c:v>
                </c:pt>
                <c:pt idx="1121">
                  <c:v>10.050000000000001</c:v>
                </c:pt>
                <c:pt idx="1122">
                  <c:v>10.068</c:v>
                </c:pt>
                <c:pt idx="1123">
                  <c:v>10.092727</c:v>
                </c:pt>
                <c:pt idx="1124">
                  <c:v>9.9458330000000004</c:v>
                </c:pt>
                <c:pt idx="1125">
                  <c:v>9.8762500000000006</c:v>
                </c:pt>
                <c:pt idx="1126">
                  <c:v>9.9321870000000008</c:v>
                </c:pt>
                <c:pt idx="1127">
                  <c:v>9.9216219999999993</c:v>
                </c:pt>
                <c:pt idx="1128">
                  <c:v>9.8863640000000004</c:v>
                </c:pt>
                <c:pt idx="1129">
                  <c:v>9.8955359999999999</c:v>
                </c:pt>
                <c:pt idx="1130">
                  <c:v>9.7899999999999991</c:v>
                </c:pt>
                <c:pt idx="1131">
                  <c:v>9.8117649999999994</c:v>
                </c:pt>
                <c:pt idx="1132">
                  <c:v>9.7736839999999994</c:v>
                </c:pt>
                <c:pt idx="1133">
                  <c:v>9.8251059999999999</c:v>
                </c:pt>
                <c:pt idx="1134">
                  <c:v>9.8051279999999998</c:v>
                </c:pt>
                <c:pt idx="1135">
                  <c:v>9.7941179999999992</c:v>
                </c:pt>
                <c:pt idx="1136">
                  <c:v>9.7449999999999992</c:v>
                </c:pt>
                <c:pt idx="1137">
                  <c:v>9.7521050000000002</c:v>
                </c:pt>
                <c:pt idx="1138">
                  <c:v>9.8742859999999997</c:v>
                </c:pt>
                <c:pt idx="1139">
                  <c:v>9.3233329999999999</c:v>
                </c:pt>
                <c:pt idx="1140">
                  <c:v>9.5</c:v>
                </c:pt>
                <c:pt idx="1141">
                  <c:v>9.7375000000000007</c:v>
                </c:pt>
                <c:pt idx="1142">
                  <c:v>9.6666670000000003</c:v>
                </c:pt>
                <c:pt idx="1143">
                  <c:v>9.5692310000000003</c:v>
                </c:pt>
                <c:pt idx="1144">
                  <c:v>9.5785710000000002</c:v>
                </c:pt>
                <c:pt idx="1145">
                  <c:v>9.5500000000000007</c:v>
                </c:pt>
                <c:pt idx="1146">
                  <c:v>9.608333</c:v>
                </c:pt>
                <c:pt idx="1147">
                  <c:v>9.703125</c:v>
                </c:pt>
                <c:pt idx="1148">
                  <c:v>9.6722219999999997</c:v>
                </c:pt>
                <c:pt idx="1149">
                  <c:v>9.6868420000000004</c:v>
                </c:pt>
                <c:pt idx="1150">
                  <c:v>9.766667</c:v>
                </c:pt>
                <c:pt idx="1151">
                  <c:v>9.7949999999999999</c:v>
                </c:pt>
                <c:pt idx="1152">
                  <c:v>9.7460000000000004</c:v>
                </c:pt>
                <c:pt idx="1153">
                  <c:v>9.8230559999999993</c:v>
                </c:pt>
                <c:pt idx="1154">
                  <c:v>9.8208330000000004</c:v>
                </c:pt>
                <c:pt idx="1155">
                  <c:v>9.8175860000000004</c:v>
                </c:pt>
                <c:pt idx="1156">
                  <c:v>9.8907139999999991</c:v>
                </c:pt>
                <c:pt idx="1157">
                  <c:v>9.9039999999999999</c:v>
                </c:pt>
                <c:pt idx="1158">
                  <c:v>9.9092310000000001</c:v>
                </c:pt>
                <c:pt idx="1159">
                  <c:v>9.8576920000000001</c:v>
                </c:pt>
                <c:pt idx="1160">
                  <c:v>9.91</c:v>
                </c:pt>
                <c:pt idx="1161">
                  <c:v>9.85</c:v>
                </c:pt>
                <c:pt idx="116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8-4799-BE36-E33CD4699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475496"/>
        <c:axId val="930473200"/>
      </c:scatterChart>
      <c:valAx>
        <c:axId val="930475496"/>
        <c:scaling>
          <c:orientation val="minMax"/>
          <c:min val="2434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473200"/>
        <c:crosses val="max"/>
        <c:crossBetween val="midCat"/>
        <c:majorUnit val="3650"/>
      </c:valAx>
      <c:valAx>
        <c:axId val="930473200"/>
        <c:scaling>
          <c:orientation val="maxMin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47549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30" dropStyle="combo" dx="16" fmlaLink="$J$9" fmlaRange="$C$16:$C$34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Feuil1!$A$1" fmlaRange="Feuil1!$B$3:$B$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1</xdr:row>
      <xdr:rowOff>114302</xdr:rowOff>
    </xdr:from>
    <xdr:to>
      <xdr:col>7</xdr:col>
      <xdr:colOff>176625</xdr:colOff>
      <xdr:row>12</xdr:row>
      <xdr:rowOff>178802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57149</xdr:colOff>
      <xdr:row>2</xdr:row>
      <xdr:rowOff>28575</xdr:rowOff>
    </xdr:from>
    <xdr:to>
      <xdr:col>21</xdr:col>
      <xdr:colOff>381000</xdr:colOff>
      <xdr:row>11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542925</xdr:colOff>
          <xdr:row>5</xdr:row>
          <xdr:rowOff>9525</xdr:rowOff>
        </xdr:from>
        <xdr:to>
          <xdr:col>22</xdr:col>
          <xdr:colOff>581025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247650</xdr:colOff>
      <xdr:row>2</xdr:row>
      <xdr:rowOff>85725</xdr:rowOff>
    </xdr:from>
    <xdr:to>
      <xdr:col>11</xdr:col>
      <xdr:colOff>723900</xdr:colOff>
      <xdr:row>11</xdr:row>
      <xdr:rowOff>190499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832</xdr:row>
      <xdr:rowOff>166687</xdr:rowOff>
    </xdr:from>
    <xdr:to>
      <xdr:col>11</xdr:col>
      <xdr:colOff>314325</xdr:colOff>
      <xdr:row>847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218966</xdr:colOff>
      <xdr:row>9</xdr:row>
      <xdr:rowOff>161159</xdr:rowOff>
    </xdr:from>
    <xdr:to>
      <xdr:col>15</xdr:col>
      <xdr:colOff>10949</xdr:colOff>
      <xdr:row>19</xdr:row>
      <xdr:rowOff>54741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8">
          <cell r="C28">
            <v>42087</v>
          </cell>
          <cell r="D28">
            <v>9.0891203703703696E-2</v>
          </cell>
          <cell r="E28">
            <v>2457105.6047999999</v>
          </cell>
          <cell r="F28" t="str">
            <v>PSO</v>
          </cell>
          <cell r="G28" t="str">
            <v>TAT-HU</v>
          </cell>
          <cell r="H28" t="str">
            <v>25cmLhires6Atik414</v>
          </cell>
          <cell r="I28">
            <v>3533</v>
          </cell>
        </row>
        <row r="29">
          <cell r="C29">
            <v>42095</v>
          </cell>
          <cell r="D29">
            <v>0.30467592592592591</v>
          </cell>
          <cell r="E29">
            <v>2457113.8327000001</v>
          </cell>
          <cell r="F29" t="str">
            <v>LES</v>
          </cell>
          <cell r="G29" t="str">
            <v>MRO-CA</v>
          </cell>
          <cell r="H29" t="str">
            <v>31cmDK+23um1800lpm+</v>
          </cell>
          <cell r="I29">
            <v>9000</v>
          </cell>
        </row>
        <row r="30">
          <cell r="C30">
            <v>42105</v>
          </cell>
          <cell r="D30">
            <v>3.0949074074074077E-2</v>
          </cell>
          <cell r="E30">
            <v>2457123.5518</v>
          </cell>
          <cell r="F30" t="str">
            <v>PSO</v>
          </cell>
          <cell r="G30" t="str">
            <v>TAT-HU</v>
          </cell>
          <cell r="H30" t="str">
            <v>25cmLH600Atik414</v>
          </cell>
          <cell r="I30">
            <v>4020</v>
          </cell>
        </row>
        <row r="31">
          <cell r="C31">
            <v>42106</v>
          </cell>
          <cell r="D31">
            <v>0.14581018518518518</v>
          </cell>
          <cell r="E31">
            <v>2457124.6601</v>
          </cell>
          <cell r="F31" t="str">
            <v>FMT</v>
          </cell>
          <cell r="G31" t="str">
            <v>ORS-FR</v>
          </cell>
          <cell r="H31" t="str">
            <v>SC35+eShel+460EX</v>
          </cell>
          <cell r="I31">
            <v>11000</v>
          </cell>
        </row>
        <row r="32">
          <cell r="C32">
            <v>42110</v>
          </cell>
          <cell r="D32">
            <v>2.3298611111111107E-2</v>
          </cell>
          <cell r="E32">
            <v>2457128.5518</v>
          </cell>
          <cell r="F32" t="str">
            <v>SOL</v>
          </cell>
          <cell r="G32" t="str">
            <v>AQL-IT</v>
          </cell>
          <cell r="H32" t="str">
            <v>Slit_specC8ST-830</v>
          </cell>
          <cell r="I32">
            <v>600</v>
          </cell>
        </row>
        <row r="33">
          <cell r="C33">
            <v>42110</v>
          </cell>
          <cell r="D33">
            <v>0.25767361111111114</v>
          </cell>
          <cell r="E33">
            <v>2457128.7796</v>
          </cell>
          <cell r="F33" t="str">
            <v>LES</v>
          </cell>
          <cell r="G33" t="str">
            <v>MRO-CA</v>
          </cell>
          <cell r="H33" t="str">
            <v>31cmDK+23um1800lpm+</v>
          </cell>
          <cell r="I33">
            <v>1919</v>
          </cell>
        </row>
        <row r="34">
          <cell r="C34">
            <v>42113</v>
          </cell>
          <cell r="D34">
            <v>2.9178240740740741E-2</v>
          </cell>
          <cell r="E34">
            <v>2457131.5502999998</v>
          </cell>
          <cell r="F34" t="str">
            <v>FMT</v>
          </cell>
          <cell r="G34" t="str">
            <v>ORS-FR</v>
          </cell>
          <cell r="H34" t="str">
            <v>SC14+eShel+Atik460ex</v>
          </cell>
          <cell r="I34">
            <v>11000</v>
          </cell>
        </row>
        <row r="35">
          <cell r="C35">
            <v>42113</v>
          </cell>
          <cell r="D35">
            <v>0.10993055555555555</v>
          </cell>
          <cell r="E35">
            <v>2457131.6238000002</v>
          </cell>
          <cell r="F35" t="str">
            <v>PSO</v>
          </cell>
          <cell r="G35" t="str">
            <v>TAT-HU</v>
          </cell>
          <cell r="H35" t="str">
            <v>25cmLH600Atik414</v>
          </cell>
          <cell r="I35">
            <v>15680</v>
          </cell>
        </row>
        <row r="36">
          <cell r="C36">
            <v>42114</v>
          </cell>
          <cell r="D36">
            <v>8.099537037037037E-2</v>
          </cell>
          <cell r="E36">
            <v>2457132.5901000001</v>
          </cell>
          <cell r="F36" t="str">
            <v>JMO</v>
          </cell>
          <cell r="G36" t="str">
            <v>OLC-FR</v>
          </cell>
          <cell r="H36" t="str">
            <v>Meade355+Atik460E</v>
          </cell>
        </row>
        <row r="37">
          <cell r="C37">
            <v>42116</v>
          </cell>
          <cell r="D37">
            <v>3.0520833333333334E-2</v>
          </cell>
          <cell r="E37">
            <v>2457134.5548999999</v>
          </cell>
          <cell r="F37" t="str">
            <v>PSO</v>
          </cell>
          <cell r="G37" t="str">
            <v>TAT-HU</v>
          </cell>
          <cell r="H37" t="str">
            <v>25cmLH24K35u414esm</v>
          </cell>
          <cell r="I37">
            <v>13335</v>
          </cell>
        </row>
        <row r="38">
          <cell r="C38">
            <v>42118</v>
          </cell>
          <cell r="D38">
            <v>0.11060185185185185</v>
          </cell>
          <cell r="E38">
            <v>2457136.628</v>
          </cell>
          <cell r="F38" t="str">
            <v>FMT</v>
          </cell>
          <cell r="G38" t="str">
            <v>ORS-FR</v>
          </cell>
          <cell r="H38" t="str">
            <v>SC14+eShel+Atik460ex</v>
          </cell>
          <cell r="I38">
            <v>11000</v>
          </cell>
        </row>
        <row r="39">
          <cell r="C39">
            <v>42135</v>
          </cell>
          <cell r="D39">
            <v>0.99723379629629638</v>
          </cell>
          <cell r="E39">
            <v>2457154.5458999998</v>
          </cell>
          <cell r="F39" t="str">
            <v>PSO</v>
          </cell>
          <cell r="G39" t="str">
            <v>TAT-HU</v>
          </cell>
          <cell r="H39" t="str">
            <v>25cmLH24K23u414esm</v>
          </cell>
          <cell r="I39">
            <v>14393</v>
          </cell>
        </row>
        <row r="40">
          <cell r="C40">
            <v>42141</v>
          </cell>
          <cell r="D40">
            <v>0.95218749999999996</v>
          </cell>
          <cell r="E40">
            <v>2457160.4660999998</v>
          </cell>
          <cell r="F40" t="str">
            <v>FBO</v>
          </cell>
          <cell r="G40" t="str">
            <v>OPL-FR</v>
          </cell>
          <cell r="H40" t="str">
            <v>SC8+Lisa+ATIK314L+</v>
          </cell>
          <cell r="I40">
            <v>1000</v>
          </cell>
        </row>
        <row r="41">
          <cell r="C41">
            <v>42149</v>
          </cell>
          <cell r="D41">
            <v>0.64528935185185188</v>
          </cell>
          <cell r="E41">
            <v>2457168.1661999999</v>
          </cell>
          <cell r="F41" t="str">
            <v xml:space="preserve">DLI </v>
          </cell>
          <cell r="G41" t="str">
            <v>JAD-CN</v>
          </cell>
          <cell r="H41" t="str">
            <v>C11Lhires3-2400_2x</v>
          </cell>
          <cell r="I41">
            <v>14810</v>
          </cell>
        </row>
        <row r="42">
          <cell r="C42">
            <v>42153</v>
          </cell>
          <cell r="D42">
            <v>0.9903819444444445</v>
          </cell>
          <cell r="E42">
            <v>2457172.5115999999</v>
          </cell>
          <cell r="F42" t="str">
            <v>DBO</v>
          </cell>
          <cell r="G42" t="str">
            <v>WCO-UK</v>
          </cell>
          <cell r="H42" t="str">
            <v>C11+Lisa+SXVR-H694</v>
          </cell>
          <cell r="I42">
            <v>838</v>
          </cell>
        </row>
        <row r="43">
          <cell r="C43">
            <v>42158</v>
          </cell>
          <cell r="D43">
            <v>0.26869212962962963</v>
          </cell>
          <cell r="E43">
            <v>2457176.7968000001</v>
          </cell>
          <cell r="F43" t="str">
            <v>LES</v>
          </cell>
          <cell r="G43" t="str">
            <v>MRO-CA</v>
          </cell>
          <cell r="H43" t="str">
            <v>31cmDK+23um1800lpm+</v>
          </cell>
          <cell r="I43">
            <v>9528</v>
          </cell>
        </row>
        <row r="44">
          <cell r="C44">
            <v>42161</v>
          </cell>
          <cell r="D44">
            <v>5.7280092592592591E-2</v>
          </cell>
          <cell r="E44">
            <v>2457179.5747000002</v>
          </cell>
          <cell r="F44" t="str">
            <v>PSO</v>
          </cell>
          <cell r="G44" t="str">
            <v>TAT-HU</v>
          </cell>
          <cell r="H44" t="str">
            <v>25cmLH24K35u414esm</v>
          </cell>
          <cell r="I44">
            <v>9193</v>
          </cell>
        </row>
        <row r="45">
          <cell r="C45">
            <v>42162</v>
          </cell>
          <cell r="D45">
            <v>0.94572916666666673</v>
          </cell>
          <cell r="E45">
            <v>2457181.4492000001</v>
          </cell>
          <cell r="F45" t="str">
            <v>FBO</v>
          </cell>
          <cell r="G45" t="str">
            <v>OPL-FR</v>
          </cell>
          <cell r="H45" t="str">
            <v>SC8+Lisa+ATIK314L+</v>
          </cell>
          <cell r="I45">
            <v>1000</v>
          </cell>
        </row>
        <row r="46">
          <cell r="C46">
            <v>42165</v>
          </cell>
          <cell r="D46">
            <v>0.9471180555555555</v>
          </cell>
          <cell r="E46">
            <v>2457184.4701</v>
          </cell>
          <cell r="F46" t="str">
            <v>DBO</v>
          </cell>
          <cell r="G46" t="str">
            <v>WCO-UK</v>
          </cell>
          <cell r="H46" t="str">
            <v>C11+Lisa+SXVR-H694</v>
          </cell>
          <cell r="I46">
            <v>792</v>
          </cell>
        </row>
        <row r="47">
          <cell r="C47">
            <v>42166</v>
          </cell>
          <cell r="D47">
            <v>0.26519675925925928</v>
          </cell>
          <cell r="E47">
            <v>2457184.7933</v>
          </cell>
          <cell r="F47" t="str">
            <v>LES</v>
          </cell>
          <cell r="G47" t="str">
            <v>MRO-CA</v>
          </cell>
          <cell r="H47" t="str">
            <v>31cmDK+23um1800lpm+</v>
          </cell>
          <cell r="I47">
            <v>9200</v>
          </cell>
        </row>
        <row r="48">
          <cell r="C48">
            <v>42168</v>
          </cell>
          <cell r="D48">
            <v>4.02662037037037E-2</v>
          </cell>
          <cell r="E48">
            <v>2457186.5542000001</v>
          </cell>
          <cell r="F48" t="str">
            <v>PSO</v>
          </cell>
          <cell r="G48" t="str">
            <v>TAT-HU</v>
          </cell>
          <cell r="H48" t="str">
            <v>25cmLH24K35u414esm</v>
          </cell>
          <cell r="I48">
            <v>12200</v>
          </cell>
        </row>
        <row r="49">
          <cell r="C49">
            <v>42169</v>
          </cell>
          <cell r="D49">
            <v>5.1527777777777777E-2</v>
          </cell>
          <cell r="E49">
            <v>2457187.5655</v>
          </cell>
          <cell r="F49" t="str">
            <v>PSO</v>
          </cell>
          <cell r="G49" t="str">
            <v>TAT-HU</v>
          </cell>
          <cell r="H49" t="str">
            <v>25cmLH24K35u414esm</v>
          </cell>
          <cell r="I49">
            <v>10378</v>
          </cell>
        </row>
        <row r="50">
          <cell r="C50">
            <v>42172</v>
          </cell>
          <cell r="D50">
            <v>0.23185185185185186</v>
          </cell>
          <cell r="E50">
            <v>2457190.7598999999</v>
          </cell>
          <cell r="F50" t="str">
            <v>LES</v>
          </cell>
          <cell r="G50" t="str">
            <v>MRO-CA</v>
          </cell>
          <cell r="H50" t="str">
            <v>31cmDK+23um1800lpm+</v>
          </cell>
          <cell r="I50">
            <v>9000</v>
          </cell>
        </row>
        <row r="51">
          <cell r="C51">
            <v>42176</v>
          </cell>
          <cell r="D51">
            <v>0.88782407407407404</v>
          </cell>
          <cell r="E51">
            <v>2457195.4156999998</v>
          </cell>
          <cell r="F51" t="str">
            <v>PSO</v>
          </cell>
          <cell r="G51" t="str">
            <v>TAT-HU</v>
          </cell>
          <cell r="H51" t="str">
            <v>25cmLH24K35u414esm</v>
          </cell>
          <cell r="I51">
            <v>19118</v>
          </cell>
        </row>
        <row r="52">
          <cell r="C52">
            <v>42182</v>
          </cell>
          <cell r="D52">
            <v>0.23185185185185186</v>
          </cell>
          <cell r="E52">
            <v>2457190.7598999999</v>
          </cell>
          <cell r="F52" t="str">
            <v>LES</v>
          </cell>
          <cell r="G52" t="str">
            <v>MRO-CA</v>
          </cell>
          <cell r="H52" t="str">
            <v>31cmDK+23um1800lpm+</v>
          </cell>
          <cell r="I52">
            <v>9000</v>
          </cell>
        </row>
        <row r="53">
          <cell r="C53">
            <v>42188</v>
          </cell>
          <cell r="D53">
            <v>0.96612268518518529</v>
          </cell>
          <cell r="E53">
            <v>2457207.4939999999</v>
          </cell>
          <cell r="F53" t="str">
            <v>PSO</v>
          </cell>
          <cell r="G53" t="str">
            <v>TAT-HU</v>
          </cell>
          <cell r="H53" t="str">
            <v>25cmLH24K15u414esm</v>
          </cell>
          <cell r="I53">
            <v>19018</v>
          </cell>
        </row>
        <row r="54">
          <cell r="C54">
            <v>42194</v>
          </cell>
          <cell r="D54">
            <v>0.87187500000000007</v>
          </cell>
          <cell r="E54">
            <v>2457213.4032000001</v>
          </cell>
          <cell r="F54" t="str">
            <v>JGF</v>
          </cell>
          <cell r="G54" t="str">
            <v>SMM-SP</v>
          </cell>
          <cell r="H54" t="str">
            <v>16REMOTATIK460EX</v>
          </cell>
          <cell r="I54">
            <v>660</v>
          </cell>
        </row>
        <row r="55">
          <cell r="C55">
            <v>42196</v>
          </cell>
          <cell r="D55">
            <v>2.7881944444444445E-2</v>
          </cell>
          <cell r="E55">
            <v>2457214.5383000001</v>
          </cell>
          <cell r="F55" t="str">
            <v>PSO</v>
          </cell>
          <cell r="G55" t="str">
            <v>TAT-HU</v>
          </cell>
          <cell r="H55" t="str">
            <v>T10+Lhires600+Atik414esm</v>
          </cell>
          <cell r="I55">
            <v>3436</v>
          </cell>
        </row>
        <row r="56">
          <cell r="C56">
            <v>42196</v>
          </cell>
          <cell r="D56">
            <v>0.97074074074074079</v>
          </cell>
          <cell r="E56">
            <v>2457215.4882</v>
          </cell>
          <cell r="F56" t="str">
            <v>PSO</v>
          </cell>
          <cell r="G56" t="str">
            <v>TAT-HU</v>
          </cell>
          <cell r="H56" t="str">
            <v>T10+Lhires600+Atik414esm</v>
          </cell>
          <cell r="I56">
            <v>3087</v>
          </cell>
        </row>
        <row r="57">
          <cell r="C57">
            <v>42203</v>
          </cell>
          <cell r="D57">
            <v>5.0995370370370365E-2</v>
          </cell>
          <cell r="E57">
            <v>2457221.5367000001</v>
          </cell>
          <cell r="F57" t="str">
            <v>PSO</v>
          </cell>
          <cell r="G57" t="str">
            <v>TAT-HU</v>
          </cell>
          <cell r="H57" t="str">
            <v>25cmLH2400_23u414ex</v>
          </cell>
          <cell r="I57">
            <v>22107</v>
          </cell>
        </row>
        <row r="58">
          <cell r="C58">
            <v>42205</v>
          </cell>
          <cell r="D58">
            <v>0.95599537037037041</v>
          </cell>
          <cell r="E58">
            <v>2457224.4772999999</v>
          </cell>
          <cell r="F58" t="str">
            <v>DBO</v>
          </cell>
          <cell r="G58" t="str">
            <v>WCO-UK</v>
          </cell>
          <cell r="H58" t="str">
            <v>C11+Lisa+SXVR-H694</v>
          </cell>
          <cell r="I58">
            <v>792</v>
          </cell>
        </row>
        <row r="59">
          <cell r="C59">
            <v>42210</v>
          </cell>
          <cell r="D59">
            <v>0.8653587962962962</v>
          </cell>
          <cell r="E59">
            <v>2457229.3862999999</v>
          </cell>
          <cell r="F59" t="str">
            <v>JGF</v>
          </cell>
          <cell r="G59" t="str">
            <v>SMM-SP</v>
          </cell>
          <cell r="H59" t="str">
            <v>16REMOTATIK460EX</v>
          </cell>
          <cell r="I59">
            <v>883</v>
          </cell>
        </row>
        <row r="60">
          <cell r="C60">
            <v>42223</v>
          </cell>
          <cell r="D60">
            <v>0.97321759259259266</v>
          </cell>
          <cell r="E60">
            <v>2457242.5290000001</v>
          </cell>
          <cell r="F60" t="str">
            <v>PSO</v>
          </cell>
          <cell r="G60" t="str">
            <v>TAT-HU</v>
          </cell>
          <cell r="H60" t="str">
            <v>25cmLH2400_23u414ex</v>
          </cell>
          <cell r="I60">
            <v>21878</v>
          </cell>
        </row>
        <row r="61">
          <cell r="C61">
            <v>42237</v>
          </cell>
          <cell r="D61">
            <v>0.88626157407407413</v>
          </cell>
          <cell r="E61">
            <v>2457256.4071</v>
          </cell>
          <cell r="F61" t="str">
            <v>FRA</v>
          </cell>
          <cell r="G61" t="str">
            <v>BAL-IT</v>
          </cell>
          <cell r="H61" t="str">
            <v>LX200-8+Alpy600+SXV</v>
          </cell>
          <cell r="I61">
            <v>508</v>
          </cell>
        </row>
        <row r="62">
          <cell r="C62">
            <v>42238</v>
          </cell>
          <cell r="D62">
            <v>0.97958333333333336</v>
          </cell>
          <cell r="E62">
            <v>2457257.4934999999</v>
          </cell>
          <cell r="F62" t="str">
            <v>PSO</v>
          </cell>
          <cell r="G62" t="str">
            <v>TAT-HU</v>
          </cell>
          <cell r="H62" t="str">
            <v>25cmLH2400_23u414ex</v>
          </cell>
          <cell r="I62">
            <v>21823</v>
          </cell>
        </row>
        <row r="63">
          <cell r="C63">
            <v>42239</v>
          </cell>
          <cell r="D63">
            <v>7.0474537037037044E-2</v>
          </cell>
          <cell r="E63">
            <v>2457257.6126000001</v>
          </cell>
          <cell r="F63" t="str">
            <v>LES</v>
          </cell>
          <cell r="G63" t="str">
            <v>MRO-CA</v>
          </cell>
          <cell r="H63" t="str">
            <v>31cmDK+23um1800lpm+</v>
          </cell>
          <cell r="I63">
            <v>6392</v>
          </cell>
        </row>
        <row r="64">
          <cell r="C64">
            <v>42241</v>
          </cell>
          <cell r="D64">
            <v>0.8008912037037037</v>
          </cell>
          <cell r="E64">
            <v>2457260.3598000002</v>
          </cell>
          <cell r="F64" t="str">
            <v>BER</v>
          </cell>
          <cell r="G64" t="str">
            <v>BVO-IT</v>
          </cell>
          <cell r="H64" t="str">
            <v>Lhires31200C9SXV</v>
          </cell>
          <cell r="I64">
            <v>3700</v>
          </cell>
        </row>
        <row r="65">
          <cell r="C65">
            <v>42248</v>
          </cell>
          <cell r="D65">
            <v>0.82646990740740733</v>
          </cell>
          <cell r="E65">
            <v>2457267.3426000001</v>
          </cell>
          <cell r="F65" t="str">
            <v>FMT</v>
          </cell>
          <cell r="G65" t="str">
            <v>ORS-FR</v>
          </cell>
          <cell r="H65" t="str">
            <v>SC14+eShel+Atik460ex</v>
          </cell>
          <cell r="I65">
            <v>11000</v>
          </cell>
        </row>
        <row r="66">
          <cell r="C66">
            <v>42254</v>
          </cell>
          <cell r="D66">
            <v>0.81370370370370371</v>
          </cell>
          <cell r="E66">
            <v>2457273.3517999998</v>
          </cell>
          <cell r="F66" t="str">
            <v>OGA</v>
          </cell>
          <cell r="G66" t="str">
            <v>OTO-FR</v>
          </cell>
          <cell r="H66" t="str">
            <v>RC400+eShel_460EX</v>
          </cell>
          <cell r="I66">
            <v>11000</v>
          </cell>
        </row>
        <row r="67">
          <cell r="C67">
            <v>42255</v>
          </cell>
          <cell r="D67">
            <v>0.93545138888888879</v>
          </cell>
          <cell r="E67">
            <v>2457274.4493999998</v>
          </cell>
          <cell r="F67" t="str">
            <v>JPM</v>
          </cell>
          <cell r="G67" t="str">
            <v>AMP-FR</v>
          </cell>
          <cell r="H67" t="str">
            <v>MakINTES150(F/D=7)+</v>
          </cell>
        </row>
        <row r="68">
          <cell r="C68">
            <v>42262</v>
          </cell>
          <cell r="D68">
            <v>1.7499999999999998E-2</v>
          </cell>
          <cell r="E68">
            <v>2457280.5455999998</v>
          </cell>
          <cell r="F68" t="str">
            <v>LES</v>
          </cell>
          <cell r="G68" t="str">
            <v>MRO-CA</v>
          </cell>
          <cell r="H68" t="str">
            <v>31cmDK+23um1800lpm+</v>
          </cell>
          <cell r="I68">
            <v>9000</v>
          </cell>
        </row>
        <row r="69">
          <cell r="C69">
            <v>42298</v>
          </cell>
          <cell r="D69">
            <v>0.80880787037037039</v>
          </cell>
          <cell r="E69">
            <v>2457317.3519000001</v>
          </cell>
          <cell r="F69" t="str">
            <v>JGF</v>
          </cell>
          <cell r="G69" t="str">
            <v>SMM-SP</v>
          </cell>
          <cell r="H69" t="str">
            <v>16REMOTATIK460EX</v>
          </cell>
          <cell r="I69">
            <v>884</v>
          </cell>
        </row>
        <row r="70">
          <cell r="C70">
            <v>42305</v>
          </cell>
          <cell r="D70">
            <v>0.88116898148148148</v>
          </cell>
          <cell r="E70">
            <v>2457324.3920999998</v>
          </cell>
          <cell r="F70" t="str">
            <v xml:space="preserve">FMT </v>
          </cell>
          <cell r="G70" t="str">
            <v>ORS-FR</v>
          </cell>
          <cell r="H70" t="str">
            <v>SC14+eShel+Atik460ex</v>
          </cell>
          <cell r="I70">
            <v>11000</v>
          </cell>
        </row>
        <row r="71">
          <cell r="C71">
            <v>42311</v>
          </cell>
          <cell r="D71">
            <v>0.9689699074074074</v>
          </cell>
          <cell r="E71">
            <v>2457330.497</v>
          </cell>
          <cell r="F71" t="str">
            <v>LES</v>
          </cell>
          <cell r="G71" t="str">
            <v>MRO-CA</v>
          </cell>
          <cell r="H71" t="str">
            <v>31cmDK+23um1800lpm+</v>
          </cell>
          <cell r="I71">
            <v>9000</v>
          </cell>
        </row>
        <row r="72">
          <cell r="C72">
            <v>42315</v>
          </cell>
          <cell r="D72">
            <v>0.8629282407407407</v>
          </cell>
          <cell r="E72">
            <v>2457334.3664000002</v>
          </cell>
          <cell r="F72" t="str">
            <v>FBO</v>
          </cell>
          <cell r="G72" t="str">
            <v>OPL-FR</v>
          </cell>
          <cell r="H72" t="str">
            <v>SC8+Lisa+ATIK314L+</v>
          </cell>
          <cell r="I72">
            <v>1000</v>
          </cell>
        </row>
        <row r="73">
          <cell r="C73">
            <v>42501</v>
          </cell>
          <cell r="D73">
            <v>0.22291666666666665</v>
          </cell>
          <cell r="E73">
            <v>2457519.7648999998</v>
          </cell>
          <cell r="F73" t="str">
            <v>LES</v>
          </cell>
          <cell r="G73" t="str">
            <v>MRO-CA</v>
          </cell>
          <cell r="H73" t="str">
            <v>31cmDK+23um1800lpm</v>
          </cell>
          <cell r="I73">
            <v>9000</v>
          </cell>
        </row>
        <row r="74">
          <cell r="C74">
            <v>42513</v>
          </cell>
          <cell r="D74">
            <v>0.24998842592592593</v>
          </cell>
          <cell r="E74">
            <v>2457531.7850000001</v>
          </cell>
          <cell r="F74" t="str">
            <v>LES</v>
          </cell>
          <cell r="G74" t="str">
            <v>MRO-CA</v>
          </cell>
          <cell r="H74" t="str">
            <v>31cmDK+23um1800lpm</v>
          </cell>
          <cell r="I74">
            <v>6400</v>
          </cell>
        </row>
        <row r="75">
          <cell r="C75">
            <v>42564</v>
          </cell>
          <cell r="D75">
            <v>0.90799768518518509</v>
          </cell>
          <cell r="E75">
            <v>2457583.4301</v>
          </cell>
          <cell r="F75" t="str">
            <v xml:space="preserve">FMT </v>
          </cell>
          <cell r="G75" t="str">
            <v>ORS-FR</v>
          </cell>
          <cell r="H75" t="str">
            <v>SC14+eShel+Atik460ex</v>
          </cell>
          <cell r="I75">
            <v>11000</v>
          </cell>
        </row>
        <row r="76">
          <cell r="C76">
            <v>42567</v>
          </cell>
          <cell r="D76">
            <v>0.95112268518518517</v>
          </cell>
          <cell r="E76">
            <v>2457586.4731000001</v>
          </cell>
          <cell r="F76" t="str">
            <v xml:space="preserve">FMT </v>
          </cell>
          <cell r="G76" t="str">
            <v>ORS-FR</v>
          </cell>
          <cell r="H76" t="str">
            <v>SC14+eShel+Atik460ex</v>
          </cell>
          <cell r="I76">
            <v>11000</v>
          </cell>
        </row>
        <row r="77">
          <cell r="C77">
            <v>42568</v>
          </cell>
          <cell r="D77">
            <v>0.84751157407407407</v>
          </cell>
          <cell r="E77">
            <v>2457587.3761</v>
          </cell>
          <cell r="F77" t="str">
            <v>BER</v>
          </cell>
          <cell r="G77" t="str">
            <v>BVO-IT</v>
          </cell>
          <cell r="H77" t="str">
            <v>Lhires31200C9SXV</v>
          </cell>
          <cell r="I77">
            <v>5954</v>
          </cell>
        </row>
        <row r="78">
          <cell r="C78">
            <v>42568</v>
          </cell>
          <cell r="D78">
            <v>0.94916666666666671</v>
          </cell>
          <cell r="E78">
            <v>2457587.4580000001</v>
          </cell>
          <cell r="F78" t="str">
            <v>DBO</v>
          </cell>
          <cell r="G78" t="str">
            <v>WCO-UK</v>
          </cell>
          <cell r="H78" t="str">
            <v>C11+Lisa+SXVR-H</v>
          </cell>
          <cell r="I78">
            <v>762</v>
          </cell>
        </row>
        <row r="79">
          <cell r="C79">
            <v>42569</v>
          </cell>
          <cell r="D79">
            <v>0.90790509259259267</v>
          </cell>
          <cell r="E79">
            <v>2457588.4254000001</v>
          </cell>
          <cell r="F79" t="str">
            <v>JGF</v>
          </cell>
          <cell r="G79" t="str">
            <v>SMM-SP</v>
          </cell>
          <cell r="H79" t="str">
            <v>16REMOTATIK460EX</v>
          </cell>
          <cell r="I79">
            <v>1127</v>
          </cell>
        </row>
        <row r="80">
          <cell r="C80">
            <v>42570</v>
          </cell>
          <cell r="D80">
            <v>0.90642361111111114</v>
          </cell>
          <cell r="E80">
            <v>2457589.4273999999</v>
          </cell>
          <cell r="F80" t="str">
            <v>OTH</v>
          </cell>
          <cell r="G80" t="str">
            <v>OBE-FR</v>
          </cell>
          <cell r="H80" t="str">
            <v>eShel_Atik460</v>
          </cell>
          <cell r="I80">
            <v>11000</v>
          </cell>
        </row>
        <row r="81">
          <cell r="C81">
            <v>42571</v>
          </cell>
          <cell r="D81">
            <v>9.5104166666666656E-2</v>
          </cell>
          <cell r="E81">
            <v>2457589.6370999999</v>
          </cell>
          <cell r="F81" t="str">
            <v>LES</v>
          </cell>
          <cell r="G81" t="str">
            <v>MRO-CA</v>
          </cell>
          <cell r="H81" t="str">
            <v>31cmDK+23um1800lpm+</v>
          </cell>
          <cell r="I81">
            <v>6400</v>
          </cell>
        </row>
        <row r="82">
          <cell r="C82">
            <v>42574</v>
          </cell>
          <cell r="D82">
            <v>0.91224537037037035</v>
          </cell>
          <cell r="E82">
            <v>2457593.4402000001</v>
          </cell>
          <cell r="F82" t="str">
            <v xml:space="preserve">FMT </v>
          </cell>
          <cell r="G82" t="str">
            <v>ORS-FR</v>
          </cell>
          <cell r="H82" t="str">
            <v>SC14+eShel+Atik460ex</v>
          </cell>
          <cell r="I82">
            <v>11000</v>
          </cell>
        </row>
        <row r="83">
          <cell r="C83">
            <v>42578</v>
          </cell>
          <cell r="D83">
            <v>0.93729166666666675</v>
          </cell>
          <cell r="E83">
            <v>2457597.4687000001</v>
          </cell>
          <cell r="F83" t="str">
            <v>OTH</v>
          </cell>
          <cell r="G83" t="str">
            <v>OBE-FR</v>
          </cell>
          <cell r="H83" t="str">
            <v>eShel_Atik460</v>
          </cell>
          <cell r="I83">
            <v>11000</v>
          </cell>
        </row>
        <row r="84">
          <cell r="C84">
            <v>42579</v>
          </cell>
          <cell r="D84">
            <v>0.91578703703703701</v>
          </cell>
          <cell r="E84">
            <v>2457598.5257000001</v>
          </cell>
          <cell r="F84" t="str">
            <v>OGA</v>
          </cell>
          <cell r="G84" t="str">
            <v>OTO-FR</v>
          </cell>
          <cell r="H84" t="str">
            <v>RC400+eShel_460EX</v>
          </cell>
          <cell r="I84">
            <v>11000</v>
          </cell>
        </row>
        <row r="85">
          <cell r="C85">
            <v>42579</v>
          </cell>
          <cell r="D85">
            <v>0.9849768518518518</v>
          </cell>
          <cell r="E85">
            <v>2457598.4986</v>
          </cell>
          <cell r="F85" t="str">
            <v>GMAYBU</v>
          </cell>
          <cell r="G85" t="str">
            <v>OSM-FR</v>
          </cell>
          <cell r="H85" t="str">
            <v>C11lLisaQSI583ws</v>
          </cell>
          <cell r="I85">
            <v>903</v>
          </cell>
        </row>
        <row r="86">
          <cell r="C86">
            <v>42580</v>
          </cell>
          <cell r="D86">
            <v>0.88248842592592591</v>
          </cell>
          <cell r="E86">
            <v>2457599.3912</v>
          </cell>
          <cell r="F86" t="str">
            <v>FRA</v>
          </cell>
          <cell r="G86" t="str">
            <v>BAL-IT</v>
          </cell>
          <cell r="H86" t="str">
            <v>SC8+Alpy600</v>
          </cell>
          <cell r="I86">
            <v>498</v>
          </cell>
        </row>
        <row r="87">
          <cell r="C87">
            <v>42585</v>
          </cell>
          <cell r="D87">
            <v>7.846064814814814E-2</v>
          </cell>
          <cell r="E87">
            <v>2457603.5896999999</v>
          </cell>
          <cell r="F87" t="str">
            <v>OGA</v>
          </cell>
          <cell r="G87" t="str">
            <v>OMA-FR</v>
          </cell>
          <cell r="H87" t="str">
            <v>RC600OfficinaStel</v>
          </cell>
          <cell r="I87">
            <v>628</v>
          </cell>
        </row>
        <row r="88">
          <cell r="C88">
            <v>42588</v>
          </cell>
          <cell r="D88">
            <v>0.87200231481481483</v>
          </cell>
          <cell r="E88">
            <v>2457607.3912</v>
          </cell>
          <cell r="F88" t="str">
            <v xml:space="preserve">FMT </v>
          </cell>
          <cell r="G88" t="str">
            <v>ORS-FR</v>
          </cell>
          <cell r="H88" t="str">
            <v>SC14+eShel+Atik460ex</v>
          </cell>
          <cell r="I88">
            <v>11000</v>
          </cell>
        </row>
        <row r="89">
          <cell r="C89">
            <v>42593</v>
          </cell>
          <cell r="D89">
            <v>6.5879629629629635E-2</v>
          </cell>
          <cell r="E89">
            <v>2457611.5934000001</v>
          </cell>
          <cell r="F89" t="str">
            <v>MVE</v>
          </cell>
          <cell r="G89" t="str">
            <v>OHP-FR</v>
          </cell>
          <cell r="H89" t="str">
            <v>C8-Alpy600-Atik460e</v>
          </cell>
          <cell r="I89">
            <v>570</v>
          </cell>
        </row>
        <row r="90">
          <cell r="C90">
            <v>42593</v>
          </cell>
          <cell r="D90">
            <v>0.88393518518518521</v>
          </cell>
          <cell r="E90">
            <v>2457612.4018999999</v>
          </cell>
          <cell r="F90" t="str">
            <v>GMAYBU</v>
          </cell>
          <cell r="G90" t="str">
            <v>OHP-FR</v>
          </cell>
          <cell r="H90" t="str">
            <v>C11LisaQSI583ws</v>
          </cell>
          <cell r="I90">
            <v>1139</v>
          </cell>
        </row>
        <row r="91">
          <cell r="C91">
            <v>42593</v>
          </cell>
          <cell r="D91">
            <v>0.93078703703703702</v>
          </cell>
          <cell r="E91">
            <v>2457612.443</v>
          </cell>
          <cell r="F91" t="str">
            <v>CBO</v>
          </cell>
          <cell r="G91" t="str">
            <v>OHP-FR</v>
          </cell>
          <cell r="H91" t="str">
            <v>Newton200F/5+</v>
          </cell>
          <cell r="I91">
            <v>499</v>
          </cell>
        </row>
        <row r="92">
          <cell r="C92">
            <v>42596</v>
          </cell>
          <cell r="D92">
            <v>0.85115740740740742</v>
          </cell>
          <cell r="E92">
            <v>2457615.3683000002</v>
          </cell>
          <cell r="F92" t="str">
            <v>BER</v>
          </cell>
          <cell r="G92" t="str">
            <v>BVO-IT</v>
          </cell>
          <cell r="H92" t="str">
            <v>Lhires31200C9SXV</v>
          </cell>
          <cell r="I92">
            <v>5756</v>
          </cell>
        </row>
        <row r="93">
          <cell r="C93">
            <v>42597</v>
          </cell>
          <cell r="D93">
            <v>0.13188657407407409</v>
          </cell>
          <cell r="E93">
            <v>2457615.6581000001</v>
          </cell>
          <cell r="F93" t="str">
            <v>GKA</v>
          </cell>
          <cell r="G93" t="str">
            <v>GRL-US</v>
          </cell>
          <cell r="H93" t="str">
            <v>SC10+Alpy600</v>
          </cell>
          <cell r="I93">
            <v>563</v>
          </cell>
        </row>
        <row r="94">
          <cell r="C94">
            <v>42598</v>
          </cell>
          <cell r="D94">
            <v>0.84711805555555564</v>
          </cell>
          <cell r="E94">
            <v>2457617.3683000002</v>
          </cell>
          <cell r="F94" t="str">
            <v xml:space="preserve">FMT </v>
          </cell>
          <cell r="G94" t="str">
            <v>ORS-FR</v>
          </cell>
          <cell r="H94" t="str">
            <v>SC14+eShel+Atik460ex</v>
          </cell>
          <cell r="I94">
            <v>11000</v>
          </cell>
        </row>
        <row r="95">
          <cell r="C95">
            <v>42603</v>
          </cell>
          <cell r="D95">
            <v>0.88297453703703699</v>
          </cell>
          <cell r="E95">
            <v>2457622.4145</v>
          </cell>
          <cell r="F95" t="str">
            <v>OTH</v>
          </cell>
          <cell r="G95" t="str">
            <v>OBE-FR</v>
          </cell>
          <cell r="H95" t="str">
            <v>eShel_Atik460</v>
          </cell>
          <cell r="I95">
            <v>11000</v>
          </cell>
        </row>
        <row r="96">
          <cell r="C96">
            <v>42605</v>
          </cell>
          <cell r="D96">
            <v>0.84606481481481488</v>
          </cell>
          <cell r="E96">
            <v>2457624.3659999999</v>
          </cell>
          <cell r="F96" t="str">
            <v xml:space="preserve">FMT </v>
          </cell>
          <cell r="G96" t="str">
            <v>ORS-FR</v>
          </cell>
          <cell r="H96" t="str">
            <v>SC14+eShel+Atik460ex</v>
          </cell>
          <cell r="I96">
            <v>11000</v>
          </cell>
        </row>
        <row r="97">
          <cell r="C97">
            <v>42613</v>
          </cell>
          <cell r="D97">
            <v>3.3194444444444443E-2</v>
          </cell>
          <cell r="E97">
            <v>2457631.5471000001</v>
          </cell>
          <cell r="F97" t="str">
            <v>JPM</v>
          </cell>
          <cell r="G97" t="str">
            <v>AMP-FR</v>
          </cell>
          <cell r="H97" t="str">
            <v>Alpy+Newton200</v>
          </cell>
          <cell r="I97">
            <v>440</v>
          </cell>
        </row>
        <row r="98">
          <cell r="C98">
            <v>42621</v>
          </cell>
          <cell r="D98">
            <v>0.86826388888888895</v>
          </cell>
          <cell r="E98">
            <v>2457640.3894000002</v>
          </cell>
          <cell r="F98" t="str">
            <v xml:space="preserve">FMT </v>
          </cell>
          <cell r="G98" t="str">
            <v>ORS-FR</v>
          </cell>
          <cell r="H98" t="str">
            <v>SC14+eShel+Atik460ex</v>
          </cell>
          <cell r="I98">
            <v>11000</v>
          </cell>
        </row>
        <row r="99">
          <cell r="C99">
            <v>42626</v>
          </cell>
          <cell r="D99">
            <v>8.5567129629629632E-2</v>
          </cell>
          <cell r="E99">
            <v>2457644.6137000001</v>
          </cell>
          <cell r="F99" t="str">
            <v>LES</v>
          </cell>
          <cell r="G99" t="str">
            <v>MRO-CA</v>
          </cell>
          <cell r="H99" t="str">
            <v>31cmDK+23um1800lpm+</v>
          </cell>
          <cell r="I99">
            <v>9000</v>
          </cell>
        </row>
        <row r="100">
          <cell r="C100">
            <v>42634</v>
          </cell>
          <cell r="D100">
            <v>0.85473379629629631</v>
          </cell>
          <cell r="E100">
            <v>2457653.3760000002</v>
          </cell>
          <cell r="F100" t="str">
            <v xml:space="preserve">FMT </v>
          </cell>
          <cell r="G100" t="str">
            <v>ORS-FR</v>
          </cell>
          <cell r="H100" t="str">
            <v>SC14+eShel+Atik460ex</v>
          </cell>
          <cell r="I100">
            <v>11000</v>
          </cell>
        </row>
        <row r="101">
          <cell r="C101">
            <v>42636</v>
          </cell>
          <cell r="D101">
            <v>1.7997685185185186E-2</v>
          </cell>
          <cell r="E101">
            <v>2457654.5287000001</v>
          </cell>
          <cell r="F101" t="str">
            <v>JMO</v>
          </cell>
          <cell r="G101" t="str">
            <v>CAL-FR</v>
          </cell>
          <cell r="H101" t="str">
            <v>Alpy600+Atik460EX</v>
          </cell>
          <cell r="I101">
            <v>652</v>
          </cell>
        </row>
        <row r="102">
          <cell r="C102">
            <v>42642</v>
          </cell>
          <cell r="D102">
            <v>0.76262731481481483</v>
          </cell>
          <cell r="E102">
            <v>2457661.2713000001</v>
          </cell>
          <cell r="F102" t="str">
            <v>FRA</v>
          </cell>
          <cell r="G102" t="str">
            <v>BAL-IT</v>
          </cell>
          <cell r="H102" t="str">
            <v>SC8+Alpy600</v>
          </cell>
          <cell r="I102">
            <v>506</v>
          </cell>
        </row>
        <row r="103">
          <cell r="C103">
            <v>42644</v>
          </cell>
          <cell r="D103">
            <v>0.84961805555555558</v>
          </cell>
          <cell r="E103">
            <v>2457663.3708000001</v>
          </cell>
          <cell r="F103" t="str">
            <v xml:space="preserve">FMT </v>
          </cell>
          <cell r="G103" t="str">
            <v>ORS-FR</v>
          </cell>
          <cell r="H103" t="str">
            <v>SC14+eShel+Atik460ex</v>
          </cell>
          <cell r="I103">
            <v>11000</v>
          </cell>
        </row>
        <row r="104">
          <cell r="C104">
            <v>42650</v>
          </cell>
          <cell r="D104">
            <v>8.5381944444444455E-2</v>
          </cell>
          <cell r="E104">
            <v>2457668.6063999999</v>
          </cell>
          <cell r="F104" t="str">
            <v>LES</v>
          </cell>
          <cell r="G104" t="str">
            <v>MRO-CA</v>
          </cell>
          <cell r="H104" t="str">
            <v>31cmDK+23um1800lpm+</v>
          </cell>
          <cell r="I104">
            <v>900</v>
          </cell>
        </row>
        <row r="105">
          <cell r="C105">
            <v>42652</v>
          </cell>
          <cell r="D105">
            <v>0.86234953703703709</v>
          </cell>
          <cell r="E105">
            <v>2457671.3832</v>
          </cell>
          <cell r="F105" t="str">
            <v>JGF</v>
          </cell>
          <cell r="G105" t="str">
            <v>SMM-SP</v>
          </cell>
          <cell r="H105" t="str">
            <v>16REMOTATIK460EX</v>
          </cell>
          <cell r="I105">
            <v>1289</v>
          </cell>
        </row>
        <row r="106">
          <cell r="C106">
            <v>42654</v>
          </cell>
          <cell r="D106">
            <v>3.7500000000000003E-3</v>
          </cell>
          <cell r="E106">
            <v>2457672.5388000002</v>
          </cell>
          <cell r="F106" t="str">
            <v>LES</v>
          </cell>
          <cell r="G106" t="str">
            <v>MRO-CA</v>
          </cell>
          <cell r="H106" t="str">
            <v>31cmDK+23um1800lpm+</v>
          </cell>
          <cell r="I106">
            <v>6400</v>
          </cell>
        </row>
        <row r="107">
          <cell r="C107">
            <v>42654</v>
          </cell>
          <cell r="D107">
            <v>0.78217592592592589</v>
          </cell>
          <cell r="E107">
            <v>2457673.3105000001</v>
          </cell>
          <cell r="F107" t="str">
            <v xml:space="preserve">FMT </v>
          </cell>
          <cell r="G107" t="str">
            <v>ORS-FR</v>
          </cell>
          <cell r="H107" t="str">
            <v>SC14+eShel+Atik460ex</v>
          </cell>
          <cell r="I107">
            <v>11000</v>
          </cell>
        </row>
        <row r="108">
          <cell r="C108">
            <v>42658</v>
          </cell>
          <cell r="D108">
            <v>0.81065972222222227</v>
          </cell>
          <cell r="E108">
            <v>2457677.3212000001</v>
          </cell>
          <cell r="F108" t="str">
            <v>FBO</v>
          </cell>
          <cell r="G108" t="str">
            <v>SJI-FR</v>
          </cell>
          <cell r="H108" t="str">
            <v>SC8+Lisa+ATIK314L+</v>
          </cell>
          <cell r="I108">
            <v>2200</v>
          </cell>
        </row>
        <row r="109">
          <cell r="C109">
            <v>42671</v>
          </cell>
          <cell r="D109">
            <v>0.75509259259259265</v>
          </cell>
          <cell r="E109">
            <v>2457690.2840999998</v>
          </cell>
          <cell r="F109" t="str">
            <v>JGF</v>
          </cell>
          <cell r="G109" t="str">
            <v>SMM-SP</v>
          </cell>
          <cell r="H109" t="str">
            <v>16REMOTATIK460EX</v>
          </cell>
          <cell r="I109">
            <v>1020</v>
          </cell>
        </row>
        <row r="110">
          <cell r="C110">
            <v>42680</v>
          </cell>
          <cell r="D110">
            <v>0.95008101851851856</v>
          </cell>
          <cell r="E110">
            <v>2457699.4780999999</v>
          </cell>
          <cell r="F110" t="str">
            <v>LES</v>
          </cell>
          <cell r="G110" t="str">
            <v>MRO-CA</v>
          </cell>
          <cell r="H110" t="str">
            <v>31cmDK+23um1800lpm+</v>
          </cell>
          <cell r="I110">
            <v>9000</v>
          </cell>
        </row>
        <row r="111">
          <cell r="C111">
            <v>42681</v>
          </cell>
          <cell r="D111">
            <v>0.76965277777777785</v>
          </cell>
          <cell r="E111">
            <v>2457700.287</v>
          </cell>
          <cell r="F111" t="str">
            <v>FCA</v>
          </cell>
          <cell r="G111" t="str">
            <v>PAG-SP</v>
          </cell>
          <cell r="H111" t="str">
            <v>N-200DADOS-200ATI</v>
          </cell>
          <cell r="I111">
            <v>769</v>
          </cell>
        </row>
        <row r="112">
          <cell r="C112">
            <v>42704</v>
          </cell>
          <cell r="D112">
            <v>0.72861111111111121</v>
          </cell>
          <cell r="E112">
            <v>2457723.2496000002</v>
          </cell>
          <cell r="F112" t="str">
            <v xml:space="preserve">FMT </v>
          </cell>
          <cell r="G112" t="str">
            <v>ORS-FR</v>
          </cell>
          <cell r="H112" t="str">
            <v>SC14+eShel+Atik460ex</v>
          </cell>
          <cell r="I112">
            <v>11000</v>
          </cell>
        </row>
        <row r="113">
          <cell r="C113">
            <v>42792</v>
          </cell>
          <cell r="D113">
            <v>0.18850694444444446</v>
          </cell>
          <cell r="E113">
            <v>2457810.6954999999</v>
          </cell>
          <cell r="F113" t="str">
            <v>PSO</v>
          </cell>
          <cell r="G113" t="str">
            <v>TAT-HU</v>
          </cell>
          <cell r="H113" t="str">
            <v>30cmf4LH2400Atik428</v>
          </cell>
          <cell r="I113">
            <v>17183</v>
          </cell>
        </row>
        <row r="114">
          <cell r="C114">
            <v>42819</v>
          </cell>
          <cell r="D114">
            <v>0.17868055555555554</v>
          </cell>
          <cell r="E114">
            <v>2457837.6927999998</v>
          </cell>
          <cell r="F114" t="str">
            <v xml:space="preserve">FMT </v>
          </cell>
          <cell r="G114" t="str">
            <v>ORS-FR</v>
          </cell>
          <cell r="H114" t="str">
            <v>SC14+eShel+Atik460ex</v>
          </cell>
          <cell r="I114">
            <v>11000</v>
          </cell>
        </row>
        <row r="115">
          <cell r="C115">
            <v>42820</v>
          </cell>
          <cell r="D115">
            <v>0.33407407407407402</v>
          </cell>
          <cell r="E115">
            <v>2457838.8690999998</v>
          </cell>
          <cell r="F115" t="str">
            <v>LES</v>
          </cell>
          <cell r="G115" t="str">
            <v>MRO-CA</v>
          </cell>
          <cell r="H115" t="str">
            <v>31cmDK+23um1800lpm+</v>
          </cell>
          <cell r="I115">
            <v>9000</v>
          </cell>
        </row>
        <row r="116">
          <cell r="C116">
            <v>42821</v>
          </cell>
          <cell r="D116">
            <v>6.0381944444444446E-2</v>
          </cell>
          <cell r="E116">
            <v>2457839.6039999998</v>
          </cell>
          <cell r="F116" t="str">
            <v>PSO</v>
          </cell>
          <cell r="G116" t="str">
            <v>TAT-HU</v>
          </cell>
          <cell r="H116" t="str">
            <v>30cmf4LH2400Atik428</v>
          </cell>
          <cell r="I116">
            <v>8563</v>
          </cell>
        </row>
        <row r="117">
          <cell r="C117">
            <v>42823</v>
          </cell>
          <cell r="D117">
            <v>0.16819444444444445</v>
          </cell>
          <cell r="E117">
            <v>2457841.6838000002</v>
          </cell>
          <cell r="F117" t="str">
            <v>FCA</v>
          </cell>
          <cell r="G117" t="str">
            <v>PAG-SP</v>
          </cell>
          <cell r="H117" t="str">
            <v>Newton-200DADOS-20</v>
          </cell>
          <cell r="I117">
            <v>799</v>
          </cell>
        </row>
        <row r="118">
          <cell r="C118">
            <v>42827</v>
          </cell>
          <cell r="D118">
            <v>0.14601851851851852</v>
          </cell>
          <cell r="E118">
            <v>2457845.6512000002</v>
          </cell>
          <cell r="F118" t="str">
            <v>PSO</v>
          </cell>
          <cell r="G118" t="str">
            <v>TAT-HU</v>
          </cell>
          <cell r="H118" t="str">
            <v>30cmf4LH2400u35Atik</v>
          </cell>
          <cell r="I118">
            <v>8392</v>
          </cell>
        </row>
        <row r="120">
          <cell r="C120">
            <v>42835</v>
          </cell>
          <cell r="D120">
            <v>0.13576388888888888</v>
          </cell>
          <cell r="E120">
            <v>2457853.6427000002</v>
          </cell>
          <cell r="F120" t="str">
            <v>PSO</v>
          </cell>
          <cell r="G120" t="str">
            <v>TAT-HU</v>
          </cell>
          <cell r="H120" t="str">
            <v>30cmf4LH2400u23Atik</v>
          </cell>
          <cell r="I120">
            <v>13085</v>
          </cell>
        </row>
        <row r="121">
          <cell r="C121">
            <v>42847</v>
          </cell>
          <cell r="D121">
            <v>8.9675925925925923E-2</v>
          </cell>
          <cell r="E121">
            <v>2457865.6036</v>
          </cell>
          <cell r="F121" t="str">
            <v xml:space="preserve">FMT </v>
          </cell>
          <cell r="G121" t="str">
            <v>ORS-FR</v>
          </cell>
          <cell r="H121" t="str">
            <v>SC14+eShel+Atik460ex</v>
          </cell>
          <cell r="I121">
            <v>11000</v>
          </cell>
        </row>
        <row r="122">
          <cell r="C122">
            <v>42848</v>
          </cell>
          <cell r="D122">
            <v>9.0289351851851843E-2</v>
          </cell>
          <cell r="E122">
            <v>2457866.6113999998</v>
          </cell>
          <cell r="F122" t="str">
            <v xml:space="preserve">FMT </v>
          </cell>
          <cell r="G122" t="str">
            <v>ORS-FR</v>
          </cell>
          <cell r="H122" t="str">
            <v>SC14+eShel+Atik460ex</v>
          </cell>
          <cell r="I122">
            <v>11000</v>
          </cell>
        </row>
        <row r="123">
          <cell r="C123">
            <v>42856</v>
          </cell>
          <cell r="D123">
            <v>0.10253472222222222</v>
          </cell>
          <cell r="E123">
            <v>2457874.6094999998</v>
          </cell>
          <cell r="F123" t="str">
            <v>PSO</v>
          </cell>
          <cell r="G123" t="str">
            <v>TAT-HU</v>
          </cell>
          <cell r="H123" t="str">
            <v>30cmf4LH2400u23Atik</v>
          </cell>
          <cell r="I123">
            <v>10328</v>
          </cell>
        </row>
        <row r="124">
          <cell r="C124">
            <v>42862</v>
          </cell>
          <cell r="D124">
            <v>4.1886574074074069E-2</v>
          </cell>
          <cell r="E124">
            <v>2457880.5784</v>
          </cell>
          <cell r="F124" t="str">
            <v>FCA</v>
          </cell>
          <cell r="G124" t="str">
            <v>PAG-SP</v>
          </cell>
          <cell r="H124" t="str">
            <v>Newton-200DADOS-12</v>
          </cell>
          <cell r="I124">
            <v>783</v>
          </cell>
        </row>
        <row r="125">
          <cell r="C125">
            <v>42882</v>
          </cell>
          <cell r="D125">
            <v>2.8611111111111115E-2</v>
          </cell>
          <cell r="E125">
            <v>2457900.5496999999</v>
          </cell>
          <cell r="F125" t="str">
            <v xml:space="preserve">FMT </v>
          </cell>
          <cell r="G125" t="str">
            <v>ORS-FR</v>
          </cell>
          <cell r="H125" t="str">
            <v>SC14+eShel+Atik460ex</v>
          </cell>
          <cell r="I125">
            <v>11000</v>
          </cell>
        </row>
        <row r="126">
          <cell r="C126">
            <v>42895</v>
          </cell>
          <cell r="D126">
            <v>0.94568287037037047</v>
          </cell>
          <cell r="E126">
            <v>2457914.4613000001</v>
          </cell>
          <cell r="F126" t="str">
            <v>FCA</v>
          </cell>
          <cell r="G126" t="str">
            <v>PAG-SP</v>
          </cell>
          <cell r="H126" t="str">
            <v>Newton-200DADOS-20</v>
          </cell>
          <cell r="I126">
            <v>841</v>
          </cell>
        </row>
        <row r="127">
          <cell r="C127">
            <v>42897</v>
          </cell>
          <cell r="D127">
            <v>1.1273148148148148E-2</v>
          </cell>
          <cell r="E127">
            <v>2457915.5147000002</v>
          </cell>
          <cell r="F127" t="str">
            <v>PSO</v>
          </cell>
          <cell r="G127" t="str">
            <v>TAT-HU</v>
          </cell>
          <cell r="H127" t="str">
            <v>T12+Lhires600+Atik428ex</v>
          </cell>
          <cell r="I127">
            <v>2950</v>
          </cell>
        </row>
        <row r="128">
          <cell r="C128">
            <v>42897</v>
          </cell>
          <cell r="D128">
            <v>4.5995370370370374E-2</v>
          </cell>
          <cell r="E128">
            <v>2457915.5529</v>
          </cell>
          <cell r="F128" t="str">
            <v>PSO</v>
          </cell>
          <cell r="G128" t="str">
            <v>TAT-HU</v>
          </cell>
          <cell r="H128" t="str">
            <v>T12+Lhires600+Atik428ex</v>
          </cell>
          <cell r="I128">
            <v>2308</v>
          </cell>
        </row>
        <row r="129">
          <cell r="C129">
            <v>42920</v>
          </cell>
          <cell r="D129">
            <v>0.21944444444444444</v>
          </cell>
          <cell r="E129">
            <v>2457938.7546000001</v>
          </cell>
          <cell r="F129" t="str">
            <v>LES</v>
          </cell>
          <cell r="G129" t="str">
            <v>MRO-CA</v>
          </cell>
          <cell r="H129" t="str">
            <v>DK310+Echelle_ESSAT</v>
          </cell>
          <cell r="I129">
            <v>12000</v>
          </cell>
        </row>
        <row r="130">
          <cell r="C130">
            <v>42903</v>
          </cell>
          <cell r="D130">
            <v>0.94245370370370374</v>
          </cell>
          <cell r="E130">
            <v>2457922.4706000001</v>
          </cell>
          <cell r="F130" t="str">
            <v xml:space="preserve">FMT </v>
          </cell>
          <cell r="G130" t="str">
            <v>ORS-FR</v>
          </cell>
          <cell r="H130" t="str">
            <v>SC14+eShel+Atik460ex</v>
          </cell>
          <cell r="I130">
            <v>11000</v>
          </cell>
        </row>
        <row r="131">
          <cell r="C131">
            <v>42932</v>
          </cell>
          <cell r="D131">
            <v>0.18199074074074073</v>
          </cell>
          <cell r="E131">
            <v>2457950.6941999998</v>
          </cell>
          <cell r="F131" t="str">
            <v>GKA</v>
          </cell>
          <cell r="G131" t="str">
            <v>GRL-US</v>
          </cell>
          <cell r="H131" t="str">
            <v>SC10+Alpy600</v>
          </cell>
          <cell r="I131">
            <v>519</v>
          </cell>
        </row>
        <row r="132">
          <cell r="C132">
            <v>42909</v>
          </cell>
          <cell r="D132">
            <v>0.36714120370370368</v>
          </cell>
          <cell r="E132">
            <v>2457927.8769999999</v>
          </cell>
          <cell r="F132" t="str">
            <v>JRF</v>
          </cell>
          <cell r="G132" t="str">
            <v>MTP-US</v>
          </cell>
          <cell r="H132" t="str">
            <v>CDK17LisaATIK460E</v>
          </cell>
          <cell r="I132">
            <v>792</v>
          </cell>
        </row>
        <row r="133">
          <cell r="C133">
            <v>42920</v>
          </cell>
          <cell r="D133">
            <v>0.21944444444444444</v>
          </cell>
          <cell r="E133">
            <v>2457938.7546000001</v>
          </cell>
          <cell r="F133" t="str">
            <v>LES</v>
          </cell>
          <cell r="G133" t="str">
            <v>MRO-CA</v>
          </cell>
          <cell r="H133" t="str">
            <v>DK310+Echelle_ESSAT</v>
          </cell>
          <cell r="I133">
            <v>12000</v>
          </cell>
        </row>
        <row r="134">
          <cell r="C134">
            <v>42957</v>
          </cell>
          <cell r="D134">
            <v>0.11630787037037038</v>
          </cell>
          <cell r="E134">
            <v>2457975.6726000002</v>
          </cell>
          <cell r="F134" t="str">
            <v>LES</v>
          </cell>
          <cell r="G134" t="str">
            <v>MRO-CA</v>
          </cell>
          <cell r="H134" t="str">
            <v>DK310+Echelle_ESSAT</v>
          </cell>
          <cell r="I134">
            <v>13000</v>
          </cell>
        </row>
        <row r="135">
          <cell r="C135">
            <v>42962</v>
          </cell>
          <cell r="D135">
            <v>0.86910879629629623</v>
          </cell>
          <cell r="E135">
            <v>2457981.3777999999</v>
          </cell>
          <cell r="F135" t="str">
            <v>FRA</v>
          </cell>
          <cell r="G135" t="str">
            <v>BAL-IT</v>
          </cell>
          <cell r="H135" t="str">
            <v>SC8+Alpy600</v>
          </cell>
          <cell r="I135">
            <v>532</v>
          </cell>
        </row>
        <row r="136">
          <cell r="C136">
            <v>42980</v>
          </cell>
          <cell r="D136">
            <v>8.8692129629629635E-2</v>
          </cell>
          <cell r="E136">
            <v>2457998.5973999999</v>
          </cell>
          <cell r="F136" t="str">
            <v>GKA</v>
          </cell>
          <cell r="G136" t="str">
            <v>MAN-US</v>
          </cell>
          <cell r="H136" t="str">
            <v>SC10+Alpy600</v>
          </cell>
          <cell r="I136">
            <v>543</v>
          </cell>
        </row>
        <row r="137">
          <cell r="C137">
            <v>43000</v>
          </cell>
          <cell r="D137">
            <v>0.76135416666666667</v>
          </cell>
          <cell r="E137">
            <v>2458019.2952000001</v>
          </cell>
          <cell r="F137" t="str">
            <v>BER</v>
          </cell>
          <cell r="G137" t="str">
            <v>BVO-IT</v>
          </cell>
          <cell r="H137" t="str">
            <v>Lhires31200C9SXV</v>
          </cell>
          <cell r="I137">
            <v>4126</v>
          </cell>
        </row>
        <row r="138">
          <cell r="C138">
            <v>42998</v>
          </cell>
          <cell r="D138">
            <v>0.80906250000000002</v>
          </cell>
          <cell r="E138">
            <v>2458017.3369999998</v>
          </cell>
          <cell r="F138" t="str">
            <v xml:space="preserve">FMT </v>
          </cell>
          <cell r="G138" t="str">
            <v>ORS-FR</v>
          </cell>
          <cell r="H138" t="str">
            <v>SC14+eShel+Atik460ex</v>
          </cell>
          <cell r="I138">
            <v>11000</v>
          </cell>
        </row>
        <row r="139">
          <cell r="C139">
            <v>42991</v>
          </cell>
          <cell r="D139">
            <v>0.11593750000000001</v>
          </cell>
          <cell r="E139">
            <v>2458009.6652000002</v>
          </cell>
          <cell r="F139" t="str">
            <v>LES</v>
          </cell>
          <cell r="G139" t="str">
            <v>MRO-CA</v>
          </cell>
          <cell r="H139" t="str">
            <v>DK310+Echelle_ESSAT</v>
          </cell>
          <cell r="I139">
            <v>13000</v>
          </cell>
        </row>
        <row r="140">
          <cell r="C140">
            <v>42997</v>
          </cell>
          <cell r="D140">
            <v>0.91062500000000002</v>
          </cell>
          <cell r="E140">
            <v>2458016.4175999998</v>
          </cell>
          <cell r="F140" t="str">
            <v>FCA</v>
          </cell>
          <cell r="G140" t="str">
            <v>PAG-SP</v>
          </cell>
          <cell r="H140" t="str">
            <v>RC14+Alpy600+Atik414</v>
          </cell>
          <cell r="I140">
            <v>817</v>
          </cell>
        </row>
        <row r="141">
          <cell r="C141">
            <v>42998</v>
          </cell>
          <cell r="D141">
            <v>0.10530092592592592</v>
          </cell>
          <cell r="E141">
            <v>2458016.6157999998</v>
          </cell>
          <cell r="F141" t="str">
            <v>GKA</v>
          </cell>
          <cell r="G141" t="str">
            <v>MAN-US</v>
          </cell>
          <cell r="H141" t="str">
            <v>SC10+Alpy600</v>
          </cell>
          <cell r="I141">
            <v>536</v>
          </cell>
        </row>
        <row r="142">
          <cell r="C142">
            <v>43002</v>
          </cell>
          <cell r="D142">
            <v>0.84052083333333327</v>
          </cell>
          <cell r="E142">
            <v>2458021.3555999999</v>
          </cell>
          <cell r="F142" t="str">
            <v>BUI</v>
          </cell>
          <cell r="G142" t="str">
            <v>CAS-FR</v>
          </cell>
          <cell r="H142" t="str">
            <v>SC11+eShel+ASI1600</v>
          </cell>
          <cell r="I142">
            <v>11000</v>
          </cell>
        </row>
        <row r="143">
          <cell r="C143">
            <v>42998</v>
          </cell>
          <cell r="D143">
            <v>0.80906250000000002</v>
          </cell>
          <cell r="E143">
            <v>2458017.3369999998</v>
          </cell>
          <cell r="F143" t="str">
            <v xml:space="preserve">FMT </v>
          </cell>
          <cell r="G143" t="str">
            <v>ORS-FR</v>
          </cell>
          <cell r="H143" t="str">
            <v>SC14+eShel+Atik460ex</v>
          </cell>
          <cell r="I143">
            <v>11000</v>
          </cell>
        </row>
        <row r="144">
          <cell r="C144">
            <v>43002</v>
          </cell>
          <cell r="D144">
            <v>0.28987268518518516</v>
          </cell>
          <cell r="E144">
            <v>2458020.7974999999</v>
          </cell>
          <cell r="F144" t="str">
            <v>JRF</v>
          </cell>
          <cell r="G144" t="str">
            <v>MTP-US</v>
          </cell>
          <cell r="H144" t="str">
            <v>CC13LisaATIK460EX</v>
          </cell>
          <cell r="I144">
            <v>662</v>
          </cell>
        </row>
        <row r="145">
          <cell r="C145">
            <v>43037</v>
          </cell>
          <cell r="D145">
            <v>0.79075231481481489</v>
          </cell>
          <cell r="E145">
            <v>2458056.3220000002</v>
          </cell>
          <cell r="F145" t="str">
            <v>FCA</v>
          </cell>
          <cell r="G145" t="str">
            <v>PAG-SP</v>
          </cell>
          <cell r="H145" t="str">
            <v>N-200f/4.7+Barlo</v>
          </cell>
          <cell r="I145">
            <v>873</v>
          </cell>
        </row>
        <row r="146">
          <cell r="C146">
            <v>43043</v>
          </cell>
          <cell r="D146">
            <v>3.3425925925925921E-2</v>
          </cell>
          <cell r="E146">
            <v>2458061.5756000001</v>
          </cell>
          <cell r="F146" t="str">
            <v>LES</v>
          </cell>
          <cell r="G146" t="str">
            <v>MRO-CA</v>
          </cell>
          <cell r="H146" t="str">
            <v>DK310+Echelle_ESSAT</v>
          </cell>
          <cell r="I146">
            <v>13000</v>
          </cell>
        </row>
        <row r="147">
          <cell r="C147">
            <v>43044</v>
          </cell>
          <cell r="D147">
            <v>0.8178819444444444</v>
          </cell>
          <cell r="E147">
            <v>2458063.3391</v>
          </cell>
          <cell r="F147" t="str">
            <v>DBO</v>
          </cell>
          <cell r="G147" t="str">
            <v>WCO-UK</v>
          </cell>
          <cell r="H147" t="str">
            <v>C11+Lisa+SXVR-H</v>
          </cell>
          <cell r="I147">
            <v>1058</v>
          </cell>
        </row>
        <row r="148">
          <cell r="C148">
            <v>43052</v>
          </cell>
          <cell r="D148">
            <v>0.85334490740740743</v>
          </cell>
          <cell r="E148">
            <v>2458071.3550999998</v>
          </cell>
          <cell r="F148" t="str">
            <v>FBO</v>
          </cell>
          <cell r="G148" t="str">
            <v>SJI-FR</v>
          </cell>
          <cell r="H148" t="str">
            <v>SC8+Lisa+ATIK314L+</v>
          </cell>
          <cell r="I148">
            <v>1000</v>
          </cell>
        </row>
        <row r="149">
          <cell r="C149">
            <v>43228</v>
          </cell>
          <cell r="D149">
            <v>0.22253472222222223</v>
          </cell>
          <cell r="E149">
            <v>2458246.7858000002</v>
          </cell>
          <cell r="F149" t="str">
            <v>LES</v>
          </cell>
          <cell r="G149" t="str">
            <v>MRO-CA</v>
          </cell>
          <cell r="H149" t="str">
            <v>DK310+Echelle_ESSAT</v>
          </cell>
          <cell r="I149">
            <v>12000</v>
          </cell>
        </row>
        <row r="150">
          <cell r="C150">
            <v>43253</v>
          </cell>
          <cell r="D150">
            <v>0.93649305555555562</v>
          </cell>
          <cell r="E150">
            <v>2458272.4522000002</v>
          </cell>
          <cell r="F150" t="str">
            <v>CBO</v>
          </cell>
          <cell r="G150" t="str">
            <v>OCT-FR</v>
          </cell>
          <cell r="H150" t="str">
            <v>N8+Alpy600</v>
          </cell>
          <cell r="I150">
            <v>503</v>
          </cell>
        </row>
        <row r="151">
          <cell r="C151">
            <v>43261</v>
          </cell>
          <cell r="D151">
            <v>0.89165509259259268</v>
          </cell>
          <cell r="E151">
            <v>2458280.4429000001</v>
          </cell>
          <cell r="F151" t="str">
            <v>SOL</v>
          </cell>
          <cell r="G151" t="str">
            <v>AQL-IT</v>
          </cell>
          <cell r="H151" t="str">
            <v>SC9+Spectro_JGF1+SbigST-8300</v>
          </cell>
          <cell r="I151">
            <v>6970</v>
          </cell>
        </row>
        <row r="152">
          <cell r="C152">
            <v>43264</v>
          </cell>
          <cell r="D152">
            <v>0.46949074074074071</v>
          </cell>
          <cell r="E152">
            <v>2458282.9770999998</v>
          </cell>
          <cell r="F152" t="str">
            <v>JRF</v>
          </cell>
          <cell r="G152" t="str">
            <v>MTP-US</v>
          </cell>
          <cell r="H152" t="str">
            <v>CC13LisaATIK460EX</v>
          </cell>
          <cell r="I152">
            <v>863</v>
          </cell>
        </row>
        <row r="153">
          <cell r="C153">
            <v>43271</v>
          </cell>
          <cell r="D153">
            <v>0.19949074074074072</v>
          </cell>
          <cell r="E153">
            <v>2458289.7417000001</v>
          </cell>
          <cell r="F153" t="str">
            <v>LES</v>
          </cell>
          <cell r="G153" t="str">
            <v>MRO-CA</v>
          </cell>
          <cell r="H153" t="str">
            <v>DK310+Echelle_ESSAT</v>
          </cell>
          <cell r="I153">
            <v>13000</v>
          </cell>
        </row>
        <row r="154">
          <cell r="C154">
            <v>43272</v>
          </cell>
          <cell r="D154">
            <v>0.94944444444444442</v>
          </cell>
          <cell r="E154">
            <v>2458291.4493999998</v>
          </cell>
          <cell r="F154" t="str">
            <v>PCA</v>
          </cell>
          <cell r="G154" t="str">
            <v>LEC-IT</v>
          </cell>
          <cell r="H154" t="str">
            <v>SC10+Alpy600+Atik414</v>
          </cell>
          <cell r="I154">
            <v>535</v>
          </cell>
        </row>
        <row r="155">
          <cell r="C155">
            <v>43277</v>
          </cell>
          <cell r="D155">
            <v>0.87142361111111111</v>
          </cell>
          <cell r="E155">
            <v>2458296.4062000001</v>
          </cell>
          <cell r="F155" t="str">
            <v>JGF</v>
          </cell>
          <cell r="G155" t="str">
            <v>PIE-SP</v>
          </cell>
          <cell r="H155" t="str">
            <v>MUSSOL</v>
          </cell>
          <cell r="I155">
            <v>9000</v>
          </cell>
        </row>
        <row r="156">
          <cell r="C156">
            <v>43285</v>
          </cell>
          <cell r="D156">
            <v>0.11898148148148148</v>
          </cell>
          <cell r="E156">
            <v>2458303.6828999999</v>
          </cell>
          <cell r="F156" t="str">
            <v>LES</v>
          </cell>
          <cell r="G156" t="str">
            <v>MRO-CA</v>
          </cell>
          <cell r="H156" t="str">
            <v>DK310+Echelle_ESSAT</v>
          </cell>
          <cell r="I156">
            <v>13000</v>
          </cell>
        </row>
        <row r="157">
          <cell r="C157">
            <v>43288</v>
          </cell>
          <cell r="D157">
            <v>0.94052083333333336</v>
          </cell>
          <cell r="E157">
            <v>2458307.4544000002</v>
          </cell>
          <cell r="F157" t="str">
            <v>FRA</v>
          </cell>
          <cell r="G157" t="str">
            <v>BAL-IT</v>
          </cell>
          <cell r="H157" t="str">
            <v>SC8+Alpy600</v>
          </cell>
          <cell r="I157">
            <v>530</v>
          </cell>
        </row>
        <row r="158">
          <cell r="C158">
            <v>43322</v>
          </cell>
          <cell r="D158">
            <v>0.16133101851851853</v>
          </cell>
          <cell r="E158">
            <v>2458340.6752999998</v>
          </cell>
          <cell r="F158" t="str">
            <v>GKA</v>
          </cell>
          <cell r="G158" t="str">
            <v>MAN-US</v>
          </cell>
          <cell r="H158" t="str">
            <v>SC10"+Alpy600+ATIK314L</v>
          </cell>
          <cell r="I158">
            <v>561</v>
          </cell>
        </row>
        <row r="159">
          <cell r="C159">
            <v>43289</v>
          </cell>
          <cell r="D159">
            <v>0.39599537037037041</v>
          </cell>
          <cell r="E159">
            <v>2458307.9084999999</v>
          </cell>
          <cell r="F159" t="str">
            <v>JRF</v>
          </cell>
          <cell r="G159" t="str">
            <v>MTP-US</v>
          </cell>
          <cell r="H159" t="str">
            <v>CC13LisaATIK460EX</v>
          </cell>
          <cell r="I159">
            <v>889</v>
          </cell>
        </row>
        <row r="160">
          <cell r="C160">
            <v>43321</v>
          </cell>
          <cell r="D160">
            <v>0.95991898148148147</v>
          </cell>
          <cell r="E160">
            <v>2458340.4808999998</v>
          </cell>
          <cell r="F160" t="str">
            <v>CBO</v>
          </cell>
          <cell r="G160" t="str">
            <v>OCT-FR</v>
          </cell>
          <cell r="H160" t="str">
            <v>N200+Alpy600</v>
          </cell>
          <cell r="I160">
            <v>501</v>
          </cell>
        </row>
        <row r="161">
          <cell r="C161">
            <v>43341</v>
          </cell>
          <cell r="D161">
            <v>0.86364583333333333</v>
          </cell>
          <cell r="E161">
            <v>2458360.3741000001</v>
          </cell>
          <cell r="F161" t="str">
            <v>FRA</v>
          </cell>
          <cell r="G161" t="str">
            <v>BAL-IT</v>
          </cell>
          <cell r="H161" t="str">
            <v>SC8_F/5+Alpy600</v>
          </cell>
          <cell r="I161">
            <v>524</v>
          </cell>
        </row>
        <row r="162">
          <cell r="C162">
            <v>43366</v>
          </cell>
          <cell r="D162">
            <v>0.85819444444444448</v>
          </cell>
          <cell r="E162">
            <v>2458385.3720999998</v>
          </cell>
          <cell r="F162" t="str">
            <v>FCA</v>
          </cell>
          <cell r="G162" t="str">
            <v>PAG-SP</v>
          </cell>
          <cell r="H162" t="str">
            <v>RC350 _F/8 +DADOS_200+Atik314L+'</v>
          </cell>
          <cell r="I162">
            <v>660</v>
          </cell>
        </row>
        <row r="163">
          <cell r="C163">
            <v>43367</v>
          </cell>
          <cell r="D163">
            <v>3.3923611111111113E-2</v>
          </cell>
          <cell r="E163">
            <v>2458385.5548</v>
          </cell>
          <cell r="F163" t="str">
            <v>GKA</v>
          </cell>
          <cell r="G163" t="str">
            <v>MAN-US</v>
          </cell>
          <cell r="H163" t="str">
            <v>SC10+Alpy600+Atik314L</v>
          </cell>
          <cell r="I163">
            <v>543</v>
          </cell>
        </row>
        <row r="164">
          <cell r="C164">
            <v>43375</v>
          </cell>
          <cell r="D164">
            <v>0.81763888888888892</v>
          </cell>
          <cell r="E164">
            <v>2458394.3873000001</v>
          </cell>
          <cell r="F164" t="str">
            <v>JGF</v>
          </cell>
          <cell r="G164" t="str">
            <v>PIE-SP</v>
          </cell>
          <cell r="H164" t="str">
            <v>MUSSOL</v>
          </cell>
          <cell r="I164">
            <v>9000</v>
          </cell>
        </row>
        <row r="165">
          <cell r="C165">
            <v>43404</v>
          </cell>
          <cell r="D165">
            <v>0.74571759259259263</v>
          </cell>
          <cell r="E165">
            <v>2458423.2346999999</v>
          </cell>
          <cell r="F165" t="str">
            <v>PSO</v>
          </cell>
          <cell r="G165" t="str">
            <v>TAT-HU</v>
          </cell>
          <cell r="H165" t="str">
            <v>T300+LhiresIII_600_35+Atik428esm</v>
          </cell>
          <cell r="I165">
            <v>2193</v>
          </cell>
        </row>
        <row r="166">
          <cell r="C166">
            <v>43577</v>
          </cell>
          <cell r="D166">
            <v>0.25783564814814813</v>
          </cell>
          <cell r="E166">
            <v>2458595.8007999999</v>
          </cell>
          <cell r="F166" t="str">
            <v>LES</v>
          </cell>
          <cell r="G166" t="str">
            <v>MRO-CA</v>
          </cell>
          <cell r="H166" t="str">
            <v>31cmDK+ESSAT</v>
          </cell>
          <cell r="I166">
            <v>14000</v>
          </cell>
        </row>
        <row r="167">
          <cell r="C167">
            <v>43640</v>
          </cell>
          <cell r="D167">
            <v>0.21731481481481482</v>
          </cell>
          <cell r="E167">
            <v>2458658.767</v>
          </cell>
          <cell r="F167" t="str">
            <v>LES</v>
          </cell>
          <cell r="G167" t="str">
            <v>MRO-CA</v>
          </cell>
          <cell r="H167" t="str">
            <v>31cmDK+ESSAT</v>
          </cell>
          <cell r="I167">
            <v>14000</v>
          </cell>
        </row>
        <row r="168">
          <cell r="C168">
            <v>43641</v>
          </cell>
          <cell r="D168">
            <v>0.85837962962962966</v>
          </cell>
          <cell r="E168">
            <v>2458660.4018999999</v>
          </cell>
          <cell r="F168" t="str">
            <v>JGF</v>
          </cell>
          <cell r="G168" t="str">
            <v>PIE-SP</v>
          </cell>
          <cell r="H168" t="str">
            <v>MUSSOL</v>
          </cell>
          <cell r="I168">
            <v>9000</v>
          </cell>
        </row>
        <row r="169">
          <cell r="C169">
            <v>43648</v>
          </cell>
          <cell r="D169">
            <v>0.87108796296296298</v>
          </cell>
          <cell r="E169">
            <v>2458667.4128999999</v>
          </cell>
          <cell r="F169" t="str">
            <v>JGF</v>
          </cell>
          <cell r="G169" t="str">
            <v>SMM-SP</v>
          </cell>
          <cell r="H169" t="str">
            <v>16REMOTLINX460EX</v>
          </cell>
          <cell r="I169">
            <v>9000</v>
          </cell>
        </row>
        <row r="170">
          <cell r="C170">
            <v>43658</v>
          </cell>
          <cell r="D170">
            <v>0.8809837962962962</v>
          </cell>
          <cell r="E170">
            <v>2458677.4298</v>
          </cell>
          <cell r="F170" t="str">
            <v>JGF</v>
          </cell>
          <cell r="G170" t="str">
            <v>PIE-SP</v>
          </cell>
          <cell r="H170" t="str">
            <v>MUSSOL</v>
          </cell>
          <cell r="I170">
            <v>9000</v>
          </cell>
        </row>
        <row r="171">
          <cell r="C171">
            <v>43669</v>
          </cell>
          <cell r="D171">
            <v>0.85722222222222222</v>
          </cell>
          <cell r="E171">
            <v>2458688.3898</v>
          </cell>
          <cell r="F171" t="str">
            <v>JMI</v>
          </cell>
          <cell r="G171" t="str">
            <v>SAO-FR</v>
          </cell>
          <cell r="H171" t="str">
            <v>C11-Lisa-Atik460EX</v>
          </cell>
          <cell r="I171">
            <v>1011</v>
          </cell>
        </row>
        <row r="172">
          <cell r="C172">
            <v>43686</v>
          </cell>
          <cell r="D172">
            <v>0.14607638888888888</v>
          </cell>
          <cell r="E172">
            <v>2458704.6537000001</v>
          </cell>
          <cell r="F172" t="str">
            <v>GKA</v>
          </cell>
          <cell r="G172" t="str">
            <v>GRL-US</v>
          </cell>
          <cell r="H172" t="str">
            <v>lx20010"Alpy600Atik314L</v>
          </cell>
          <cell r="I172">
            <v>530</v>
          </cell>
        </row>
        <row r="173">
          <cell r="C173">
            <v>43686</v>
          </cell>
          <cell r="D173">
            <v>0.2804166666666667</v>
          </cell>
          <cell r="E173">
            <v>2458704.7988</v>
          </cell>
          <cell r="F173" t="str">
            <v>JRF</v>
          </cell>
          <cell r="G173" t="str">
            <v>UHO-US</v>
          </cell>
          <cell r="H173" t="str">
            <v>CC13ALPY600ATIK460EX</v>
          </cell>
          <cell r="I173">
            <v>1032</v>
          </cell>
        </row>
        <row r="174">
          <cell r="C174">
            <v>43688</v>
          </cell>
          <cell r="D174">
            <v>0.39879629629629632</v>
          </cell>
          <cell r="E174">
            <v>2458706.9149000002</v>
          </cell>
          <cell r="F174" t="str">
            <v>JRF</v>
          </cell>
          <cell r="G174" t="str">
            <v>UHO-US</v>
          </cell>
          <cell r="H174" t="str">
            <v>CDK17ALPY600ATIK460EX</v>
          </cell>
          <cell r="I174">
            <v>578</v>
          </cell>
        </row>
        <row r="175">
          <cell r="C175">
            <v>43692</v>
          </cell>
          <cell r="D175">
            <v>6.2106481481481485E-2</v>
          </cell>
          <cell r="E175">
            <v>2458710.6282000002</v>
          </cell>
          <cell r="F175" t="str">
            <v>LES</v>
          </cell>
          <cell r="G175" t="str">
            <v>MRO-CA</v>
          </cell>
          <cell r="H175" t="str">
            <v>31cmDK+ESSAT</v>
          </cell>
          <cell r="I175">
            <v>14000</v>
          </cell>
        </row>
        <row r="176">
          <cell r="C176">
            <v>43702</v>
          </cell>
          <cell r="D176">
            <v>0.87069444444444455</v>
          </cell>
          <cell r="E176">
            <v>2458721.3886000002</v>
          </cell>
          <cell r="F176" t="str">
            <v>DBO</v>
          </cell>
          <cell r="G176" t="str">
            <v>WCO-UK</v>
          </cell>
          <cell r="H176" t="str">
            <v>C11+LISA+SXVR-H694</v>
          </cell>
          <cell r="I176">
            <v>986</v>
          </cell>
        </row>
        <row r="177">
          <cell r="C177">
            <v>43738</v>
          </cell>
          <cell r="D177">
            <v>0.88952546296296298</v>
          </cell>
          <cell r="E177">
            <v>2458757.4007000001</v>
          </cell>
          <cell r="F177" t="str">
            <v>PCA</v>
          </cell>
          <cell r="H177" t="str">
            <v>VX10_Alpy600_Atik414</v>
          </cell>
          <cell r="I177">
            <v>529</v>
          </cell>
        </row>
        <row r="178">
          <cell r="C178">
            <v>43740</v>
          </cell>
          <cell r="D178">
            <v>0.84203703703703703</v>
          </cell>
          <cell r="E178">
            <v>2458759.3668999998</v>
          </cell>
          <cell r="F178" t="str">
            <v>DBO</v>
          </cell>
          <cell r="G178" t="str">
            <v>WCO-UK</v>
          </cell>
          <cell r="H178" t="str">
            <v>C11+LISA+SXVR-H694</v>
          </cell>
          <cell r="I178">
            <v>1098</v>
          </cell>
        </row>
        <row r="179">
          <cell r="C179">
            <v>43754</v>
          </cell>
          <cell r="D179">
            <v>0.17608796296296295</v>
          </cell>
          <cell r="E179">
            <v>2458772.6918000001</v>
          </cell>
          <cell r="F179" t="str">
            <v>FAS</v>
          </cell>
          <cell r="G179" t="str">
            <v>DCO-US</v>
          </cell>
          <cell r="H179" t="str">
            <v>CDK14LISAAtik414ex</v>
          </cell>
          <cell r="I179">
            <v>1059</v>
          </cell>
        </row>
        <row r="180">
          <cell r="C180">
            <v>43764</v>
          </cell>
          <cell r="D180">
            <v>0.86655092592592586</v>
          </cell>
          <cell r="E180">
            <v>2458783.3769999999</v>
          </cell>
          <cell r="F180" t="str">
            <v>FCA</v>
          </cell>
          <cell r="G180" t="str">
            <v>PAG-SP</v>
          </cell>
          <cell r="H180" t="str">
            <v>RC14f</v>
          </cell>
          <cell r="I180">
            <v>909</v>
          </cell>
        </row>
        <row r="181">
          <cell r="C181">
            <v>43767</v>
          </cell>
          <cell r="D181">
            <v>0.13296296296296298</v>
          </cell>
          <cell r="E181">
            <v>2458785.6486999998</v>
          </cell>
          <cell r="F181" t="str">
            <v>FAS</v>
          </cell>
          <cell r="G181" t="str">
            <v>DCO-US</v>
          </cell>
          <cell r="H181" t="str">
            <v>CDK14LISAAtik414ex</v>
          </cell>
          <cell r="I181">
            <v>1040</v>
          </cell>
        </row>
        <row r="182">
          <cell r="C182">
            <v>43787</v>
          </cell>
          <cell r="D182">
            <v>0.81255787037037042</v>
          </cell>
          <cell r="E182">
            <v>2458806.3393000001</v>
          </cell>
          <cell r="F182" t="str">
            <v>DBO</v>
          </cell>
          <cell r="G182" t="str">
            <v>WCO-UK</v>
          </cell>
          <cell r="H182" t="str">
            <v>C11+LISA+SXVR-H694</v>
          </cell>
          <cell r="I182">
            <v>1035</v>
          </cell>
        </row>
        <row r="183">
          <cell r="C183">
            <v>43796</v>
          </cell>
          <cell r="D183">
            <v>7.1099537037037031E-2</v>
          </cell>
          <cell r="E183">
            <v>2458814.5868000002</v>
          </cell>
          <cell r="F183" t="str">
            <v>FAS</v>
          </cell>
          <cell r="G183" t="str">
            <v>DCO-US</v>
          </cell>
          <cell r="H183" t="str">
            <v>CDK14LISAAtik414ex</v>
          </cell>
          <cell r="I183">
            <v>1042</v>
          </cell>
        </row>
        <row r="184">
          <cell r="C184">
            <v>43801</v>
          </cell>
          <cell r="D184">
            <v>7.3321759259259267E-2</v>
          </cell>
          <cell r="E184">
            <v>2458819.5891</v>
          </cell>
          <cell r="F184" t="str">
            <v>FAS</v>
          </cell>
          <cell r="G184" t="str">
            <v>DCO-US</v>
          </cell>
          <cell r="H184" t="str">
            <v>CDK14LISAAtik414ex</v>
          </cell>
          <cell r="I184">
            <v>1022</v>
          </cell>
        </row>
        <row r="185">
          <cell r="C185">
            <v>43801</v>
          </cell>
          <cell r="D185">
            <v>7.3321759259259267E-2</v>
          </cell>
          <cell r="E185">
            <v>2458819.5891</v>
          </cell>
          <cell r="F185" t="str">
            <v>FAS</v>
          </cell>
          <cell r="G185" t="str">
            <v>DCO-US</v>
          </cell>
          <cell r="H185" t="str">
            <v>CDK14LISAAtik414ex</v>
          </cell>
          <cell r="I185">
            <v>1022</v>
          </cell>
        </row>
        <row r="186">
          <cell r="C186">
            <v>43942</v>
          </cell>
          <cell r="D186">
            <v>0.98048611111111106</v>
          </cell>
          <cell r="E186">
            <v>2458961.5016000001</v>
          </cell>
          <cell r="F186" t="str">
            <v>PDTM</v>
          </cell>
          <cell r="G186" t="str">
            <v>KOL-SK</v>
          </cell>
          <cell r="H186" t="str">
            <v>C11+LISA+Atik460EX</v>
          </cell>
          <cell r="I186">
            <v>762</v>
          </cell>
        </row>
        <row r="187">
          <cell r="C187">
            <v>43946</v>
          </cell>
          <cell r="D187">
            <v>0.26598379629629626</v>
          </cell>
          <cell r="E187">
            <v>2458964.8088000002</v>
          </cell>
          <cell r="F187" t="str">
            <v>LES</v>
          </cell>
          <cell r="G187" t="str">
            <v>MRO-CA</v>
          </cell>
          <cell r="H187" t="str">
            <v>31cmDK+ESSAT_2</v>
          </cell>
          <cell r="I187">
            <v>14000</v>
          </cell>
        </row>
        <row r="188">
          <cell r="C188">
            <v>43972</v>
          </cell>
          <cell r="D188">
            <v>2.9317129629629634E-2</v>
          </cell>
          <cell r="E188">
            <v>2458990.5469</v>
          </cell>
          <cell r="F188" t="str">
            <v>PDTM</v>
          </cell>
          <cell r="G188" t="str">
            <v>KOL-SK</v>
          </cell>
          <cell r="H188" t="str">
            <v>C11+LISA+Atik460EX</v>
          </cell>
          <cell r="I188">
            <v>772</v>
          </cell>
        </row>
        <row r="189">
          <cell r="C189">
            <v>43972</v>
          </cell>
          <cell r="D189">
            <v>0.85917824074074067</v>
          </cell>
          <cell r="E189">
            <v>2458991.3768000002</v>
          </cell>
          <cell r="F189" t="str">
            <v>PDTM</v>
          </cell>
          <cell r="G189" t="str">
            <v>KOL-SK</v>
          </cell>
          <cell r="H189" t="str">
            <v>C11+LISA+Atik460EX</v>
          </cell>
          <cell r="I189">
            <v>747</v>
          </cell>
        </row>
        <row r="190">
          <cell r="C190">
            <v>43980</v>
          </cell>
          <cell r="D190">
            <v>0.91766203703703697</v>
          </cell>
          <cell r="E190">
            <v>2458999.4389999998</v>
          </cell>
          <cell r="F190" t="str">
            <v>DBO</v>
          </cell>
          <cell r="G190" t="str">
            <v>WCO-UK</v>
          </cell>
          <cell r="H190" t="str">
            <v>C11+LISA+SXVR-H694</v>
          </cell>
          <cell r="I190">
            <v>1110</v>
          </cell>
        </row>
        <row r="191">
          <cell r="C191">
            <v>43999</v>
          </cell>
          <cell r="D191">
            <v>0.18072916666666669</v>
          </cell>
          <cell r="E191">
            <v>2459017.7377999998</v>
          </cell>
          <cell r="F191" t="str">
            <v>LES</v>
          </cell>
          <cell r="G191" t="str">
            <v>MRO-CA</v>
          </cell>
          <cell r="H191" t="str">
            <v>31cmDK+ESSAT_2</v>
          </cell>
          <cell r="I191">
            <v>14000</v>
          </cell>
        </row>
        <row r="192">
          <cell r="C192" t="str">
            <v>10/07/2020</v>
          </cell>
          <cell r="D192">
            <v>0.92291666666666661</v>
          </cell>
          <cell r="E192">
            <v>2459041.423</v>
          </cell>
          <cell r="F192" t="str">
            <v xml:space="preserve">FMT </v>
          </cell>
          <cell r="G192" t="str">
            <v>ROU-FR</v>
          </cell>
          <cell r="H192" t="str">
            <v>SC14+eShel+460EX_b2</v>
          </cell>
          <cell r="I192">
            <v>11000</v>
          </cell>
        </row>
        <row r="193">
          <cell r="C193" t="str">
            <v>19/07/2020</v>
          </cell>
          <cell r="D193">
            <v>0.91180555555555554</v>
          </cell>
          <cell r="E193">
            <v>2459050.4109999998</v>
          </cell>
          <cell r="F193" t="str">
            <v>DBO</v>
          </cell>
          <cell r="G193" t="str">
            <v>WCO-UK</v>
          </cell>
          <cell r="H193" t="str">
            <v>C11 + LISA + SXVR-H694</v>
          </cell>
          <cell r="I193">
            <v>1129</v>
          </cell>
        </row>
        <row r="194">
          <cell r="C194" t="str">
            <v>26/07/2020</v>
          </cell>
          <cell r="D194">
            <v>0.85972222222222217</v>
          </cell>
          <cell r="E194">
            <v>2459057.3879</v>
          </cell>
          <cell r="F194" t="str">
            <v>JMI</v>
          </cell>
          <cell r="G194" t="str">
            <v>SAO-FR</v>
          </cell>
          <cell r="H194" t="str">
            <v>C11f7-Lisa-Atik460EX</v>
          </cell>
          <cell r="I194">
            <v>1000</v>
          </cell>
        </row>
        <row r="195">
          <cell r="C195" t="str">
            <v>31/07/2020</v>
          </cell>
          <cell r="D195">
            <v>0.90902777777777777</v>
          </cell>
          <cell r="E195">
            <v>2459062.4232000001</v>
          </cell>
          <cell r="F195" t="str">
            <v>FCA</v>
          </cell>
          <cell r="G195" t="str">
            <v>PAG-SP</v>
          </cell>
          <cell r="H195" t="str">
            <v>N-200 f/4.7 + Barlow 2X  DADOS 200 l/mm</v>
          </cell>
          <cell r="I195">
            <v>940</v>
          </cell>
        </row>
        <row r="196">
          <cell r="C196" t="str">
            <v>13/08/2020</v>
          </cell>
          <cell r="D196">
            <v>0.84375</v>
          </cell>
          <cell r="E196">
            <v>2459075.3634000001</v>
          </cell>
          <cell r="F196" t="str">
            <v>FRA</v>
          </cell>
          <cell r="H196" t="str">
            <v>LX200-8(F/5)+Alpy600+SXV-M7</v>
          </cell>
          <cell r="I196">
            <v>540</v>
          </cell>
        </row>
        <row r="197">
          <cell r="C197" t="str">
            <v>14/08/2020</v>
          </cell>
          <cell r="D197">
            <v>0.84027777777777779</v>
          </cell>
          <cell r="E197">
            <v>2459076.3615999999</v>
          </cell>
          <cell r="F197" t="str">
            <v>PAD</v>
          </cell>
          <cell r="G197" t="str">
            <v>KOL-SK</v>
          </cell>
          <cell r="H197" t="str">
            <v>C11+LISA+Atik 460EX</v>
          </cell>
          <cell r="I197">
            <v>1046</v>
          </cell>
        </row>
        <row r="198">
          <cell r="C198" t="str">
            <v>20/08/2020</v>
          </cell>
          <cell r="D198">
            <v>0.87916666666666676</v>
          </cell>
          <cell r="E198">
            <v>2459082.4145999998</v>
          </cell>
          <cell r="F198" t="str">
            <v>PAD</v>
          </cell>
          <cell r="G198" t="str">
            <v>KOL-SK</v>
          </cell>
          <cell r="H198" t="str">
            <v>C11+LISA+Atik 460EX</v>
          </cell>
          <cell r="I198">
            <v>1029</v>
          </cell>
        </row>
        <row r="199">
          <cell r="C199" t="str">
            <v>17/09/2020</v>
          </cell>
          <cell r="D199">
            <v>0.84930555555555554</v>
          </cell>
          <cell r="E199">
            <v>2459110.3709</v>
          </cell>
          <cell r="F199" t="str">
            <v>DBO</v>
          </cell>
          <cell r="G199" t="str">
            <v>WCO-UK</v>
          </cell>
          <cell r="H199" t="str">
            <v>C11 + LISA + SXVR-H694</v>
          </cell>
          <cell r="I199">
            <v>1148</v>
          </cell>
        </row>
        <row r="200">
          <cell r="C200" t="str">
            <v>22/09/2020</v>
          </cell>
          <cell r="D200">
            <v>0.79583333333333339</v>
          </cell>
          <cell r="E200">
            <v>2459115.3451999999</v>
          </cell>
          <cell r="F200" t="str">
            <v>JGF</v>
          </cell>
          <cell r="G200" t="str">
            <v>SMM-SP</v>
          </cell>
          <cell r="H200" t="str">
            <v>16 REMOT LINX 460EX</v>
          </cell>
          <cell r="I200">
            <v>9500</v>
          </cell>
        </row>
        <row r="201">
          <cell r="C201" t="str">
            <v>22/09/2020</v>
          </cell>
          <cell r="D201">
            <v>0.89444444444444438</v>
          </cell>
          <cell r="E201">
            <v>2459115.4158999999</v>
          </cell>
          <cell r="F201" t="str">
            <v>PAD</v>
          </cell>
          <cell r="G201" t="str">
            <v>KOL-SK</v>
          </cell>
          <cell r="H201" t="str">
            <v>C11+LISA+Atik 460EX</v>
          </cell>
          <cell r="I201">
            <v>905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acrosPerso"/>
    </sheetNames>
    <definedNames>
      <definedName name="DateToJD"/>
      <definedName name="JDtoDate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lab"/>
      <sheetName val="Export"/>
      <sheetName val="Feuil1"/>
      <sheetName val="Index"/>
      <sheetName val="Feuil2"/>
      <sheetName val="Vis"/>
      <sheetName val="V"/>
      <sheetName val="Data"/>
      <sheetName val="Feuil4"/>
      <sheetName val="B-V"/>
      <sheetName val="B"/>
      <sheetName val="M"/>
      <sheetName val="RV"/>
      <sheetName val="FWHM"/>
      <sheetName val="RV1"/>
      <sheetName val="RV2"/>
      <sheetName val="Feuil3"/>
      <sheetName val="Orbital"/>
      <sheetName val="HeI6678"/>
      <sheetName val="HeI 7065"/>
      <sheetName val="HeI 4924"/>
      <sheetName val="FeVII"/>
      <sheetName val="CaVII"/>
      <sheetName val="CaVI"/>
      <sheetName val="OI"/>
      <sheetName val="HeI"/>
      <sheetName val="HeII"/>
      <sheetName val="Fe II 5018"/>
      <sheetName val="EW"/>
      <sheetName val="F"/>
      <sheetName val="Graphes_EW"/>
      <sheetName val="Graphes_Flux"/>
      <sheetName val="CICyg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197"/>
  <sheetViews>
    <sheetView tabSelected="1" topLeftCell="A176" workbookViewId="0">
      <selection activeCell="A197" sqref="A197:XFD197"/>
    </sheetView>
  </sheetViews>
  <sheetFormatPr baseColWidth="10" defaultRowHeight="15" x14ac:dyDescent="0.25"/>
  <cols>
    <col min="8" max="8" width="21.85546875" customWidth="1"/>
  </cols>
  <sheetData>
    <row r="1" spans="1:20" x14ac:dyDescent="0.25">
      <c r="A1" t="s">
        <v>149</v>
      </c>
    </row>
    <row r="3" spans="1:20" x14ac:dyDescent="0.25">
      <c r="T3" t="str">
        <f>CONCATENATE(M!H4,"\")</f>
        <v>D:\SITEWEB\SymbioticStars\Studies\BFCyg\</v>
      </c>
    </row>
    <row r="4" spans="1:20" x14ac:dyDescent="0.25">
      <c r="T4" t="str">
        <f>+CONCATENATE(T3,M!E5,"_AAVSO.png")</f>
        <v>D:\SITEWEB\SymbioticStars\Studies\BFCyg\BFCyg_AAVSO.png</v>
      </c>
    </row>
    <row r="19" spans="2:15" x14ac:dyDescent="0.25">
      <c r="C19" s="6"/>
    </row>
    <row r="20" spans="2:15" x14ac:dyDescent="0.25">
      <c r="O20" s="6"/>
    </row>
    <row r="24" spans="2:15" x14ac:dyDescent="0.25">
      <c r="B24" s="13"/>
      <c r="C24" s="11">
        <f>IF([1]BFCyg!C28&lt;&gt;"",[1]BFCyg!C28,"")</f>
        <v>42087</v>
      </c>
      <c r="D24" s="14">
        <f>IF([1]BFCyg!D28&lt;&gt;"",[1]BFCyg!D28,"")</f>
        <v>9.0891203703703696E-2</v>
      </c>
      <c r="E24" s="16">
        <f>IF([1]BFCyg!E28&lt;&gt;"",[1]BFCyg!E28,"")</f>
        <v>2457105.6047999999</v>
      </c>
      <c r="F24" s="11" t="str">
        <f>IF([1]BFCyg!F28&lt;&gt;"",[1]BFCyg!F28,"")</f>
        <v>PSO</v>
      </c>
      <c r="G24" s="11" t="str">
        <f>IF([1]BFCyg!G28&lt;&gt;"",[1]BFCyg!G28,"")</f>
        <v>TAT-HU</v>
      </c>
      <c r="H24" s="11" t="str">
        <f>IF([1]BFCyg!H28&lt;&gt;"",[1]BFCyg!H28,"")</f>
        <v>25cmLhires6Atik414</v>
      </c>
      <c r="I24" s="15">
        <f>IF([1]BFCyg!I28&lt;&gt;"",[1]BFCyg!I28,"")</f>
        <v>3533</v>
      </c>
      <c r="J24" s="15" t="str">
        <f>IF([1]BFCyg!J28&lt;&gt;"",[1]BFCyg!J28,"")</f>
        <v/>
      </c>
      <c r="K24" s="15" t="str">
        <f>IF([1]BFCyg!K28&lt;&gt;"",[1]BFCyg!K28,"")</f>
        <v/>
      </c>
      <c r="L24" s="15" t="str">
        <f>IF([1]BFCyg!L28&lt;&gt;"",[1]BFCyg!L28,"")</f>
        <v/>
      </c>
      <c r="M24" s="12"/>
      <c r="O24" s="4"/>
    </row>
    <row r="25" spans="2:15" x14ac:dyDescent="0.25">
      <c r="B25" s="13"/>
      <c r="C25" s="11">
        <f>IF([1]BFCyg!C29&lt;&gt;"",[1]BFCyg!C29,"")</f>
        <v>42095</v>
      </c>
      <c r="D25" s="14">
        <f>IF([1]BFCyg!D29&lt;&gt;"",[1]BFCyg!D29,"")</f>
        <v>0.30467592592592591</v>
      </c>
      <c r="E25" s="16">
        <f>IF([1]BFCyg!E29&lt;&gt;"",[1]BFCyg!E29,"")</f>
        <v>2457113.8327000001</v>
      </c>
      <c r="F25" s="11" t="str">
        <f>IF([1]BFCyg!F29&lt;&gt;"",[1]BFCyg!F29,"")</f>
        <v>LES</v>
      </c>
      <c r="G25" s="11" t="str">
        <f>IF([1]BFCyg!G29&lt;&gt;"",[1]BFCyg!G29,"")</f>
        <v>MRO-CA</v>
      </c>
      <c r="H25" s="11" t="str">
        <f>IF([1]BFCyg!H29&lt;&gt;"",[1]BFCyg!H29,"")</f>
        <v>31cmDK+23um1800lpm+</v>
      </c>
      <c r="I25" s="15">
        <f>IF([1]BFCyg!I29&lt;&gt;"",[1]BFCyg!I29,"")</f>
        <v>9000</v>
      </c>
      <c r="J25" s="15" t="str">
        <f>IF([1]BFCyg!J29&lt;&gt;"",[1]BFCyg!J29,"")</f>
        <v/>
      </c>
      <c r="K25" s="15" t="str">
        <f>IF([1]BFCyg!K29&lt;&gt;"",[1]BFCyg!K29,"")</f>
        <v/>
      </c>
      <c r="L25" s="15" t="str">
        <f>IF([1]BFCyg!L29&lt;&gt;"",[1]BFCyg!L29,"")</f>
        <v/>
      </c>
      <c r="M25" s="12"/>
      <c r="O25" s="4"/>
    </row>
    <row r="26" spans="2:15" x14ac:dyDescent="0.25">
      <c r="B26" s="13"/>
      <c r="C26" s="11">
        <f>IF([1]BFCyg!C30&lt;&gt;"",[1]BFCyg!C30,"")</f>
        <v>42105</v>
      </c>
      <c r="D26" s="14">
        <f>IF([1]BFCyg!D30&lt;&gt;"",[1]BFCyg!D30,"")</f>
        <v>3.0949074074074077E-2</v>
      </c>
      <c r="E26" s="16">
        <f>IF([1]BFCyg!E30&lt;&gt;"",[1]BFCyg!E30,"")</f>
        <v>2457123.5518</v>
      </c>
      <c r="F26" s="11" t="str">
        <f>IF([1]BFCyg!F30&lt;&gt;"",[1]BFCyg!F30,"")</f>
        <v>PSO</v>
      </c>
      <c r="G26" s="11" t="str">
        <f>IF([1]BFCyg!G30&lt;&gt;"",[1]BFCyg!G30,"")</f>
        <v>TAT-HU</v>
      </c>
      <c r="H26" s="11" t="str">
        <f>IF([1]BFCyg!H30&lt;&gt;"",[1]BFCyg!H30,"")</f>
        <v>25cmLH600Atik414</v>
      </c>
      <c r="I26" s="15">
        <f>IF([1]BFCyg!I30&lt;&gt;"",[1]BFCyg!I30,"")</f>
        <v>4020</v>
      </c>
      <c r="J26" s="15" t="str">
        <f>IF([1]BFCyg!J30&lt;&gt;"",[1]BFCyg!J30,"")</f>
        <v/>
      </c>
      <c r="K26" s="15" t="str">
        <f>IF([1]BFCyg!K30&lt;&gt;"",[1]BFCyg!K30,"")</f>
        <v/>
      </c>
      <c r="L26" s="15" t="str">
        <f>IF([1]BFCyg!L30&lt;&gt;"",[1]BFCyg!L30,"")</f>
        <v/>
      </c>
      <c r="M26" s="12"/>
      <c r="O26" s="4"/>
    </row>
    <row r="27" spans="2:15" x14ac:dyDescent="0.25">
      <c r="B27" s="13"/>
      <c r="C27" s="11">
        <f>IF([1]BFCyg!C31&lt;&gt;"",[1]BFCyg!C31,"")</f>
        <v>42106</v>
      </c>
      <c r="D27" s="14">
        <f>IF([1]BFCyg!D31&lt;&gt;"",[1]BFCyg!D31,"")</f>
        <v>0.14581018518518518</v>
      </c>
      <c r="E27" s="16">
        <f>IF([1]BFCyg!E31&lt;&gt;"",[1]BFCyg!E31,"")</f>
        <v>2457124.6601</v>
      </c>
      <c r="F27" s="11" t="str">
        <f>IF([1]BFCyg!F31&lt;&gt;"",[1]BFCyg!F31,"")</f>
        <v>FMT</v>
      </c>
      <c r="G27" s="11" t="str">
        <f>IF([1]BFCyg!G31&lt;&gt;"",[1]BFCyg!G31,"")</f>
        <v>ORS-FR</v>
      </c>
      <c r="H27" s="11" t="str">
        <f>IF([1]BFCyg!H31&lt;&gt;"",[1]BFCyg!H31,"")</f>
        <v>SC35+eShel+460EX</v>
      </c>
      <c r="I27" s="15">
        <f>IF([1]BFCyg!I31&lt;&gt;"",[1]BFCyg!I31,"")</f>
        <v>11000</v>
      </c>
      <c r="J27" s="15" t="str">
        <f>IF([1]BFCyg!J31&lt;&gt;"",[1]BFCyg!J31,"")</f>
        <v/>
      </c>
      <c r="K27" s="15" t="str">
        <f>IF([1]BFCyg!K31&lt;&gt;"",[1]BFCyg!K31,"")</f>
        <v/>
      </c>
      <c r="L27" s="15" t="str">
        <f>IF([1]BFCyg!L31&lt;&gt;"",[1]BFCyg!L31,"")</f>
        <v/>
      </c>
      <c r="M27" s="12"/>
      <c r="O27" s="4"/>
    </row>
    <row r="28" spans="2:15" x14ac:dyDescent="0.25">
      <c r="B28" s="13"/>
      <c r="C28" s="11">
        <f>IF([1]BFCyg!C32&lt;&gt;"",[1]BFCyg!C32,"")</f>
        <v>42110</v>
      </c>
      <c r="D28" s="14">
        <f>IF([1]BFCyg!D32&lt;&gt;"",[1]BFCyg!D32,"")</f>
        <v>2.3298611111111107E-2</v>
      </c>
      <c r="E28" s="16">
        <f>IF([1]BFCyg!E32&lt;&gt;"",[1]BFCyg!E32,"")</f>
        <v>2457128.5518</v>
      </c>
      <c r="F28" s="11" t="str">
        <f>IF([1]BFCyg!F32&lt;&gt;"",[1]BFCyg!F32,"")</f>
        <v>SOL</v>
      </c>
      <c r="G28" s="11" t="str">
        <f>IF([1]BFCyg!G32&lt;&gt;"",[1]BFCyg!G32,"")</f>
        <v>AQL-IT</v>
      </c>
      <c r="H28" s="11" t="str">
        <f>IF([1]BFCyg!H32&lt;&gt;"",[1]BFCyg!H32,"")</f>
        <v>Slit_specC8ST-830</v>
      </c>
      <c r="I28" s="15">
        <f>IF([1]BFCyg!I32&lt;&gt;"",[1]BFCyg!I32,"")</f>
        <v>600</v>
      </c>
      <c r="J28" s="15" t="str">
        <f>IF([1]BFCyg!J32&lt;&gt;"",[1]BFCyg!J32,"")</f>
        <v/>
      </c>
      <c r="K28" s="15" t="str">
        <f>IF([1]BFCyg!K32&lt;&gt;"",[1]BFCyg!K32,"")</f>
        <v/>
      </c>
      <c r="L28" s="15" t="str">
        <f>IF([1]BFCyg!L32&lt;&gt;"",[1]BFCyg!L32,"")</f>
        <v/>
      </c>
      <c r="M28" s="12"/>
      <c r="O28" s="4"/>
    </row>
    <row r="29" spans="2:15" x14ac:dyDescent="0.25">
      <c r="B29" s="13"/>
      <c r="C29" s="11">
        <f>IF([1]BFCyg!C33&lt;&gt;"",[1]BFCyg!C33,"")</f>
        <v>42110</v>
      </c>
      <c r="D29" s="14">
        <f>IF([1]BFCyg!D33&lt;&gt;"",[1]BFCyg!D33,"")</f>
        <v>0.25767361111111114</v>
      </c>
      <c r="E29" s="16">
        <f>IF([1]BFCyg!E33&lt;&gt;"",[1]BFCyg!E33,"")</f>
        <v>2457128.7796</v>
      </c>
      <c r="F29" s="11" t="str">
        <f>IF([1]BFCyg!F33&lt;&gt;"",[1]BFCyg!F33,"")</f>
        <v>LES</v>
      </c>
      <c r="G29" s="11" t="str">
        <f>IF([1]BFCyg!G33&lt;&gt;"",[1]BFCyg!G33,"")</f>
        <v>MRO-CA</v>
      </c>
      <c r="H29" s="11" t="str">
        <f>IF([1]BFCyg!H33&lt;&gt;"",[1]BFCyg!H33,"")</f>
        <v>31cmDK+23um1800lpm+</v>
      </c>
      <c r="I29" s="15">
        <f>IF([1]BFCyg!I33&lt;&gt;"",[1]BFCyg!I33,"")</f>
        <v>1919</v>
      </c>
      <c r="J29" s="15" t="str">
        <f>IF([1]BFCyg!J33&lt;&gt;"",[1]BFCyg!J33,"")</f>
        <v/>
      </c>
      <c r="K29" s="15" t="str">
        <f>IF([1]BFCyg!K33&lt;&gt;"",[1]BFCyg!K33,"")</f>
        <v/>
      </c>
      <c r="L29" s="15" t="str">
        <f>IF([1]BFCyg!L33&lt;&gt;"",[1]BFCyg!L33,"")</f>
        <v/>
      </c>
      <c r="M29" s="12"/>
      <c r="O29" s="4"/>
    </row>
    <row r="30" spans="2:15" x14ac:dyDescent="0.25">
      <c r="B30" s="13"/>
      <c r="C30" s="11">
        <f>IF([1]BFCyg!C34&lt;&gt;"",[1]BFCyg!C34,"")</f>
        <v>42113</v>
      </c>
      <c r="D30" s="14">
        <f>IF([1]BFCyg!D34&lt;&gt;"",[1]BFCyg!D34,"")</f>
        <v>2.9178240740740741E-2</v>
      </c>
      <c r="E30" s="16">
        <f>IF([1]BFCyg!E34&lt;&gt;"",[1]BFCyg!E34,"")</f>
        <v>2457131.5502999998</v>
      </c>
      <c r="F30" s="11" t="str">
        <f>IF([1]BFCyg!F34&lt;&gt;"",[1]BFCyg!F34,"")</f>
        <v>FMT</v>
      </c>
      <c r="G30" s="11" t="str">
        <f>IF([1]BFCyg!G34&lt;&gt;"",[1]BFCyg!G34,"")</f>
        <v>ORS-FR</v>
      </c>
      <c r="H30" s="11" t="str">
        <f>IF([1]BFCyg!H34&lt;&gt;"",[1]BFCyg!H34,"")</f>
        <v>SC14+eShel+Atik460ex</v>
      </c>
      <c r="I30" s="15">
        <f>IF([1]BFCyg!I34&lt;&gt;"",[1]BFCyg!I34,"")</f>
        <v>11000</v>
      </c>
      <c r="J30" s="15" t="str">
        <f>IF([1]BFCyg!J34&lt;&gt;"",[1]BFCyg!J34,"")</f>
        <v/>
      </c>
      <c r="K30" s="15" t="str">
        <f>IF([1]BFCyg!K34&lt;&gt;"",[1]BFCyg!K34,"")</f>
        <v/>
      </c>
      <c r="L30" s="15" t="str">
        <f>IF([1]BFCyg!L34&lt;&gt;"",[1]BFCyg!L34,"")</f>
        <v/>
      </c>
      <c r="M30" s="12"/>
      <c r="O30" s="4"/>
    </row>
    <row r="31" spans="2:15" x14ac:dyDescent="0.25">
      <c r="B31" s="13"/>
      <c r="C31" s="11">
        <f>IF([1]BFCyg!C35&lt;&gt;"",[1]BFCyg!C35,"")</f>
        <v>42113</v>
      </c>
      <c r="D31" s="14">
        <f>IF([1]BFCyg!D35&lt;&gt;"",[1]BFCyg!D35,"")</f>
        <v>0.10993055555555555</v>
      </c>
      <c r="E31" s="16">
        <f>IF([1]BFCyg!E35&lt;&gt;"",[1]BFCyg!E35,"")</f>
        <v>2457131.6238000002</v>
      </c>
      <c r="F31" s="11" t="str">
        <f>IF([1]BFCyg!F35&lt;&gt;"",[1]BFCyg!F35,"")</f>
        <v>PSO</v>
      </c>
      <c r="G31" s="11" t="str">
        <f>IF([1]BFCyg!G35&lt;&gt;"",[1]BFCyg!G35,"")</f>
        <v>TAT-HU</v>
      </c>
      <c r="H31" s="11" t="str">
        <f>IF([1]BFCyg!H35&lt;&gt;"",[1]BFCyg!H35,"")</f>
        <v>25cmLH600Atik414</v>
      </c>
      <c r="I31" s="15">
        <f>IF([1]BFCyg!I35&lt;&gt;"",[1]BFCyg!I35,"")</f>
        <v>15680</v>
      </c>
      <c r="J31" s="15" t="str">
        <f>IF([1]BFCyg!J35&lt;&gt;"",[1]BFCyg!J35,"")</f>
        <v/>
      </c>
      <c r="K31" s="15" t="str">
        <f>IF([1]BFCyg!K35&lt;&gt;"",[1]BFCyg!K35,"")</f>
        <v/>
      </c>
      <c r="L31" s="15" t="str">
        <f>IF([1]BFCyg!L35&lt;&gt;"",[1]BFCyg!L35,"")</f>
        <v/>
      </c>
      <c r="M31" s="12"/>
      <c r="O31" s="4"/>
    </row>
    <row r="32" spans="2:15" x14ac:dyDescent="0.25">
      <c r="B32" s="13"/>
      <c r="C32" s="11">
        <f>IF([1]BFCyg!C36&lt;&gt;"",[1]BFCyg!C36,"")</f>
        <v>42114</v>
      </c>
      <c r="D32" s="14">
        <f>IF([1]BFCyg!D36&lt;&gt;"",[1]BFCyg!D36,"")</f>
        <v>8.099537037037037E-2</v>
      </c>
      <c r="E32" s="16">
        <f>IF([1]BFCyg!E36&lt;&gt;"",[1]BFCyg!E36,"")</f>
        <v>2457132.5901000001</v>
      </c>
      <c r="F32" s="11" t="str">
        <f>IF([1]BFCyg!F36&lt;&gt;"",[1]BFCyg!F36,"")</f>
        <v>JMO</v>
      </c>
      <c r="G32" s="11" t="str">
        <f>IF([1]BFCyg!G36&lt;&gt;"",[1]BFCyg!G36,"")</f>
        <v>OLC-FR</v>
      </c>
      <c r="H32" s="11" t="str">
        <f>IF([1]BFCyg!H36&lt;&gt;"",[1]BFCyg!H36,"")</f>
        <v>Meade355+Atik460E</v>
      </c>
      <c r="I32" s="15" t="str">
        <f>IF([1]BFCyg!I36&lt;&gt;"",[1]BFCyg!I36,"")</f>
        <v/>
      </c>
      <c r="J32" s="15" t="str">
        <f>IF([1]BFCyg!J36&lt;&gt;"",[1]BFCyg!J36,"")</f>
        <v/>
      </c>
      <c r="K32" s="15" t="str">
        <f>IF([1]BFCyg!K36&lt;&gt;"",[1]BFCyg!K36,"")</f>
        <v/>
      </c>
      <c r="L32" s="15" t="str">
        <f>IF([1]BFCyg!L36&lt;&gt;"",[1]BFCyg!L36,"")</f>
        <v/>
      </c>
      <c r="M32" s="12"/>
      <c r="O32" s="4"/>
    </row>
    <row r="33" spans="2:15" x14ac:dyDescent="0.25">
      <c r="B33" s="13"/>
      <c r="C33" s="11">
        <f>IF([1]BFCyg!C37&lt;&gt;"",[1]BFCyg!C37,"")</f>
        <v>42116</v>
      </c>
      <c r="D33" s="14">
        <f>IF([1]BFCyg!D37&lt;&gt;"",[1]BFCyg!D37,"")</f>
        <v>3.0520833333333334E-2</v>
      </c>
      <c r="E33" s="16">
        <f>IF([1]BFCyg!E37&lt;&gt;"",[1]BFCyg!E37,"")</f>
        <v>2457134.5548999999</v>
      </c>
      <c r="F33" s="11" t="str">
        <f>IF([1]BFCyg!F37&lt;&gt;"",[1]BFCyg!F37,"")</f>
        <v>PSO</v>
      </c>
      <c r="G33" s="11" t="str">
        <f>IF([1]BFCyg!G37&lt;&gt;"",[1]BFCyg!G37,"")</f>
        <v>TAT-HU</v>
      </c>
      <c r="H33" s="11" t="str">
        <f>IF([1]BFCyg!H37&lt;&gt;"",[1]BFCyg!H37,"")</f>
        <v>25cmLH24K35u414esm</v>
      </c>
      <c r="I33" s="15">
        <f>IF([1]BFCyg!I37&lt;&gt;"",[1]BFCyg!I37,"")</f>
        <v>13335</v>
      </c>
      <c r="J33" s="15" t="str">
        <f>IF([1]BFCyg!J37&lt;&gt;"",[1]BFCyg!J37,"")</f>
        <v/>
      </c>
      <c r="K33" s="15" t="str">
        <f>IF([1]BFCyg!K37&lt;&gt;"",[1]BFCyg!K37,"")</f>
        <v/>
      </c>
      <c r="L33" s="15" t="str">
        <f>IF([1]BFCyg!L37&lt;&gt;"",[1]BFCyg!L37,"")</f>
        <v/>
      </c>
      <c r="M33" s="12"/>
      <c r="O33" s="4"/>
    </row>
    <row r="34" spans="2:15" x14ac:dyDescent="0.25">
      <c r="B34" s="13"/>
      <c r="C34" s="11">
        <f>IF([1]BFCyg!C38&lt;&gt;"",[1]BFCyg!C38,"")</f>
        <v>42118</v>
      </c>
      <c r="D34" s="14">
        <f>IF([1]BFCyg!D38&lt;&gt;"",[1]BFCyg!D38,"")</f>
        <v>0.11060185185185185</v>
      </c>
      <c r="E34" s="16">
        <f>IF([1]BFCyg!E38&lt;&gt;"",[1]BFCyg!E38,"")</f>
        <v>2457136.628</v>
      </c>
      <c r="F34" s="11" t="str">
        <f>IF([1]BFCyg!F38&lt;&gt;"",[1]BFCyg!F38,"")</f>
        <v>FMT</v>
      </c>
      <c r="G34" s="11" t="str">
        <f>IF([1]BFCyg!G38&lt;&gt;"",[1]BFCyg!G38,"")</f>
        <v>ORS-FR</v>
      </c>
      <c r="H34" s="11" t="str">
        <f>IF([1]BFCyg!H38&lt;&gt;"",[1]BFCyg!H38,"")</f>
        <v>SC14+eShel+Atik460ex</v>
      </c>
      <c r="I34" s="15">
        <f>IF([1]BFCyg!I38&lt;&gt;"",[1]BFCyg!I38,"")</f>
        <v>11000</v>
      </c>
      <c r="J34" s="15" t="str">
        <f>IF([1]BFCyg!J38&lt;&gt;"",[1]BFCyg!J38,"")</f>
        <v/>
      </c>
      <c r="K34" s="15" t="str">
        <f>IF([1]BFCyg!K38&lt;&gt;"",[1]BFCyg!K38,"")</f>
        <v/>
      </c>
      <c r="L34" s="15" t="str">
        <f>IF([1]BFCyg!L38&lt;&gt;"",[1]BFCyg!L38,"")</f>
        <v/>
      </c>
      <c r="M34" s="12"/>
      <c r="O34" s="4"/>
    </row>
    <row r="35" spans="2:15" x14ac:dyDescent="0.25">
      <c r="B35" s="13"/>
      <c r="C35" s="11">
        <f>IF([1]BFCyg!C39&lt;&gt;"",[1]BFCyg!C39,"")</f>
        <v>42135</v>
      </c>
      <c r="D35" s="14">
        <f>IF([1]BFCyg!D39&lt;&gt;"",[1]BFCyg!D39,"")</f>
        <v>0.99723379629629638</v>
      </c>
      <c r="E35" s="16">
        <f>IF([1]BFCyg!E39&lt;&gt;"",[1]BFCyg!E39,"")</f>
        <v>2457154.5458999998</v>
      </c>
      <c r="F35" s="11" t="str">
        <f>IF([1]BFCyg!F39&lt;&gt;"",[1]BFCyg!F39,"")</f>
        <v>PSO</v>
      </c>
      <c r="G35" s="11" t="str">
        <f>IF([1]BFCyg!G39&lt;&gt;"",[1]BFCyg!G39,"")</f>
        <v>TAT-HU</v>
      </c>
      <c r="H35" s="11" t="str">
        <f>IF([1]BFCyg!H39&lt;&gt;"",[1]BFCyg!H39,"")</f>
        <v>25cmLH24K23u414esm</v>
      </c>
      <c r="I35" s="15">
        <f>IF([1]BFCyg!I39&lt;&gt;"",[1]BFCyg!I39,"")</f>
        <v>14393</v>
      </c>
      <c r="J35" s="15" t="str">
        <f>IF([1]BFCyg!J39&lt;&gt;"",[1]BFCyg!J39,"")</f>
        <v/>
      </c>
      <c r="K35" s="15" t="str">
        <f>IF([1]BFCyg!K39&lt;&gt;"",[1]BFCyg!K39,"")</f>
        <v/>
      </c>
      <c r="L35" s="15" t="str">
        <f>IF([1]BFCyg!L39&lt;&gt;"",[1]BFCyg!L39,"")</f>
        <v/>
      </c>
      <c r="M35" s="12"/>
      <c r="O35" s="4"/>
    </row>
    <row r="36" spans="2:15" x14ac:dyDescent="0.25">
      <c r="B36" s="13"/>
      <c r="C36" s="11">
        <f>IF([1]BFCyg!C40&lt;&gt;"",[1]BFCyg!C40,"")</f>
        <v>42141</v>
      </c>
      <c r="D36" s="14">
        <f>IF([1]BFCyg!D40&lt;&gt;"",[1]BFCyg!D40,"")</f>
        <v>0.95218749999999996</v>
      </c>
      <c r="E36" s="16">
        <f>IF([1]BFCyg!E40&lt;&gt;"",[1]BFCyg!E40,"")</f>
        <v>2457160.4660999998</v>
      </c>
      <c r="F36" s="11" t="str">
        <f>IF([1]BFCyg!F40&lt;&gt;"",[1]BFCyg!F40,"")</f>
        <v>FBO</v>
      </c>
      <c r="G36" s="11" t="str">
        <f>IF([1]BFCyg!G40&lt;&gt;"",[1]BFCyg!G40,"")</f>
        <v>OPL-FR</v>
      </c>
      <c r="H36" s="11" t="str">
        <f>IF([1]BFCyg!H40&lt;&gt;"",[1]BFCyg!H40,"")</f>
        <v>SC8+Lisa+ATIK314L+</v>
      </c>
      <c r="I36" s="15">
        <f>IF([1]BFCyg!I40&lt;&gt;"",[1]BFCyg!I40,"")</f>
        <v>1000</v>
      </c>
      <c r="J36" s="15" t="str">
        <f>IF([1]BFCyg!J40&lt;&gt;"",[1]BFCyg!J40,"")</f>
        <v/>
      </c>
      <c r="K36" s="15" t="str">
        <f>IF([1]BFCyg!K40&lt;&gt;"",[1]BFCyg!K40,"")</f>
        <v/>
      </c>
      <c r="L36" s="15" t="str">
        <f>IF([1]BFCyg!L40&lt;&gt;"",[1]BFCyg!L40,"")</f>
        <v/>
      </c>
      <c r="M36" s="12"/>
      <c r="O36" s="4"/>
    </row>
    <row r="37" spans="2:15" x14ac:dyDescent="0.25">
      <c r="B37" s="13"/>
      <c r="C37" s="11">
        <f>IF([1]BFCyg!C41&lt;&gt;"",[1]BFCyg!C41,"")</f>
        <v>42149</v>
      </c>
      <c r="D37" s="14">
        <f>IF([1]BFCyg!D41&lt;&gt;"",[1]BFCyg!D41,"")</f>
        <v>0.64528935185185188</v>
      </c>
      <c r="E37" s="16">
        <f>IF([1]BFCyg!E41&lt;&gt;"",[1]BFCyg!E41,"")</f>
        <v>2457168.1661999999</v>
      </c>
      <c r="F37" s="11" t="str">
        <f>IF([1]BFCyg!F41&lt;&gt;"",[1]BFCyg!F41,"")</f>
        <v xml:space="preserve">DLI </v>
      </c>
      <c r="G37" s="11" t="str">
        <f>IF([1]BFCyg!G41&lt;&gt;"",[1]BFCyg!G41,"")</f>
        <v>JAD-CN</v>
      </c>
      <c r="H37" s="11" t="str">
        <f>IF([1]BFCyg!H41&lt;&gt;"",[1]BFCyg!H41,"")</f>
        <v>C11Lhires3-2400_2x</v>
      </c>
      <c r="I37" s="15">
        <f>IF([1]BFCyg!I41&lt;&gt;"",[1]BFCyg!I41,"")</f>
        <v>14810</v>
      </c>
      <c r="J37" s="15" t="str">
        <f>IF([1]BFCyg!J41&lt;&gt;"",[1]BFCyg!J41,"")</f>
        <v/>
      </c>
      <c r="K37" s="15" t="str">
        <f>IF([1]BFCyg!K41&lt;&gt;"",[1]BFCyg!K41,"")</f>
        <v/>
      </c>
      <c r="L37" s="15" t="str">
        <f>IF([1]BFCyg!L41&lt;&gt;"",[1]BFCyg!L41,"")</f>
        <v/>
      </c>
      <c r="M37" s="12"/>
      <c r="O37" s="4"/>
    </row>
    <row r="38" spans="2:15" x14ac:dyDescent="0.25">
      <c r="B38" s="13"/>
      <c r="C38" s="11">
        <f>IF([1]BFCyg!C42&lt;&gt;"",[1]BFCyg!C42,"")</f>
        <v>42153</v>
      </c>
      <c r="D38" s="14">
        <f>IF([1]BFCyg!D42&lt;&gt;"",[1]BFCyg!D42,"")</f>
        <v>0.9903819444444445</v>
      </c>
      <c r="E38" s="16">
        <f>IF([1]BFCyg!E42&lt;&gt;"",[1]BFCyg!E42,"")</f>
        <v>2457172.5115999999</v>
      </c>
      <c r="F38" s="11" t="str">
        <f>IF([1]BFCyg!F42&lt;&gt;"",[1]BFCyg!F42,"")</f>
        <v>DBO</v>
      </c>
      <c r="G38" s="11" t="str">
        <f>IF([1]BFCyg!G42&lt;&gt;"",[1]BFCyg!G42,"")</f>
        <v>WCO-UK</v>
      </c>
      <c r="H38" s="11" t="str">
        <f>IF([1]BFCyg!H42&lt;&gt;"",[1]BFCyg!H42,"")</f>
        <v>C11+Lisa+SXVR-H694</v>
      </c>
      <c r="I38" s="15">
        <f>IF([1]BFCyg!I42&lt;&gt;"",[1]BFCyg!I42,"")</f>
        <v>838</v>
      </c>
      <c r="J38" s="15" t="str">
        <f>IF([1]BFCyg!J42&lt;&gt;"",[1]BFCyg!J42,"")</f>
        <v/>
      </c>
      <c r="K38" s="15" t="str">
        <f>IF([1]BFCyg!K42&lt;&gt;"",[1]BFCyg!K42,"")</f>
        <v/>
      </c>
      <c r="L38" s="15" t="str">
        <f>IF([1]BFCyg!L42&lt;&gt;"",[1]BFCyg!L42,"")</f>
        <v/>
      </c>
      <c r="M38" s="12"/>
      <c r="O38" s="4"/>
    </row>
    <row r="39" spans="2:15" x14ac:dyDescent="0.25">
      <c r="B39" s="13"/>
      <c r="C39" s="11">
        <f>IF([1]BFCyg!C43&lt;&gt;"",[1]BFCyg!C43,"")</f>
        <v>42158</v>
      </c>
      <c r="D39" s="14">
        <f>IF([1]BFCyg!D43&lt;&gt;"",[1]BFCyg!D43,"")</f>
        <v>0.26869212962962963</v>
      </c>
      <c r="E39" s="16">
        <f>IF([1]BFCyg!E43&lt;&gt;"",[1]BFCyg!E43,"")</f>
        <v>2457176.7968000001</v>
      </c>
      <c r="F39" s="11" t="str">
        <f>IF([1]BFCyg!F43&lt;&gt;"",[1]BFCyg!F43,"")</f>
        <v>LES</v>
      </c>
      <c r="G39" s="11" t="str">
        <f>IF([1]BFCyg!G43&lt;&gt;"",[1]BFCyg!G43,"")</f>
        <v>MRO-CA</v>
      </c>
      <c r="H39" s="11" t="str">
        <f>IF([1]BFCyg!H43&lt;&gt;"",[1]BFCyg!H43,"")</f>
        <v>31cmDK+23um1800lpm+</v>
      </c>
      <c r="I39" s="15">
        <f>IF([1]BFCyg!I43&lt;&gt;"",[1]BFCyg!I43,"")</f>
        <v>9528</v>
      </c>
      <c r="J39" s="15" t="str">
        <f>IF([1]BFCyg!J43&lt;&gt;"",[1]BFCyg!J43,"")</f>
        <v/>
      </c>
      <c r="K39" s="15" t="str">
        <f>IF([1]BFCyg!K43&lt;&gt;"",[1]BFCyg!K43,"")</f>
        <v/>
      </c>
      <c r="L39" s="15" t="str">
        <f>IF([1]BFCyg!L43&lt;&gt;"",[1]BFCyg!L43,"")</f>
        <v/>
      </c>
      <c r="M39" s="12"/>
      <c r="O39" s="4"/>
    </row>
    <row r="40" spans="2:15" x14ac:dyDescent="0.25">
      <c r="B40" s="13"/>
      <c r="C40" s="11">
        <f>IF([1]BFCyg!C44&lt;&gt;"",[1]BFCyg!C44,"")</f>
        <v>42161</v>
      </c>
      <c r="D40" s="14">
        <f>IF([1]BFCyg!D44&lt;&gt;"",[1]BFCyg!D44,"")</f>
        <v>5.7280092592592591E-2</v>
      </c>
      <c r="E40" s="16">
        <f>IF([1]BFCyg!E44&lt;&gt;"",[1]BFCyg!E44,"")</f>
        <v>2457179.5747000002</v>
      </c>
      <c r="F40" s="11" t="str">
        <f>IF([1]BFCyg!F44&lt;&gt;"",[1]BFCyg!F44,"")</f>
        <v>PSO</v>
      </c>
      <c r="G40" s="11" t="str">
        <f>IF([1]BFCyg!G44&lt;&gt;"",[1]BFCyg!G44,"")</f>
        <v>TAT-HU</v>
      </c>
      <c r="H40" s="11" t="str">
        <f>IF([1]BFCyg!H44&lt;&gt;"",[1]BFCyg!H44,"")</f>
        <v>25cmLH24K35u414esm</v>
      </c>
      <c r="I40" s="15">
        <f>IF([1]BFCyg!I44&lt;&gt;"",[1]BFCyg!I44,"")</f>
        <v>9193</v>
      </c>
      <c r="J40" s="15" t="str">
        <f>IF([1]BFCyg!J44&lt;&gt;"",[1]BFCyg!J44,"")</f>
        <v/>
      </c>
      <c r="K40" s="15" t="str">
        <f>IF([1]BFCyg!K44&lt;&gt;"",[1]BFCyg!K44,"")</f>
        <v/>
      </c>
      <c r="L40" s="15" t="str">
        <f>IF([1]BFCyg!L44&lt;&gt;"",[1]BFCyg!L44,"")</f>
        <v/>
      </c>
      <c r="M40" s="12"/>
      <c r="O40" s="4"/>
    </row>
    <row r="41" spans="2:15" x14ac:dyDescent="0.25">
      <c r="B41" s="13"/>
      <c r="C41" s="11">
        <f>IF([1]BFCyg!C45&lt;&gt;"",[1]BFCyg!C45,"")</f>
        <v>42162</v>
      </c>
      <c r="D41" s="14">
        <f>IF([1]BFCyg!D45&lt;&gt;"",[1]BFCyg!D45,"")</f>
        <v>0.94572916666666673</v>
      </c>
      <c r="E41" s="16">
        <f>IF([1]BFCyg!E45&lt;&gt;"",[1]BFCyg!E45,"")</f>
        <v>2457181.4492000001</v>
      </c>
      <c r="F41" s="11" t="str">
        <f>IF([1]BFCyg!F45&lt;&gt;"",[1]BFCyg!F45,"")</f>
        <v>FBO</v>
      </c>
      <c r="G41" s="11" t="str">
        <f>IF([1]BFCyg!G45&lt;&gt;"",[1]BFCyg!G45,"")</f>
        <v>OPL-FR</v>
      </c>
      <c r="H41" s="11" t="str">
        <f>IF([1]BFCyg!H45&lt;&gt;"",[1]BFCyg!H45,"")</f>
        <v>SC8+Lisa+ATIK314L+</v>
      </c>
      <c r="I41" s="15">
        <f>IF([1]BFCyg!I45&lt;&gt;"",[1]BFCyg!I45,"")</f>
        <v>1000</v>
      </c>
      <c r="J41" s="15" t="str">
        <f>IF([1]BFCyg!J45&lt;&gt;"",[1]BFCyg!J45,"")</f>
        <v/>
      </c>
      <c r="K41" s="15" t="str">
        <f>IF([1]BFCyg!K45&lt;&gt;"",[1]BFCyg!K45,"")</f>
        <v/>
      </c>
      <c r="L41" s="15" t="str">
        <f>IF([1]BFCyg!L45&lt;&gt;"",[1]BFCyg!L45,"")</f>
        <v/>
      </c>
      <c r="M41" s="12"/>
      <c r="O41" s="4"/>
    </row>
    <row r="42" spans="2:15" x14ac:dyDescent="0.25">
      <c r="B42" s="13"/>
      <c r="C42" s="11">
        <f>IF([1]BFCyg!C46&lt;&gt;"",[1]BFCyg!C46,"")</f>
        <v>42165</v>
      </c>
      <c r="D42" s="14">
        <f>IF([1]BFCyg!D46&lt;&gt;"",[1]BFCyg!D46,"")</f>
        <v>0.9471180555555555</v>
      </c>
      <c r="E42" s="16">
        <f>IF([1]BFCyg!E46&lt;&gt;"",[1]BFCyg!E46,"")</f>
        <v>2457184.4701</v>
      </c>
      <c r="F42" s="11" t="str">
        <f>IF([1]BFCyg!F46&lt;&gt;"",[1]BFCyg!F46,"")</f>
        <v>DBO</v>
      </c>
      <c r="G42" s="11" t="str">
        <f>IF([1]BFCyg!G46&lt;&gt;"",[1]BFCyg!G46,"")</f>
        <v>WCO-UK</v>
      </c>
      <c r="H42" s="11" t="str">
        <f>IF([1]BFCyg!H46&lt;&gt;"",[1]BFCyg!H46,"")</f>
        <v>C11+Lisa+SXVR-H694</v>
      </c>
      <c r="I42" s="15">
        <f>IF([1]BFCyg!I46&lt;&gt;"",[1]BFCyg!I46,"")</f>
        <v>792</v>
      </c>
      <c r="J42" s="15" t="str">
        <f>IF([1]BFCyg!J46&lt;&gt;"",[1]BFCyg!J46,"")</f>
        <v/>
      </c>
      <c r="K42" s="15" t="str">
        <f>IF([1]BFCyg!K46&lt;&gt;"",[1]BFCyg!K46,"")</f>
        <v/>
      </c>
      <c r="L42" s="15" t="str">
        <f>IF([1]BFCyg!L46&lt;&gt;"",[1]BFCyg!L46,"")</f>
        <v/>
      </c>
      <c r="M42" s="12"/>
      <c r="O42" s="4"/>
    </row>
    <row r="43" spans="2:15" x14ac:dyDescent="0.25">
      <c r="B43" s="13"/>
      <c r="C43" s="11">
        <f>IF([1]BFCyg!C47&lt;&gt;"",[1]BFCyg!C47,"")</f>
        <v>42166</v>
      </c>
      <c r="D43" s="14">
        <f>IF([1]BFCyg!D47&lt;&gt;"",[1]BFCyg!D47,"")</f>
        <v>0.26519675925925928</v>
      </c>
      <c r="E43" s="16">
        <f>IF([1]BFCyg!E47&lt;&gt;"",[1]BFCyg!E47,"")</f>
        <v>2457184.7933</v>
      </c>
      <c r="F43" s="11" t="str">
        <f>IF([1]BFCyg!F47&lt;&gt;"",[1]BFCyg!F47,"")</f>
        <v>LES</v>
      </c>
      <c r="G43" s="11" t="str">
        <f>IF([1]BFCyg!G47&lt;&gt;"",[1]BFCyg!G47,"")</f>
        <v>MRO-CA</v>
      </c>
      <c r="H43" s="11" t="str">
        <f>IF([1]BFCyg!H47&lt;&gt;"",[1]BFCyg!H47,"")</f>
        <v>31cmDK+23um1800lpm+</v>
      </c>
      <c r="I43" s="15">
        <f>IF([1]BFCyg!I47&lt;&gt;"",[1]BFCyg!I47,"")</f>
        <v>9200</v>
      </c>
      <c r="J43" s="15" t="str">
        <f>IF([1]BFCyg!J47&lt;&gt;"",[1]BFCyg!J47,"")</f>
        <v/>
      </c>
      <c r="K43" s="15" t="str">
        <f>IF([1]BFCyg!K47&lt;&gt;"",[1]BFCyg!K47,"")</f>
        <v/>
      </c>
      <c r="L43" s="15" t="str">
        <f>IF([1]BFCyg!L47&lt;&gt;"",[1]BFCyg!L47,"")</f>
        <v/>
      </c>
      <c r="M43" s="12"/>
      <c r="O43" s="4"/>
    </row>
    <row r="44" spans="2:15" x14ac:dyDescent="0.25">
      <c r="B44" s="13"/>
      <c r="C44" s="11">
        <f>IF([1]BFCyg!C48&lt;&gt;"",[1]BFCyg!C48,"")</f>
        <v>42168</v>
      </c>
      <c r="D44" s="14">
        <f>IF([1]BFCyg!D48&lt;&gt;"",[1]BFCyg!D48,"")</f>
        <v>4.02662037037037E-2</v>
      </c>
      <c r="E44" s="16">
        <f>IF([1]BFCyg!E48&lt;&gt;"",[1]BFCyg!E48,"")</f>
        <v>2457186.5542000001</v>
      </c>
      <c r="F44" s="11" t="str">
        <f>IF([1]BFCyg!F48&lt;&gt;"",[1]BFCyg!F48,"")</f>
        <v>PSO</v>
      </c>
      <c r="G44" s="11" t="str">
        <f>IF([1]BFCyg!G48&lt;&gt;"",[1]BFCyg!G48,"")</f>
        <v>TAT-HU</v>
      </c>
      <c r="H44" s="11" t="str">
        <f>IF([1]BFCyg!H48&lt;&gt;"",[1]BFCyg!H48,"")</f>
        <v>25cmLH24K35u414esm</v>
      </c>
      <c r="I44" s="15">
        <f>IF([1]BFCyg!I48&lt;&gt;"",[1]BFCyg!I48,"")</f>
        <v>12200</v>
      </c>
      <c r="J44" s="15" t="str">
        <f>IF([1]BFCyg!J48&lt;&gt;"",[1]BFCyg!J48,"")</f>
        <v/>
      </c>
      <c r="K44" s="15" t="str">
        <f>IF([1]BFCyg!K48&lt;&gt;"",[1]BFCyg!K48,"")</f>
        <v/>
      </c>
      <c r="L44" s="15" t="str">
        <f>IF([1]BFCyg!L48&lt;&gt;"",[1]BFCyg!L48,"")</f>
        <v/>
      </c>
      <c r="M44" s="12"/>
      <c r="O44" s="4"/>
    </row>
    <row r="45" spans="2:15" x14ac:dyDescent="0.25">
      <c r="B45" s="13"/>
      <c r="C45" s="11">
        <f>IF([1]BFCyg!C49&lt;&gt;"",[1]BFCyg!C49,"")</f>
        <v>42169</v>
      </c>
      <c r="D45" s="14">
        <f>IF([1]BFCyg!D49&lt;&gt;"",[1]BFCyg!D49,"")</f>
        <v>5.1527777777777777E-2</v>
      </c>
      <c r="E45" s="16">
        <f>IF([1]BFCyg!E49&lt;&gt;"",[1]BFCyg!E49,"")</f>
        <v>2457187.5655</v>
      </c>
      <c r="F45" s="11" t="str">
        <f>IF([1]BFCyg!F49&lt;&gt;"",[1]BFCyg!F49,"")</f>
        <v>PSO</v>
      </c>
      <c r="G45" s="11" t="str">
        <f>IF([1]BFCyg!G49&lt;&gt;"",[1]BFCyg!G49,"")</f>
        <v>TAT-HU</v>
      </c>
      <c r="H45" s="11" t="str">
        <f>IF([1]BFCyg!H49&lt;&gt;"",[1]BFCyg!H49,"")</f>
        <v>25cmLH24K35u414esm</v>
      </c>
      <c r="I45" s="15">
        <f>IF([1]BFCyg!I49&lt;&gt;"",[1]BFCyg!I49,"")</f>
        <v>10378</v>
      </c>
      <c r="J45" s="15" t="str">
        <f>IF([1]BFCyg!J49&lt;&gt;"",[1]BFCyg!J49,"")</f>
        <v/>
      </c>
      <c r="K45" s="15" t="str">
        <f>IF([1]BFCyg!K49&lt;&gt;"",[1]BFCyg!K49,"")</f>
        <v/>
      </c>
      <c r="L45" s="15" t="str">
        <f>IF([1]BFCyg!L49&lt;&gt;"",[1]BFCyg!L49,"")</f>
        <v/>
      </c>
      <c r="M45" s="12"/>
      <c r="O45" s="4"/>
    </row>
    <row r="46" spans="2:15" x14ac:dyDescent="0.25">
      <c r="B46" s="13"/>
      <c r="C46" s="11">
        <f>IF([1]BFCyg!C50&lt;&gt;"",[1]BFCyg!C50,"")</f>
        <v>42172</v>
      </c>
      <c r="D46" s="14">
        <f>IF([1]BFCyg!D50&lt;&gt;"",[1]BFCyg!D50,"")</f>
        <v>0.23185185185185186</v>
      </c>
      <c r="E46" s="16">
        <f>IF([1]BFCyg!E50&lt;&gt;"",[1]BFCyg!E50,"")</f>
        <v>2457190.7598999999</v>
      </c>
      <c r="F46" s="11" t="str">
        <f>IF([1]BFCyg!F50&lt;&gt;"",[1]BFCyg!F50,"")</f>
        <v>LES</v>
      </c>
      <c r="G46" s="11" t="str">
        <f>IF([1]BFCyg!G50&lt;&gt;"",[1]BFCyg!G50,"")</f>
        <v>MRO-CA</v>
      </c>
      <c r="H46" s="11" t="str">
        <f>IF([1]BFCyg!H50&lt;&gt;"",[1]BFCyg!H50,"")</f>
        <v>31cmDK+23um1800lpm+</v>
      </c>
      <c r="I46" s="15">
        <f>IF([1]BFCyg!I50&lt;&gt;"",[1]BFCyg!I50,"")</f>
        <v>9000</v>
      </c>
      <c r="J46" s="15" t="str">
        <f>IF([1]BFCyg!J50&lt;&gt;"",[1]BFCyg!J50,"")</f>
        <v/>
      </c>
      <c r="K46" s="15" t="str">
        <f>IF([1]BFCyg!K50&lt;&gt;"",[1]BFCyg!K50,"")</f>
        <v/>
      </c>
      <c r="L46" s="15" t="str">
        <f>IF([1]BFCyg!L50&lt;&gt;"",[1]BFCyg!L50,"")</f>
        <v/>
      </c>
      <c r="M46" s="12"/>
      <c r="O46" s="4"/>
    </row>
    <row r="47" spans="2:15" x14ac:dyDescent="0.25">
      <c r="B47" s="13"/>
      <c r="C47" s="11">
        <f>IF([1]BFCyg!C51&lt;&gt;"",[1]BFCyg!C51,"")</f>
        <v>42176</v>
      </c>
      <c r="D47" s="14">
        <f>IF([1]BFCyg!D51&lt;&gt;"",[1]BFCyg!D51,"")</f>
        <v>0.88782407407407404</v>
      </c>
      <c r="E47" s="16">
        <f>IF([1]BFCyg!E51&lt;&gt;"",[1]BFCyg!E51,"")</f>
        <v>2457195.4156999998</v>
      </c>
      <c r="F47" s="11" t="str">
        <f>IF([1]BFCyg!F51&lt;&gt;"",[1]BFCyg!F51,"")</f>
        <v>PSO</v>
      </c>
      <c r="G47" s="11" t="str">
        <f>IF([1]BFCyg!G51&lt;&gt;"",[1]BFCyg!G51,"")</f>
        <v>TAT-HU</v>
      </c>
      <c r="H47" s="11" t="str">
        <f>IF([1]BFCyg!H51&lt;&gt;"",[1]BFCyg!H51,"")</f>
        <v>25cmLH24K35u414esm</v>
      </c>
      <c r="I47" s="15">
        <f>IF([1]BFCyg!I51&lt;&gt;"",[1]BFCyg!I51,"")</f>
        <v>19118</v>
      </c>
      <c r="J47" s="15" t="str">
        <f>IF([1]BFCyg!J51&lt;&gt;"",[1]BFCyg!J51,"")</f>
        <v/>
      </c>
      <c r="K47" s="15" t="str">
        <f>IF([1]BFCyg!K51&lt;&gt;"",[1]BFCyg!K51,"")</f>
        <v/>
      </c>
      <c r="L47" s="15" t="str">
        <f>IF([1]BFCyg!L51&lt;&gt;"",[1]BFCyg!L51,"")</f>
        <v/>
      </c>
      <c r="M47" s="12"/>
      <c r="O47" s="4"/>
    </row>
    <row r="48" spans="2:15" x14ac:dyDescent="0.25">
      <c r="B48" s="13"/>
      <c r="C48" s="11">
        <f>IF([1]BFCyg!C52&lt;&gt;"",[1]BFCyg!C52,"")</f>
        <v>42182</v>
      </c>
      <c r="D48" s="14">
        <f>IF([1]BFCyg!D52&lt;&gt;"",[1]BFCyg!D52,"")</f>
        <v>0.23185185185185186</v>
      </c>
      <c r="E48" s="16">
        <f>IF([1]BFCyg!E52&lt;&gt;"",[1]BFCyg!E52,"")</f>
        <v>2457190.7598999999</v>
      </c>
      <c r="F48" s="11" t="str">
        <f>IF([1]BFCyg!F52&lt;&gt;"",[1]BFCyg!F52,"")</f>
        <v>LES</v>
      </c>
      <c r="G48" s="11" t="str">
        <f>IF([1]BFCyg!G52&lt;&gt;"",[1]BFCyg!G52,"")</f>
        <v>MRO-CA</v>
      </c>
      <c r="H48" s="11" t="str">
        <f>IF([1]BFCyg!H52&lt;&gt;"",[1]BFCyg!H52,"")</f>
        <v>31cmDK+23um1800lpm+</v>
      </c>
      <c r="I48" s="15">
        <f>IF([1]BFCyg!I52&lt;&gt;"",[1]BFCyg!I52,"")</f>
        <v>9000</v>
      </c>
      <c r="J48" s="15" t="str">
        <f>IF([1]BFCyg!J52&lt;&gt;"",[1]BFCyg!J52,"")</f>
        <v/>
      </c>
      <c r="K48" s="15" t="str">
        <f>IF([1]BFCyg!K52&lt;&gt;"",[1]BFCyg!K52,"")</f>
        <v/>
      </c>
      <c r="L48" s="15" t="str">
        <f>IF([1]BFCyg!L52&lt;&gt;"",[1]BFCyg!L52,"")</f>
        <v/>
      </c>
      <c r="M48" s="12"/>
      <c r="O48" s="4"/>
    </row>
    <row r="49" spans="2:15" x14ac:dyDescent="0.25">
      <c r="B49" s="13"/>
      <c r="C49" s="11">
        <f>IF([1]BFCyg!C53&lt;&gt;"",[1]BFCyg!C53,"")</f>
        <v>42188</v>
      </c>
      <c r="D49" s="14">
        <f>IF([1]BFCyg!D53&lt;&gt;"",[1]BFCyg!D53,"")</f>
        <v>0.96612268518518529</v>
      </c>
      <c r="E49" s="16">
        <f>IF([1]BFCyg!E53&lt;&gt;"",[1]BFCyg!E53,"")</f>
        <v>2457207.4939999999</v>
      </c>
      <c r="F49" s="11" t="str">
        <f>IF([1]BFCyg!F53&lt;&gt;"",[1]BFCyg!F53,"")</f>
        <v>PSO</v>
      </c>
      <c r="G49" s="11" t="str">
        <f>IF([1]BFCyg!G53&lt;&gt;"",[1]BFCyg!G53,"")</f>
        <v>TAT-HU</v>
      </c>
      <c r="H49" s="11" t="str">
        <f>IF([1]BFCyg!H53&lt;&gt;"",[1]BFCyg!H53,"")</f>
        <v>25cmLH24K15u414esm</v>
      </c>
      <c r="I49" s="15">
        <f>IF([1]BFCyg!I53&lt;&gt;"",[1]BFCyg!I53,"")</f>
        <v>19018</v>
      </c>
      <c r="J49" s="15" t="str">
        <f>IF([1]BFCyg!J53&lt;&gt;"",[1]BFCyg!J53,"")</f>
        <v/>
      </c>
      <c r="K49" s="15" t="str">
        <f>IF([1]BFCyg!K53&lt;&gt;"",[1]BFCyg!K53,"")</f>
        <v/>
      </c>
      <c r="L49" s="15" t="str">
        <f>IF([1]BFCyg!L53&lt;&gt;"",[1]BFCyg!L53,"")</f>
        <v/>
      </c>
      <c r="M49" s="12"/>
      <c r="O49" s="4"/>
    </row>
    <row r="50" spans="2:15" x14ac:dyDescent="0.25">
      <c r="B50" s="13"/>
      <c r="C50" s="11">
        <f>IF([1]BFCyg!C54&lt;&gt;"",[1]BFCyg!C54,"")</f>
        <v>42194</v>
      </c>
      <c r="D50" s="14">
        <f>IF([1]BFCyg!D54&lt;&gt;"",[1]BFCyg!D54,"")</f>
        <v>0.87187500000000007</v>
      </c>
      <c r="E50" s="16">
        <f>IF([1]BFCyg!E54&lt;&gt;"",[1]BFCyg!E54,"")</f>
        <v>2457213.4032000001</v>
      </c>
      <c r="F50" s="11" t="str">
        <f>IF([1]BFCyg!F54&lt;&gt;"",[1]BFCyg!F54,"")</f>
        <v>JGF</v>
      </c>
      <c r="G50" s="11" t="str">
        <f>IF([1]BFCyg!G54&lt;&gt;"",[1]BFCyg!G54,"")</f>
        <v>SMM-SP</v>
      </c>
      <c r="H50" s="11" t="str">
        <f>IF([1]BFCyg!H54&lt;&gt;"",[1]BFCyg!H54,"")</f>
        <v>16REMOTATIK460EX</v>
      </c>
      <c r="I50" s="15">
        <f>IF([1]BFCyg!I54&lt;&gt;"",[1]BFCyg!I54,"")</f>
        <v>660</v>
      </c>
      <c r="J50" s="15" t="str">
        <f>IF([1]BFCyg!J54&lt;&gt;"",[1]BFCyg!J54,"")</f>
        <v/>
      </c>
      <c r="K50" s="15" t="str">
        <f>IF([1]BFCyg!K54&lt;&gt;"",[1]BFCyg!K54,"")</f>
        <v/>
      </c>
      <c r="L50" s="15" t="str">
        <f>IF([1]BFCyg!L54&lt;&gt;"",[1]BFCyg!L54,"")</f>
        <v/>
      </c>
      <c r="M50" s="12"/>
      <c r="O50" s="4"/>
    </row>
    <row r="51" spans="2:15" x14ac:dyDescent="0.25">
      <c r="B51" s="13"/>
      <c r="C51" s="11">
        <f>IF([1]BFCyg!C55&lt;&gt;"",[1]BFCyg!C55,"")</f>
        <v>42196</v>
      </c>
      <c r="D51" s="14">
        <f>IF([1]BFCyg!D55&lt;&gt;"",[1]BFCyg!D55,"")</f>
        <v>2.7881944444444445E-2</v>
      </c>
      <c r="E51" s="16">
        <f>IF([1]BFCyg!E55&lt;&gt;"",[1]BFCyg!E55,"")</f>
        <v>2457214.5383000001</v>
      </c>
      <c r="F51" s="11" t="str">
        <f>IF([1]BFCyg!F55&lt;&gt;"",[1]BFCyg!F55,"")</f>
        <v>PSO</v>
      </c>
      <c r="G51" s="11" t="str">
        <f>IF([1]BFCyg!G55&lt;&gt;"",[1]BFCyg!G55,"")</f>
        <v>TAT-HU</v>
      </c>
      <c r="H51" s="11" t="str">
        <f>IF([1]BFCyg!H55&lt;&gt;"",[1]BFCyg!H55,"")</f>
        <v>T10+Lhires600+Atik414esm</v>
      </c>
      <c r="I51" s="15">
        <f>IF([1]BFCyg!I55&lt;&gt;"",[1]BFCyg!I55,"")</f>
        <v>3436</v>
      </c>
      <c r="J51" s="15" t="str">
        <f>IF([1]BFCyg!J55&lt;&gt;"",[1]BFCyg!J55,"")</f>
        <v/>
      </c>
      <c r="K51" s="15" t="str">
        <f>IF([1]BFCyg!K55&lt;&gt;"",[1]BFCyg!K55,"")</f>
        <v/>
      </c>
      <c r="L51" s="15" t="str">
        <f>IF([1]BFCyg!L55&lt;&gt;"",[1]BFCyg!L55,"")</f>
        <v/>
      </c>
      <c r="M51" s="12"/>
      <c r="O51" s="4"/>
    </row>
    <row r="52" spans="2:15" x14ac:dyDescent="0.25">
      <c r="B52" s="13"/>
      <c r="C52" s="11">
        <f>IF([1]BFCyg!C56&lt;&gt;"",[1]BFCyg!C56,"")</f>
        <v>42196</v>
      </c>
      <c r="D52" s="14">
        <f>IF([1]BFCyg!D56&lt;&gt;"",[1]BFCyg!D56,"")</f>
        <v>0.97074074074074079</v>
      </c>
      <c r="E52" s="16">
        <f>IF([1]BFCyg!E56&lt;&gt;"",[1]BFCyg!E56,"")</f>
        <v>2457215.4882</v>
      </c>
      <c r="F52" s="11" t="str">
        <f>IF([1]BFCyg!F56&lt;&gt;"",[1]BFCyg!F56,"")</f>
        <v>PSO</v>
      </c>
      <c r="G52" s="11" t="str">
        <f>IF([1]BFCyg!G56&lt;&gt;"",[1]BFCyg!G56,"")</f>
        <v>TAT-HU</v>
      </c>
      <c r="H52" s="11" t="str">
        <f>IF([1]BFCyg!H56&lt;&gt;"",[1]BFCyg!H56,"")</f>
        <v>T10+Lhires600+Atik414esm</v>
      </c>
      <c r="I52" s="15">
        <f>IF([1]BFCyg!I56&lt;&gt;"",[1]BFCyg!I56,"")</f>
        <v>3087</v>
      </c>
      <c r="J52" s="15" t="str">
        <f>IF([1]BFCyg!J56&lt;&gt;"",[1]BFCyg!J56,"")</f>
        <v/>
      </c>
      <c r="K52" s="15" t="str">
        <f>IF([1]BFCyg!K56&lt;&gt;"",[1]BFCyg!K56,"")</f>
        <v/>
      </c>
      <c r="L52" s="15" t="str">
        <f>IF([1]BFCyg!L56&lt;&gt;"",[1]BFCyg!L56,"")</f>
        <v/>
      </c>
      <c r="M52" s="12"/>
      <c r="O52" s="4"/>
    </row>
    <row r="53" spans="2:15" x14ac:dyDescent="0.25">
      <c r="B53" s="13"/>
      <c r="C53" s="11">
        <f>IF([1]BFCyg!C57&lt;&gt;"",[1]BFCyg!C57,"")</f>
        <v>42203</v>
      </c>
      <c r="D53" s="14">
        <f>IF([1]BFCyg!D57&lt;&gt;"",[1]BFCyg!D57,"")</f>
        <v>5.0995370370370365E-2</v>
      </c>
      <c r="E53" s="16">
        <f>IF([1]BFCyg!E57&lt;&gt;"",[1]BFCyg!E57,"")</f>
        <v>2457221.5367000001</v>
      </c>
      <c r="F53" s="11" t="str">
        <f>IF([1]BFCyg!F57&lt;&gt;"",[1]BFCyg!F57,"")</f>
        <v>PSO</v>
      </c>
      <c r="G53" s="11" t="str">
        <f>IF([1]BFCyg!G57&lt;&gt;"",[1]BFCyg!G57,"")</f>
        <v>TAT-HU</v>
      </c>
      <c r="H53" s="11" t="str">
        <f>IF([1]BFCyg!H57&lt;&gt;"",[1]BFCyg!H57,"")</f>
        <v>25cmLH2400_23u414ex</v>
      </c>
      <c r="I53" s="15">
        <f>IF([1]BFCyg!I57&lt;&gt;"",[1]BFCyg!I57,"")</f>
        <v>22107</v>
      </c>
      <c r="J53" s="15" t="str">
        <f>IF([1]BFCyg!J57&lt;&gt;"",[1]BFCyg!J57,"")</f>
        <v/>
      </c>
      <c r="K53" s="15" t="str">
        <f>IF([1]BFCyg!K57&lt;&gt;"",[1]BFCyg!K57,"")</f>
        <v/>
      </c>
      <c r="L53" s="15" t="str">
        <f>IF([1]BFCyg!L57&lt;&gt;"",[1]BFCyg!L57,"")</f>
        <v/>
      </c>
      <c r="M53" s="12"/>
      <c r="O53" s="4"/>
    </row>
    <row r="54" spans="2:15" x14ac:dyDescent="0.25">
      <c r="B54" s="13"/>
      <c r="C54" s="11">
        <f>IF([1]BFCyg!C58&lt;&gt;"",[1]BFCyg!C58,"")</f>
        <v>42205</v>
      </c>
      <c r="D54" s="14">
        <f>IF([1]BFCyg!D58&lt;&gt;"",[1]BFCyg!D58,"")</f>
        <v>0.95599537037037041</v>
      </c>
      <c r="E54" s="16">
        <f>IF([1]BFCyg!E58&lt;&gt;"",[1]BFCyg!E58,"")</f>
        <v>2457224.4772999999</v>
      </c>
      <c r="F54" s="11" t="str">
        <f>IF([1]BFCyg!F58&lt;&gt;"",[1]BFCyg!F58,"")</f>
        <v>DBO</v>
      </c>
      <c r="G54" s="11" t="str">
        <f>IF([1]BFCyg!G58&lt;&gt;"",[1]BFCyg!G58,"")</f>
        <v>WCO-UK</v>
      </c>
      <c r="H54" s="11" t="str">
        <f>IF([1]BFCyg!H58&lt;&gt;"",[1]BFCyg!H58,"")</f>
        <v>C11+Lisa+SXVR-H694</v>
      </c>
      <c r="I54" s="15">
        <f>IF([1]BFCyg!I58&lt;&gt;"",[1]BFCyg!I58,"")</f>
        <v>792</v>
      </c>
      <c r="J54" s="15" t="str">
        <f>IF([1]BFCyg!J58&lt;&gt;"",[1]BFCyg!J58,"")</f>
        <v/>
      </c>
      <c r="K54" s="15" t="str">
        <f>IF([1]BFCyg!K58&lt;&gt;"",[1]BFCyg!K58,"")</f>
        <v/>
      </c>
      <c r="L54" s="15" t="str">
        <f>IF([1]BFCyg!L58&lt;&gt;"",[1]BFCyg!L58,"")</f>
        <v/>
      </c>
      <c r="M54" s="12"/>
      <c r="O54" s="4"/>
    </row>
    <row r="55" spans="2:15" x14ac:dyDescent="0.25">
      <c r="B55" s="13"/>
      <c r="C55" s="11">
        <f>IF([1]BFCyg!C59&lt;&gt;"",[1]BFCyg!C59,"")</f>
        <v>42210</v>
      </c>
      <c r="D55" s="14">
        <f>IF([1]BFCyg!D59&lt;&gt;"",[1]BFCyg!D59,"")</f>
        <v>0.8653587962962962</v>
      </c>
      <c r="E55" s="16">
        <f>IF([1]BFCyg!E59&lt;&gt;"",[1]BFCyg!E59,"")</f>
        <v>2457229.3862999999</v>
      </c>
      <c r="F55" s="11" t="str">
        <f>IF([1]BFCyg!F59&lt;&gt;"",[1]BFCyg!F59,"")</f>
        <v>JGF</v>
      </c>
      <c r="G55" s="11" t="str">
        <f>IF([1]BFCyg!G59&lt;&gt;"",[1]BFCyg!G59,"")</f>
        <v>SMM-SP</v>
      </c>
      <c r="H55" s="11" t="str">
        <f>IF([1]BFCyg!H59&lt;&gt;"",[1]BFCyg!H59,"")</f>
        <v>16REMOTATIK460EX</v>
      </c>
      <c r="I55" s="15">
        <f>IF([1]BFCyg!I59&lt;&gt;"",[1]BFCyg!I59,"")</f>
        <v>883</v>
      </c>
      <c r="J55" s="15" t="str">
        <f>IF([1]BFCyg!J59&lt;&gt;"",[1]BFCyg!J59,"")</f>
        <v/>
      </c>
      <c r="K55" s="15" t="str">
        <f>IF([1]BFCyg!K59&lt;&gt;"",[1]BFCyg!K59,"")</f>
        <v/>
      </c>
      <c r="L55" s="15" t="str">
        <f>IF([1]BFCyg!L59&lt;&gt;"",[1]BFCyg!L59,"")</f>
        <v/>
      </c>
      <c r="M55" s="12"/>
      <c r="O55" s="4"/>
    </row>
    <row r="56" spans="2:15" x14ac:dyDescent="0.25">
      <c r="B56" s="13"/>
      <c r="C56" s="11">
        <f>IF([1]BFCyg!C60&lt;&gt;"",[1]BFCyg!C60,"")</f>
        <v>42223</v>
      </c>
      <c r="D56" s="14">
        <f>IF([1]BFCyg!D60&lt;&gt;"",[1]BFCyg!D60,"")</f>
        <v>0.97321759259259266</v>
      </c>
      <c r="E56" s="16">
        <f>IF([1]BFCyg!E60&lt;&gt;"",[1]BFCyg!E60,"")</f>
        <v>2457242.5290000001</v>
      </c>
      <c r="F56" s="11" t="str">
        <f>IF([1]BFCyg!F60&lt;&gt;"",[1]BFCyg!F60,"")</f>
        <v>PSO</v>
      </c>
      <c r="G56" s="11" t="str">
        <f>IF([1]BFCyg!G60&lt;&gt;"",[1]BFCyg!G60,"")</f>
        <v>TAT-HU</v>
      </c>
      <c r="H56" s="11" t="str">
        <f>IF([1]BFCyg!H60&lt;&gt;"",[1]BFCyg!H60,"")</f>
        <v>25cmLH2400_23u414ex</v>
      </c>
      <c r="I56" s="15">
        <f>IF([1]BFCyg!I60&lt;&gt;"",[1]BFCyg!I60,"")</f>
        <v>21878</v>
      </c>
      <c r="J56" s="15" t="str">
        <f>IF([1]BFCyg!J60&lt;&gt;"",[1]BFCyg!J60,"")</f>
        <v/>
      </c>
      <c r="K56" s="15" t="str">
        <f>IF([1]BFCyg!K60&lt;&gt;"",[1]BFCyg!K60,"")</f>
        <v/>
      </c>
      <c r="L56" s="15" t="str">
        <f>IF([1]BFCyg!L60&lt;&gt;"",[1]BFCyg!L60,"")</f>
        <v/>
      </c>
      <c r="M56" s="12"/>
      <c r="O56" s="4"/>
    </row>
    <row r="57" spans="2:15" x14ac:dyDescent="0.25">
      <c r="B57" s="13"/>
      <c r="C57" s="11">
        <f>IF([1]BFCyg!C61&lt;&gt;"",[1]BFCyg!C61,"")</f>
        <v>42237</v>
      </c>
      <c r="D57" s="14">
        <f>IF([1]BFCyg!D61&lt;&gt;"",[1]BFCyg!D61,"")</f>
        <v>0.88626157407407413</v>
      </c>
      <c r="E57" s="16">
        <f>IF([1]BFCyg!E61&lt;&gt;"",[1]BFCyg!E61,"")</f>
        <v>2457256.4071</v>
      </c>
      <c r="F57" s="11" t="str">
        <f>IF([1]BFCyg!F61&lt;&gt;"",[1]BFCyg!F61,"")</f>
        <v>FRA</v>
      </c>
      <c r="G57" s="11" t="str">
        <f>IF([1]BFCyg!G61&lt;&gt;"",[1]BFCyg!G61,"")</f>
        <v>BAL-IT</v>
      </c>
      <c r="H57" s="11" t="str">
        <f>IF([1]BFCyg!H61&lt;&gt;"",[1]BFCyg!H61,"")</f>
        <v>LX200-8+Alpy600+SXV</v>
      </c>
      <c r="I57" s="15">
        <f>IF([1]BFCyg!I61&lt;&gt;"",[1]BFCyg!I61,"")</f>
        <v>508</v>
      </c>
      <c r="J57" s="15" t="str">
        <f>IF([1]BFCyg!J61&lt;&gt;"",[1]BFCyg!J61,"")</f>
        <v/>
      </c>
      <c r="K57" s="15" t="str">
        <f>IF([1]BFCyg!K61&lt;&gt;"",[1]BFCyg!K61,"")</f>
        <v/>
      </c>
      <c r="L57" s="15" t="str">
        <f>IF([1]BFCyg!L61&lt;&gt;"",[1]BFCyg!L61,"")</f>
        <v/>
      </c>
      <c r="M57" s="12"/>
      <c r="O57" s="4"/>
    </row>
    <row r="58" spans="2:15" x14ac:dyDescent="0.25">
      <c r="B58" s="13"/>
      <c r="C58" s="11">
        <f>IF([1]BFCyg!C62&lt;&gt;"",[1]BFCyg!C62,"")</f>
        <v>42238</v>
      </c>
      <c r="D58" s="14">
        <f>IF([1]BFCyg!D62&lt;&gt;"",[1]BFCyg!D62,"")</f>
        <v>0.97958333333333336</v>
      </c>
      <c r="E58" s="16">
        <f>IF([1]BFCyg!E62&lt;&gt;"",[1]BFCyg!E62,"")</f>
        <v>2457257.4934999999</v>
      </c>
      <c r="F58" s="11" t="str">
        <f>IF([1]BFCyg!F62&lt;&gt;"",[1]BFCyg!F62,"")</f>
        <v>PSO</v>
      </c>
      <c r="G58" s="11" t="str">
        <f>IF([1]BFCyg!G62&lt;&gt;"",[1]BFCyg!G62,"")</f>
        <v>TAT-HU</v>
      </c>
      <c r="H58" s="11" t="str">
        <f>IF([1]BFCyg!H62&lt;&gt;"",[1]BFCyg!H62,"")</f>
        <v>25cmLH2400_23u414ex</v>
      </c>
      <c r="I58" s="15">
        <f>IF([1]BFCyg!I62&lt;&gt;"",[1]BFCyg!I62,"")</f>
        <v>21823</v>
      </c>
      <c r="J58" s="15" t="str">
        <f>IF([1]BFCyg!J62&lt;&gt;"",[1]BFCyg!J62,"")</f>
        <v/>
      </c>
      <c r="K58" s="15" t="str">
        <f>IF([1]BFCyg!K62&lt;&gt;"",[1]BFCyg!K62,"")</f>
        <v/>
      </c>
      <c r="L58" s="15" t="str">
        <f>IF([1]BFCyg!L62&lt;&gt;"",[1]BFCyg!L62,"")</f>
        <v/>
      </c>
      <c r="M58" s="12"/>
      <c r="O58" s="4"/>
    </row>
    <row r="59" spans="2:15" x14ac:dyDescent="0.25">
      <c r="B59" s="13"/>
      <c r="C59" s="11">
        <f>IF([1]BFCyg!C63&lt;&gt;"",[1]BFCyg!C63,"")</f>
        <v>42239</v>
      </c>
      <c r="D59" s="14">
        <f>IF([1]BFCyg!D63&lt;&gt;"",[1]BFCyg!D63,"")</f>
        <v>7.0474537037037044E-2</v>
      </c>
      <c r="E59" s="16">
        <f>IF([1]BFCyg!E63&lt;&gt;"",[1]BFCyg!E63,"")</f>
        <v>2457257.6126000001</v>
      </c>
      <c r="F59" s="11" t="str">
        <f>IF([1]BFCyg!F63&lt;&gt;"",[1]BFCyg!F63,"")</f>
        <v>LES</v>
      </c>
      <c r="G59" s="11" t="str">
        <f>IF([1]BFCyg!G63&lt;&gt;"",[1]BFCyg!G63,"")</f>
        <v>MRO-CA</v>
      </c>
      <c r="H59" s="11" t="str">
        <f>IF([1]BFCyg!H63&lt;&gt;"",[1]BFCyg!H63,"")</f>
        <v>31cmDK+23um1800lpm+</v>
      </c>
      <c r="I59" s="15">
        <f>IF([1]BFCyg!I63&lt;&gt;"",[1]BFCyg!I63,"")</f>
        <v>6392</v>
      </c>
      <c r="J59" s="15" t="str">
        <f>IF([1]BFCyg!J63&lt;&gt;"",[1]BFCyg!J63,"")</f>
        <v/>
      </c>
      <c r="K59" s="15" t="str">
        <f>IF([1]BFCyg!K63&lt;&gt;"",[1]BFCyg!K63,"")</f>
        <v/>
      </c>
      <c r="L59" s="15" t="str">
        <f>IF([1]BFCyg!L63&lt;&gt;"",[1]BFCyg!L63,"")</f>
        <v/>
      </c>
      <c r="M59" s="12"/>
      <c r="O59" s="4"/>
    </row>
    <row r="60" spans="2:15" x14ac:dyDescent="0.25">
      <c r="B60" s="13"/>
      <c r="C60" s="11">
        <f>IF([1]BFCyg!C64&lt;&gt;"",[1]BFCyg!C64,"")</f>
        <v>42241</v>
      </c>
      <c r="D60" s="14">
        <f>IF([1]BFCyg!D64&lt;&gt;"",[1]BFCyg!D64,"")</f>
        <v>0.8008912037037037</v>
      </c>
      <c r="E60" s="16">
        <f>IF([1]BFCyg!E64&lt;&gt;"",[1]BFCyg!E64,"")</f>
        <v>2457260.3598000002</v>
      </c>
      <c r="F60" s="11" t="str">
        <f>IF([1]BFCyg!F64&lt;&gt;"",[1]BFCyg!F64,"")</f>
        <v>BER</v>
      </c>
      <c r="G60" s="11" t="str">
        <f>IF([1]BFCyg!G64&lt;&gt;"",[1]BFCyg!G64,"")</f>
        <v>BVO-IT</v>
      </c>
      <c r="H60" s="11" t="str">
        <f>IF([1]BFCyg!H64&lt;&gt;"",[1]BFCyg!H64,"")</f>
        <v>Lhires31200C9SXV</v>
      </c>
      <c r="I60" s="15">
        <f>IF([1]BFCyg!I64&lt;&gt;"",[1]BFCyg!I64,"")</f>
        <v>3700</v>
      </c>
      <c r="J60" s="15" t="str">
        <f>IF([1]BFCyg!J64&lt;&gt;"",[1]BFCyg!J64,"")</f>
        <v/>
      </c>
      <c r="K60" s="15" t="str">
        <f>IF([1]BFCyg!K64&lt;&gt;"",[1]BFCyg!K64,"")</f>
        <v/>
      </c>
      <c r="L60" s="15" t="str">
        <f>IF([1]BFCyg!L64&lt;&gt;"",[1]BFCyg!L64,"")</f>
        <v/>
      </c>
      <c r="M60" s="12"/>
      <c r="O60" s="4"/>
    </row>
    <row r="61" spans="2:15" x14ac:dyDescent="0.25">
      <c r="B61" s="13"/>
      <c r="C61" s="11">
        <f>IF([1]BFCyg!C65&lt;&gt;"",[1]BFCyg!C65,"")</f>
        <v>42248</v>
      </c>
      <c r="D61" s="14">
        <f>IF([1]BFCyg!D65&lt;&gt;"",[1]BFCyg!D65,"")</f>
        <v>0.82646990740740733</v>
      </c>
      <c r="E61" s="16">
        <f>IF([1]BFCyg!E65&lt;&gt;"",[1]BFCyg!E65,"")</f>
        <v>2457267.3426000001</v>
      </c>
      <c r="F61" s="11" t="str">
        <f>IF([1]BFCyg!F65&lt;&gt;"",[1]BFCyg!F65,"")</f>
        <v>FMT</v>
      </c>
      <c r="G61" s="11" t="str">
        <f>IF([1]BFCyg!G65&lt;&gt;"",[1]BFCyg!G65,"")</f>
        <v>ORS-FR</v>
      </c>
      <c r="H61" s="11" t="str">
        <f>IF([1]BFCyg!H65&lt;&gt;"",[1]BFCyg!H65,"")</f>
        <v>SC14+eShel+Atik460ex</v>
      </c>
      <c r="I61" s="15">
        <f>IF([1]BFCyg!I65&lt;&gt;"",[1]BFCyg!I65,"")</f>
        <v>11000</v>
      </c>
      <c r="J61" s="15" t="str">
        <f>IF([1]BFCyg!J65&lt;&gt;"",[1]BFCyg!J65,"")</f>
        <v/>
      </c>
      <c r="K61" s="15" t="str">
        <f>IF([1]BFCyg!K65&lt;&gt;"",[1]BFCyg!K65,"")</f>
        <v/>
      </c>
      <c r="L61" s="15" t="str">
        <f>IF([1]BFCyg!L65&lt;&gt;"",[1]BFCyg!L65,"")</f>
        <v/>
      </c>
      <c r="M61" s="12"/>
      <c r="O61" s="4"/>
    </row>
    <row r="62" spans="2:15" x14ac:dyDescent="0.25">
      <c r="B62" s="13"/>
      <c r="C62" s="11">
        <f>IF([1]BFCyg!C66&lt;&gt;"",[1]BFCyg!C66,"")</f>
        <v>42254</v>
      </c>
      <c r="D62" s="14">
        <f>IF([1]BFCyg!D66&lt;&gt;"",[1]BFCyg!D66,"")</f>
        <v>0.81370370370370371</v>
      </c>
      <c r="E62" s="16">
        <f>IF([1]BFCyg!E66&lt;&gt;"",[1]BFCyg!E66,"")</f>
        <v>2457273.3517999998</v>
      </c>
      <c r="F62" s="11" t="str">
        <f>IF([1]BFCyg!F66&lt;&gt;"",[1]BFCyg!F66,"")</f>
        <v>OGA</v>
      </c>
      <c r="G62" s="11" t="str">
        <f>IF([1]BFCyg!G66&lt;&gt;"",[1]BFCyg!G66,"")</f>
        <v>OTO-FR</v>
      </c>
      <c r="H62" s="11" t="str">
        <f>IF([1]BFCyg!H66&lt;&gt;"",[1]BFCyg!H66,"")</f>
        <v>RC400+eShel_460EX</v>
      </c>
      <c r="I62" s="15">
        <f>IF([1]BFCyg!I66&lt;&gt;"",[1]BFCyg!I66,"")</f>
        <v>11000</v>
      </c>
      <c r="J62" s="15" t="str">
        <f>IF([1]BFCyg!J66&lt;&gt;"",[1]BFCyg!J66,"")</f>
        <v/>
      </c>
      <c r="K62" s="15" t="str">
        <f>IF([1]BFCyg!K66&lt;&gt;"",[1]BFCyg!K66,"")</f>
        <v/>
      </c>
      <c r="L62" s="15" t="str">
        <f>IF([1]BFCyg!L66&lt;&gt;"",[1]BFCyg!L66,"")</f>
        <v/>
      </c>
      <c r="M62" s="12"/>
      <c r="O62" s="4"/>
    </row>
    <row r="63" spans="2:15" x14ac:dyDescent="0.25">
      <c r="B63" s="13"/>
      <c r="C63" s="11">
        <f>IF([1]BFCyg!C67&lt;&gt;"",[1]BFCyg!C67,"")</f>
        <v>42255</v>
      </c>
      <c r="D63" s="14">
        <f>IF([1]BFCyg!D67&lt;&gt;"",[1]BFCyg!D67,"")</f>
        <v>0.93545138888888879</v>
      </c>
      <c r="E63" s="16">
        <f>IF([1]BFCyg!E67&lt;&gt;"",[1]BFCyg!E67,"")</f>
        <v>2457274.4493999998</v>
      </c>
      <c r="F63" s="11" t="str">
        <f>IF([1]BFCyg!F67&lt;&gt;"",[1]BFCyg!F67,"")</f>
        <v>JPM</v>
      </c>
      <c r="G63" s="11" t="str">
        <f>IF([1]BFCyg!G67&lt;&gt;"",[1]BFCyg!G67,"")</f>
        <v>AMP-FR</v>
      </c>
      <c r="H63" s="11" t="str">
        <f>IF([1]BFCyg!H67&lt;&gt;"",[1]BFCyg!H67,"")</f>
        <v>MakINTES150(F/D=7)+</v>
      </c>
      <c r="I63" s="15" t="str">
        <f>IF([1]BFCyg!I67&lt;&gt;"",[1]BFCyg!I67,"")</f>
        <v/>
      </c>
      <c r="J63" s="15" t="str">
        <f>IF([1]BFCyg!J67&lt;&gt;"",[1]BFCyg!J67,"")</f>
        <v/>
      </c>
      <c r="K63" s="15" t="str">
        <f>IF([1]BFCyg!K67&lt;&gt;"",[1]BFCyg!K67,"")</f>
        <v/>
      </c>
      <c r="L63" s="15" t="str">
        <f>IF([1]BFCyg!L67&lt;&gt;"",[1]BFCyg!L67,"")</f>
        <v/>
      </c>
      <c r="M63" s="12"/>
      <c r="O63" s="4"/>
    </row>
    <row r="64" spans="2:15" x14ac:dyDescent="0.25">
      <c r="B64" s="13"/>
      <c r="C64" s="11">
        <f>IF([1]BFCyg!C68&lt;&gt;"",[1]BFCyg!C68,"")</f>
        <v>42262</v>
      </c>
      <c r="D64" s="14">
        <f>IF([1]BFCyg!D68&lt;&gt;"",[1]BFCyg!D68,"")</f>
        <v>1.7499999999999998E-2</v>
      </c>
      <c r="E64" s="16">
        <f>IF([1]BFCyg!E68&lt;&gt;"",[1]BFCyg!E68,"")</f>
        <v>2457280.5455999998</v>
      </c>
      <c r="F64" s="11" t="str">
        <f>IF([1]BFCyg!F68&lt;&gt;"",[1]BFCyg!F68,"")</f>
        <v>LES</v>
      </c>
      <c r="G64" s="11" t="str">
        <f>IF([1]BFCyg!G68&lt;&gt;"",[1]BFCyg!G68,"")</f>
        <v>MRO-CA</v>
      </c>
      <c r="H64" s="11" t="str">
        <f>IF([1]BFCyg!H68&lt;&gt;"",[1]BFCyg!H68,"")</f>
        <v>31cmDK+23um1800lpm+</v>
      </c>
      <c r="I64" s="15">
        <f>IF([1]BFCyg!I68&lt;&gt;"",[1]BFCyg!I68,"")</f>
        <v>9000</v>
      </c>
      <c r="J64" s="15" t="str">
        <f>IF([1]BFCyg!J68&lt;&gt;"",[1]BFCyg!J68,"")</f>
        <v/>
      </c>
      <c r="K64" s="15" t="str">
        <f>IF([1]BFCyg!K68&lt;&gt;"",[1]BFCyg!K68,"")</f>
        <v/>
      </c>
      <c r="L64" s="15" t="str">
        <f>IF([1]BFCyg!L68&lt;&gt;"",[1]BFCyg!L68,"")</f>
        <v/>
      </c>
      <c r="M64" s="12"/>
      <c r="O64" s="4"/>
    </row>
    <row r="65" spans="2:15" x14ac:dyDescent="0.25">
      <c r="B65" s="13"/>
      <c r="C65" s="11">
        <f>IF([1]BFCyg!C69&lt;&gt;"",[1]BFCyg!C69,"")</f>
        <v>42298</v>
      </c>
      <c r="D65" s="14">
        <f>IF([1]BFCyg!D69&lt;&gt;"",[1]BFCyg!D69,"")</f>
        <v>0.80880787037037039</v>
      </c>
      <c r="E65" s="16">
        <f>IF([1]BFCyg!E69&lt;&gt;"",[1]BFCyg!E69,"")</f>
        <v>2457317.3519000001</v>
      </c>
      <c r="F65" s="11" t="str">
        <f>IF([1]BFCyg!F69&lt;&gt;"",[1]BFCyg!F69,"")</f>
        <v>JGF</v>
      </c>
      <c r="G65" s="11" t="str">
        <f>IF([1]BFCyg!G69&lt;&gt;"",[1]BFCyg!G69,"")</f>
        <v>SMM-SP</v>
      </c>
      <c r="H65" s="11" t="str">
        <f>IF([1]BFCyg!H69&lt;&gt;"",[1]BFCyg!H69,"")</f>
        <v>16REMOTATIK460EX</v>
      </c>
      <c r="I65" s="15">
        <f>IF([1]BFCyg!I69&lt;&gt;"",[1]BFCyg!I69,"")</f>
        <v>884</v>
      </c>
      <c r="J65" s="15" t="str">
        <f>IF([1]BFCyg!J69&lt;&gt;"",[1]BFCyg!J69,"")</f>
        <v/>
      </c>
      <c r="K65" s="15" t="str">
        <f>IF([1]BFCyg!K69&lt;&gt;"",[1]BFCyg!K69,"")</f>
        <v/>
      </c>
      <c r="L65" s="15" t="str">
        <f>IF([1]BFCyg!L69&lt;&gt;"",[1]BFCyg!L69,"")</f>
        <v/>
      </c>
      <c r="M65" s="12"/>
      <c r="O65" s="4"/>
    </row>
    <row r="66" spans="2:15" x14ac:dyDescent="0.25">
      <c r="B66" s="13"/>
      <c r="C66" s="11">
        <f>IF([1]BFCyg!C70&lt;&gt;"",[1]BFCyg!C70,"")</f>
        <v>42305</v>
      </c>
      <c r="D66" s="14">
        <f>IF([1]BFCyg!D70&lt;&gt;"",[1]BFCyg!D70,"")</f>
        <v>0.88116898148148148</v>
      </c>
      <c r="E66" s="16">
        <f>IF([1]BFCyg!E70&lt;&gt;"",[1]BFCyg!E70,"")</f>
        <v>2457324.3920999998</v>
      </c>
      <c r="F66" s="11" t="str">
        <f>IF([1]BFCyg!F70&lt;&gt;"",[1]BFCyg!F70,"")</f>
        <v xml:space="preserve">FMT </v>
      </c>
      <c r="G66" s="11" t="str">
        <f>IF([1]BFCyg!G70&lt;&gt;"",[1]BFCyg!G70,"")</f>
        <v>ORS-FR</v>
      </c>
      <c r="H66" s="11" t="str">
        <f>IF([1]BFCyg!H70&lt;&gt;"",[1]BFCyg!H70,"")</f>
        <v>SC14+eShel+Atik460ex</v>
      </c>
      <c r="I66" s="15">
        <f>IF([1]BFCyg!I70&lt;&gt;"",[1]BFCyg!I70,"")</f>
        <v>11000</v>
      </c>
      <c r="J66" s="15" t="str">
        <f>IF([1]BFCyg!J70&lt;&gt;"",[1]BFCyg!J70,"")</f>
        <v/>
      </c>
      <c r="K66" s="15" t="str">
        <f>IF([1]BFCyg!K70&lt;&gt;"",[1]BFCyg!K70,"")</f>
        <v/>
      </c>
      <c r="L66" s="15" t="str">
        <f>IF([1]BFCyg!L70&lt;&gt;"",[1]BFCyg!L70,"")</f>
        <v/>
      </c>
      <c r="M66" s="12"/>
      <c r="O66" s="4"/>
    </row>
    <row r="67" spans="2:15" x14ac:dyDescent="0.25">
      <c r="B67" s="13"/>
      <c r="C67" s="11">
        <f>IF([1]BFCyg!C71&lt;&gt;"",[1]BFCyg!C71,"")</f>
        <v>42311</v>
      </c>
      <c r="D67" s="14">
        <f>IF([1]BFCyg!D71&lt;&gt;"",[1]BFCyg!D71,"")</f>
        <v>0.9689699074074074</v>
      </c>
      <c r="E67" s="16">
        <f>IF([1]BFCyg!E71&lt;&gt;"",[1]BFCyg!E71,"")</f>
        <v>2457330.497</v>
      </c>
      <c r="F67" s="11" t="str">
        <f>IF([1]BFCyg!F71&lt;&gt;"",[1]BFCyg!F71,"")</f>
        <v>LES</v>
      </c>
      <c r="G67" s="11" t="str">
        <f>IF([1]BFCyg!G71&lt;&gt;"",[1]BFCyg!G71,"")</f>
        <v>MRO-CA</v>
      </c>
      <c r="H67" s="11" t="str">
        <f>IF([1]BFCyg!H71&lt;&gt;"",[1]BFCyg!H71,"")</f>
        <v>31cmDK+23um1800lpm+</v>
      </c>
      <c r="I67" s="15">
        <f>IF([1]BFCyg!I71&lt;&gt;"",[1]BFCyg!I71,"")</f>
        <v>9000</v>
      </c>
      <c r="J67" s="15" t="str">
        <f>IF([1]BFCyg!J71&lt;&gt;"",[1]BFCyg!J71,"")</f>
        <v/>
      </c>
      <c r="K67" s="15" t="str">
        <f>IF([1]BFCyg!K71&lt;&gt;"",[1]BFCyg!K71,"")</f>
        <v/>
      </c>
      <c r="L67" s="15" t="str">
        <f>IF([1]BFCyg!L71&lt;&gt;"",[1]BFCyg!L71,"")</f>
        <v/>
      </c>
      <c r="M67" s="12"/>
      <c r="O67" s="4"/>
    </row>
    <row r="68" spans="2:15" x14ac:dyDescent="0.25">
      <c r="B68" s="13"/>
      <c r="C68" s="11">
        <f>IF([1]BFCyg!C72&lt;&gt;"",[1]BFCyg!C72,"")</f>
        <v>42315</v>
      </c>
      <c r="D68" s="14">
        <f>IF([1]BFCyg!D72&lt;&gt;"",[1]BFCyg!D72,"")</f>
        <v>0.8629282407407407</v>
      </c>
      <c r="E68" s="16">
        <f>IF([1]BFCyg!E72&lt;&gt;"",[1]BFCyg!E72,"")</f>
        <v>2457334.3664000002</v>
      </c>
      <c r="F68" s="11" t="str">
        <f>IF([1]BFCyg!F72&lt;&gt;"",[1]BFCyg!F72,"")</f>
        <v>FBO</v>
      </c>
      <c r="G68" s="11" t="str">
        <f>IF([1]BFCyg!G72&lt;&gt;"",[1]BFCyg!G72,"")</f>
        <v>OPL-FR</v>
      </c>
      <c r="H68" s="11" t="str">
        <f>IF([1]BFCyg!H72&lt;&gt;"",[1]BFCyg!H72,"")</f>
        <v>SC8+Lisa+ATIK314L+</v>
      </c>
      <c r="I68" s="15">
        <f>IF([1]BFCyg!I72&lt;&gt;"",[1]BFCyg!I72,"")</f>
        <v>1000</v>
      </c>
      <c r="J68" s="15" t="str">
        <f>IF([1]BFCyg!J72&lt;&gt;"",[1]BFCyg!J72,"")</f>
        <v/>
      </c>
      <c r="K68" s="15" t="str">
        <f>IF([1]BFCyg!K72&lt;&gt;"",[1]BFCyg!K72,"")</f>
        <v/>
      </c>
      <c r="L68" s="15" t="str">
        <f>IF([1]BFCyg!L72&lt;&gt;"",[1]BFCyg!L72,"")</f>
        <v/>
      </c>
      <c r="M68" s="12"/>
      <c r="O68" s="4"/>
    </row>
    <row r="69" spans="2:15" x14ac:dyDescent="0.25">
      <c r="B69" s="13"/>
      <c r="C69" s="11">
        <f>IF([1]BFCyg!C73&lt;&gt;"",[1]BFCyg!C73,"")</f>
        <v>42501</v>
      </c>
      <c r="D69" s="14">
        <f>IF([1]BFCyg!D73&lt;&gt;"",[1]BFCyg!D73,"")</f>
        <v>0.22291666666666665</v>
      </c>
      <c r="E69" s="16">
        <f>IF([1]BFCyg!E73&lt;&gt;"",[1]BFCyg!E73,"")</f>
        <v>2457519.7648999998</v>
      </c>
      <c r="F69" s="11" t="str">
        <f>IF([1]BFCyg!F73&lt;&gt;"",[1]BFCyg!F73,"")</f>
        <v>LES</v>
      </c>
      <c r="G69" s="11" t="str">
        <f>IF([1]BFCyg!G73&lt;&gt;"",[1]BFCyg!G73,"")</f>
        <v>MRO-CA</v>
      </c>
      <c r="H69" s="11" t="str">
        <f>IF([1]BFCyg!H73&lt;&gt;"",[1]BFCyg!H73,"")</f>
        <v>31cmDK+23um1800lpm</v>
      </c>
      <c r="I69" s="15">
        <f>IF([1]BFCyg!I73&lt;&gt;"",[1]BFCyg!I73,"")</f>
        <v>9000</v>
      </c>
      <c r="J69" s="15" t="str">
        <f>IF([1]BFCyg!J73&lt;&gt;"",[1]BFCyg!J73,"")</f>
        <v/>
      </c>
      <c r="K69" s="15" t="str">
        <f>IF([1]BFCyg!K73&lt;&gt;"",[1]BFCyg!K73,"")</f>
        <v/>
      </c>
      <c r="L69" s="15" t="str">
        <f>IF([1]BFCyg!L73&lt;&gt;"",[1]BFCyg!L73,"")</f>
        <v/>
      </c>
      <c r="M69" s="12"/>
      <c r="O69" s="4"/>
    </row>
    <row r="70" spans="2:15" x14ac:dyDescent="0.25">
      <c r="B70" s="13"/>
      <c r="C70" s="11">
        <f>IF([1]BFCyg!C74&lt;&gt;"",[1]BFCyg!C74,"")</f>
        <v>42513</v>
      </c>
      <c r="D70" s="14">
        <f>IF([1]BFCyg!D74&lt;&gt;"",[1]BFCyg!D74,"")</f>
        <v>0.24998842592592593</v>
      </c>
      <c r="E70" s="16">
        <f>IF([1]BFCyg!E74&lt;&gt;"",[1]BFCyg!E74,"")</f>
        <v>2457531.7850000001</v>
      </c>
      <c r="F70" s="11" t="str">
        <f>IF([1]BFCyg!F74&lt;&gt;"",[1]BFCyg!F74,"")</f>
        <v>LES</v>
      </c>
      <c r="G70" s="11" t="str">
        <f>IF([1]BFCyg!G74&lt;&gt;"",[1]BFCyg!G74,"")</f>
        <v>MRO-CA</v>
      </c>
      <c r="H70" s="11" t="str">
        <f>IF([1]BFCyg!H74&lt;&gt;"",[1]BFCyg!H74,"")</f>
        <v>31cmDK+23um1800lpm</v>
      </c>
      <c r="I70" s="15">
        <f>IF([1]BFCyg!I74&lt;&gt;"",[1]BFCyg!I74,"")</f>
        <v>6400</v>
      </c>
      <c r="J70" s="15" t="str">
        <f>IF([1]BFCyg!J74&lt;&gt;"",[1]BFCyg!J74,"")</f>
        <v/>
      </c>
      <c r="K70" s="15" t="str">
        <f>IF([1]BFCyg!K74&lt;&gt;"",[1]BFCyg!K74,"")</f>
        <v/>
      </c>
      <c r="L70" s="15" t="str">
        <f>IF([1]BFCyg!L74&lt;&gt;"",[1]BFCyg!L74,"")</f>
        <v/>
      </c>
      <c r="M70" s="12"/>
      <c r="O70" s="4" t="str">
        <f>+IF(SUBSTITUTE(F70," ","") =O$20,#REF!,"")</f>
        <v/>
      </c>
    </row>
    <row r="71" spans="2:15" x14ac:dyDescent="0.25">
      <c r="B71" s="13"/>
      <c r="C71" s="11">
        <f>IF([1]BFCyg!C75&lt;&gt;"",[1]BFCyg!C75,"")</f>
        <v>42564</v>
      </c>
      <c r="D71" s="14">
        <f>IF([1]BFCyg!D75&lt;&gt;"",[1]BFCyg!D75,"")</f>
        <v>0.90799768518518509</v>
      </c>
      <c r="E71" s="16">
        <f>IF([1]BFCyg!E75&lt;&gt;"",[1]BFCyg!E75,"")</f>
        <v>2457583.4301</v>
      </c>
      <c r="F71" s="11" t="str">
        <f>IF([1]BFCyg!F75&lt;&gt;"",[1]BFCyg!F75,"")</f>
        <v xml:space="preserve">FMT </v>
      </c>
      <c r="G71" s="11" t="str">
        <f>IF([1]BFCyg!G75&lt;&gt;"",[1]BFCyg!G75,"")</f>
        <v>ORS-FR</v>
      </c>
      <c r="H71" s="11" t="str">
        <f>IF([1]BFCyg!H75&lt;&gt;"",[1]BFCyg!H75,"")</f>
        <v>SC14+eShel+Atik460ex</v>
      </c>
      <c r="I71" s="15">
        <f>IF([1]BFCyg!I75&lt;&gt;"",[1]BFCyg!I75,"")</f>
        <v>11000</v>
      </c>
      <c r="J71" s="15" t="str">
        <f>IF([1]BFCyg!J75&lt;&gt;"",[1]BFCyg!J75,"")</f>
        <v/>
      </c>
      <c r="K71" s="15" t="str">
        <f>IF([1]BFCyg!K75&lt;&gt;"",[1]BFCyg!K75,"")</f>
        <v/>
      </c>
      <c r="L71" s="15" t="str">
        <f>IF([1]BFCyg!L75&lt;&gt;"",[1]BFCyg!L75,"")</f>
        <v/>
      </c>
      <c r="M71" s="12"/>
      <c r="O71" s="4" t="str">
        <f>+IF(SUBSTITUTE(F71," ","") =O$20,#REF!,"")</f>
        <v/>
      </c>
    </row>
    <row r="72" spans="2:15" x14ac:dyDescent="0.25">
      <c r="B72" s="13"/>
      <c r="C72" s="11">
        <f>IF([1]BFCyg!C76&lt;&gt;"",[1]BFCyg!C76,"")</f>
        <v>42567</v>
      </c>
      <c r="D72" s="14">
        <f>IF([1]BFCyg!D76&lt;&gt;"",[1]BFCyg!D76,"")</f>
        <v>0.95112268518518517</v>
      </c>
      <c r="E72" s="16">
        <f>IF([1]BFCyg!E76&lt;&gt;"",[1]BFCyg!E76,"")</f>
        <v>2457586.4731000001</v>
      </c>
      <c r="F72" s="11" t="str">
        <f>IF([1]BFCyg!F76&lt;&gt;"",[1]BFCyg!F76,"")</f>
        <v xml:space="preserve">FMT </v>
      </c>
      <c r="G72" s="11" t="str">
        <f>IF([1]BFCyg!G76&lt;&gt;"",[1]BFCyg!G76,"")</f>
        <v>ORS-FR</v>
      </c>
      <c r="H72" s="11" t="str">
        <f>IF([1]BFCyg!H76&lt;&gt;"",[1]BFCyg!H76,"")</f>
        <v>SC14+eShel+Atik460ex</v>
      </c>
      <c r="I72" s="15">
        <f>IF([1]BFCyg!I76&lt;&gt;"",[1]BFCyg!I76,"")</f>
        <v>11000</v>
      </c>
      <c r="J72" s="15" t="str">
        <f>IF([1]BFCyg!J76&lt;&gt;"",[1]BFCyg!J76,"")</f>
        <v/>
      </c>
      <c r="K72" s="15" t="str">
        <f>IF([1]BFCyg!K76&lt;&gt;"",[1]BFCyg!K76,"")</f>
        <v/>
      </c>
      <c r="L72" s="15" t="str">
        <f>IF([1]BFCyg!L76&lt;&gt;"",[1]BFCyg!L76,"")</f>
        <v/>
      </c>
      <c r="M72" s="12"/>
      <c r="O72" s="4" t="str">
        <f>+IF(SUBSTITUTE(F72," ","") =O$20,#REF!,"")</f>
        <v/>
      </c>
    </row>
    <row r="73" spans="2:15" x14ac:dyDescent="0.25">
      <c r="B73" s="13"/>
      <c r="C73" s="11">
        <f>IF([1]BFCyg!C77&lt;&gt;"",[1]BFCyg!C77,"")</f>
        <v>42568</v>
      </c>
      <c r="D73" s="14">
        <f>IF([1]BFCyg!D77&lt;&gt;"",[1]BFCyg!D77,"")</f>
        <v>0.84751157407407407</v>
      </c>
      <c r="E73" s="16">
        <f>IF([1]BFCyg!E77&lt;&gt;"",[1]BFCyg!E77,"")</f>
        <v>2457587.3761</v>
      </c>
      <c r="F73" s="11" t="str">
        <f>IF([1]BFCyg!F77&lt;&gt;"",[1]BFCyg!F77,"")</f>
        <v>BER</v>
      </c>
      <c r="G73" s="11" t="str">
        <f>IF([1]BFCyg!G77&lt;&gt;"",[1]BFCyg!G77,"")</f>
        <v>BVO-IT</v>
      </c>
      <c r="H73" s="11" t="str">
        <f>IF([1]BFCyg!H77&lt;&gt;"",[1]BFCyg!H77,"")</f>
        <v>Lhires31200C9SXV</v>
      </c>
      <c r="I73" s="15">
        <f>IF([1]BFCyg!I77&lt;&gt;"",[1]BFCyg!I77,"")</f>
        <v>5954</v>
      </c>
      <c r="J73" s="15" t="str">
        <f>IF([1]BFCyg!J77&lt;&gt;"",[1]BFCyg!J77,"")</f>
        <v/>
      </c>
      <c r="K73" s="15" t="str">
        <f>IF([1]BFCyg!K77&lt;&gt;"",[1]BFCyg!K77,"")</f>
        <v/>
      </c>
      <c r="L73" s="15" t="str">
        <f>IF([1]BFCyg!L77&lt;&gt;"",[1]BFCyg!L77,"")</f>
        <v/>
      </c>
      <c r="M73" s="12"/>
      <c r="O73" s="4" t="str">
        <f>+IF(SUBSTITUTE(F73," ","") =O$20,#REF!,"")</f>
        <v/>
      </c>
    </row>
    <row r="74" spans="2:15" x14ac:dyDescent="0.25">
      <c r="B74" s="13"/>
      <c r="C74" s="11">
        <f>IF([1]BFCyg!C78&lt;&gt;"",[1]BFCyg!C78,"")</f>
        <v>42568</v>
      </c>
      <c r="D74" s="14">
        <f>IF([1]BFCyg!D78&lt;&gt;"",[1]BFCyg!D78,"")</f>
        <v>0.94916666666666671</v>
      </c>
      <c r="E74" s="16">
        <f>IF([1]BFCyg!E78&lt;&gt;"",[1]BFCyg!E78,"")</f>
        <v>2457587.4580000001</v>
      </c>
      <c r="F74" s="11" t="str">
        <f>IF([1]BFCyg!F78&lt;&gt;"",[1]BFCyg!F78,"")</f>
        <v>DBO</v>
      </c>
      <c r="G74" s="11" t="str">
        <f>IF([1]BFCyg!G78&lt;&gt;"",[1]BFCyg!G78,"")</f>
        <v>WCO-UK</v>
      </c>
      <c r="H74" s="11" t="str">
        <f>IF([1]BFCyg!H78&lt;&gt;"",[1]BFCyg!H78,"")</f>
        <v>C11+Lisa+SXVR-H</v>
      </c>
      <c r="I74" s="15">
        <f>IF([1]BFCyg!I78&lt;&gt;"",[1]BFCyg!I78,"")</f>
        <v>762</v>
      </c>
      <c r="J74" s="15" t="str">
        <f>IF([1]BFCyg!J78&lt;&gt;"",[1]BFCyg!J78,"")</f>
        <v/>
      </c>
      <c r="K74" s="15" t="str">
        <f>IF([1]BFCyg!K78&lt;&gt;"",[1]BFCyg!K78,"")</f>
        <v/>
      </c>
      <c r="L74" s="15" t="str">
        <f>IF([1]BFCyg!L78&lt;&gt;"",[1]BFCyg!L78,"")</f>
        <v/>
      </c>
      <c r="M74" s="12"/>
      <c r="O74" s="4" t="str">
        <f>+IF(SUBSTITUTE(F74," ","") =O$20,#REF!,"")</f>
        <v/>
      </c>
    </row>
    <row r="75" spans="2:15" x14ac:dyDescent="0.25">
      <c r="B75" s="13"/>
      <c r="C75" s="11">
        <f>IF([1]BFCyg!C79&lt;&gt;"",[1]BFCyg!C79,"")</f>
        <v>42569</v>
      </c>
      <c r="D75" s="14">
        <f>IF([1]BFCyg!D79&lt;&gt;"",[1]BFCyg!D79,"")</f>
        <v>0.90790509259259267</v>
      </c>
      <c r="E75" s="16">
        <f>IF([1]BFCyg!E79&lt;&gt;"",[1]BFCyg!E79,"")</f>
        <v>2457588.4254000001</v>
      </c>
      <c r="F75" s="11" t="str">
        <f>IF([1]BFCyg!F79&lt;&gt;"",[1]BFCyg!F79,"")</f>
        <v>JGF</v>
      </c>
      <c r="G75" s="11" t="str">
        <f>IF([1]BFCyg!G79&lt;&gt;"",[1]BFCyg!G79,"")</f>
        <v>SMM-SP</v>
      </c>
      <c r="H75" s="11" t="str">
        <f>IF([1]BFCyg!H79&lt;&gt;"",[1]BFCyg!H79,"")</f>
        <v>16REMOTATIK460EX</v>
      </c>
      <c r="I75" s="15">
        <f>IF([1]BFCyg!I79&lt;&gt;"",[1]BFCyg!I79,"")</f>
        <v>1127</v>
      </c>
      <c r="J75" s="15" t="str">
        <f>IF([1]BFCyg!J79&lt;&gt;"",[1]BFCyg!J79,"")</f>
        <v/>
      </c>
      <c r="K75" s="15" t="str">
        <f>IF([1]BFCyg!K79&lt;&gt;"",[1]BFCyg!K79,"")</f>
        <v/>
      </c>
      <c r="L75" s="15" t="str">
        <f>IF([1]BFCyg!L79&lt;&gt;"",[1]BFCyg!L79,"")</f>
        <v/>
      </c>
      <c r="M75" s="12"/>
      <c r="O75" s="4" t="str">
        <f>+IF(SUBSTITUTE(F75," ","") =O$20,#REF!,"")</f>
        <v/>
      </c>
    </row>
    <row r="76" spans="2:15" x14ac:dyDescent="0.25">
      <c r="B76" s="13"/>
      <c r="C76" s="11">
        <f>IF([1]BFCyg!C80&lt;&gt;"",[1]BFCyg!C80,"")</f>
        <v>42570</v>
      </c>
      <c r="D76" s="14">
        <f>IF([1]BFCyg!D80&lt;&gt;"",[1]BFCyg!D80,"")</f>
        <v>0.90642361111111114</v>
      </c>
      <c r="E76" s="16">
        <f>IF([1]BFCyg!E80&lt;&gt;"",[1]BFCyg!E80,"")</f>
        <v>2457589.4273999999</v>
      </c>
      <c r="F76" s="11" t="str">
        <f>IF([1]BFCyg!F80&lt;&gt;"",[1]BFCyg!F80,"")</f>
        <v>OTH</v>
      </c>
      <c r="G76" s="11" t="str">
        <f>IF([1]BFCyg!G80&lt;&gt;"",[1]BFCyg!G80,"")</f>
        <v>OBE-FR</v>
      </c>
      <c r="H76" s="11" t="str">
        <f>IF([1]BFCyg!H80&lt;&gt;"",[1]BFCyg!H80,"")</f>
        <v>eShel_Atik460</v>
      </c>
      <c r="I76" s="15">
        <f>IF([1]BFCyg!I80&lt;&gt;"",[1]BFCyg!I80,"")</f>
        <v>11000</v>
      </c>
      <c r="J76" s="15" t="str">
        <f>IF([1]BFCyg!J80&lt;&gt;"",[1]BFCyg!J80,"")</f>
        <v/>
      </c>
      <c r="K76" s="15" t="str">
        <f>IF([1]BFCyg!K80&lt;&gt;"",[1]BFCyg!K80,"")</f>
        <v/>
      </c>
      <c r="L76" s="15" t="str">
        <f>IF([1]BFCyg!L80&lt;&gt;"",[1]BFCyg!L80,"")</f>
        <v/>
      </c>
      <c r="M76" s="12"/>
      <c r="O76" s="4" t="str">
        <f>+IF(SUBSTITUTE(F76," ","") =O$20,#REF!,"")</f>
        <v/>
      </c>
    </row>
    <row r="77" spans="2:15" x14ac:dyDescent="0.25">
      <c r="B77" s="13"/>
      <c r="C77" s="11">
        <f>IF([1]BFCyg!C81&lt;&gt;"",[1]BFCyg!C81,"")</f>
        <v>42571</v>
      </c>
      <c r="D77" s="14">
        <f>IF([1]BFCyg!D81&lt;&gt;"",[1]BFCyg!D81,"")</f>
        <v>9.5104166666666656E-2</v>
      </c>
      <c r="E77" s="16">
        <f>IF([1]BFCyg!E81&lt;&gt;"",[1]BFCyg!E81,"")</f>
        <v>2457589.6370999999</v>
      </c>
      <c r="F77" s="11" t="str">
        <f>IF([1]BFCyg!F81&lt;&gt;"",[1]BFCyg!F81,"")</f>
        <v>LES</v>
      </c>
      <c r="G77" s="11" t="str">
        <f>IF([1]BFCyg!G81&lt;&gt;"",[1]BFCyg!G81,"")</f>
        <v>MRO-CA</v>
      </c>
      <c r="H77" s="11" t="str">
        <f>IF([1]BFCyg!H81&lt;&gt;"",[1]BFCyg!H81,"")</f>
        <v>31cmDK+23um1800lpm+</v>
      </c>
      <c r="I77" s="15">
        <f>IF([1]BFCyg!I81&lt;&gt;"",[1]BFCyg!I81,"")</f>
        <v>6400</v>
      </c>
      <c r="J77" s="15" t="str">
        <f>IF([1]BFCyg!J81&lt;&gt;"",[1]BFCyg!J81,"")</f>
        <v/>
      </c>
      <c r="K77" s="15" t="str">
        <f>IF([1]BFCyg!K81&lt;&gt;"",[1]BFCyg!K81,"")</f>
        <v/>
      </c>
      <c r="L77" s="15" t="str">
        <f>IF([1]BFCyg!L81&lt;&gt;"",[1]BFCyg!L81,"")</f>
        <v/>
      </c>
      <c r="M77" s="12"/>
      <c r="O77" s="4" t="str">
        <f>+IF(SUBSTITUTE(F77," ","") =O$20,#REF!,"")</f>
        <v/>
      </c>
    </row>
    <row r="78" spans="2:15" x14ac:dyDescent="0.25">
      <c r="B78" s="13"/>
      <c r="C78" s="11">
        <f>IF([1]BFCyg!C82&lt;&gt;"",[1]BFCyg!C82,"")</f>
        <v>42574</v>
      </c>
      <c r="D78" s="14">
        <f>IF([1]BFCyg!D82&lt;&gt;"",[1]BFCyg!D82,"")</f>
        <v>0.91224537037037035</v>
      </c>
      <c r="E78" s="16">
        <f>IF([1]BFCyg!E82&lt;&gt;"",[1]BFCyg!E82,"")</f>
        <v>2457593.4402000001</v>
      </c>
      <c r="F78" s="11" t="str">
        <f>IF([1]BFCyg!F82&lt;&gt;"",[1]BFCyg!F82,"")</f>
        <v xml:space="preserve">FMT </v>
      </c>
      <c r="G78" s="11" t="str">
        <f>IF([1]BFCyg!G82&lt;&gt;"",[1]BFCyg!G82,"")</f>
        <v>ORS-FR</v>
      </c>
      <c r="H78" s="11" t="str">
        <f>IF([1]BFCyg!H82&lt;&gt;"",[1]BFCyg!H82,"")</f>
        <v>SC14+eShel+Atik460ex</v>
      </c>
      <c r="I78" s="15">
        <f>IF([1]BFCyg!I82&lt;&gt;"",[1]BFCyg!I82,"")</f>
        <v>11000</v>
      </c>
      <c r="J78" s="15" t="str">
        <f>IF([1]BFCyg!J82&lt;&gt;"",[1]BFCyg!J82,"")</f>
        <v/>
      </c>
      <c r="K78" s="15" t="str">
        <f>IF([1]BFCyg!K82&lt;&gt;"",[1]BFCyg!K82,"")</f>
        <v/>
      </c>
      <c r="L78" s="15" t="str">
        <f>IF([1]BFCyg!L82&lt;&gt;"",[1]BFCyg!L82,"")</f>
        <v/>
      </c>
      <c r="M78" s="12"/>
      <c r="O78" s="4" t="str">
        <f>+IF(SUBSTITUTE(F78," ","") =O$20,#REF!,"")</f>
        <v/>
      </c>
    </row>
    <row r="79" spans="2:15" x14ac:dyDescent="0.25">
      <c r="B79" s="13"/>
      <c r="C79" s="11">
        <f>IF([1]BFCyg!C83&lt;&gt;"",[1]BFCyg!C83,"")</f>
        <v>42578</v>
      </c>
      <c r="D79" s="14">
        <f>IF([1]BFCyg!D83&lt;&gt;"",[1]BFCyg!D83,"")</f>
        <v>0.93729166666666675</v>
      </c>
      <c r="E79" s="16">
        <f>IF([1]BFCyg!E83&lt;&gt;"",[1]BFCyg!E83,"")</f>
        <v>2457597.4687000001</v>
      </c>
      <c r="F79" s="11" t="str">
        <f>IF([1]BFCyg!F83&lt;&gt;"",[1]BFCyg!F83,"")</f>
        <v>OTH</v>
      </c>
      <c r="G79" s="11" t="str">
        <f>IF([1]BFCyg!G83&lt;&gt;"",[1]BFCyg!G83,"")</f>
        <v>OBE-FR</v>
      </c>
      <c r="H79" s="11" t="str">
        <f>IF([1]BFCyg!H83&lt;&gt;"",[1]BFCyg!H83,"")</f>
        <v>eShel_Atik460</v>
      </c>
      <c r="I79" s="15">
        <f>IF([1]BFCyg!I83&lt;&gt;"",[1]BFCyg!I83,"")</f>
        <v>11000</v>
      </c>
      <c r="J79" s="15" t="str">
        <f>IF([1]BFCyg!J83&lt;&gt;"",[1]BFCyg!J83,"")</f>
        <v/>
      </c>
      <c r="K79" s="15" t="str">
        <f>IF([1]BFCyg!K83&lt;&gt;"",[1]BFCyg!K83,"")</f>
        <v/>
      </c>
      <c r="L79" s="15" t="str">
        <f>IF([1]BFCyg!L83&lt;&gt;"",[1]BFCyg!L83,"")</f>
        <v/>
      </c>
      <c r="M79" s="12"/>
      <c r="O79" s="4" t="str">
        <f>+IF(SUBSTITUTE(F79," ","") =O$20,#REF!,"")</f>
        <v/>
      </c>
    </row>
    <row r="80" spans="2:15" x14ac:dyDescent="0.25">
      <c r="B80" s="13"/>
      <c r="C80" s="11">
        <f>IF([1]BFCyg!C84&lt;&gt;"",[1]BFCyg!C84,"")</f>
        <v>42579</v>
      </c>
      <c r="D80" s="14">
        <f>IF([1]BFCyg!D84&lt;&gt;"",[1]BFCyg!D84,"")</f>
        <v>0.91578703703703701</v>
      </c>
      <c r="E80" s="16">
        <f>IF([1]BFCyg!E84&lt;&gt;"",[1]BFCyg!E84,"")</f>
        <v>2457598.5257000001</v>
      </c>
      <c r="F80" s="11" t="str">
        <f>IF([1]BFCyg!F84&lt;&gt;"",[1]BFCyg!F84,"")</f>
        <v>OGA</v>
      </c>
      <c r="G80" s="11" t="str">
        <f>IF([1]BFCyg!G84&lt;&gt;"",[1]BFCyg!G84,"")</f>
        <v>OTO-FR</v>
      </c>
      <c r="H80" s="11" t="str">
        <f>IF([1]BFCyg!H84&lt;&gt;"",[1]BFCyg!H84,"")</f>
        <v>RC400+eShel_460EX</v>
      </c>
      <c r="I80" s="15">
        <f>IF([1]BFCyg!I84&lt;&gt;"",[1]BFCyg!I84,"")</f>
        <v>11000</v>
      </c>
      <c r="J80" s="15" t="str">
        <f>IF([1]BFCyg!J84&lt;&gt;"",[1]BFCyg!J84,"")</f>
        <v/>
      </c>
      <c r="K80" s="15" t="str">
        <f>IF([1]BFCyg!K84&lt;&gt;"",[1]BFCyg!K84,"")</f>
        <v/>
      </c>
      <c r="L80" s="15" t="str">
        <f>IF([1]BFCyg!L84&lt;&gt;"",[1]BFCyg!L84,"")</f>
        <v/>
      </c>
      <c r="M80" s="12"/>
      <c r="O80" s="4" t="str">
        <f>+IF(SUBSTITUTE(F80," ","") =O$20,#REF!,"")</f>
        <v/>
      </c>
    </row>
    <row r="81" spans="2:15" x14ac:dyDescent="0.25">
      <c r="B81" s="13"/>
      <c r="C81" s="11">
        <f>IF([1]BFCyg!C85&lt;&gt;"",[1]BFCyg!C85,"")</f>
        <v>42579</v>
      </c>
      <c r="D81" s="14">
        <f>IF([1]BFCyg!D85&lt;&gt;"",[1]BFCyg!D85,"")</f>
        <v>0.9849768518518518</v>
      </c>
      <c r="E81" s="16">
        <f>IF([1]BFCyg!E85&lt;&gt;"",[1]BFCyg!E85,"")</f>
        <v>2457598.4986</v>
      </c>
      <c r="F81" s="11" t="str">
        <f>IF([1]BFCyg!F85&lt;&gt;"",[1]BFCyg!F85,"")</f>
        <v>GMAYBU</v>
      </c>
      <c r="G81" s="11" t="str">
        <f>IF([1]BFCyg!G85&lt;&gt;"",[1]BFCyg!G85,"")</f>
        <v>OSM-FR</v>
      </c>
      <c r="H81" s="11" t="str">
        <f>IF([1]BFCyg!H85&lt;&gt;"",[1]BFCyg!H85,"")</f>
        <v>C11lLisaQSI583ws</v>
      </c>
      <c r="I81" s="15">
        <f>IF([1]BFCyg!I85&lt;&gt;"",[1]BFCyg!I85,"")</f>
        <v>903</v>
      </c>
      <c r="J81" s="15" t="str">
        <f>IF([1]BFCyg!J85&lt;&gt;"",[1]BFCyg!J85,"")</f>
        <v/>
      </c>
      <c r="K81" s="15" t="str">
        <f>IF([1]BFCyg!K85&lt;&gt;"",[1]BFCyg!K85,"")</f>
        <v/>
      </c>
      <c r="L81" s="15" t="str">
        <f>IF([1]BFCyg!L85&lt;&gt;"",[1]BFCyg!L85,"")</f>
        <v/>
      </c>
      <c r="M81" s="12"/>
      <c r="O81" s="4" t="str">
        <f>+IF(SUBSTITUTE(F81," ","") =O$20,#REF!,"")</f>
        <v/>
      </c>
    </row>
    <row r="82" spans="2:15" x14ac:dyDescent="0.25">
      <c r="B82" s="13"/>
      <c r="C82" s="11">
        <f>IF([1]BFCyg!C86&lt;&gt;"",[1]BFCyg!C86,"")</f>
        <v>42580</v>
      </c>
      <c r="D82" s="14">
        <f>IF([1]BFCyg!D86&lt;&gt;"",[1]BFCyg!D86,"")</f>
        <v>0.88248842592592591</v>
      </c>
      <c r="E82" s="16">
        <f>IF([1]BFCyg!E86&lt;&gt;"",[1]BFCyg!E86,"")</f>
        <v>2457599.3912</v>
      </c>
      <c r="F82" s="11" t="str">
        <f>IF([1]BFCyg!F86&lt;&gt;"",[1]BFCyg!F86,"")</f>
        <v>FRA</v>
      </c>
      <c r="G82" s="11" t="str">
        <f>IF([1]BFCyg!G86&lt;&gt;"",[1]BFCyg!G86,"")</f>
        <v>BAL-IT</v>
      </c>
      <c r="H82" s="11" t="str">
        <f>IF([1]BFCyg!H86&lt;&gt;"",[1]BFCyg!H86,"")</f>
        <v>SC8+Alpy600</v>
      </c>
      <c r="I82" s="15">
        <f>IF([1]BFCyg!I86&lt;&gt;"",[1]BFCyg!I86,"")</f>
        <v>498</v>
      </c>
      <c r="J82" s="15" t="str">
        <f>IF([1]BFCyg!J86&lt;&gt;"",[1]BFCyg!J86,"")</f>
        <v/>
      </c>
      <c r="K82" s="15" t="str">
        <f>IF([1]BFCyg!K86&lt;&gt;"",[1]BFCyg!K86,"")</f>
        <v/>
      </c>
      <c r="L82" s="15" t="str">
        <f>IF([1]BFCyg!L86&lt;&gt;"",[1]BFCyg!L86,"")</f>
        <v/>
      </c>
      <c r="M82" s="12"/>
      <c r="O82" s="4" t="str">
        <f>+IF(SUBSTITUTE(F82," ","") =O$20,#REF!,"")</f>
        <v/>
      </c>
    </row>
    <row r="83" spans="2:15" x14ac:dyDescent="0.25">
      <c r="B83" s="13"/>
      <c r="C83" s="11">
        <f>IF([1]BFCyg!C87&lt;&gt;"",[1]BFCyg!C87,"")</f>
        <v>42585</v>
      </c>
      <c r="D83" s="14">
        <f>IF([1]BFCyg!D87&lt;&gt;"",[1]BFCyg!D87,"")</f>
        <v>7.846064814814814E-2</v>
      </c>
      <c r="E83" s="16">
        <f>IF([1]BFCyg!E87&lt;&gt;"",[1]BFCyg!E87,"")</f>
        <v>2457603.5896999999</v>
      </c>
      <c r="F83" s="11" t="str">
        <f>IF([1]BFCyg!F87&lt;&gt;"",[1]BFCyg!F87,"")</f>
        <v>OGA</v>
      </c>
      <c r="G83" s="11" t="str">
        <f>IF([1]BFCyg!G87&lt;&gt;"",[1]BFCyg!G87,"")</f>
        <v>OMA-FR</v>
      </c>
      <c r="H83" s="11" t="str">
        <f>IF([1]BFCyg!H87&lt;&gt;"",[1]BFCyg!H87,"")</f>
        <v>RC600OfficinaStel</v>
      </c>
      <c r="I83" s="15">
        <f>IF([1]BFCyg!I87&lt;&gt;"",[1]BFCyg!I87,"")</f>
        <v>628</v>
      </c>
      <c r="J83" s="15" t="str">
        <f>IF([1]BFCyg!J87&lt;&gt;"",[1]BFCyg!J87,"")</f>
        <v/>
      </c>
      <c r="K83" s="15" t="str">
        <f>IF([1]BFCyg!K87&lt;&gt;"",[1]BFCyg!K87,"")</f>
        <v/>
      </c>
      <c r="L83" s="15" t="str">
        <f>IF([1]BFCyg!L87&lt;&gt;"",[1]BFCyg!L87,"")</f>
        <v/>
      </c>
      <c r="M83" s="12"/>
      <c r="O83" s="4" t="str">
        <f>+IF(SUBSTITUTE(F83," ","") =O$20,#REF!,"")</f>
        <v/>
      </c>
    </row>
    <row r="84" spans="2:15" x14ac:dyDescent="0.25">
      <c r="B84" s="13"/>
      <c r="C84" s="11">
        <f>IF([1]BFCyg!C88&lt;&gt;"",[1]BFCyg!C88,"")</f>
        <v>42588</v>
      </c>
      <c r="D84" s="14">
        <f>IF([1]BFCyg!D88&lt;&gt;"",[1]BFCyg!D88,"")</f>
        <v>0.87200231481481483</v>
      </c>
      <c r="E84" s="16">
        <f>IF([1]BFCyg!E88&lt;&gt;"",[1]BFCyg!E88,"")</f>
        <v>2457607.3912</v>
      </c>
      <c r="F84" s="11" t="str">
        <f>IF([1]BFCyg!F88&lt;&gt;"",[1]BFCyg!F88,"")</f>
        <v xml:space="preserve">FMT </v>
      </c>
      <c r="G84" s="11" t="str">
        <f>IF([1]BFCyg!G88&lt;&gt;"",[1]BFCyg!G88,"")</f>
        <v>ORS-FR</v>
      </c>
      <c r="H84" s="11" t="str">
        <f>IF([1]BFCyg!H88&lt;&gt;"",[1]BFCyg!H88,"")</f>
        <v>SC14+eShel+Atik460ex</v>
      </c>
      <c r="I84" s="15">
        <f>IF([1]BFCyg!I88&lt;&gt;"",[1]BFCyg!I88,"")</f>
        <v>11000</v>
      </c>
      <c r="J84" s="15" t="str">
        <f>IF([1]BFCyg!J88&lt;&gt;"",[1]BFCyg!J88,"")</f>
        <v/>
      </c>
      <c r="K84" s="15" t="str">
        <f>IF([1]BFCyg!K88&lt;&gt;"",[1]BFCyg!K88,"")</f>
        <v/>
      </c>
      <c r="L84" s="15" t="str">
        <f>IF([1]BFCyg!L88&lt;&gt;"",[1]BFCyg!L88,"")</f>
        <v/>
      </c>
      <c r="M84" s="12"/>
      <c r="O84" s="4" t="str">
        <f>+IF(SUBSTITUTE(F84," ","") =O$20,#REF!,"")</f>
        <v/>
      </c>
    </row>
    <row r="85" spans="2:15" x14ac:dyDescent="0.25">
      <c r="B85" s="13"/>
      <c r="C85" s="11">
        <f>IF([1]BFCyg!C89&lt;&gt;"",[1]BFCyg!C89,"")</f>
        <v>42593</v>
      </c>
      <c r="D85" s="14">
        <f>IF([1]BFCyg!D89&lt;&gt;"",[1]BFCyg!D89,"")</f>
        <v>6.5879629629629635E-2</v>
      </c>
      <c r="E85" s="16">
        <f>IF([1]BFCyg!E89&lt;&gt;"",[1]BFCyg!E89,"")</f>
        <v>2457611.5934000001</v>
      </c>
      <c r="F85" s="11" t="str">
        <f>IF([1]BFCyg!F89&lt;&gt;"",[1]BFCyg!F89,"")</f>
        <v>MVE</v>
      </c>
      <c r="G85" s="11" t="str">
        <f>IF([1]BFCyg!G89&lt;&gt;"",[1]BFCyg!G89,"")</f>
        <v>OHP-FR</v>
      </c>
      <c r="H85" s="11" t="str">
        <f>IF([1]BFCyg!H89&lt;&gt;"",[1]BFCyg!H89,"")</f>
        <v>C8-Alpy600-Atik460e</v>
      </c>
      <c r="I85" s="15">
        <f>IF([1]BFCyg!I89&lt;&gt;"",[1]BFCyg!I89,"")</f>
        <v>570</v>
      </c>
      <c r="J85" s="15" t="str">
        <f>IF([1]BFCyg!J89&lt;&gt;"",[1]BFCyg!J89,"")</f>
        <v/>
      </c>
      <c r="K85" s="15" t="str">
        <f>IF([1]BFCyg!K89&lt;&gt;"",[1]BFCyg!K89,"")</f>
        <v/>
      </c>
      <c r="L85" s="15" t="str">
        <f>IF([1]BFCyg!L89&lt;&gt;"",[1]BFCyg!L89,"")</f>
        <v/>
      </c>
      <c r="M85" s="12"/>
      <c r="O85" s="4" t="str">
        <f>+IF(SUBSTITUTE(F85," ","") =O$20,#REF!,"")</f>
        <v/>
      </c>
    </row>
    <row r="86" spans="2:15" x14ac:dyDescent="0.25">
      <c r="B86" s="13"/>
      <c r="C86" s="11">
        <f>IF([1]BFCyg!C90&lt;&gt;"",[1]BFCyg!C90,"")</f>
        <v>42593</v>
      </c>
      <c r="D86" s="14">
        <f>IF([1]BFCyg!D90&lt;&gt;"",[1]BFCyg!D90,"")</f>
        <v>0.88393518518518521</v>
      </c>
      <c r="E86" s="16">
        <f>IF([1]BFCyg!E90&lt;&gt;"",[1]BFCyg!E90,"")</f>
        <v>2457612.4018999999</v>
      </c>
      <c r="F86" s="11" t="str">
        <f>IF([1]BFCyg!F90&lt;&gt;"",[1]BFCyg!F90,"")</f>
        <v>GMAYBU</v>
      </c>
      <c r="G86" s="11" t="str">
        <f>IF([1]BFCyg!G90&lt;&gt;"",[1]BFCyg!G90,"")</f>
        <v>OHP-FR</v>
      </c>
      <c r="H86" s="11" t="str">
        <f>IF([1]BFCyg!H90&lt;&gt;"",[1]BFCyg!H90,"")</f>
        <v>C11LisaQSI583ws</v>
      </c>
      <c r="I86" s="15">
        <f>IF([1]BFCyg!I90&lt;&gt;"",[1]BFCyg!I90,"")</f>
        <v>1139</v>
      </c>
      <c r="J86" s="15" t="str">
        <f>IF([1]BFCyg!J90&lt;&gt;"",[1]BFCyg!J90,"")</f>
        <v/>
      </c>
      <c r="K86" s="15" t="str">
        <f>IF([1]BFCyg!K90&lt;&gt;"",[1]BFCyg!K90,"")</f>
        <v/>
      </c>
      <c r="L86" s="15" t="str">
        <f>IF([1]BFCyg!L90&lt;&gt;"",[1]BFCyg!L90,"")</f>
        <v/>
      </c>
      <c r="M86" s="12"/>
      <c r="O86" s="4" t="str">
        <f>+IF(SUBSTITUTE(F86," ","") =O$20,#REF!,"")</f>
        <v/>
      </c>
    </row>
    <row r="87" spans="2:15" x14ac:dyDescent="0.25">
      <c r="B87" s="13"/>
      <c r="C87" s="11">
        <f>IF([1]BFCyg!C91&lt;&gt;"",[1]BFCyg!C91,"")</f>
        <v>42593</v>
      </c>
      <c r="D87" s="14">
        <f>IF([1]BFCyg!D91&lt;&gt;"",[1]BFCyg!D91,"")</f>
        <v>0.93078703703703702</v>
      </c>
      <c r="E87" s="16">
        <f>IF([1]BFCyg!E91&lt;&gt;"",[1]BFCyg!E91,"")</f>
        <v>2457612.443</v>
      </c>
      <c r="F87" s="11" t="str">
        <f>IF([1]BFCyg!F91&lt;&gt;"",[1]BFCyg!F91,"")</f>
        <v>CBO</v>
      </c>
      <c r="G87" s="11" t="str">
        <f>IF([1]BFCyg!G91&lt;&gt;"",[1]BFCyg!G91,"")</f>
        <v>OHP-FR</v>
      </c>
      <c r="H87" s="11" t="str">
        <f>IF([1]BFCyg!H91&lt;&gt;"",[1]BFCyg!H91,"")</f>
        <v>Newton200F/5+</v>
      </c>
      <c r="I87" s="15">
        <f>IF([1]BFCyg!I91&lt;&gt;"",[1]BFCyg!I91,"")</f>
        <v>499</v>
      </c>
      <c r="J87" s="15" t="str">
        <f>IF([1]BFCyg!J91&lt;&gt;"",[1]BFCyg!J91,"")</f>
        <v/>
      </c>
      <c r="K87" s="15" t="str">
        <f>IF([1]BFCyg!K91&lt;&gt;"",[1]BFCyg!K91,"")</f>
        <v/>
      </c>
      <c r="L87" s="15" t="str">
        <f>IF([1]BFCyg!L91&lt;&gt;"",[1]BFCyg!L91,"")</f>
        <v/>
      </c>
      <c r="M87" s="12"/>
      <c r="O87" s="4" t="str">
        <f>+IF(SUBSTITUTE(F87," ","") =O$20,#REF!,"")</f>
        <v/>
      </c>
    </row>
    <row r="88" spans="2:15" x14ac:dyDescent="0.25">
      <c r="B88" s="13"/>
      <c r="C88" s="11">
        <f>IF([1]BFCyg!C92&lt;&gt;"",[1]BFCyg!C92,"")</f>
        <v>42596</v>
      </c>
      <c r="D88" s="14">
        <f>IF([1]BFCyg!D92&lt;&gt;"",[1]BFCyg!D92,"")</f>
        <v>0.85115740740740742</v>
      </c>
      <c r="E88" s="16">
        <f>IF([1]BFCyg!E92&lt;&gt;"",[1]BFCyg!E92,"")</f>
        <v>2457615.3683000002</v>
      </c>
      <c r="F88" s="11" t="str">
        <f>IF([1]BFCyg!F92&lt;&gt;"",[1]BFCyg!F92,"")</f>
        <v>BER</v>
      </c>
      <c r="G88" s="11" t="str">
        <f>IF([1]BFCyg!G92&lt;&gt;"",[1]BFCyg!G92,"")</f>
        <v>BVO-IT</v>
      </c>
      <c r="H88" s="11" t="str">
        <f>IF([1]BFCyg!H92&lt;&gt;"",[1]BFCyg!H92,"")</f>
        <v>Lhires31200C9SXV</v>
      </c>
      <c r="I88" s="15">
        <f>IF([1]BFCyg!I92&lt;&gt;"",[1]BFCyg!I92,"")</f>
        <v>5756</v>
      </c>
      <c r="J88" s="15" t="str">
        <f>IF([1]BFCyg!J92&lt;&gt;"",[1]BFCyg!J92,"")</f>
        <v/>
      </c>
      <c r="K88" s="15" t="str">
        <f>IF([1]BFCyg!K92&lt;&gt;"",[1]BFCyg!K92,"")</f>
        <v/>
      </c>
      <c r="L88" s="15" t="str">
        <f>IF([1]BFCyg!L92&lt;&gt;"",[1]BFCyg!L92,"")</f>
        <v/>
      </c>
      <c r="M88" s="12"/>
      <c r="O88" s="4" t="str">
        <f>+IF(SUBSTITUTE(F88," ","") =O$20,#REF!,"")</f>
        <v/>
      </c>
    </row>
    <row r="89" spans="2:15" x14ac:dyDescent="0.25">
      <c r="B89" s="13"/>
      <c r="C89" s="11">
        <f>IF([1]BFCyg!C93&lt;&gt;"",[1]BFCyg!C93,"")</f>
        <v>42597</v>
      </c>
      <c r="D89" s="14">
        <f>IF([1]BFCyg!D93&lt;&gt;"",[1]BFCyg!D93,"")</f>
        <v>0.13188657407407409</v>
      </c>
      <c r="E89" s="16">
        <f>IF([1]BFCyg!E93&lt;&gt;"",[1]BFCyg!E93,"")</f>
        <v>2457615.6581000001</v>
      </c>
      <c r="F89" s="11" t="str">
        <f>IF([1]BFCyg!F93&lt;&gt;"",[1]BFCyg!F93,"")</f>
        <v>GKA</v>
      </c>
      <c r="G89" s="11" t="str">
        <f>IF([1]BFCyg!G93&lt;&gt;"",[1]BFCyg!G93,"")</f>
        <v>GRL-US</v>
      </c>
      <c r="H89" s="11" t="str">
        <f>IF([1]BFCyg!H93&lt;&gt;"",[1]BFCyg!H93,"")</f>
        <v>SC10+Alpy600</v>
      </c>
      <c r="I89" s="15">
        <f>IF([1]BFCyg!I93&lt;&gt;"",[1]BFCyg!I93,"")</f>
        <v>563</v>
      </c>
      <c r="J89" s="15" t="str">
        <f>IF([1]BFCyg!J93&lt;&gt;"",[1]BFCyg!J93,"")</f>
        <v/>
      </c>
      <c r="K89" s="15" t="str">
        <f>IF([1]BFCyg!K93&lt;&gt;"",[1]BFCyg!K93,"")</f>
        <v/>
      </c>
      <c r="L89" s="15" t="str">
        <f>IF([1]BFCyg!L93&lt;&gt;"",[1]BFCyg!L93,"")</f>
        <v/>
      </c>
      <c r="M89" s="12"/>
      <c r="O89" s="4" t="str">
        <f>+IF(SUBSTITUTE(F89," ","") =O$20,#REF!,"")</f>
        <v/>
      </c>
    </row>
    <row r="90" spans="2:15" x14ac:dyDescent="0.25">
      <c r="B90" s="13"/>
      <c r="C90" s="11">
        <f>IF([1]BFCyg!C94&lt;&gt;"",[1]BFCyg!C94,"")</f>
        <v>42598</v>
      </c>
      <c r="D90" s="14">
        <f>IF([1]BFCyg!D94&lt;&gt;"",[1]BFCyg!D94,"")</f>
        <v>0.84711805555555564</v>
      </c>
      <c r="E90" s="16">
        <f>IF([1]BFCyg!E94&lt;&gt;"",[1]BFCyg!E94,"")</f>
        <v>2457617.3683000002</v>
      </c>
      <c r="F90" s="11" t="str">
        <f>IF([1]BFCyg!F94&lt;&gt;"",[1]BFCyg!F94,"")</f>
        <v xml:space="preserve">FMT </v>
      </c>
      <c r="G90" s="11" t="str">
        <f>IF([1]BFCyg!G94&lt;&gt;"",[1]BFCyg!G94,"")</f>
        <v>ORS-FR</v>
      </c>
      <c r="H90" s="11" t="str">
        <f>IF([1]BFCyg!H94&lt;&gt;"",[1]BFCyg!H94,"")</f>
        <v>SC14+eShel+Atik460ex</v>
      </c>
      <c r="I90" s="15">
        <f>IF([1]BFCyg!I94&lt;&gt;"",[1]BFCyg!I94,"")</f>
        <v>11000</v>
      </c>
      <c r="J90" s="15" t="str">
        <f>IF([1]BFCyg!J94&lt;&gt;"",[1]BFCyg!J94,"")</f>
        <v/>
      </c>
      <c r="K90" s="15" t="str">
        <f>IF([1]BFCyg!K94&lt;&gt;"",[1]BFCyg!K94,"")</f>
        <v/>
      </c>
      <c r="L90" s="15" t="str">
        <f>IF([1]BFCyg!L94&lt;&gt;"",[1]BFCyg!L94,"")</f>
        <v/>
      </c>
      <c r="M90" s="12"/>
      <c r="O90" s="4" t="str">
        <f>+IF(SUBSTITUTE(F90," ","") =O$20,#REF!,"")</f>
        <v/>
      </c>
    </row>
    <row r="91" spans="2:15" x14ac:dyDescent="0.25">
      <c r="B91" s="13"/>
      <c r="C91" s="11">
        <f>IF([1]BFCyg!C95&lt;&gt;"",[1]BFCyg!C95,"")</f>
        <v>42603</v>
      </c>
      <c r="D91" s="14">
        <f>IF([1]BFCyg!D95&lt;&gt;"",[1]BFCyg!D95,"")</f>
        <v>0.88297453703703699</v>
      </c>
      <c r="E91" s="16">
        <f>IF([1]BFCyg!E95&lt;&gt;"",[1]BFCyg!E95,"")</f>
        <v>2457622.4145</v>
      </c>
      <c r="F91" s="11" t="str">
        <f>IF([1]BFCyg!F95&lt;&gt;"",[1]BFCyg!F95,"")</f>
        <v>OTH</v>
      </c>
      <c r="G91" s="11" t="str">
        <f>IF([1]BFCyg!G95&lt;&gt;"",[1]BFCyg!G95,"")</f>
        <v>OBE-FR</v>
      </c>
      <c r="H91" s="11" t="str">
        <f>IF([1]BFCyg!H95&lt;&gt;"",[1]BFCyg!H95,"")</f>
        <v>eShel_Atik460</v>
      </c>
      <c r="I91" s="15">
        <f>IF([1]BFCyg!I95&lt;&gt;"",[1]BFCyg!I95,"")</f>
        <v>11000</v>
      </c>
      <c r="J91" s="15" t="str">
        <f>IF([1]BFCyg!J95&lt;&gt;"",[1]BFCyg!J95,"")</f>
        <v/>
      </c>
      <c r="K91" s="15" t="str">
        <f>IF([1]BFCyg!K95&lt;&gt;"",[1]BFCyg!K95,"")</f>
        <v/>
      </c>
      <c r="L91" s="15" t="str">
        <f>IF([1]BFCyg!L95&lt;&gt;"",[1]BFCyg!L95,"")</f>
        <v/>
      </c>
      <c r="M91" s="12"/>
      <c r="O91" s="4" t="str">
        <f>+IF(SUBSTITUTE(F91," ","") =O$20,#REF!,"")</f>
        <v/>
      </c>
    </row>
    <row r="92" spans="2:15" x14ac:dyDescent="0.25">
      <c r="B92" s="13"/>
      <c r="C92" s="11">
        <f>IF([1]BFCyg!C96&lt;&gt;"",[1]BFCyg!C96,"")</f>
        <v>42605</v>
      </c>
      <c r="D92" s="14">
        <f>IF([1]BFCyg!D96&lt;&gt;"",[1]BFCyg!D96,"")</f>
        <v>0.84606481481481488</v>
      </c>
      <c r="E92" s="16">
        <f>IF([1]BFCyg!E96&lt;&gt;"",[1]BFCyg!E96,"")</f>
        <v>2457624.3659999999</v>
      </c>
      <c r="F92" s="11" t="str">
        <f>IF([1]BFCyg!F96&lt;&gt;"",[1]BFCyg!F96,"")</f>
        <v xml:space="preserve">FMT </v>
      </c>
      <c r="G92" s="11" t="str">
        <f>IF([1]BFCyg!G96&lt;&gt;"",[1]BFCyg!G96,"")</f>
        <v>ORS-FR</v>
      </c>
      <c r="H92" s="11" t="str">
        <f>IF([1]BFCyg!H96&lt;&gt;"",[1]BFCyg!H96,"")</f>
        <v>SC14+eShel+Atik460ex</v>
      </c>
      <c r="I92" s="15">
        <f>IF([1]BFCyg!I96&lt;&gt;"",[1]BFCyg!I96,"")</f>
        <v>11000</v>
      </c>
      <c r="J92" s="15" t="str">
        <f>IF([1]BFCyg!J96&lt;&gt;"",[1]BFCyg!J96,"")</f>
        <v/>
      </c>
      <c r="K92" s="15" t="str">
        <f>IF([1]BFCyg!K96&lt;&gt;"",[1]BFCyg!K96,"")</f>
        <v/>
      </c>
      <c r="L92" s="15" t="str">
        <f>IF([1]BFCyg!L96&lt;&gt;"",[1]BFCyg!L96,"")</f>
        <v/>
      </c>
      <c r="M92" s="12"/>
      <c r="O92" s="4" t="str">
        <f>+IF(SUBSTITUTE(F92," ","") =O$20,#REF!,"")</f>
        <v/>
      </c>
    </row>
    <row r="93" spans="2:15" x14ac:dyDescent="0.25">
      <c r="B93" s="13"/>
      <c r="C93" s="11">
        <f>IF([1]BFCyg!C97&lt;&gt;"",[1]BFCyg!C97,"")</f>
        <v>42613</v>
      </c>
      <c r="D93" s="14">
        <f>IF([1]BFCyg!D97&lt;&gt;"",[1]BFCyg!D97,"")</f>
        <v>3.3194444444444443E-2</v>
      </c>
      <c r="E93" s="16">
        <f>IF([1]BFCyg!E97&lt;&gt;"",[1]BFCyg!E97,"")</f>
        <v>2457631.5471000001</v>
      </c>
      <c r="F93" s="11" t="str">
        <f>IF([1]BFCyg!F97&lt;&gt;"",[1]BFCyg!F97,"")</f>
        <v>JPM</v>
      </c>
      <c r="G93" s="11" t="str">
        <f>IF([1]BFCyg!G97&lt;&gt;"",[1]BFCyg!G97,"")</f>
        <v>AMP-FR</v>
      </c>
      <c r="H93" s="11" t="str">
        <f>IF([1]BFCyg!H97&lt;&gt;"",[1]BFCyg!H97,"")</f>
        <v>Alpy+Newton200</v>
      </c>
      <c r="I93" s="15">
        <f>IF([1]BFCyg!I97&lt;&gt;"",[1]BFCyg!I97,"")</f>
        <v>440</v>
      </c>
      <c r="J93" s="15" t="str">
        <f>IF([1]BFCyg!J97&lt;&gt;"",[1]BFCyg!J97,"")</f>
        <v/>
      </c>
      <c r="K93" s="15" t="str">
        <f>IF([1]BFCyg!K97&lt;&gt;"",[1]BFCyg!K97,"")</f>
        <v/>
      </c>
      <c r="L93" s="15" t="str">
        <f>IF([1]BFCyg!L97&lt;&gt;"",[1]BFCyg!L97,"")</f>
        <v/>
      </c>
      <c r="M93" s="12"/>
      <c r="O93" s="4" t="str">
        <f>+IF(SUBSTITUTE(F93," ","") =O$20,#REF!,"")</f>
        <v/>
      </c>
    </row>
    <row r="94" spans="2:15" x14ac:dyDescent="0.25">
      <c r="B94" s="13"/>
      <c r="C94" s="11">
        <f>IF([1]BFCyg!C98&lt;&gt;"",[1]BFCyg!C98,"")</f>
        <v>42621</v>
      </c>
      <c r="D94" s="14">
        <f>IF([1]BFCyg!D98&lt;&gt;"",[1]BFCyg!D98,"")</f>
        <v>0.86826388888888895</v>
      </c>
      <c r="E94" s="16">
        <f>IF([1]BFCyg!E98&lt;&gt;"",[1]BFCyg!E98,"")</f>
        <v>2457640.3894000002</v>
      </c>
      <c r="F94" s="11" t="str">
        <f>IF([1]BFCyg!F98&lt;&gt;"",[1]BFCyg!F98,"")</f>
        <v xml:space="preserve">FMT </v>
      </c>
      <c r="G94" s="11" t="str">
        <f>IF([1]BFCyg!G98&lt;&gt;"",[1]BFCyg!G98,"")</f>
        <v>ORS-FR</v>
      </c>
      <c r="H94" s="11" t="str">
        <f>IF([1]BFCyg!H98&lt;&gt;"",[1]BFCyg!H98,"")</f>
        <v>SC14+eShel+Atik460ex</v>
      </c>
      <c r="I94" s="15">
        <f>IF([1]BFCyg!I98&lt;&gt;"",[1]BFCyg!I98,"")</f>
        <v>11000</v>
      </c>
      <c r="J94" s="15" t="str">
        <f>IF([1]BFCyg!J98&lt;&gt;"",[1]BFCyg!J98,"")</f>
        <v/>
      </c>
      <c r="K94" s="15" t="str">
        <f>IF([1]BFCyg!K98&lt;&gt;"",[1]BFCyg!K98,"")</f>
        <v/>
      </c>
      <c r="L94" s="15" t="str">
        <f>IF([1]BFCyg!L98&lt;&gt;"",[1]BFCyg!L98,"")</f>
        <v/>
      </c>
      <c r="M94" s="12"/>
      <c r="O94" s="4" t="str">
        <f>+IF(SUBSTITUTE(F94," ","") =O$20,#REF!,"")</f>
        <v/>
      </c>
    </row>
    <row r="95" spans="2:15" x14ac:dyDescent="0.25">
      <c r="B95" s="13"/>
      <c r="C95" s="11">
        <f>IF([1]BFCyg!C99&lt;&gt;"",[1]BFCyg!C99,"")</f>
        <v>42626</v>
      </c>
      <c r="D95" s="14">
        <f>IF([1]BFCyg!D99&lt;&gt;"",[1]BFCyg!D99,"")</f>
        <v>8.5567129629629632E-2</v>
      </c>
      <c r="E95" s="16">
        <f>IF([1]BFCyg!E99&lt;&gt;"",[1]BFCyg!E99,"")</f>
        <v>2457644.6137000001</v>
      </c>
      <c r="F95" s="11" t="str">
        <f>IF([1]BFCyg!F99&lt;&gt;"",[1]BFCyg!F99,"")</f>
        <v>LES</v>
      </c>
      <c r="G95" s="11" t="str">
        <f>IF([1]BFCyg!G99&lt;&gt;"",[1]BFCyg!G99,"")</f>
        <v>MRO-CA</v>
      </c>
      <c r="H95" s="11" t="str">
        <f>IF([1]BFCyg!H99&lt;&gt;"",[1]BFCyg!H99,"")</f>
        <v>31cmDK+23um1800lpm+</v>
      </c>
      <c r="I95" s="15">
        <f>IF([1]BFCyg!I99&lt;&gt;"",[1]BFCyg!I99,"")</f>
        <v>9000</v>
      </c>
      <c r="J95" s="15" t="str">
        <f>IF([1]BFCyg!J99&lt;&gt;"",[1]BFCyg!J99,"")</f>
        <v/>
      </c>
      <c r="K95" s="15" t="str">
        <f>IF([1]BFCyg!K99&lt;&gt;"",[1]BFCyg!K99,"")</f>
        <v/>
      </c>
      <c r="L95" s="15" t="str">
        <f>IF([1]BFCyg!L99&lt;&gt;"",[1]BFCyg!L99,"")</f>
        <v/>
      </c>
      <c r="M95" s="12"/>
      <c r="N95" s="13"/>
      <c r="O95" s="4" t="str">
        <f>+IF(SUBSTITUTE(F95," ","") =O$20,#REF!,"")</f>
        <v/>
      </c>
    </row>
    <row r="96" spans="2:15" x14ac:dyDescent="0.25">
      <c r="B96" s="13"/>
      <c r="C96" s="11">
        <f>IF([1]BFCyg!C100&lt;&gt;"",[1]BFCyg!C100,"")</f>
        <v>42634</v>
      </c>
      <c r="D96" s="14">
        <f>IF([1]BFCyg!D100&lt;&gt;"",[1]BFCyg!D100,"")</f>
        <v>0.85473379629629631</v>
      </c>
      <c r="E96" s="16">
        <f>IF([1]BFCyg!E100&lt;&gt;"",[1]BFCyg!E100,"")</f>
        <v>2457653.3760000002</v>
      </c>
      <c r="F96" s="11" t="str">
        <f>IF([1]BFCyg!F100&lt;&gt;"",[1]BFCyg!F100,"")</f>
        <v xml:space="preserve">FMT </v>
      </c>
      <c r="G96" s="11" t="str">
        <f>IF([1]BFCyg!G100&lt;&gt;"",[1]BFCyg!G100,"")</f>
        <v>ORS-FR</v>
      </c>
      <c r="H96" s="11" t="str">
        <f>IF([1]BFCyg!H100&lt;&gt;"",[1]BFCyg!H100,"")</f>
        <v>SC14+eShel+Atik460ex</v>
      </c>
      <c r="I96" s="15">
        <f>IF([1]BFCyg!I100&lt;&gt;"",[1]BFCyg!I100,"")</f>
        <v>11000</v>
      </c>
      <c r="J96" s="15" t="str">
        <f>IF([1]BFCyg!J100&lt;&gt;"",[1]BFCyg!J100,"")</f>
        <v/>
      </c>
      <c r="K96" s="15" t="str">
        <f>IF([1]BFCyg!K100&lt;&gt;"",[1]BFCyg!K100,"")</f>
        <v/>
      </c>
      <c r="L96" s="15" t="str">
        <f>IF([1]BFCyg!L100&lt;&gt;"",[1]BFCyg!L100,"")</f>
        <v/>
      </c>
      <c r="M96" s="12"/>
      <c r="N96" s="13"/>
      <c r="O96" s="4" t="str">
        <f>+IF(SUBSTITUTE(F96," ","") =O$20,#REF!,"")</f>
        <v/>
      </c>
    </row>
    <row r="97" spans="2:15" x14ac:dyDescent="0.25">
      <c r="B97" s="13"/>
      <c r="C97" s="11">
        <f>IF([1]BFCyg!C101&lt;&gt;"",[1]BFCyg!C101,"")</f>
        <v>42636</v>
      </c>
      <c r="D97" s="14">
        <f>IF([1]BFCyg!D101&lt;&gt;"",[1]BFCyg!D101,"")</f>
        <v>1.7997685185185186E-2</v>
      </c>
      <c r="E97" s="16">
        <f>IF([1]BFCyg!E101&lt;&gt;"",[1]BFCyg!E101,"")</f>
        <v>2457654.5287000001</v>
      </c>
      <c r="F97" s="11" t="str">
        <f>IF([1]BFCyg!F101&lt;&gt;"",[1]BFCyg!F101,"")</f>
        <v>JMO</v>
      </c>
      <c r="G97" s="11" t="str">
        <f>IF([1]BFCyg!G101&lt;&gt;"",[1]BFCyg!G101,"")</f>
        <v>CAL-FR</v>
      </c>
      <c r="H97" s="11" t="str">
        <f>IF([1]BFCyg!H101&lt;&gt;"",[1]BFCyg!H101,"")</f>
        <v>Alpy600+Atik460EX</v>
      </c>
      <c r="I97" s="15">
        <f>IF([1]BFCyg!I101&lt;&gt;"",[1]BFCyg!I101,"")</f>
        <v>652</v>
      </c>
      <c r="J97" s="15" t="str">
        <f>IF([1]BFCyg!J101&lt;&gt;"",[1]BFCyg!J101,"")</f>
        <v/>
      </c>
      <c r="K97" s="15" t="str">
        <f>IF([1]BFCyg!K101&lt;&gt;"",[1]BFCyg!K101,"")</f>
        <v/>
      </c>
      <c r="L97" s="15" t="str">
        <f>IF([1]BFCyg!L101&lt;&gt;"",[1]BFCyg!L101,"")</f>
        <v/>
      </c>
      <c r="M97" s="12"/>
      <c r="N97" s="13"/>
      <c r="O97" s="4" t="str">
        <f>+IF(SUBSTITUTE(F97," ","") =O$20,#REF!,"")</f>
        <v/>
      </c>
    </row>
    <row r="98" spans="2:15" x14ac:dyDescent="0.25">
      <c r="B98" s="13"/>
      <c r="C98" s="11">
        <f>IF([1]BFCyg!C102&lt;&gt;"",[1]BFCyg!C102,"")</f>
        <v>42642</v>
      </c>
      <c r="D98" s="14">
        <f>IF([1]BFCyg!D102&lt;&gt;"",[1]BFCyg!D102,"")</f>
        <v>0.76262731481481483</v>
      </c>
      <c r="E98" s="16">
        <f>IF([1]BFCyg!E102&lt;&gt;"",[1]BFCyg!E102,"")</f>
        <v>2457661.2713000001</v>
      </c>
      <c r="F98" s="11" t="str">
        <f>IF([1]BFCyg!F102&lt;&gt;"",[1]BFCyg!F102,"")</f>
        <v>FRA</v>
      </c>
      <c r="G98" s="11" t="str">
        <f>IF([1]BFCyg!G102&lt;&gt;"",[1]BFCyg!G102,"")</f>
        <v>BAL-IT</v>
      </c>
      <c r="H98" s="11" t="str">
        <f>IF([1]BFCyg!H102&lt;&gt;"",[1]BFCyg!H102,"")</f>
        <v>SC8+Alpy600</v>
      </c>
      <c r="I98" s="15">
        <f>IF([1]BFCyg!I102&lt;&gt;"",[1]BFCyg!I102,"")</f>
        <v>506</v>
      </c>
      <c r="J98" s="15" t="str">
        <f>IF([1]BFCyg!J102&lt;&gt;"",[1]BFCyg!J102,"")</f>
        <v/>
      </c>
      <c r="K98" s="15" t="str">
        <f>IF([1]BFCyg!K102&lt;&gt;"",[1]BFCyg!K102,"")</f>
        <v/>
      </c>
      <c r="L98" s="15" t="str">
        <f>IF([1]BFCyg!L102&lt;&gt;"",[1]BFCyg!L102,"")</f>
        <v/>
      </c>
      <c r="M98" s="12"/>
      <c r="N98" s="13"/>
      <c r="O98" s="4" t="str">
        <f>+IF(SUBSTITUTE(F98," ","") =O$20,#REF!,"")</f>
        <v/>
      </c>
    </row>
    <row r="99" spans="2:15" x14ac:dyDescent="0.25">
      <c r="B99" s="13"/>
      <c r="C99" s="11">
        <f>IF([1]BFCyg!C103&lt;&gt;"",[1]BFCyg!C103,"")</f>
        <v>42644</v>
      </c>
      <c r="D99" s="14">
        <f>IF([1]BFCyg!D103&lt;&gt;"",[1]BFCyg!D103,"")</f>
        <v>0.84961805555555558</v>
      </c>
      <c r="E99" s="16">
        <f>IF([1]BFCyg!E103&lt;&gt;"",[1]BFCyg!E103,"")</f>
        <v>2457663.3708000001</v>
      </c>
      <c r="F99" s="11" t="str">
        <f>IF([1]BFCyg!F103&lt;&gt;"",[1]BFCyg!F103,"")</f>
        <v xml:space="preserve">FMT </v>
      </c>
      <c r="G99" s="11" t="str">
        <f>IF([1]BFCyg!G103&lt;&gt;"",[1]BFCyg!G103,"")</f>
        <v>ORS-FR</v>
      </c>
      <c r="H99" s="11" t="str">
        <f>IF([1]BFCyg!H103&lt;&gt;"",[1]BFCyg!H103,"")</f>
        <v>SC14+eShel+Atik460ex</v>
      </c>
      <c r="I99" s="15">
        <f>IF([1]BFCyg!I103&lt;&gt;"",[1]BFCyg!I103,"")</f>
        <v>11000</v>
      </c>
      <c r="J99" s="15" t="str">
        <f>IF([1]BFCyg!J103&lt;&gt;"",[1]BFCyg!J103,"")</f>
        <v/>
      </c>
      <c r="K99" s="15" t="str">
        <f>IF([1]BFCyg!K103&lt;&gt;"",[1]BFCyg!K103,"")</f>
        <v/>
      </c>
      <c r="L99" s="15" t="str">
        <f>IF([1]BFCyg!L103&lt;&gt;"",[1]BFCyg!L103,"")</f>
        <v/>
      </c>
      <c r="M99" s="12"/>
      <c r="N99" s="13"/>
      <c r="O99" s="4" t="str">
        <f>+IF(SUBSTITUTE(F99," ","") =O$20,#REF!,"")</f>
        <v/>
      </c>
    </row>
    <row r="100" spans="2:15" x14ac:dyDescent="0.25">
      <c r="B100" s="13"/>
      <c r="C100" s="18">
        <f>IF([1]BFCyg!C104&lt;&gt;"",[1]BFCyg!C104,"")</f>
        <v>42650</v>
      </c>
      <c r="D100" s="19">
        <f>IF([1]BFCyg!D104&lt;&gt;"",[1]BFCyg!D104,"")</f>
        <v>8.5381944444444455E-2</v>
      </c>
      <c r="E100" s="20">
        <f>IF([1]BFCyg!E104&lt;&gt;"",[1]BFCyg!E104,"")</f>
        <v>2457668.6063999999</v>
      </c>
      <c r="F100" s="18" t="str">
        <f>IF([1]BFCyg!F104&lt;&gt;"",[1]BFCyg!F104,"")</f>
        <v>LES</v>
      </c>
      <c r="G100" s="18" t="str">
        <f>IF([1]BFCyg!G104&lt;&gt;"",[1]BFCyg!G104,"")</f>
        <v>MRO-CA</v>
      </c>
      <c r="H100" s="18" t="str">
        <f>IF([1]BFCyg!H104&lt;&gt;"",[1]BFCyg!H104,"")</f>
        <v>31cmDK+23um1800lpm+</v>
      </c>
      <c r="I100" s="21">
        <f>IF([1]BFCyg!I104&lt;&gt;"",[1]BFCyg!I104,"")</f>
        <v>900</v>
      </c>
      <c r="J100" s="21" t="str">
        <f>IF([1]BFCyg!J104&lt;&gt;"",[1]BFCyg!J104,"")</f>
        <v/>
      </c>
      <c r="K100" s="21" t="str">
        <f>IF([1]BFCyg!K104&lt;&gt;"",[1]BFCyg!K104,"")</f>
        <v/>
      </c>
      <c r="L100" s="21" t="str">
        <f>IF([1]BFCyg!L104&lt;&gt;"",[1]BFCyg!L104,"")</f>
        <v/>
      </c>
      <c r="M100" s="2"/>
      <c r="O100" s="4" t="str">
        <f>+IF(SUBSTITUTE(F100," ","") =O$20,#REF!,"")</f>
        <v/>
      </c>
    </row>
    <row r="101" spans="2:15" x14ac:dyDescent="0.25">
      <c r="B101" s="13"/>
      <c r="C101" s="18">
        <f>IF([1]BFCyg!C105&lt;&gt;"",[1]BFCyg!C105,"")</f>
        <v>42652</v>
      </c>
      <c r="D101" s="19">
        <f>IF([1]BFCyg!D105&lt;&gt;"",[1]BFCyg!D105,"")</f>
        <v>0.86234953703703709</v>
      </c>
      <c r="E101" s="20">
        <f>IF([1]BFCyg!E105&lt;&gt;"",[1]BFCyg!E105,"")</f>
        <v>2457671.3832</v>
      </c>
      <c r="F101" s="18" t="str">
        <f>IF([1]BFCyg!F105&lt;&gt;"",[1]BFCyg!F105,"")</f>
        <v>JGF</v>
      </c>
      <c r="G101" s="18" t="str">
        <f>IF([1]BFCyg!G105&lt;&gt;"",[1]BFCyg!G105,"")</f>
        <v>SMM-SP</v>
      </c>
      <c r="H101" s="18" t="str">
        <f>IF([1]BFCyg!H105&lt;&gt;"",[1]BFCyg!H105,"")</f>
        <v>16REMOTATIK460EX</v>
      </c>
      <c r="I101" s="21">
        <f>IF([1]BFCyg!I105&lt;&gt;"",[1]BFCyg!I105,"")</f>
        <v>1289</v>
      </c>
      <c r="J101" s="21" t="str">
        <f>IF([1]BFCyg!J105&lt;&gt;"",[1]BFCyg!J105,"")</f>
        <v/>
      </c>
      <c r="K101" s="21" t="str">
        <f>IF([1]BFCyg!K105&lt;&gt;"",[1]BFCyg!K105,"")</f>
        <v/>
      </c>
      <c r="L101" s="21" t="str">
        <f>IF([1]BFCyg!L105&lt;&gt;"",[1]BFCyg!L105,"")</f>
        <v/>
      </c>
      <c r="M101" s="2"/>
      <c r="O101" s="4" t="str">
        <f>+IF(SUBSTITUTE(F101," ","") =O$20,#REF!,"")</f>
        <v/>
      </c>
    </row>
    <row r="102" spans="2:15" x14ac:dyDescent="0.25">
      <c r="B102" s="13"/>
      <c r="C102" s="18">
        <f>IF([1]BFCyg!C106&lt;&gt;"",[1]BFCyg!C106,"")</f>
        <v>42654</v>
      </c>
      <c r="D102" s="19">
        <f>IF([1]BFCyg!D106&lt;&gt;"",[1]BFCyg!D106,"")</f>
        <v>3.7500000000000003E-3</v>
      </c>
      <c r="E102" s="20">
        <f>IF([1]BFCyg!E106&lt;&gt;"",[1]BFCyg!E106,"")</f>
        <v>2457672.5388000002</v>
      </c>
      <c r="F102" s="18" t="str">
        <f>IF([1]BFCyg!F106&lt;&gt;"",[1]BFCyg!F106,"")</f>
        <v>LES</v>
      </c>
      <c r="G102" s="18" t="str">
        <f>IF([1]BFCyg!G106&lt;&gt;"",[1]BFCyg!G106,"")</f>
        <v>MRO-CA</v>
      </c>
      <c r="H102" s="18" t="str">
        <f>IF([1]BFCyg!H106&lt;&gt;"",[1]BFCyg!H106,"")</f>
        <v>31cmDK+23um1800lpm+</v>
      </c>
      <c r="I102" s="21">
        <f>IF([1]BFCyg!I106&lt;&gt;"",[1]BFCyg!I106,"")</f>
        <v>6400</v>
      </c>
      <c r="J102" s="21" t="str">
        <f>IF([1]BFCyg!J106&lt;&gt;"",[1]BFCyg!J106,"")</f>
        <v/>
      </c>
      <c r="K102" s="21" t="str">
        <f>IF([1]BFCyg!K106&lt;&gt;"",[1]BFCyg!K106,"")</f>
        <v/>
      </c>
      <c r="L102" s="21" t="str">
        <f>IF([1]BFCyg!L106&lt;&gt;"",[1]BFCyg!L106,"")</f>
        <v/>
      </c>
      <c r="M102" s="2"/>
      <c r="O102" s="4" t="str">
        <f>+IF(SUBSTITUTE(F102," ","") =O$20,#REF!,"")</f>
        <v/>
      </c>
    </row>
    <row r="103" spans="2:15" x14ac:dyDescent="0.25">
      <c r="B103" s="13"/>
      <c r="C103" s="18">
        <f>IF([1]BFCyg!C107&lt;&gt;"",[1]BFCyg!C107,"")</f>
        <v>42654</v>
      </c>
      <c r="D103" s="19">
        <f>IF([1]BFCyg!D107&lt;&gt;"",[1]BFCyg!D107,"")</f>
        <v>0.78217592592592589</v>
      </c>
      <c r="E103" s="20">
        <f>IF([1]BFCyg!E107&lt;&gt;"",[1]BFCyg!E107,"")</f>
        <v>2457673.3105000001</v>
      </c>
      <c r="F103" s="18" t="str">
        <f>IF([1]BFCyg!F107&lt;&gt;"",[1]BFCyg!F107,"")</f>
        <v xml:space="preserve">FMT </v>
      </c>
      <c r="G103" s="18" t="str">
        <f>IF([1]BFCyg!G107&lt;&gt;"",[1]BFCyg!G107,"")</f>
        <v>ORS-FR</v>
      </c>
      <c r="H103" s="18" t="str">
        <f>IF([1]BFCyg!H107&lt;&gt;"",[1]BFCyg!H107,"")</f>
        <v>SC14+eShel+Atik460ex</v>
      </c>
      <c r="I103" s="21">
        <f>IF([1]BFCyg!I107&lt;&gt;"",[1]BFCyg!I107,"")</f>
        <v>11000</v>
      </c>
      <c r="J103" s="21" t="str">
        <f>IF([1]BFCyg!J107&lt;&gt;"",[1]BFCyg!J107,"")</f>
        <v/>
      </c>
      <c r="K103" s="21" t="str">
        <f>IF([1]BFCyg!K107&lt;&gt;"",[1]BFCyg!K107,"")</f>
        <v/>
      </c>
      <c r="L103" s="21" t="str">
        <f>IF([1]BFCyg!L107&lt;&gt;"",[1]BFCyg!L107,"")</f>
        <v/>
      </c>
      <c r="M103" s="2"/>
      <c r="O103" s="4" t="str">
        <f>+IF(SUBSTITUTE(F103," ","") =O$20,#REF!,"")</f>
        <v/>
      </c>
    </row>
    <row r="104" spans="2:15" x14ac:dyDescent="0.25">
      <c r="B104" s="13"/>
      <c r="C104" s="18">
        <f>IF([1]BFCyg!C108&lt;&gt;"",[1]BFCyg!C108,"")</f>
        <v>42658</v>
      </c>
      <c r="D104" s="19">
        <f>IF([1]BFCyg!D108&lt;&gt;"",[1]BFCyg!D108,"")</f>
        <v>0.81065972222222227</v>
      </c>
      <c r="E104" s="20">
        <f>IF([1]BFCyg!E108&lt;&gt;"",[1]BFCyg!E108,"")</f>
        <v>2457677.3212000001</v>
      </c>
      <c r="F104" s="18" t="str">
        <f>IF([1]BFCyg!F108&lt;&gt;"",[1]BFCyg!F108,"")</f>
        <v>FBO</v>
      </c>
      <c r="G104" s="18" t="str">
        <f>IF([1]BFCyg!G108&lt;&gt;"",[1]BFCyg!G108,"")</f>
        <v>SJI-FR</v>
      </c>
      <c r="H104" s="18" t="str">
        <f>IF([1]BFCyg!H108&lt;&gt;"",[1]BFCyg!H108,"")</f>
        <v>SC8+Lisa+ATIK314L+</v>
      </c>
      <c r="I104" s="21">
        <f>IF([1]BFCyg!I108&lt;&gt;"",[1]BFCyg!I108,"")</f>
        <v>2200</v>
      </c>
      <c r="J104" s="21" t="str">
        <f>IF([1]BFCyg!J108&lt;&gt;"",[1]BFCyg!J108,"")</f>
        <v/>
      </c>
      <c r="K104" s="21" t="str">
        <f>IF([1]BFCyg!K108&lt;&gt;"",[1]BFCyg!K108,"")</f>
        <v/>
      </c>
      <c r="L104" s="21" t="str">
        <f>IF([1]BFCyg!L108&lt;&gt;"",[1]BFCyg!L108,"")</f>
        <v/>
      </c>
      <c r="M104" s="2"/>
      <c r="O104" s="4" t="str">
        <f>+IF(SUBSTITUTE(F104," ","") =O$20,#REF!,"")</f>
        <v/>
      </c>
    </row>
    <row r="105" spans="2:15" x14ac:dyDescent="0.25">
      <c r="B105" s="13"/>
      <c r="C105" s="18">
        <f>IF([1]BFCyg!C109&lt;&gt;"",[1]BFCyg!C109,"")</f>
        <v>42671</v>
      </c>
      <c r="D105" s="19">
        <f>IF([1]BFCyg!D109&lt;&gt;"",[1]BFCyg!D109,"")</f>
        <v>0.75509259259259265</v>
      </c>
      <c r="E105" s="20">
        <f>IF([1]BFCyg!E109&lt;&gt;"",[1]BFCyg!E109,"")</f>
        <v>2457690.2840999998</v>
      </c>
      <c r="F105" s="18" t="str">
        <f>IF([1]BFCyg!F109&lt;&gt;"",[1]BFCyg!F109,"")</f>
        <v>JGF</v>
      </c>
      <c r="G105" s="18" t="str">
        <f>IF([1]BFCyg!G109&lt;&gt;"",[1]BFCyg!G109,"")</f>
        <v>SMM-SP</v>
      </c>
      <c r="H105" s="18" t="str">
        <f>IF([1]BFCyg!H109&lt;&gt;"",[1]BFCyg!H109,"")</f>
        <v>16REMOTATIK460EX</v>
      </c>
      <c r="I105" s="21">
        <f>IF([1]BFCyg!I109&lt;&gt;"",[1]BFCyg!I109,"")</f>
        <v>1020</v>
      </c>
      <c r="J105" s="21" t="str">
        <f>IF([1]BFCyg!J109&lt;&gt;"",[1]BFCyg!J109,"")</f>
        <v/>
      </c>
      <c r="K105" s="21" t="str">
        <f>IF([1]BFCyg!K109&lt;&gt;"",[1]BFCyg!K109,"")</f>
        <v/>
      </c>
      <c r="L105" s="21" t="str">
        <f>IF([1]BFCyg!L109&lt;&gt;"",[1]BFCyg!L109,"")</f>
        <v/>
      </c>
      <c r="M105" s="2"/>
      <c r="O105" s="4" t="str">
        <f>+IF(SUBSTITUTE(F105," ","") =O$20,#REF!,"")</f>
        <v/>
      </c>
    </row>
    <row r="106" spans="2:15" x14ac:dyDescent="0.25">
      <c r="B106" s="13"/>
      <c r="C106" s="18">
        <f>IF([1]BFCyg!C110&lt;&gt;"",[1]BFCyg!C110,"")</f>
        <v>42680</v>
      </c>
      <c r="D106" s="19">
        <f>IF([1]BFCyg!D110&lt;&gt;"",[1]BFCyg!D110,"")</f>
        <v>0.95008101851851856</v>
      </c>
      <c r="E106" s="20">
        <f>IF([1]BFCyg!E110&lt;&gt;"",[1]BFCyg!E110,"")</f>
        <v>2457699.4780999999</v>
      </c>
      <c r="F106" s="18" t="str">
        <f>IF([1]BFCyg!F110&lt;&gt;"",[1]BFCyg!F110,"")</f>
        <v>LES</v>
      </c>
      <c r="G106" s="18" t="str">
        <f>IF([1]BFCyg!G110&lt;&gt;"",[1]BFCyg!G110,"")</f>
        <v>MRO-CA</v>
      </c>
      <c r="H106" s="18" t="str">
        <f>IF([1]BFCyg!H110&lt;&gt;"",[1]BFCyg!H110,"")</f>
        <v>31cmDK+23um1800lpm+</v>
      </c>
      <c r="I106" s="21">
        <f>IF([1]BFCyg!I110&lt;&gt;"",[1]BFCyg!I110,"")</f>
        <v>9000</v>
      </c>
      <c r="J106" s="21" t="str">
        <f>IF([1]BFCyg!J110&lt;&gt;"",[1]BFCyg!J110,"")</f>
        <v/>
      </c>
      <c r="K106" s="21" t="str">
        <f>IF([1]BFCyg!K110&lt;&gt;"",[1]BFCyg!K110,"")</f>
        <v/>
      </c>
      <c r="L106" s="21" t="str">
        <f>IF([1]BFCyg!L110&lt;&gt;"",[1]BFCyg!L110,"")</f>
        <v/>
      </c>
      <c r="M106" s="2"/>
      <c r="O106" s="4"/>
    </row>
    <row r="107" spans="2:15" x14ac:dyDescent="0.25">
      <c r="B107" s="13"/>
      <c r="C107" s="18">
        <f>IF([1]BFCyg!C111&lt;&gt;"",[1]BFCyg!C111,"")</f>
        <v>42681</v>
      </c>
      <c r="D107" s="19">
        <f>IF([1]BFCyg!D111&lt;&gt;"",[1]BFCyg!D111,"")</f>
        <v>0.76965277777777785</v>
      </c>
      <c r="E107" s="20">
        <f>IF([1]BFCyg!E111&lt;&gt;"",[1]BFCyg!E111,"")</f>
        <v>2457700.287</v>
      </c>
      <c r="F107" s="18" t="str">
        <f>IF([1]BFCyg!F111&lt;&gt;"",[1]BFCyg!F111,"")</f>
        <v>FCA</v>
      </c>
      <c r="G107" s="18" t="str">
        <f>IF([1]BFCyg!G111&lt;&gt;"",[1]BFCyg!G111,"")</f>
        <v>PAG-SP</v>
      </c>
      <c r="H107" s="18" t="str">
        <f>IF([1]BFCyg!H111&lt;&gt;"",[1]BFCyg!H111,"")</f>
        <v>N-200DADOS-200ATI</v>
      </c>
      <c r="I107" s="21">
        <f>IF([1]BFCyg!I111&lt;&gt;"",[1]BFCyg!I111,"")</f>
        <v>769</v>
      </c>
      <c r="J107" s="21" t="str">
        <f>IF([1]BFCyg!J111&lt;&gt;"",[1]BFCyg!J111,"")</f>
        <v/>
      </c>
      <c r="K107" s="21" t="str">
        <f>IF([1]BFCyg!K111&lt;&gt;"",[1]BFCyg!K111,"")</f>
        <v/>
      </c>
      <c r="L107" s="21" t="str">
        <f>IF([1]BFCyg!L111&lt;&gt;"",[1]BFCyg!L111,"")</f>
        <v/>
      </c>
      <c r="M107" s="2"/>
      <c r="O107" s="4"/>
    </row>
    <row r="108" spans="2:15" x14ac:dyDescent="0.25">
      <c r="B108" s="13"/>
      <c r="C108" s="18">
        <f>IF([1]BFCyg!C112&lt;&gt;"",[1]BFCyg!C112,"")</f>
        <v>42704</v>
      </c>
      <c r="D108" s="19">
        <f>IF([1]BFCyg!D112&lt;&gt;"",[1]BFCyg!D112,"")</f>
        <v>0.72861111111111121</v>
      </c>
      <c r="E108" s="20">
        <f>IF([1]BFCyg!E112&lt;&gt;"",[1]BFCyg!E112,"")</f>
        <v>2457723.2496000002</v>
      </c>
      <c r="F108" s="18" t="str">
        <f>IF([1]BFCyg!F112&lt;&gt;"",[1]BFCyg!F112,"")</f>
        <v xml:space="preserve">FMT </v>
      </c>
      <c r="G108" s="18" t="str">
        <f>IF([1]BFCyg!G112&lt;&gt;"",[1]BFCyg!G112,"")</f>
        <v>ORS-FR</v>
      </c>
      <c r="H108" s="18" t="str">
        <f>IF([1]BFCyg!H112&lt;&gt;"",[1]BFCyg!H112,"")</f>
        <v>SC14+eShel+Atik460ex</v>
      </c>
      <c r="I108" s="21">
        <f>IF([1]BFCyg!I112&lt;&gt;"",[1]BFCyg!I112,"")</f>
        <v>11000</v>
      </c>
      <c r="J108" s="21" t="str">
        <f>IF([1]BFCyg!J112&lt;&gt;"",[1]BFCyg!J112,"")</f>
        <v/>
      </c>
      <c r="K108" s="21" t="str">
        <f>IF([1]BFCyg!K112&lt;&gt;"",[1]BFCyg!K112,"")</f>
        <v/>
      </c>
      <c r="L108" s="21" t="str">
        <f>IF([1]BFCyg!L112&lt;&gt;"",[1]BFCyg!L112,"")</f>
        <v/>
      </c>
      <c r="M108" s="2"/>
      <c r="O108" s="4"/>
    </row>
    <row r="109" spans="2:15" x14ac:dyDescent="0.25">
      <c r="B109" s="13"/>
      <c r="C109" s="18">
        <f>IF([1]BFCyg!C113&lt;&gt;"",[1]BFCyg!C113,"")</f>
        <v>42792</v>
      </c>
      <c r="D109" s="19">
        <f>IF([1]BFCyg!D113&lt;&gt;"",[1]BFCyg!D113,"")</f>
        <v>0.18850694444444446</v>
      </c>
      <c r="E109" s="20">
        <f>IF([1]BFCyg!E113&lt;&gt;"",[1]BFCyg!E113,"")</f>
        <v>2457810.6954999999</v>
      </c>
      <c r="F109" s="18" t="str">
        <f>IF([1]BFCyg!F113&lt;&gt;"",[1]BFCyg!F113,"")</f>
        <v>PSO</v>
      </c>
      <c r="G109" s="18" t="str">
        <f>IF([1]BFCyg!G113&lt;&gt;"",[1]BFCyg!G113,"")</f>
        <v>TAT-HU</v>
      </c>
      <c r="H109" s="18" t="str">
        <f>IF([1]BFCyg!H113&lt;&gt;"",[1]BFCyg!H113,"")</f>
        <v>30cmf4LH2400Atik428</v>
      </c>
      <c r="I109" s="21">
        <f>IF([1]BFCyg!I113&lt;&gt;"",[1]BFCyg!I113,"")</f>
        <v>17183</v>
      </c>
      <c r="J109" s="21" t="str">
        <f>IF([1]BFCyg!J113&lt;&gt;"",[1]BFCyg!J113,"")</f>
        <v/>
      </c>
      <c r="K109" s="21" t="str">
        <f>IF([1]BFCyg!K113&lt;&gt;"",[1]BFCyg!K113,"")</f>
        <v/>
      </c>
      <c r="L109" s="21" t="str">
        <f>IF([1]BFCyg!L113&lt;&gt;"",[1]BFCyg!L113,"")</f>
        <v/>
      </c>
      <c r="M109" s="2"/>
      <c r="O109" s="4"/>
    </row>
    <row r="110" spans="2:15" x14ac:dyDescent="0.25">
      <c r="B110" s="13"/>
      <c r="C110" s="18">
        <f>IF([1]BFCyg!C114&lt;&gt;"",[1]BFCyg!C114,"")</f>
        <v>42819</v>
      </c>
      <c r="D110" s="19">
        <f>IF([1]BFCyg!D114&lt;&gt;"",[1]BFCyg!D114,"")</f>
        <v>0.17868055555555554</v>
      </c>
      <c r="E110" s="20">
        <f>IF([1]BFCyg!E114&lt;&gt;"",[1]BFCyg!E114,"")</f>
        <v>2457837.6927999998</v>
      </c>
      <c r="F110" s="18" t="str">
        <f>IF([1]BFCyg!F114&lt;&gt;"",[1]BFCyg!F114,"")</f>
        <v xml:space="preserve">FMT </v>
      </c>
      <c r="G110" s="18" t="str">
        <f>IF([1]BFCyg!G114&lt;&gt;"",[1]BFCyg!G114,"")</f>
        <v>ORS-FR</v>
      </c>
      <c r="H110" s="18" t="str">
        <f>IF([1]BFCyg!H114&lt;&gt;"",[1]BFCyg!H114,"")</f>
        <v>SC14+eShel+Atik460ex</v>
      </c>
      <c r="I110" s="21">
        <f>IF([1]BFCyg!I114&lt;&gt;"",[1]BFCyg!I114,"")</f>
        <v>11000</v>
      </c>
      <c r="J110" s="21" t="str">
        <f>IF([1]BFCyg!J114&lt;&gt;"",[1]BFCyg!J114,"")</f>
        <v/>
      </c>
      <c r="K110" s="21" t="str">
        <f>IF([1]BFCyg!K114&lt;&gt;"",[1]BFCyg!K114,"")</f>
        <v/>
      </c>
      <c r="L110" s="21" t="str">
        <f>IF([1]BFCyg!L114&lt;&gt;"",[1]BFCyg!L114,"")</f>
        <v/>
      </c>
      <c r="M110" s="2"/>
      <c r="O110" s="4"/>
    </row>
    <row r="111" spans="2:15" x14ac:dyDescent="0.25">
      <c r="B111" s="13"/>
      <c r="C111" s="18">
        <f>IF([1]BFCyg!C115&lt;&gt;"",[1]BFCyg!C115,"")</f>
        <v>42820</v>
      </c>
      <c r="D111" s="19">
        <f>IF([1]BFCyg!D115&lt;&gt;"",[1]BFCyg!D115,"")</f>
        <v>0.33407407407407402</v>
      </c>
      <c r="E111" s="20">
        <f>IF([1]BFCyg!E115&lt;&gt;"",[1]BFCyg!E115,"")</f>
        <v>2457838.8690999998</v>
      </c>
      <c r="F111" s="18" t="str">
        <f>IF([1]BFCyg!F115&lt;&gt;"",[1]BFCyg!F115,"")</f>
        <v>LES</v>
      </c>
      <c r="G111" s="18" t="str">
        <f>IF([1]BFCyg!G115&lt;&gt;"",[1]BFCyg!G115,"")</f>
        <v>MRO-CA</v>
      </c>
      <c r="H111" s="18" t="str">
        <f>IF([1]BFCyg!H115&lt;&gt;"",[1]BFCyg!H115,"")</f>
        <v>31cmDK+23um1800lpm+</v>
      </c>
      <c r="I111" s="21">
        <f>IF([1]BFCyg!I115&lt;&gt;"",[1]BFCyg!I115,"")</f>
        <v>9000</v>
      </c>
      <c r="J111" s="21" t="str">
        <f>IF([1]BFCyg!J115&lt;&gt;"",[1]BFCyg!J115,"")</f>
        <v/>
      </c>
      <c r="K111" s="21" t="str">
        <f>IF([1]BFCyg!K115&lt;&gt;"",[1]BFCyg!K115,"")</f>
        <v/>
      </c>
      <c r="L111" s="21" t="str">
        <f>IF([1]BFCyg!L115&lt;&gt;"",[1]BFCyg!L115,"")</f>
        <v/>
      </c>
      <c r="M111" s="2"/>
      <c r="O111" s="4"/>
    </row>
    <row r="112" spans="2:15" x14ac:dyDescent="0.25">
      <c r="B112" s="13"/>
      <c r="C112" s="18">
        <f>IF([1]BFCyg!C116&lt;&gt;"",[1]BFCyg!C116,"")</f>
        <v>42821</v>
      </c>
      <c r="D112" s="19">
        <f>IF([1]BFCyg!D116&lt;&gt;"",[1]BFCyg!D116,"")</f>
        <v>6.0381944444444446E-2</v>
      </c>
      <c r="E112" s="20">
        <f>IF([1]BFCyg!E116&lt;&gt;"",[1]BFCyg!E116,"")</f>
        <v>2457839.6039999998</v>
      </c>
      <c r="F112" s="18" t="str">
        <f>IF([1]BFCyg!F116&lt;&gt;"",[1]BFCyg!F116,"")</f>
        <v>PSO</v>
      </c>
      <c r="G112" s="18" t="str">
        <f>IF([1]BFCyg!G116&lt;&gt;"",[1]BFCyg!G116,"")</f>
        <v>TAT-HU</v>
      </c>
      <c r="H112" s="18" t="str">
        <f>IF([1]BFCyg!H116&lt;&gt;"",[1]BFCyg!H116,"")</f>
        <v>30cmf4LH2400Atik428</v>
      </c>
      <c r="I112" s="21">
        <f>IF([1]BFCyg!I116&lt;&gt;"",[1]BFCyg!I116,"")</f>
        <v>8563</v>
      </c>
      <c r="J112" s="21" t="str">
        <f>IF([1]BFCyg!J116&lt;&gt;"",[1]BFCyg!J116,"")</f>
        <v/>
      </c>
      <c r="K112" s="21" t="str">
        <f>IF([1]BFCyg!K116&lt;&gt;"",[1]BFCyg!K116,"")</f>
        <v/>
      </c>
      <c r="L112" s="21" t="str">
        <f>IF([1]BFCyg!L116&lt;&gt;"",[1]BFCyg!L116,"")</f>
        <v/>
      </c>
      <c r="M112" s="2"/>
      <c r="O112" s="4"/>
    </row>
    <row r="113" spans="2:15" x14ac:dyDescent="0.25">
      <c r="B113" s="13"/>
      <c r="C113" s="18">
        <f>IF([1]BFCyg!C117&lt;&gt;"",[1]BFCyg!C117,"")</f>
        <v>42823</v>
      </c>
      <c r="D113" s="19">
        <f>IF([1]BFCyg!D117&lt;&gt;"",[1]BFCyg!D117,"")</f>
        <v>0.16819444444444445</v>
      </c>
      <c r="E113" s="20">
        <f>IF([1]BFCyg!E117&lt;&gt;"",[1]BFCyg!E117,"")</f>
        <v>2457841.6838000002</v>
      </c>
      <c r="F113" s="18" t="str">
        <f>IF([1]BFCyg!F117&lt;&gt;"",[1]BFCyg!F117,"")</f>
        <v>FCA</v>
      </c>
      <c r="G113" s="18" t="str">
        <f>IF([1]BFCyg!G117&lt;&gt;"",[1]BFCyg!G117,"")</f>
        <v>PAG-SP</v>
      </c>
      <c r="H113" s="18" t="str">
        <f>IF([1]BFCyg!H117&lt;&gt;"",[1]BFCyg!H117,"")</f>
        <v>Newton-200DADOS-20</v>
      </c>
      <c r="I113" s="21">
        <f>IF([1]BFCyg!I117&lt;&gt;"",[1]BFCyg!I117,"")</f>
        <v>799</v>
      </c>
      <c r="J113" s="21" t="str">
        <f>IF([1]BFCyg!J117&lt;&gt;"",[1]BFCyg!J117,"")</f>
        <v/>
      </c>
      <c r="K113" s="21" t="str">
        <f>IF([1]BFCyg!K117&lt;&gt;"",[1]BFCyg!K117,"")</f>
        <v/>
      </c>
      <c r="L113" s="21" t="str">
        <f>IF([1]BFCyg!L117&lt;&gt;"",[1]BFCyg!L117,"")</f>
        <v/>
      </c>
      <c r="M113" s="2"/>
      <c r="O113" s="4"/>
    </row>
    <row r="114" spans="2:15" x14ac:dyDescent="0.25">
      <c r="B114" s="13"/>
      <c r="C114" s="18">
        <f>IF([1]BFCyg!C118&lt;&gt;"",[1]BFCyg!C118,"")</f>
        <v>42827</v>
      </c>
      <c r="D114" s="19">
        <f>IF([1]BFCyg!D118&lt;&gt;"",[1]BFCyg!D118,"")</f>
        <v>0.14601851851851852</v>
      </c>
      <c r="E114" s="20">
        <f>IF([1]BFCyg!E118&lt;&gt;"",[1]BFCyg!E118,"")</f>
        <v>2457845.6512000002</v>
      </c>
      <c r="F114" s="18" t="str">
        <f>IF([1]BFCyg!F118&lt;&gt;"",[1]BFCyg!F118,"")</f>
        <v>PSO</v>
      </c>
      <c r="G114" s="18" t="str">
        <f>IF([1]BFCyg!G118&lt;&gt;"",[1]BFCyg!G118,"")</f>
        <v>TAT-HU</v>
      </c>
      <c r="H114" s="18" t="str">
        <f>IF([1]BFCyg!H118&lt;&gt;"",[1]BFCyg!H118,"")</f>
        <v>30cmf4LH2400u35Atik</v>
      </c>
      <c r="I114" s="21">
        <f>IF([1]BFCyg!I118&lt;&gt;"",[1]BFCyg!I118,"")</f>
        <v>8392</v>
      </c>
      <c r="J114" s="21" t="str">
        <f>IF([1]BFCyg!J118&lt;&gt;"",[1]BFCyg!J118,"")</f>
        <v/>
      </c>
      <c r="K114" s="21" t="str">
        <f>IF([1]BFCyg!K118&lt;&gt;"",[1]BFCyg!K118,"")</f>
        <v/>
      </c>
      <c r="L114" s="21" t="str">
        <f>IF([1]BFCyg!L118&lt;&gt;"",[1]BFCyg!L118,"")</f>
        <v/>
      </c>
      <c r="M114" s="2"/>
      <c r="O114" s="4"/>
    </row>
    <row r="115" spans="2:15" x14ac:dyDescent="0.25">
      <c r="B115" s="13"/>
      <c r="C115" s="18">
        <f>IF([1]BFCyg!C120&lt;&gt;"",[1]BFCyg!C120,"")</f>
        <v>42835</v>
      </c>
      <c r="D115" s="19">
        <f>IF([1]BFCyg!D120&lt;&gt;"",[1]BFCyg!D120,"")</f>
        <v>0.13576388888888888</v>
      </c>
      <c r="E115" s="20">
        <f>IF([1]BFCyg!E120&lt;&gt;"",[1]BFCyg!E120,"")</f>
        <v>2457853.6427000002</v>
      </c>
      <c r="F115" s="18" t="str">
        <f>IF([1]BFCyg!F120&lt;&gt;"",[1]BFCyg!F120,"")</f>
        <v>PSO</v>
      </c>
      <c r="G115" s="18" t="str">
        <f>IF([1]BFCyg!G120&lt;&gt;"",[1]BFCyg!G120,"")</f>
        <v>TAT-HU</v>
      </c>
      <c r="H115" s="18" t="str">
        <f>IF([1]BFCyg!H120&lt;&gt;"",[1]BFCyg!H120,"")</f>
        <v>30cmf4LH2400u23Atik</v>
      </c>
      <c r="I115" s="21">
        <f>IF([1]BFCyg!I120&lt;&gt;"",[1]BFCyg!I120,"")</f>
        <v>13085</v>
      </c>
      <c r="J115" s="21" t="str">
        <f>IF([1]BFCyg!J120&lt;&gt;"",[1]BFCyg!J120,"")</f>
        <v/>
      </c>
      <c r="K115" s="21" t="str">
        <f>IF([1]BFCyg!K120&lt;&gt;"",[1]BFCyg!K120,"")</f>
        <v/>
      </c>
      <c r="L115" s="21" t="str">
        <f>IF([1]BFCyg!L120&lt;&gt;"",[1]BFCyg!L120,"")</f>
        <v/>
      </c>
      <c r="M115" s="2"/>
      <c r="O115" s="4"/>
    </row>
    <row r="116" spans="2:15" x14ac:dyDescent="0.25">
      <c r="B116" s="13"/>
      <c r="C116" s="18">
        <f>IF([1]BFCyg!C121&lt;&gt;"",[1]BFCyg!C121,"")</f>
        <v>42847</v>
      </c>
      <c r="D116" s="19">
        <f>IF([1]BFCyg!D121&lt;&gt;"",[1]BFCyg!D121,"")</f>
        <v>8.9675925925925923E-2</v>
      </c>
      <c r="E116" s="20">
        <f>IF([1]BFCyg!E121&lt;&gt;"",[1]BFCyg!E121,"")</f>
        <v>2457865.6036</v>
      </c>
      <c r="F116" s="18" t="str">
        <f>IF([1]BFCyg!F121&lt;&gt;"",[1]BFCyg!F121,"")</f>
        <v xml:space="preserve">FMT </v>
      </c>
      <c r="G116" s="18" t="str">
        <f>IF([1]BFCyg!G121&lt;&gt;"",[1]BFCyg!G121,"")</f>
        <v>ORS-FR</v>
      </c>
      <c r="H116" s="18" t="str">
        <f>IF([1]BFCyg!H121&lt;&gt;"",[1]BFCyg!H121,"")</f>
        <v>SC14+eShel+Atik460ex</v>
      </c>
      <c r="I116" s="21">
        <f>IF([1]BFCyg!I121&lt;&gt;"",[1]BFCyg!I121,"")</f>
        <v>11000</v>
      </c>
      <c r="J116" s="21" t="str">
        <f>IF([1]BFCyg!J121&lt;&gt;"",[1]BFCyg!J121,"")</f>
        <v/>
      </c>
      <c r="K116" s="21" t="str">
        <f>IF([1]BFCyg!K121&lt;&gt;"",[1]BFCyg!K121,"")</f>
        <v/>
      </c>
      <c r="L116" s="21" t="str">
        <f>IF([1]BFCyg!L121&lt;&gt;"",[1]BFCyg!L121,"")</f>
        <v/>
      </c>
      <c r="M116" s="2"/>
      <c r="O116" s="4"/>
    </row>
    <row r="117" spans="2:15" x14ac:dyDescent="0.25">
      <c r="B117" s="13"/>
      <c r="C117" s="18">
        <f>IF([1]BFCyg!C122&lt;&gt;"",[1]BFCyg!C122,"")</f>
        <v>42848</v>
      </c>
      <c r="D117" s="19">
        <f>IF([1]BFCyg!D122&lt;&gt;"",[1]BFCyg!D122,"")</f>
        <v>9.0289351851851843E-2</v>
      </c>
      <c r="E117" s="20">
        <f>IF([1]BFCyg!E122&lt;&gt;"",[1]BFCyg!E122,"")</f>
        <v>2457866.6113999998</v>
      </c>
      <c r="F117" s="18" t="str">
        <f>IF([1]BFCyg!F122&lt;&gt;"",[1]BFCyg!F122,"")</f>
        <v xml:space="preserve">FMT </v>
      </c>
      <c r="G117" s="18" t="str">
        <f>IF([1]BFCyg!G122&lt;&gt;"",[1]BFCyg!G122,"")</f>
        <v>ORS-FR</v>
      </c>
      <c r="H117" s="18" t="str">
        <f>IF([1]BFCyg!H122&lt;&gt;"",[1]BFCyg!H122,"")</f>
        <v>SC14+eShel+Atik460ex</v>
      </c>
      <c r="I117" s="21">
        <f>IF([1]BFCyg!I122&lt;&gt;"",[1]BFCyg!I122,"")</f>
        <v>11000</v>
      </c>
      <c r="J117" s="21" t="str">
        <f>IF([1]BFCyg!J122&lt;&gt;"",[1]BFCyg!J122,"")</f>
        <v/>
      </c>
      <c r="K117" s="21" t="str">
        <f>IF([1]BFCyg!K122&lt;&gt;"",[1]BFCyg!K122,"")</f>
        <v/>
      </c>
      <c r="L117" s="21" t="str">
        <f>IF([1]BFCyg!L122&lt;&gt;"",[1]BFCyg!L122,"")</f>
        <v/>
      </c>
      <c r="M117" s="2"/>
      <c r="O117" s="4"/>
    </row>
    <row r="118" spans="2:15" x14ac:dyDescent="0.25">
      <c r="B118" s="13"/>
      <c r="C118" s="18">
        <f>IF([1]BFCyg!C123&lt;&gt;"",[1]BFCyg!C123,"")</f>
        <v>42856</v>
      </c>
      <c r="D118" s="19">
        <f>IF([1]BFCyg!D123&lt;&gt;"",[1]BFCyg!D123,"")</f>
        <v>0.10253472222222222</v>
      </c>
      <c r="E118" s="20">
        <f>IF([1]BFCyg!E123&lt;&gt;"",[1]BFCyg!E123,"")</f>
        <v>2457874.6094999998</v>
      </c>
      <c r="F118" s="18" t="str">
        <f>IF([1]BFCyg!F123&lt;&gt;"",[1]BFCyg!F123,"")</f>
        <v>PSO</v>
      </c>
      <c r="G118" s="18" t="str">
        <f>IF([1]BFCyg!G123&lt;&gt;"",[1]BFCyg!G123,"")</f>
        <v>TAT-HU</v>
      </c>
      <c r="H118" s="18" t="str">
        <f>IF([1]BFCyg!H123&lt;&gt;"",[1]BFCyg!H123,"")</f>
        <v>30cmf4LH2400u23Atik</v>
      </c>
      <c r="I118" s="21">
        <f>IF([1]BFCyg!I123&lt;&gt;"",[1]BFCyg!I123,"")</f>
        <v>10328</v>
      </c>
      <c r="J118" s="21" t="str">
        <f>IF([1]BFCyg!J123&lt;&gt;"",[1]BFCyg!J123,"")</f>
        <v/>
      </c>
      <c r="K118" s="21" t="str">
        <f>IF([1]BFCyg!K123&lt;&gt;"",[1]BFCyg!K123,"")</f>
        <v/>
      </c>
      <c r="L118" s="21" t="str">
        <f>IF([1]BFCyg!L123&lt;&gt;"",[1]BFCyg!L123,"")</f>
        <v/>
      </c>
      <c r="M118" s="2"/>
      <c r="O118" s="4"/>
    </row>
    <row r="119" spans="2:15" x14ac:dyDescent="0.25">
      <c r="B119" s="13"/>
      <c r="C119" s="18">
        <f>IF([1]BFCyg!C124&lt;&gt;"",[1]BFCyg!C124,"")</f>
        <v>42862</v>
      </c>
      <c r="D119" s="19">
        <f>IF([1]BFCyg!D124&lt;&gt;"",[1]BFCyg!D124,"")</f>
        <v>4.1886574074074069E-2</v>
      </c>
      <c r="E119" s="20">
        <f>IF([1]BFCyg!E124&lt;&gt;"",[1]BFCyg!E124,"")</f>
        <v>2457880.5784</v>
      </c>
      <c r="F119" s="18" t="str">
        <f>IF([1]BFCyg!F124&lt;&gt;"",[1]BFCyg!F124,"")</f>
        <v>FCA</v>
      </c>
      <c r="G119" s="18" t="str">
        <f>IF([1]BFCyg!G124&lt;&gt;"",[1]BFCyg!G124,"")</f>
        <v>PAG-SP</v>
      </c>
      <c r="H119" s="18" t="str">
        <f>IF([1]BFCyg!H124&lt;&gt;"",[1]BFCyg!H124,"")</f>
        <v>Newton-200DADOS-12</v>
      </c>
      <c r="I119" s="21">
        <f>IF([1]BFCyg!I124&lt;&gt;"",[1]BFCyg!I124,"")</f>
        <v>783</v>
      </c>
      <c r="J119" s="21" t="str">
        <f>IF([1]BFCyg!J124&lt;&gt;"",[1]BFCyg!J124,"")</f>
        <v/>
      </c>
      <c r="K119" s="21" t="str">
        <f>IF([1]BFCyg!K124&lt;&gt;"",[1]BFCyg!K124,"")</f>
        <v/>
      </c>
      <c r="L119" s="21" t="str">
        <f>IF([1]BFCyg!L124&lt;&gt;"",[1]BFCyg!L124,"")</f>
        <v/>
      </c>
      <c r="M119" s="2"/>
      <c r="O119" s="4"/>
    </row>
    <row r="120" spans="2:15" x14ac:dyDescent="0.25">
      <c r="B120" s="13"/>
      <c r="C120" s="18">
        <f>IF([1]BFCyg!C125&lt;&gt;"",[1]BFCyg!C125,"")</f>
        <v>42882</v>
      </c>
      <c r="D120" s="19">
        <f>IF([1]BFCyg!D125&lt;&gt;"",[1]BFCyg!D125,"")</f>
        <v>2.8611111111111115E-2</v>
      </c>
      <c r="E120" s="20">
        <f>IF([1]BFCyg!E125&lt;&gt;"",[1]BFCyg!E125,"")</f>
        <v>2457900.5496999999</v>
      </c>
      <c r="F120" s="18" t="str">
        <f>IF([1]BFCyg!F125&lt;&gt;"",[1]BFCyg!F125,"")</f>
        <v xml:space="preserve">FMT </v>
      </c>
      <c r="G120" s="18" t="str">
        <f>IF([1]BFCyg!G125&lt;&gt;"",[1]BFCyg!G125,"")</f>
        <v>ORS-FR</v>
      </c>
      <c r="H120" s="18" t="str">
        <f>IF([1]BFCyg!H125&lt;&gt;"",[1]BFCyg!H125,"")</f>
        <v>SC14+eShel+Atik460ex</v>
      </c>
      <c r="I120" s="21">
        <f>IF([1]BFCyg!I125&lt;&gt;"",[1]BFCyg!I125,"")</f>
        <v>11000</v>
      </c>
      <c r="J120" s="21" t="str">
        <f>IF([1]BFCyg!J125&lt;&gt;"",[1]BFCyg!J125,"")</f>
        <v/>
      </c>
      <c r="K120" s="21" t="str">
        <f>IF([1]BFCyg!K125&lt;&gt;"",[1]BFCyg!K125,"")</f>
        <v/>
      </c>
      <c r="L120" s="21" t="str">
        <f>IF([1]BFCyg!L125&lt;&gt;"",[1]BFCyg!L125,"")</f>
        <v/>
      </c>
      <c r="M120" s="2"/>
      <c r="O120" s="4"/>
    </row>
    <row r="121" spans="2:15" x14ac:dyDescent="0.25">
      <c r="B121" s="13"/>
      <c r="C121" s="18">
        <f>IF([1]BFCyg!C126&lt;&gt;"",[1]BFCyg!C126,"")</f>
        <v>42895</v>
      </c>
      <c r="D121" s="19">
        <f>IF([1]BFCyg!D126&lt;&gt;"",[1]BFCyg!D126,"")</f>
        <v>0.94568287037037047</v>
      </c>
      <c r="E121" s="20">
        <f>IF([1]BFCyg!E126&lt;&gt;"",[1]BFCyg!E126,"")</f>
        <v>2457914.4613000001</v>
      </c>
      <c r="F121" s="18" t="str">
        <f>IF([1]BFCyg!F126&lt;&gt;"",[1]BFCyg!F126,"")</f>
        <v>FCA</v>
      </c>
      <c r="G121" s="18" t="str">
        <f>IF([1]BFCyg!G126&lt;&gt;"",[1]BFCyg!G126,"")</f>
        <v>PAG-SP</v>
      </c>
      <c r="H121" s="18" t="str">
        <f>IF([1]BFCyg!H126&lt;&gt;"",[1]BFCyg!H126,"")</f>
        <v>Newton-200DADOS-20</v>
      </c>
      <c r="I121" s="21">
        <f>IF([1]BFCyg!I126&lt;&gt;"",[1]BFCyg!I126,"")</f>
        <v>841</v>
      </c>
      <c r="J121" s="21" t="str">
        <f>IF([1]BFCyg!J126&lt;&gt;"",[1]BFCyg!J126,"")</f>
        <v/>
      </c>
      <c r="K121" s="21" t="str">
        <f>IF([1]BFCyg!K126&lt;&gt;"",[1]BFCyg!K126,"")</f>
        <v/>
      </c>
      <c r="L121" s="21" t="str">
        <f>IF([1]BFCyg!L126&lt;&gt;"",[1]BFCyg!L126,"")</f>
        <v/>
      </c>
      <c r="M121" s="2"/>
      <c r="O121" s="4"/>
    </row>
    <row r="122" spans="2:15" x14ac:dyDescent="0.25">
      <c r="B122" s="13"/>
      <c r="C122" s="18">
        <f>IF([1]BFCyg!C127&lt;&gt;"",[1]BFCyg!C127,"")</f>
        <v>42897</v>
      </c>
      <c r="D122" s="19">
        <f>IF([1]BFCyg!D127&lt;&gt;"",[1]BFCyg!D127,"")</f>
        <v>1.1273148148148148E-2</v>
      </c>
      <c r="E122" s="20">
        <f>IF([1]BFCyg!E127&lt;&gt;"",[1]BFCyg!E127,"")</f>
        <v>2457915.5147000002</v>
      </c>
      <c r="F122" s="18" t="str">
        <f>IF([1]BFCyg!F127&lt;&gt;"",[1]BFCyg!F127,"")</f>
        <v>PSO</v>
      </c>
      <c r="G122" s="18" t="str">
        <f>IF([1]BFCyg!G127&lt;&gt;"",[1]BFCyg!G127,"")</f>
        <v>TAT-HU</v>
      </c>
      <c r="H122" s="18" t="str">
        <f>IF([1]BFCyg!H127&lt;&gt;"",[1]BFCyg!H127,"")</f>
        <v>T12+Lhires600+Atik428ex</v>
      </c>
      <c r="I122" s="21">
        <f>IF([1]BFCyg!I127&lt;&gt;"",[1]BFCyg!I127,"")</f>
        <v>2950</v>
      </c>
      <c r="J122" s="21" t="str">
        <f>IF([1]BFCyg!J127&lt;&gt;"",[1]BFCyg!J127,"")</f>
        <v/>
      </c>
      <c r="K122" s="21" t="str">
        <f>IF([1]BFCyg!K127&lt;&gt;"",[1]BFCyg!K127,"")</f>
        <v/>
      </c>
      <c r="L122" s="21" t="str">
        <f>IF([1]BFCyg!L127&lt;&gt;"",[1]BFCyg!L127,"")</f>
        <v/>
      </c>
      <c r="M122" s="2"/>
      <c r="O122" s="4"/>
    </row>
    <row r="123" spans="2:15" x14ac:dyDescent="0.25">
      <c r="B123" s="13"/>
      <c r="C123" s="18">
        <f>IF([1]BFCyg!C128&lt;&gt;"",[1]BFCyg!C128,"")</f>
        <v>42897</v>
      </c>
      <c r="D123" s="19">
        <f>IF([1]BFCyg!D128&lt;&gt;"",[1]BFCyg!D128,"")</f>
        <v>4.5995370370370374E-2</v>
      </c>
      <c r="E123" s="20">
        <f>IF([1]BFCyg!E128&lt;&gt;"",[1]BFCyg!E128,"")</f>
        <v>2457915.5529</v>
      </c>
      <c r="F123" s="18" t="str">
        <f>IF([1]BFCyg!F128&lt;&gt;"",[1]BFCyg!F128,"")</f>
        <v>PSO</v>
      </c>
      <c r="G123" s="18" t="str">
        <f>IF([1]BFCyg!G128&lt;&gt;"",[1]BFCyg!G128,"")</f>
        <v>TAT-HU</v>
      </c>
      <c r="H123" s="18" t="str">
        <f>IF([1]BFCyg!H128&lt;&gt;"",[1]BFCyg!H128,"")</f>
        <v>T12+Lhires600+Atik428ex</v>
      </c>
      <c r="I123" s="21">
        <f>IF([1]BFCyg!I128&lt;&gt;"",[1]BFCyg!I128,"")</f>
        <v>2308</v>
      </c>
      <c r="J123" s="21" t="str">
        <f>IF([1]BFCyg!J128&lt;&gt;"",[1]BFCyg!J128,"")</f>
        <v/>
      </c>
      <c r="K123" s="21" t="str">
        <f>IF([1]BFCyg!K128&lt;&gt;"",[1]BFCyg!K128,"")</f>
        <v/>
      </c>
      <c r="L123" s="21" t="str">
        <f>IF([1]BFCyg!L128&lt;&gt;"",[1]BFCyg!L128,"")</f>
        <v/>
      </c>
      <c r="M123" s="2"/>
      <c r="O123" s="4"/>
    </row>
    <row r="124" spans="2:15" x14ac:dyDescent="0.25">
      <c r="B124" s="13"/>
      <c r="C124" s="18">
        <f>IF([1]BFCyg!C129&lt;&gt;"",[1]BFCyg!C129,"")</f>
        <v>42920</v>
      </c>
      <c r="D124" s="19">
        <f>IF([1]BFCyg!D129&lt;&gt;"",[1]BFCyg!D129,"")</f>
        <v>0.21944444444444444</v>
      </c>
      <c r="E124" s="20">
        <f>IF([1]BFCyg!E129&lt;&gt;"",[1]BFCyg!E129,"")</f>
        <v>2457938.7546000001</v>
      </c>
      <c r="F124" s="18" t="str">
        <f>IF([1]BFCyg!F129&lt;&gt;"",[1]BFCyg!F129,"")</f>
        <v>LES</v>
      </c>
      <c r="G124" s="18" t="str">
        <f>IF([1]BFCyg!G129&lt;&gt;"",[1]BFCyg!G129,"")</f>
        <v>MRO-CA</v>
      </c>
      <c r="H124" s="18" t="str">
        <f>IF([1]BFCyg!H129&lt;&gt;"",[1]BFCyg!H129,"")</f>
        <v>DK310+Echelle_ESSAT</v>
      </c>
      <c r="I124" s="21">
        <f>IF([1]BFCyg!I129&lt;&gt;"",[1]BFCyg!I129,"")</f>
        <v>12000</v>
      </c>
      <c r="J124" s="21" t="str">
        <f>IF([1]BFCyg!J129&lt;&gt;"",[1]BFCyg!J129,"")</f>
        <v/>
      </c>
      <c r="K124" s="21" t="str">
        <f>IF([1]BFCyg!K129&lt;&gt;"",[1]BFCyg!K129,"")</f>
        <v/>
      </c>
      <c r="L124" s="21" t="str">
        <f>IF([1]BFCyg!L129&lt;&gt;"",[1]BFCyg!L129,"")</f>
        <v/>
      </c>
      <c r="M124" s="2"/>
      <c r="O124" s="4"/>
    </row>
    <row r="125" spans="2:15" x14ac:dyDescent="0.25">
      <c r="B125" s="13"/>
      <c r="C125" s="18">
        <f>IF([1]BFCyg!C130&lt;&gt;"",[1]BFCyg!C130,"")</f>
        <v>42903</v>
      </c>
      <c r="D125" s="19">
        <f>IF([1]BFCyg!D130&lt;&gt;"",[1]BFCyg!D130,"")</f>
        <v>0.94245370370370374</v>
      </c>
      <c r="E125" s="20">
        <f>IF([1]BFCyg!E130&lt;&gt;"",[1]BFCyg!E130,"")</f>
        <v>2457922.4706000001</v>
      </c>
      <c r="F125" s="18" t="str">
        <f>IF([1]BFCyg!F130&lt;&gt;"",[1]BFCyg!F130,"")</f>
        <v xml:space="preserve">FMT </v>
      </c>
      <c r="G125" s="18" t="str">
        <f>IF([1]BFCyg!G130&lt;&gt;"",[1]BFCyg!G130,"")</f>
        <v>ORS-FR</v>
      </c>
      <c r="H125" s="18" t="str">
        <f>IF([1]BFCyg!H130&lt;&gt;"",[1]BFCyg!H130,"")</f>
        <v>SC14+eShel+Atik460ex</v>
      </c>
      <c r="I125" s="21">
        <f>IF([1]BFCyg!I130&lt;&gt;"",[1]BFCyg!I130,"")</f>
        <v>11000</v>
      </c>
      <c r="J125" s="21" t="str">
        <f>IF([1]BFCyg!J130&lt;&gt;"",[1]BFCyg!J130,"")</f>
        <v/>
      </c>
      <c r="K125" s="21" t="str">
        <f>IF([1]BFCyg!K130&lt;&gt;"",[1]BFCyg!K130,"")</f>
        <v/>
      </c>
      <c r="L125" s="21" t="str">
        <f>IF([1]BFCyg!L130&lt;&gt;"",[1]BFCyg!L130,"")</f>
        <v/>
      </c>
      <c r="M125" s="2"/>
      <c r="O125" s="4"/>
    </row>
    <row r="126" spans="2:15" x14ac:dyDescent="0.25">
      <c r="B126" s="13"/>
      <c r="C126" s="18">
        <f>IF([1]BFCyg!C131&lt;&gt;"",[1]BFCyg!C131,"")</f>
        <v>42932</v>
      </c>
      <c r="D126" s="19">
        <f>IF([1]BFCyg!D131&lt;&gt;"",[1]BFCyg!D131,"")</f>
        <v>0.18199074074074073</v>
      </c>
      <c r="E126" s="20">
        <f>IF([1]BFCyg!E131&lt;&gt;"",[1]BFCyg!E131,"")</f>
        <v>2457950.6941999998</v>
      </c>
      <c r="F126" s="18" t="str">
        <f>IF([1]BFCyg!F131&lt;&gt;"",[1]BFCyg!F131,"")</f>
        <v>GKA</v>
      </c>
      <c r="G126" s="18" t="str">
        <f>IF([1]BFCyg!G131&lt;&gt;"",[1]BFCyg!G131,"")</f>
        <v>GRL-US</v>
      </c>
      <c r="H126" s="18" t="str">
        <f>IF([1]BFCyg!H131&lt;&gt;"",[1]BFCyg!H131,"")</f>
        <v>SC10+Alpy600</v>
      </c>
      <c r="I126" s="21">
        <f>IF([1]BFCyg!I131&lt;&gt;"",[1]BFCyg!I131,"")</f>
        <v>519</v>
      </c>
      <c r="J126" s="21" t="str">
        <f>IF([1]BFCyg!J131&lt;&gt;"",[1]BFCyg!J131,"")</f>
        <v/>
      </c>
      <c r="K126" s="21" t="str">
        <f>IF([1]BFCyg!K131&lt;&gt;"",[1]BFCyg!K131,"")</f>
        <v/>
      </c>
      <c r="L126" s="21" t="str">
        <f>IF([1]BFCyg!L131&lt;&gt;"",[1]BFCyg!L131,"")</f>
        <v/>
      </c>
      <c r="M126" s="2"/>
      <c r="O126" s="4"/>
    </row>
    <row r="127" spans="2:15" x14ac:dyDescent="0.25">
      <c r="B127" s="13"/>
      <c r="C127" s="18">
        <f>IF([1]BFCyg!C132&lt;&gt;"",[1]BFCyg!C132,"")</f>
        <v>42909</v>
      </c>
      <c r="D127" s="19">
        <f>IF([1]BFCyg!D132&lt;&gt;"",[1]BFCyg!D132,"")</f>
        <v>0.36714120370370368</v>
      </c>
      <c r="E127" s="20">
        <f>IF([1]BFCyg!E132&lt;&gt;"",[1]BFCyg!E132,"")</f>
        <v>2457927.8769999999</v>
      </c>
      <c r="F127" s="18" t="str">
        <f>IF([1]BFCyg!F132&lt;&gt;"",[1]BFCyg!F132,"")</f>
        <v>JRF</v>
      </c>
      <c r="G127" s="18" t="str">
        <f>IF([1]BFCyg!G132&lt;&gt;"",[1]BFCyg!G132,"")</f>
        <v>MTP-US</v>
      </c>
      <c r="H127" s="18" t="str">
        <f>IF([1]BFCyg!H132&lt;&gt;"",[1]BFCyg!H132,"")</f>
        <v>CDK17LisaATIK460E</v>
      </c>
      <c r="I127" s="21">
        <f>IF([1]BFCyg!I132&lt;&gt;"",[1]BFCyg!I132,"")</f>
        <v>792</v>
      </c>
      <c r="J127" s="21" t="str">
        <f>IF([1]BFCyg!J132&lt;&gt;"",[1]BFCyg!J132,"")</f>
        <v/>
      </c>
      <c r="K127" s="21" t="str">
        <f>IF([1]BFCyg!K132&lt;&gt;"",[1]BFCyg!K132,"")</f>
        <v/>
      </c>
      <c r="L127" s="21" t="str">
        <f>IF([1]BFCyg!L132&lt;&gt;"",[1]BFCyg!L132,"")</f>
        <v/>
      </c>
      <c r="M127" s="2"/>
      <c r="O127" s="4"/>
    </row>
    <row r="128" spans="2:15" x14ac:dyDescent="0.25">
      <c r="B128" s="13"/>
      <c r="C128" s="28">
        <f>IF([1]BFCyg!C133&lt;&gt;"",[1]BFCyg!C133,"")</f>
        <v>42920</v>
      </c>
      <c r="D128" s="19">
        <f>IF([1]BFCyg!D133&lt;&gt;"",[1]BFCyg!D133,"")</f>
        <v>0.21944444444444444</v>
      </c>
      <c r="E128" s="20">
        <f>IF([1]BFCyg!E133&lt;&gt;"",[1]BFCyg!E133,"")</f>
        <v>2457938.7546000001</v>
      </c>
      <c r="F128" s="18" t="str">
        <f>IF([1]BFCyg!F133&lt;&gt;"",[1]BFCyg!F133,"")</f>
        <v>LES</v>
      </c>
      <c r="G128" s="18" t="str">
        <f>IF([1]BFCyg!G133&lt;&gt;"",[1]BFCyg!G133,"")</f>
        <v>MRO-CA</v>
      </c>
      <c r="H128" s="18" t="str">
        <f>IF([1]BFCyg!H133&lt;&gt;"",[1]BFCyg!H133,"")</f>
        <v>DK310+Echelle_ESSAT</v>
      </c>
      <c r="I128" s="21">
        <f>IF([1]BFCyg!I133&lt;&gt;"",[1]BFCyg!I133,"")</f>
        <v>12000</v>
      </c>
      <c r="J128" s="21" t="str">
        <f>IF([1]BFCyg!J133&lt;&gt;"",[1]BFCyg!J133,"")</f>
        <v/>
      </c>
      <c r="K128" s="21" t="str">
        <f>IF([1]BFCyg!K133&lt;&gt;"",[1]BFCyg!K133,"")</f>
        <v/>
      </c>
      <c r="L128" s="21" t="str">
        <f>IF([1]BFCyg!L133&lt;&gt;"",[1]BFCyg!L133,"")</f>
        <v/>
      </c>
      <c r="M128" s="2"/>
      <c r="O128" s="4"/>
    </row>
    <row r="129" spans="2:15" x14ac:dyDescent="0.25">
      <c r="B129" s="13"/>
      <c r="C129" s="18">
        <f>IF([1]BFCyg!C134&lt;&gt;"",[1]BFCyg!C134,"")</f>
        <v>42957</v>
      </c>
      <c r="D129" s="19">
        <f>IF([1]BFCyg!D134&lt;&gt;"",[1]BFCyg!D134,"")</f>
        <v>0.11630787037037038</v>
      </c>
      <c r="E129" s="20">
        <f>IF([1]BFCyg!E134&lt;&gt;"",[1]BFCyg!E134,"")</f>
        <v>2457975.6726000002</v>
      </c>
      <c r="F129" s="18" t="str">
        <f>IF([1]BFCyg!F134&lt;&gt;"",[1]BFCyg!F134,"")</f>
        <v>LES</v>
      </c>
      <c r="G129" s="18" t="str">
        <f>IF([1]BFCyg!G134&lt;&gt;"",[1]BFCyg!G134,"")</f>
        <v>MRO-CA</v>
      </c>
      <c r="H129" s="18" t="str">
        <f>IF([1]BFCyg!H134&lt;&gt;"",[1]BFCyg!H134,"")</f>
        <v>DK310+Echelle_ESSAT</v>
      </c>
      <c r="I129" s="21">
        <f>IF([1]BFCyg!I134&lt;&gt;"",[1]BFCyg!I134,"")</f>
        <v>13000</v>
      </c>
      <c r="J129" s="21" t="str">
        <f>IF([1]BFCyg!J134&lt;&gt;"",[1]BFCyg!J134,"")</f>
        <v/>
      </c>
      <c r="K129" s="21" t="str">
        <f>IF([1]BFCyg!K134&lt;&gt;"",[1]BFCyg!K134,"")</f>
        <v/>
      </c>
      <c r="L129" s="21" t="str">
        <f>IF([1]BFCyg!L134&lt;&gt;"",[1]BFCyg!L134,"")</f>
        <v/>
      </c>
      <c r="M129" s="2"/>
      <c r="O129" s="4"/>
    </row>
    <row r="130" spans="2:15" x14ac:dyDescent="0.25">
      <c r="B130" s="13"/>
      <c r="C130" s="18">
        <f>IF([1]BFCyg!C135&lt;&gt;"",[1]BFCyg!C135,"")</f>
        <v>42962</v>
      </c>
      <c r="D130" s="19">
        <f>IF([1]BFCyg!D135&lt;&gt;"",[1]BFCyg!D135,"")</f>
        <v>0.86910879629629623</v>
      </c>
      <c r="E130" s="20">
        <f>IF([1]BFCyg!E135&lt;&gt;"",[1]BFCyg!E135,"")</f>
        <v>2457981.3777999999</v>
      </c>
      <c r="F130" s="18" t="str">
        <f>IF([1]BFCyg!F135&lt;&gt;"",[1]BFCyg!F135,"")</f>
        <v>FRA</v>
      </c>
      <c r="G130" s="18" t="str">
        <f>IF([1]BFCyg!G135&lt;&gt;"",[1]BFCyg!G135,"")</f>
        <v>BAL-IT</v>
      </c>
      <c r="H130" s="18" t="str">
        <f>IF([1]BFCyg!H135&lt;&gt;"",[1]BFCyg!H135,"")</f>
        <v>SC8+Alpy600</v>
      </c>
      <c r="I130" s="21">
        <f>IF([1]BFCyg!I135&lt;&gt;"",[1]BFCyg!I135,"")</f>
        <v>532</v>
      </c>
      <c r="J130" s="21" t="str">
        <f>IF([1]BFCyg!J135&lt;&gt;"",[1]BFCyg!J135,"")</f>
        <v/>
      </c>
      <c r="K130" s="21" t="str">
        <f>IF([1]BFCyg!K135&lt;&gt;"",[1]BFCyg!K135,"")</f>
        <v/>
      </c>
      <c r="L130" s="21" t="str">
        <f>IF([1]BFCyg!L135&lt;&gt;"",[1]BFCyg!L135,"")</f>
        <v/>
      </c>
      <c r="M130" s="2"/>
      <c r="O130" s="4"/>
    </row>
    <row r="131" spans="2:15" x14ac:dyDescent="0.25">
      <c r="B131" s="13"/>
      <c r="C131" s="28">
        <f>IF([1]BFCyg!C136&lt;&gt;"",[1]BFCyg!C136,"")</f>
        <v>42980</v>
      </c>
      <c r="D131" s="19">
        <f>IF([1]BFCyg!D136&lt;&gt;"",[1]BFCyg!D136,"")</f>
        <v>8.8692129629629635E-2</v>
      </c>
      <c r="E131" s="20">
        <f>IF([1]BFCyg!E136&lt;&gt;"",[1]BFCyg!E136,"")</f>
        <v>2457998.5973999999</v>
      </c>
      <c r="F131" s="18" t="str">
        <f>IF([1]BFCyg!F136&lt;&gt;"",[1]BFCyg!F136,"")</f>
        <v>GKA</v>
      </c>
      <c r="G131" s="18" t="str">
        <f>IF([1]BFCyg!G136&lt;&gt;"",[1]BFCyg!G136,"")</f>
        <v>MAN-US</v>
      </c>
      <c r="H131" s="18" t="str">
        <f>IF([1]BFCyg!H136&lt;&gt;"",[1]BFCyg!H136,"")</f>
        <v>SC10+Alpy600</v>
      </c>
      <c r="I131" s="21">
        <f>IF([1]BFCyg!I136&lt;&gt;"",[1]BFCyg!I136,"")</f>
        <v>543</v>
      </c>
      <c r="J131" s="21" t="str">
        <f>IF([1]BFCyg!J136&lt;&gt;"",[1]BFCyg!J136,"")</f>
        <v/>
      </c>
      <c r="K131" s="21" t="str">
        <f>IF([1]BFCyg!K136&lt;&gt;"",[1]BFCyg!K136,"")</f>
        <v/>
      </c>
      <c r="L131" s="21" t="str">
        <f>IF([1]BFCyg!L136&lt;&gt;"",[1]BFCyg!L136,"")</f>
        <v/>
      </c>
      <c r="M131" s="2"/>
      <c r="O131" s="4"/>
    </row>
    <row r="132" spans="2:15" x14ac:dyDescent="0.25">
      <c r="B132" s="13"/>
      <c r="C132" s="18">
        <f>IF([1]BFCyg!C137&lt;&gt;"",[1]BFCyg!C137,"")</f>
        <v>43000</v>
      </c>
      <c r="D132" s="19">
        <f>IF([1]BFCyg!D137&lt;&gt;"",[1]BFCyg!D137,"")</f>
        <v>0.76135416666666667</v>
      </c>
      <c r="E132" s="20">
        <f>IF([1]BFCyg!E137&lt;&gt;"",[1]BFCyg!E137,"")</f>
        <v>2458019.2952000001</v>
      </c>
      <c r="F132" s="18" t="str">
        <f>IF([1]BFCyg!F137&lt;&gt;"",[1]BFCyg!F137,"")</f>
        <v>BER</v>
      </c>
      <c r="G132" s="18" t="str">
        <f>IF([1]BFCyg!G137&lt;&gt;"",[1]BFCyg!G137,"")</f>
        <v>BVO-IT</v>
      </c>
      <c r="H132" s="18" t="str">
        <f>IF([1]BFCyg!H137&lt;&gt;"",[1]BFCyg!H137,"")</f>
        <v>Lhires31200C9SXV</v>
      </c>
      <c r="I132" s="21">
        <f>IF([1]BFCyg!I137&lt;&gt;"",[1]BFCyg!I137,"")</f>
        <v>4126</v>
      </c>
      <c r="J132" s="21" t="str">
        <f>IF([1]BFCyg!J137&lt;&gt;"",[1]BFCyg!J137,"")</f>
        <v/>
      </c>
      <c r="K132" s="21" t="str">
        <f>IF([1]BFCyg!K137&lt;&gt;"",[1]BFCyg!K137,"")</f>
        <v/>
      </c>
      <c r="L132" s="21" t="str">
        <f>IF([1]BFCyg!L137&lt;&gt;"",[1]BFCyg!L137,"")</f>
        <v/>
      </c>
      <c r="M132" s="2"/>
      <c r="O132" s="4"/>
    </row>
    <row r="133" spans="2:15" x14ac:dyDescent="0.25">
      <c r="B133" s="13"/>
      <c r="C133" s="18">
        <f>IF([1]BFCyg!C138&lt;&gt;"",[1]BFCyg!C138,"")</f>
        <v>42998</v>
      </c>
      <c r="D133" s="19">
        <f>IF([1]BFCyg!D138&lt;&gt;"",[1]BFCyg!D138,"")</f>
        <v>0.80906250000000002</v>
      </c>
      <c r="E133" s="20">
        <f>IF([1]BFCyg!E138&lt;&gt;"",[1]BFCyg!E138,"")</f>
        <v>2458017.3369999998</v>
      </c>
      <c r="F133" s="18" t="str">
        <f>IF([1]BFCyg!F138&lt;&gt;"",[1]BFCyg!F138,"")</f>
        <v xml:space="preserve">FMT </v>
      </c>
      <c r="G133" s="18" t="str">
        <f>IF([1]BFCyg!G138&lt;&gt;"",[1]BFCyg!G138,"")</f>
        <v>ORS-FR</v>
      </c>
      <c r="H133" s="18" t="str">
        <f>IF([1]BFCyg!H138&lt;&gt;"",[1]BFCyg!H138,"")</f>
        <v>SC14+eShel+Atik460ex</v>
      </c>
      <c r="I133" s="21">
        <f>IF([1]BFCyg!I138&lt;&gt;"",[1]BFCyg!I138,"")</f>
        <v>11000</v>
      </c>
      <c r="J133" s="21" t="str">
        <f>IF([1]BFCyg!J138&lt;&gt;"",[1]BFCyg!J138,"")</f>
        <v/>
      </c>
      <c r="K133" s="21" t="str">
        <f>IF([1]BFCyg!K138&lt;&gt;"",[1]BFCyg!K138,"")</f>
        <v/>
      </c>
      <c r="L133" s="21" t="str">
        <f>IF([1]BFCyg!L138&lt;&gt;"",[1]BFCyg!L138,"")</f>
        <v/>
      </c>
      <c r="M133" s="2"/>
      <c r="O133" s="4"/>
    </row>
    <row r="134" spans="2:15" x14ac:dyDescent="0.25">
      <c r="B134" s="13"/>
      <c r="C134" s="18">
        <f>IF([1]BFCyg!C139&lt;&gt;"",[1]BFCyg!C139,"")</f>
        <v>42991</v>
      </c>
      <c r="D134" s="19">
        <f>IF([1]BFCyg!D139&lt;&gt;"",[1]BFCyg!D139,"")</f>
        <v>0.11593750000000001</v>
      </c>
      <c r="E134" s="20">
        <f>IF([1]BFCyg!E139&lt;&gt;"",[1]BFCyg!E139,"")</f>
        <v>2458009.6652000002</v>
      </c>
      <c r="F134" s="18" t="str">
        <f>IF([1]BFCyg!F139&lt;&gt;"",[1]BFCyg!F139,"")</f>
        <v>LES</v>
      </c>
      <c r="G134" s="18" t="str">
        <f>IF([1]BFCyg!G139&lt;&gt;"",[1]BFCyg!G139,"")</f>
        <v>MRO-CA</v>
      </c>
      <c r="H134" s="18" t="str">
        <f>IF([1]BFCyg!H139&lt;&gt;"",[1]BFCyg!H139,"")</f>
        <v>DK310+Echelle_ESSAT</v>
      </c>
      <c r="I134" s="21">
        <f>IF([1]BFCyg!I139&lt;&gt;"",[1]BFCyg!I139,"")</f>
        <v>13000</v>
      </c>
      <c r="J134" s="21" t="str">
        <f>IF([1]BFCyg!J139&lt;&gt;"",[1]BFCyg!J139,"")</f>
        <v/>
      </c>
      <c r="K134" s="21" t="str">
        <f>IF([1]BFCyg!K139&lt;&gt;"",[1]BFCyg!K139,"")</f>
        <v/>
      </c>
      <c r="L134" s="21" t="str">
        <f>IF([1]BFCyg!L139&lt;&gt;"",[1]BFCyg!L139,"")</f>
        <v/>
      </c>
      <c r="M134" s="2"/>
      <c r="O134" s="4"/>
    </row>
    <row r="135" spans="2:15" x14ac:dyDescent="0.25">
      <c r="B135" s="13"/>
      <c r="C135" s="18">
        <f>IF([1]BFCyg!C140&lt;&gt;"",[1]BFCyg!C140,"")</f>
        <v>42997</v>
      </c>
      <c r="D135" s="19">
        <f>IF([1]BFCyg!D140&lt;&gt;"",[1]BFCyg!D140,"")</f>
        <v>0.91062500000000002</v>
      </c>
      <c r="E135" s="20">
        <f>IF([1]BFCyg!E140&lt;&gt;"",[1]BFCyg!E140,"")</f>
        <v>2458016.4175999998</v>
      </c>
      <c r="F135" s="18" t="str">
        <f>IF([1]BFCyg!F140&lt;&gt;"",[1]BFCyg!F140,"")</f>
        <v>FCA</v>
      </c>
      <c r="G135" s="18" t="str">
        <f>IF([1]BFCyg!G140&lt;&gt;"",[1]BFCyg!G140,"")</f>
        <v>PAG-SP</v>
      </c>
      <c r="H135" s="18" t="str">
        <f>IF([1]BFCyg!H140&lt;&gt;"",[1]BFCyg!H140,"")</f>
        <v>RC14+Alpy600+Atik414</v>
      </c>
      <c r="I135" s="21">
        <f>IF([1]BFCyg!I140&lt;&gt;"",[1]BFCyg!I140,"")</f>
        <v>817</v>
      </c>
      <c r="J135" s="21" t="str">
        <f>IF([1]BFCyg!J140&lt;&gt;"",[1]BFCyg!J140,"")</f>
        <v/>
      </c>
      <c r="K135" s="21" t="str">
        <f>IF([1]BFCyg!K140&lt;&gt;"",[1]BFCyg!K140,"")</f>
        <v/>
      </c>
      <c r="L135" s="21" t="str">
        <f>IF([1]BFCyg!L140&lt;&gt;"",[1]BFCyg!L140,"")</f>
        <v/>
      </c>
      <c r="M135" s="2"/>
      <c r="O135" s="4"/>
    </row>
    <row r="136" spans="2:15" x14ac:dyDescent="0.25">
      <c r="B136" s="13"/>
      <c r="C136" s="18">
        <f>IF([1]BFCyg!C141&lt;&gt;"",[1]BFCyg!C141,"")</f>
        <v>42998</v>
      </c>
      <c r="D136" s="19">
        <f>IF([1]BFCyg!D141&lt;&gt;"",[1]BFCyg!D141,"")</f>
        <v>0.10530092592592592</v>
      </c>
      <c r="E136" s="20">
        <f>IF([1]BFCyg!E141&lt;&gt;"",[1]BFCyg!E141,"")</f>
        <v>2458016.6157999998</v>
      </c>
      <c r="F136" s="18" t="str">
        <f>IF([1]BFCyg!F141&lt;&gt;"",[1]BFCyg!F141,"")</f>
        <v>GKA</v>
      </c>
      <c r="G136" s="18" t="str">
        <f>IF([1]BFCyg!G141&lt;&gt;"",[1]BFCyg!G141,"")</f>
        <v>MAN-US</v>
      </c>
      <c r="H136" s="18" t="str">
        <f>IF([1]BFCyg!H141&lt;&gt;"",[1]BFCyg!H141,"")</f>
        <v>SC10+Alpy600</v>
      </c>
      <c r="I136" s="21">
        <f>IF([1]BFCyg!I141&lt;&gt;"",[1]BFCyg!I141,"")</f>
        <v>536</v>
      </c>
      <c r="J136" s="21" t="str">
        <f>IF([1]BFCyg!J141&lt;&gt;"",[1]BFCyg!J141,"")</f>
        <v/>
      </c>
      <c r="K136" s="21" t="str">
        <f>IF([1]BFCyg!K141&lt;&gt;"",[1]BFCyg!K141,"")</f>
        <v/>
      </c>
      <c r="L136" s="21" t="str">
        <f>IF([1]BFCyg!L141&lt;&gt;"",[1]BFCyg!L141,"")</f>
        <v/>
      </c>
      <c r="M136" s="2"/>
      <c r="O136" s="4"/>
    </row>
    <row r="137" spans="2:15" x14ac:dyDescent="0.25">
      <c r="B137" s="13"/>
      <c r="C137" s="18">
        <f>IF([1]BFCyg!C142&lt;&gt;"",[1]BFCyg!C142,"")</f>
        <v>43002</v>
      </c>
      <c r="D137" s="19">
        <f>IF([1]BFCyg!D142&lt;&gt;"",[1]BFCyg!D142,"")</f>
        <v>0.84052083333333327</v>
      </c>
      <c r="E137" s="20">
        <f>IF([1]BFCyg!E142&lt;&gt;"",[1]BFCyg!E142,"")</f>
        <v>2458021.3555999999</v>
      </c>
      <c r="F137" s="18" t="str">
        <f>IF([1]BFCyg!F142&lt;&gt;"",[1]BFCyg!F142,"")</f>
        <v>BUI</v>
      </c>
      <c r="G137" s="18" t="str">
        <f>IF([1]BFCyg!G142&lt;&gt;"",[1]BFCyg!G142,"")</f>
        <v>CAS-FR</v>
      </c>
      <c r="H137" s="18" t="str">
        <f>IF([1]BFCyg!H142&lt;&gt;"",[1]BFCyg!H142,"")</f>
        <v>SC11+eShel+ASI1600</v>
      </c>
      <c r="I137" s="21">
        <f>IF([1]BFCyg!I142&lt;&gt;"",[1]BFCyg!I142,"")</f>
        <v>11000</v>
      </c>
      <c r="J137" s="21" t="str">
        <f>IF([1]BFCyg!J142&lt;&gt;"",[1]BFCyg!J142,"")</f>
        <v/>
      </c>
      <c r="K137" s="21" t="str">
        <f>IF([1]BFCyg!K142&lt;&gt;"",[1]BFCyg!K142,"")</f>
        <v/>
      </c>
      <c r="L137" s="21" t="str">
        <f>IF([1]BFCyg!L142&lt;&gt;"",[1]BFCyg!L142,"")</f>
        <v/>
      </c>
      <c r="M137" s="2"/>
      <c r="O137" s="4"/>
    </row>
    <row r="138" spans="2:15" x14ac:dyDescent="0.25">
      <c r="B138" s="13"/>
      <c r="C138" s="18">
        <f>IF([1]BFCyg!C143&lt;&gt;"",[1]BFCyg!C143,"")</f>
        <v>42998</v>
      </c>
      <c r="D138" s="19">
        <f>IF([1]BFCyg!D143&lt;&gt;"",[1]BFCyg!D143,"")</f>
        <v>0.80906250000000002</v>
      </c>
      <c r="E138" s="20">
        <f>IF([1]BFCyg!E143&lt;&gt;"",[1]BFCyg!E143,"")</f>
        <v>2458017.3369999998</v>
      </c>
      <c r="F138" s="18" t="str">
        <f>IF([1]BFCyg!F143&lt;&gt;"",[1]BFCyg!F143,"")</f>
        <v xml:space="preserve">FMT </v>
      </c>
      <c r="G138" s="18" t="str">
        <f>IF([1]BFCyg!G143&lt;&gt;"",[1]BFCyg!G143,"")</f>
        <v>ORS-FR</v>
      </c>
      <c r="H138" s="18" t="str">
        <f>IF([1]BFCyg!H143&lt;&gt;"",[1]BFCyg!H143,"")</f>
        <v>SC14+eShel+Atik460ex</v>
      </c>
      <c r="I138" s="21">
        <f>IF([1]BFCyg!I143&lt;&gt;"",[1]BFCyg!I143,"")</f>
        <v>11000</v>
      </c>
      <c r="J138" s="21" t="str">
        <f>IF([1]BFCyg!J143&lt;&gt;"",[1]BFCyg!J143,"")</f>
        <v/>
      </c>
      <c r="K138" s="21" t="str">
        <f>IF([1]BFCyg!K143&lt;&gt;"",[1]BFCyg!K143,"")</f>
        <v/>
      </c>
      <c r="L138" s="21" t="str">
        <f>IF([1]BFCyg!L143&lt;&gt;"",[1]BFCyg!L143,"")</f>
        <v/>
      </c>
      <c r="M138" s="2"/>
      <c r="O138" s="4"/>
    </row>
    <row r="139" spans="2:15" x14ac:dyDescent="0.25">
      <c r="B139" s="13"/>
      <c r="C139" s="18">
        <f>IF([1]BFCyg!C144&lt;&gt;"",[1]BFCyg!C144,"")</f>
        <v>43002</v>
      </c>
      <c r="D139" s="19">
        <f>IF([1]BFCyg!D144&lt;&gt;"",[1]BFCyg!D144,"")</f>
        <v>0.28987268518518516</v>
      </c>
      <c r="E139" s="20">
        <f>IF([1]BFCyg!E144&lt;&gt;"",[1]BFCyg!E144,"")</f>
        <v>2458020.7974999999</v>
      </c>
      <c r="F139" s="18" t="str">
        <f>IF([1]BFCyg!F144&lt;&gt;"",[1]BFCyg!F144,"")</f>
        <v>JRF</v>
      </c>
      <c r="G139" s="18" t="str">
        <f>IF([1]BFCyg!G144&lt;&gt;"",[1]BFCyg!G144,"")</f>
        <v>MTP-US</v>
      </c>
      <c r="H139" s="18" t="str">
        <f>IF([1]BFCyg!H144&lt;&gt;"",[1]BFCyg!H144,"")</f>
        <v>CC13LisaATIK460EX</v>
      </c>
      <c r="I139" s="21">
        <f>IF([1]BFCyg!I144&lt;&gt;"",[1]BFCyg!I144,"")</f>
        <v>662</v>
      </c>
      <c r="J139" s="21" t="str">
        <f>IF([1]BFCyg!J144&lt;&gt;"",[1]BFCyg!J144,"")</f>
        <v/>
      </c>
      <c r="K139" s="21" t="str">
        <f>IF([1]BFCyg!K144&lt;&gt;"",[1]BFCyg!K144,"")</f>
        <v/>
      </c>
      <c r="L139" s="21" t="str">
        <f>IF([1]BFCyg!L144&lt;&gt;"",[1]BFCyg!L144,"")</f>
        <v/>
      </c>
      <c r="M139" s="2"/>
      <c r="O139" s="4"/>
    </row>
    <row r="140" spans="2:15" x14ac:dyDescent="0.25">
      <c r="B140" s="13"/>
      <c r="C140" s="28">
        <f>IF([1]BFCyg!C145&lt;&gt;"",[1]BFCyg!C145,"")</f>
        <v>43037</v>
      </c>
      <c r="D140" s="19">
        <f>IF([1]BFCyg!D145&lt;&gt;"",[1]BFCyg!D145,"")</f>
        <v>0.79075231481481489</v>
      </c>
      <c r="E140" s="20">
        <f>IF([1]BFCyg!E145&lt;&gt;"",[1]BFCyg!E145,"")</f>
        <v>2458056.3220000002</v>
      </c>
      <c r="F140" s="18" t="str">
        <f>IF([1]BFCyg!F145&lt;&gt;"",[1]BFCyg!F145,"")</f>
        <v>FCA</v>
      </c>
      <c r="G140" s="18" t="str">
        <f>IF([1]BFCyg!G145&lt;&gt;"",[1]BFCyg!G145,"")</f>
        <v>PAG-SP</v>
      </c>
      <c r="H140" s="18" t="str">
        <f>IF([1]BFCyg!H145&lt;&gt;"",[1]BFCyg!H145,"")</f>
        <v>N-200f/4.7+Barlo</v>
      </c>
      <c r="I140" s="21">
        <f>IF([1]BFCyg!I145&lt;&gt;"",[1]BFCyg!I145,"")</f>
        <v>873</v>
      </c>
      <c r="J140" s="21" t="str">
        <f>IF([1]BFCyg!J145&lt;&gt;"",[1]BFCyg!J145,"")</f>
        <v/>
      </c>
      <c r="K140" s="21" t="str">
        <f>IF([1]BFCyg!K145&lt;&gt;"",[1]BFCyg!K145,"")</f>
        <v/>
      </c>
      <c r="L140" s="21" t="str">
        <f>IF([1]BFCyg!L145&lt;&gt;"",[1]BFCyg!L145,"")</f>
        <v/>
      </c>
      <c r="M140" s="2"/>
      <c r="O140" s="4"/>
    </row>
    <row r="141" spans="2:15" x14ac:dyDescent="0.25">
      <c r="B141" s="13"/>
      <c r="C141" s="18">
        <f>IF([1]BFCyg!C146&lt;&gt;"",[1]BFCyg!C146,"")</f>
        <v>43043</v>
      </c>
      <c r="D141" s="19">
        <f>IF([1]BFCyg!D146&lt;&gt;"",[1]BFCyg!D146,"")</f>
        <v>3.3425925925925921E-2</v>
      </c>
      <c r="E141" s="20">
        <f>IF([1]BFCyg!E146&lt;&gt;"",[1]BFCyg!E146,"")</f>
        <v>2458061.5756000001</v>
      </c>
      <c r="F141" s="18" t="str">
        <f>IF([1]BFCyg!F146&lt;&gt;"",[1]BFCyg!F146,"")</f>
        <v>LES</v>
      </c>
      <c r="G141" s="18" t="str">
        <f>IF([1]BFCyg!G146&lt;&gt;"",[1]BFCyg!G146,"")</f>
        <v>MRO-CA</v>
      </c>
      <c r="H141" s="18" t="str">
        <f>IF([1]BFCyg!H146&lt;&gt;"",[1]BFCyg!H146,"")</f>
        <v>DK310+Echelle_ESSAT</v>
      </c>
      <c r="I141" s="21">
        <f>IF([1]BFCyg!I146&lt;&gt;"",[1]BFCyg!I146,"")</f>
        <v>13000</v>
      </c>
      <c r="J141" s="21" t="str">
        <f>IF([1]BFCyg!J146&lt;&gt;"",[1]BFCyg!J146,"")</f>
        <v/>
      </c>
      <c r="K141" s="21" t="str">
        <f>IF([1]BFCyg!K146&lt;&gt;"",[1]BFCyg!K146,"")</f>
        <v/>
      </c>
      <c r="L141" s="21" t="str">
        <f>IF([1]BFCyg!L146&lt;&gt;"",[1]BFCyg!L146,"")</f>
        <v/>
      </c>
      <c r="M141" s="2"/>
      <c r="O141" s="4"/>
    </row>
    <row r="142" spans="2:15" x14ac:dyDescent="0.25">
      <c r="B142" s="13"/>
      <c r="C142" s="18">
        <f>IF([1]BFCyg!C147&lt;&gt;"",[1]BFCyg!C147,"")</f>
        <v>43044</v>
      </c>
      <c r="D142" s="19">
        <f>IF([1]BFCyg!D147&lt;&gt;"",[1]BFCyg!D147,"")</f>
        <v>0.8178819444444444</v>
      </c>
      <c r="E142" s="20">
        <f>IF([1]BFCyg!E147&lt;&gt;"",[1]BFCyg!E147,"")</f>
        <v>2458063.3391</v>
      </c>
      <c r="F142" s="18" t="str">
        <f>IF([1]BFCyg!F147&lt;&gt;"",[1]BFCyg!F147,"")</f>
        <v>DBO</v>
      </c>
      <c r="G142" s="18" t="str">
        <f>IF([1]BFCyg!G147&lt;&gt;"",[1]BFCyg!G147,"")</f>
        <v>WCO-UK</v>
      </c>
      <c r="H142" s="18" t="str">
        <f>IF([1]BFCyg!H147&lt;&gt;"",[1]BFCyg!H147,"")</f>
        <v>C11+Lisa+SXVR-H</v>
      </c>
      <c r="I142" s="21">
        <f>IF([1]BFCyg!I147&lt;&gt;"",[1]BFCyg!I147,"")</f>
        <v>1058</v>
      </c>
      <c r="J142" s="21" t="str">
        <f>IF([1]BFCyg!J147&lt;&gt;"",[1]BFCyg!J147,"")</f>
        <v/>
      </c>
      <c r="K142" s="21" t="str">
        <f>IF([1]BFCyg!K147&lt;&gt;"",[1]BFCyg!K147,"")</f>
        <v/>
      </c>
      <c r="L142" s="21" t="str">
        <f>IF([1]BFCyg!L147&lt;&gt;"",[1]BFCyg!L147,"")</f>
        <v/>
      </c>
      <c r="M142" s="2"/>
      <c r="O142" s="4"/>
    </row>
    <row r="143" spans="2:15" x14ac:dyDescent="0.25">
      <c r="B143" s="13"/>
      <c r="C143" s="18">
        <f>IF([1]BFCyg!C148&lt;&gt;"",[1]BFCyg!C148,"")</f>
        <v>43052</v>
      </c>
      <c r="D143" s="19">
        <f>IF([1]BFCyg!D148&lt;&gt;"",[1]BFCyg!D148,"")</f>
        <v>0.85334490740740743</v>
      </c>
      <c r="E143" s="20">
        <f>IF([1]BFCyg!E148&lt;&gt;"",[1]BFCyg!E148,"")</f>
        <v>2458071.3550999998</v>
      </c>
      <c r="F143" s="18" t="str">
        <f>IF([1]BFCyg!F148&lt;&gt;"",[1]BFCyg!F148,"")</f>
        <v>FBO</v>
      </c>
      <c r="G143" s="18" t="str">
        <f>IF([1]BFCyg!G148&lt;&gt;"",[1]BFCyg!G148,"")</f>
        <v>SJI-FR</v>
      </c>
      <c r="H143" s="18" t="str">
        <f>IF([1]BFCyg!H148&lt;&gt;"",[1]BFCyg!H148,"")</f>
        <v>SC8+Lisa+ATIK314L+</v>
      </c>
      <c r="I143" s="21">
        <f>IF([1]BFCyg!I148&lt;&gt;"",[1]BFCyg!I148,"")</f>
        <v>1000</v>
      </c>
      <c r="J143" s="21" t="str">
        <f>IF([1]BFCyg!J148&lt;&gt;"",[1]BFCyg!J148,"")</f>
        <v/>
      </c>
      <c r="K143" s="21" t="str">
        <f>IF([1]BFCyg!K148&lt;&gt;"",[1]BFCyg!K148,"")</f>
        <v/>
      </c>
      <c r="L143" s="21" t="str">
        <f>IF([1]BFCyg!L148&lt;&gt;"",[1]BFCyg!L148,"")</f>
        <v/>
      </c>
      <c r="M143" s="2"/>
      <c r="O143" s="4"/>
    </row>
    <row r="144" spans="2:15" x14ac:dyDescent="0.25">
      <c r="B144" s="13"/>
      <c r="C144" s="18">
        <f>IF([1]BFCyg!C149&lt;&gt;"",[1]BFCyg!C149,"")</f>
        <v>43228</v>
      </c>
      <c r="D144" s="19">
        <f>IF([1]BFCyg!D149&lt;&gt;"",[1]BFCyg!D149,"")</f>
        <v>0.22253472222222223</v>
      </c>
      <c r="E144" s="20">
        <f>IF([1]BFCyg!E149&lt;&gt;"",[1]BFCyg!E149,"")</f>
        <v>2458246.7858000002</v>
      </c>
      <c r="F144" s="18" t="str">
        <f>IF([1]BFCyg!F149&lt;&gt;"",[1]BFCyg!F149,"")</f>
        <v>LES</v>
      </c>
      <c r="G144" s="18" t="str">
        <f>IF([1]BFCyg!G149&lt;&gt;"",[1]BFCyg!G149,"")</f>
        <v>MRO-CA</v>
      </c>
      <c r="H144" s="18" t="str">
        <f>IF([1]BFCyg!H149&lt;&gt;"",[1]BFCyg!H149,"")</f>
        <v>DK310+Echelle_ESSAT</v>
      </c>
      <c r="I144" s="21">
        <f>IF([1]BFCyg!I149&lt;&gt;"",[1]BFCyg!I149,"")</f>
        <v>12000</v>
      </c>
      <c r="J144" s="21" t="str">
        <f>IF([1]BFCyg!J149&lt;&gt;"",[1]BFCyg!J149,"")</f>
        <v/>
      </c>
      <c r="K144" s="21" t="str">
        <f>IF([1]BFCyg!K149&lt;&gt;"",[1]BFCyg!K149,"")</f>
        <v/>
      </c>
      <c r="L144" s="21" t="str">
        <f>IF([1]BFCyg!L149&lt;&gt;"",[1]BFCyg!L149,"")</f>
        <v/>
      </c>
      <c r="M144" s="2"/>
      <c r="O144" s="4"/>
    </row>
    <row r="145" spans="2:15" x14ac:dyDescent="0.25">
      <c r="B145" s="13"/>
      <c r="C145" s="18">
        <f>IF([1]BFCyg!C150&lt;&gt;"",[1]BFCyg!C150,"")</f>
        <v>43253</v>
      </c>
      <c r="D145" s="19">
        <f>IF([1]BFCyg!D150&lt;&gt;"",[1]BFCyg!D150,"")</f>
        <v>0.93649305555555562</v>
      </c>
      <c r="E145" s="20">
        <f>IF([1]BFCyg!E150&lt;&gt;"",[1]BFCyg!E150,"")</f>
        <v>2458272.4522000002</v>
      </c>
      <c r="F145" s="18" t="str">
        <f>IF([1]BFCyg!F150&lt;&gt;"",[1]BFCyg!F150,"")</f>
        <v>CBO</v>
      </c>
      <c r="G145" s="18" t="str">
        <f>IF([1]BFCyg!G150&lt;&gt;"",[1]BFCyg!G150,"")</f>
        <v>OCT-FR</v>
      </c>
      <c r="H145" s="18" t="str">
        <f>IF([1]BFCyg!H150&lt;&gt;"",[1]BFCyg!H150,"")</f>
        <v>N8+Alpy600</v>
      </c>
      <c r="I145" s="21">
        <f>IF([1]BFCyg!I150&lt;&gt;"",[1]BFCyg!I150,"")</f>
        <v>503</v>
      </c>
      <c r="J145" s="21" t="str">
        <f>IF([1]BFCyg!J150&lt;&gt;"",[1]BFCyg!J150,"")</f>
        <v/>
      </c>
      <c r="K145" s="21" t="str">
        <f>IF([1]BFCyg!K150&lt;&gt;"",[1]BFCyg!K150,"")</f>
        <v/>
      </c>
      <c r="L145" s="21" t="str">
        <f>IF([1]BFCyg!L150&lt;&gt;"",[1]BFCyg!L150,"")</f>
        <v/>
      </c>
      <c r="M145" s="2"/>
      <c r="O145" s="4"/>
    </row>
    <row r="146" spans="2:15" x14ac:dyDescent="0.25">
      <c r="B146" s="13"/>
      <c r="C146" s="18">
        <f>IF([1]BFCyg!C151&lt;&gt;"",[1]BFCyg!C151,"")</f>
        <v>43261</v>
      </c>
      <c r="D146" s="19">
        <f>IF([1]BFCyg!D151&lt;&gt;"",[1]BFCyg!D151,"")</f>
        <v>0.89165509259259268</v>
      </c>
      <c r="E146" s="20">
        <f>IF([1]BFCyg!E151&lt;&gt;"",[1]BFCyg!E151,"")</f>
        <v>2458280.4429000001</v>
      </c>
      <c r="F146" s="18" t="str">
        <f>IF([1]BFCyg!F151&lt;&gt;"",[1]BFCyg!F151,"")</f>
        <v>SOL</v>
      </c>
      <c r="G146" s="18" t="str">
        <f>IF([1]BFCyg!G151&lt;&gt;"",[1]BFCyg!G151,"")</f>
        <v>AQL-IT</v>
      </c>
      <c r="H146" s="18" t="str">
        <f>IF([1]BFCyg!H151&lt;&gt;"",[1]BFCyg!H151,"")</f>
        <v>SC9+Spectro_JGF1+SbigST-8300</v>
      </c>
      <c r="I146" s="21">
        <f>IF([1]BFCyg!I151&lt;&gt;"",[1]BFCyg!I151,"")</f>
        <v>6970</v>
      </c>
      <c r="J146" s="21" t="str">
        <f>IF([1]BFCyg!J151&lt;&gt;"",[1]BFCyg!J151,"")</f>
        <v/>
      </c>
      <c r="K146" s="21" t="str">
        <f>IF([1]BFCyg!K151&lt;&gt;"",[1]BFCyg!K151,"")</f>
        <v/>
      </c>
      <c r="L146" s="21" t="str">
        <f>IF([1]BFCyg!L151&lt;&gt;"",[1]BFCyg!L151,"")</f>
        <v/>
      </c>
      <c r="M146" s="2"/>
      <c r="O146" s="4"/>
    </row>
    <row r="147" spans="2:15" x14ac:dyDescent="0.25">
      <c r="B147" s="13"/>
      <c r="C147" s="18">
        <f>IF([1]BFCyg!C152&lt;&gt;"",[1]BFCyg!C152,"")</f>
        <v>43264</v>
      </c>
      <c r="D147" s="19">
        <f>IF([1]BFCyg!D152&lt;&gt;"",[1]BFCyg!D152,"")</f>
        <v>0.46949074074074071</v>
      </c>
      <c r="E147" s="20">
        <f>IF([1]BFCyg!E152&lt;&gt;"",[1]BFCyg!E152,"")</f>
        <v>2458282.9770999998</v>
      </c>
      <c r="F147" s="18" t="str">
        <f>IF([1]BFCyg!F152&lt;&gt;"",[1]BFCyg!F152,"")</f>
        <v>JRF</v>
      </c>
      <c r="G147" s="18" t="str">
        <f>IF([1]BFCyg!G152&lt;&gt;"",[1]BFCyg!G152,"")</f>
        <v>MTP-US</v>
      </c>
      <c r="H147" s="18" t="str">
        <f>IF([1]BFCyg!H152&lt;&gt;"",[1]BFCyg!H152,"")</f>
        <v>CC13LisaATIK460EX</v>
      </c>
      <c r="I147" s="21">
        <f>IF([1]BFCyg!I152&lt;&gt;"",[1]BFCyg!I152,"")</f>
        <v>863</v>
      </c>
      <c r="J147" s="21" t="str">
        <f>IF([1]BFCyg!J152&lt;&gt;"",[1]BFCyg!J152,"")</f>
        <v/>
      </c>
      <c r="K147" s="21" t="str">
        <f>IF([1]BFCyg!K152&lt;&gt;"",[1]BFCyg!K152,"")</f>
        <v/>
      </c>
      <c r="L147" s="21" t="str">
        <f>IF([1]BFCyg!L152&lt;&gt;"",[1]BFCyg!L152,"")</f>
        <v/>
      </c>
      <c r="M147" s="2"/>
      <c r="O147" s="4"/>
    </row>
    <row r="148" spans="2:15" x14ac:dyDescent="0.25">
      <c r="B148" s="5"/>
      <c r="C148" s="18">
        <f>IF([1]BFCyg!C153&lt;&gt;"",[1]BFCyg!C153,"")</f>
        <v>43271</v>
      </c>
      <c r="D148" s="19">
        <f>IF([1]BFCyg!D153&lt;&gt;"",[1]BFCyg!D153,"")</f>
        <v>0.19949074074074072</v>
      </c>
      <c r="E148" s="20">
        <f>IF([1]BFCyg!E153&lt;&gt;"",[1]BFCyg!E153,"")</f>
        <v>2458289.7417000001</v>
      </c>
      <c r="F148" s="18" t="str">
        <f>IF([1]BFCyg!F153&lt;&gt;"",[1]BFCyg!F153,"")</f>
        <v>LES</v>
      </c>
      <c r="G148" s="18" t="str">
        <f>IF([1]BFCyg!G153&lt;&gt;"",[1]BFCyg!G153,"")</f>
        <v>MRO-CA</v>
      </c>
      <c r="H148" s="18" t="str">
        <f>IF([1]BFCyg!H153&lt;&gt;"",[1]BFCyg!H153,"")</f>
        <v>DK310+Echelle_ESSAT</v>
      </c>
      <c r="I148" s="21">
        <f>IF([1]BFCyg!I153&lt;&gt;"",[1]BFCyg!I153,"")</f>
        <v>13000</v>
      </c>
      <c r="J148" s="21" t="str">
        <f>IF([1]BFCyg!J153&lt;&gt;"",[1]BFCyg!J153,"")</f>
        <v/>
      </c>
      <c r="K148" s="21" t="str">
        <f>IF([1]BFCyg!K153&lt;&gt;"",[1]BFCyg!K153,"")</f>
        <v/>
      </c>
      <c r="L148" s="21" t="str">
        <f>IF([1]BFCyg!L153&lt;&gt;"",[1]BFCyg!L153,"")</f>
        <v/>
      </c>
      <c r="M148" s="2"/>
      <c r="O148" s="4"/>
    </row>
    <row r="149" spans="2:15" x14ac:dyDescent="0.25">
      <c r="B149" s="5"/>
      <c r="C149" s="18">
        <f>IF([1]BFCyg!C154&lt;&gt;"",[1]BFCyg!C154,"")</f>
        <v>43272</v>
      </c>
      <c r="D149" s="19">
        <f>IF([1]BFCyg!D154&lt;&gt;"",[1]BFCyg!D154,"")</f>
        <v>0.94944444444444442</v>
      </c>
      <c r="E149" s="20">
        <f>IF([1]BFCyg!E154&lt;&gt;"",[1]BFCyg!E154,"")</f>
        <v>2458291.4493999998</v>
      </c>
      <c r="F149" s="18" t="str">
        <f>IF([1]BFCyg!F154&lt;&gt;"",[1]BFCyg!F154,"")</f>
        <v>PCA</v>
      </c>
      <c r="G149" s="18" t="str">
        <f>IF([1]BFCyg!G154&lt;&gt;"",[1]BFCyg!G154,"")</f>
        <v>LEC-IT</v>
      </c>
      <c r="H149" s="18" t="str">
        <f>IF([1]BFCyg!H154&lt;&gt;"",[1]BFCyg!H154,"")</f>
        <v>SC10+Alpy600+Atik414</v>
      </c>
      <c r="I149" s="21">
        <f>IF([1]BFCyg!I154&lt;&gt;"",[1]BFCyg!I154,"")</f>
        <v>535</v>
      </c>
      <c r="J149" s="21" t="str">
        <f>IF([1]BFCyg!J154&lt;&gt;"",[1]BFCyg!J154,"")</f>
        <v/>
      </c>
      <c r="K149" s="21" t="str">
        <f>IF([1]BFCyg!K154&lt;&gt;"",[1]BFCyg!K154,"")</f>
        <v/>
      </c>
      <c r="L149" s="21" t="str">
        <f>IF([1]BFCyg!L154&lt;&gt;"",[1]BFCyg!L154,"")</f>
        <v/>
      </c>
      <c r="M149" s="2"/>
      <c r="O149" s="4"/>
    </row>
    <row r="150" spans="2:15" x14ac:dyDescent="0.25">
      <c r="B150" s="5"/>
      <c r="C150" s="18">
        <f>IF([1]BFCyg!C155&lt;&gt;"",[1]BFCyg!C155,"")</f>
        <v>43277</v>
      </c>
      <c r="D150" s="19">
        <f>IF([1]BFCyg!D155&lt;&gt;"",[1]BFCyg!D155,"")</f>
        <v>0.87142361111111111</v>
      </c>
      <c r="E150" s="20">
        <f>IF([1]BFCyg!E155&lt;&gt;"",[1]BFCyg!E155,"")</f>
        <v>2458296.4062000001</v>
      </c>
      <c r="F150" s="18" t="str">
        <f>IF([1]BFCyg!F155&lt;&gt;"",[1]BFCyg!F155,"")</f>
        <v>JGF</v>
      </c>
      <c r="G150" s="18" t="str">
        <f>IF([1]BFCyg!G155&lt;&gt;"",[1]BFCyg!G155,"")</f>
        <v>PIE-SP</v>
      </c>
      <c r="H150" s="18" t="str">
        <f>IF([1]BFCyg!H155&lt;&gt;"",[1]BFCyg!H155,"")</f>
        <v>MUSSOL</v>
      </c>
      <c r="I150" s="21">
        <f>IF([1]BFCyg!I155&lt;&gt;"",[1]BFCyg!I155,"")</f>
        <v>9000</v>
      </c>
      <c r="J150" s="21" t="str">
        <f>IF([1]BFCyg!J155&lt;&gt;"",[1]BFCyg!J155,"")</f>
        <v/>
      </c>
      <c r="K150" s="21" t="str">
        <f>IF([1]BFCyg!K155&lt;&gt;"",[1]BFCyg!K155,"")</f>
        <v/>
      </c>
      <c r="L150" s="21" t="str">
        <f>IF([1]BFCyg!L155&lt;&gt;"",[1]BFCyg!L155,"")</f>
        <v/>
      </c>
      <c r="M150" s="2"/>
      <c r="O150" s="4"/>
    </row>
    <row r="151" spans="2:15" x14ac:dyDescent="0.25">
      <c r="B151" s="5"/>
      <c r="C151" s="18">
        <f>IF([1]BFCyg!C156&lt;&gt;"",[1]BFCyg!C156,"")</f>
        <v>43285</v>
      </c>
      <c r="D151" s="19">
        <f>IF([1]BFCyg!D156&lt;&gt;"",[1]BFCyg!D156,"")</f>
        <v>0.11898148148148148</v>
      </c>
      <c r="E151" s="20">
        <f>IF([1]BFCyg!E156&lt;&gt;"",[1]BFCyg!E156,"")</f>
        <v>2458303.6828999999</v>
      </c>
      <c r="F151" s="18" t="str">
        <f>IF([1]BFCyg!F156&lt;&gt;"",[1]BFCyg!F156,"")</f>
        <v>LES</v>
      </c>
      <c r="G151" s="18" t="str">
        <f>IF([1]BFCyg!G156&lt;&gt;"",[1]BFCyg!G156,"")</f>
        <v>MRO-CA</v>
      </c>
      <c r="H151" s="18" t="str">
        <f>IF([1]BFCyg!H156&lt;&gt;"",[1]BFCyg!H156,"")</f>
        <v>DK310+Echelle_ESSAT</v>
      </c>
      <c r="I151" s="21">
        <f>IF([1]BFCyg!I156&lt;&gt;"",[1]BFCyg!I156,"")</f>
        <v>13000</v>
      </c>
      <c r="J151" s="21" t="str">
        <f>IF([1]BFCyg!J156&lt;&gt;"",[1]BFCyg!J156,"")</f>
        <v/>
      </c>
      <c r="K151" s="21" t="str">
        <f>IF([1]BFCyg!K156&lt;&gt;"",[1]BFCyg!K156,"")</f>
        <v/>
      </c>
      <c r="L151" s="21" t="str">
        <f>IF([1]BFCyg!L156&lt;&gt;"",[1]BFCyg!L156,"")</f>
        <v/>
      </c>
      <c r="M151" s="2"/>
      <c r="O151" s="4"/>
    </row>
    <row r="152" spans="2:15" x14ac:dyDescent="0.25">
      <c r="B152" s="5"/>
      <c r="C152" s="18">
        <f>IF([1]BFCyg!C157&lt;&gt;"",[1]BFCyg!C157,"")</f>
        <v>43288</v>
      </c>
      <c r="D152" s="19">
        <f>IF([1]BFCyg!D157&lt;&gt;"",[1]BFCyg!D157,"")</f>
        <v>0.94052083333333336</v>
      </c>
      <c r="E152" s="20">
        <f>IF([1]BFCyg!E157&lt;&gt;"",[1]BFCyg!E157,"")</f>
        <v>2458307.4544000002</v>
      </c>
      <c r="F152" s="18" t="str">
        <f>IF([1]BFCyg!F157&lt;&gt;"",[1]BFCyg!F157,"")</f>
        <v>FRA</v>
      </c>
      <c r="G152" s="18" t="str">
        <f>IF([1]BFCyg!G157&lt;&gt;"",[1]BFCyg!G157,"")</f>
        <v>BAL-IT</v>
      </c>
      <c r="H152" s="18" t="str">
        <f>IF([1]BFCyg!H157&lt;&gt;"",[1]BFCyg!H157,"")</f>
        <v>SC8+Alpy600</v>
      </c>
      <c r="I152" s="21">
        <f>IF([1]BFCyg!I157&lt;&gt;"",[1]BFCyg!I157,"")</f>
        <v>530</v>
      </c>
      <c r="J152" s="21" t="str">
        <f>IF([1]BFCyg!J157&lt;&gt;"",[1]BFCyg!J157,"")</f>
        <v/>
      </c>
      <c r="K152" s="21" t="str">
        <f>IF([1]BFCyg!K157&lt;&gt;"",[1]BFCyg!K157,"")</f>
        <v/>
      </c>
      <c r="L152" s="21" t="str">
        <f>IF([1]BFCyg!L157&lt;&gt;"",[1]BFCyg!L157,"")</f>
        <v/>
      </c>
      <c r="M152" s="2"/>
      <c r="O152" s="4"/>
    </row>
    <row r="153" spans="2:15" x14ac:dyDescent="0.25">
      <c r="B153" s="5"/>
      <c r="C153" s="18">
        <f>IF([1]BFCyg!C158&lt;&gt;"",[1]BFCyg!C158,"")</f>
        <v>43322</v>
      </c>
      <c r="D153" s="19">
        <f>IF([1]BFCyg!D158&lt;&gt;"",[1]BFCyg!D158,"")</f>
        <v>0.16133101851851853</v>
      </c>
      <c r="E153" s="20">
        <f>IF([1]BFCyg!E158&lt;&gt;"",[1]BFCyg!E158,"")</f>
        <v>2458340.6752999998</v>
      </c>
      <c r="F153" s="18" t="str">
        <f>IF([1]BFCyg!F158&lt;&gt;"",[1]BFCyg!F158,"")</f>
        <v>GKA</v>
      </c>
      <c r="G153" s="18" t="str">
        <f>IF([1]BFCyg!G158&lt;&gt;"",[1]BFCyg!G158,"")</f>
        <v>MAN-US</v>
      </c>
      <c r="H153" s="18" t="str">
        <f>IF([1]BFCyg!H158&lt;&gt;"",[1]BFCyg!H158,"")</f>
        <v>SC10"+Alpy600+ATIK314L</v>
      </c>
      <c r="I153" s="21">
        <f>IF([1]BFCyg!I158&lt;&gt;"",[1]BFCyg!I158,"")</f>
        <v>561</v>
      </c>
      <c r="J153" s="21" t="str">
        <f>IF([1]BFCyg!J158&lt;&gt;"",[1]BFCyg!J158,"")</f>
        <v/>
      </c>
      <c r="K153" s="21" t="str">
        <f>IF([1]BFCyg!K158&lt;&gt;"",[1]BFCyg!K158,"")</f>
        <v/>
      </c>
      <c r="L153" s="21" t="str">
        <f>IF([1]BFCyg!L158&lt;&gt;"",[1]BFCyg!L158,"")</f>
        <v/>
      </c>
      <c r="M153" s="2"/>
      <c r="O153" s="4"/>
    </row>
    <row r="154" spans="2:15" x14ac:dyDescent="0.25">
      <c r="B154" s="5"/>
      <c r="C154" s="18">
        <f>IF([1]BFCyg!C159&lt;&gt;"",[1]BFCyg!C159,"")</f>
        <v>43289</v>
      </c>
      <c r="D154" s="19">
        <f>IF([1]BFCyg!D159&lt;&gt;"",[1]BFCyg!D159,"")</f>
        <v>0.39599537037037041</v>
      </c>
      <c r="E154" s="20">
        <f>IF([1]BFCyg!E159&lt;&gt;"",[1]BFCyg!E159,"")</f>
        <v>2458307.9084999999</v>
      </c>
      <c r="F154" s="18" t="str">
        <f>IF([1]BFCyg!F159&lt;&gt;"",[1]BFCyg!F159,"")</f>
        <v>JRF</v>
      </c>
      <c r="G154" s="18" t="str">
        <f>IF([1]BFCyg!G159&lt;&gt;"",[1]BFCyg!G159,"")</f>
        <v>MTP-US</v>
      </c>
      <c r="H154" s="18" t="str">
        <f>IF([1]BFCyg!H159&lt;&gt;"",[1]BFCyg!H159,"")</f>
        <v>CC13LisaATIK460EX</v>
      </c>
      <c r="I154" s="21">
        <f>IF([1]BFCyg!I159&lt;&gt;"",[1]BFCyg!I159,"")</f>
        <v>889</v>
      </c>
      <c r="J154" s="21" t="str">
        <f>IF([1]BFCyg!J159&lt;&gt;"",[1]BFCyg!J159,"")</f>
        <v/>
      </c>
      <c r="K154" s="21" t="str">
        <f>IF([1]BFCyg!K159&lt;&gt;"",[1]BFCyg!K159,"")</f>
        <v/>
      </c>
      <c r="L154" s="21" t="str">
        <f>IF([1]BFCyg!L159&lt;&gt;"",[1]BFCyg!L159,"")</f>
        <v/>
      </c>
      <c r="M154" s="2"/>
      <c r="O154" s="4"/>
    </row>
    <row r="155" spans="2:15" x14ac:dyDescent="0.25">
      <c r="B155" s="5"/>
      <c r="C155" s="18">
        <f>IF([1]BFCyg!C160&lt;&gt;"",[1]BFCyg!C160,"")</f>
        <v>43321</v>
      </c>
      <c r="D155" s="19">
        <f>IF([1]BFCyg!D160&lt;&gt;"",[1]BFCyg!D160,"")</f>
        <v>0.95991898148148147</v>
      </c>
      <c r="E155" s="20">
        <f>IF([1]BFCyg!E160&lt;&gt;"",[1]BFCyg!E160,"")</f>
        <v>2458340.4808999998</v>
      </c>
      <c r="F155" s="18" t="str">
        <f>IF([1]BFCyg!F160&lt;&gt;"",[1]BFCyg!F160,"")</f>
        <v>CBO</v>
      </c>
      <c r="G155" s="18" t="str">
        <f>IF([1]BFCyg!G160&lt;&gt;"",[1]BFCyg!G160,"")</f>
        <v>OCT-FR</v>
      </c>
      <c r="H155" s="18" t="str">
        <f>IF([1]BFCyg!H160&lt;&gt;"",[1]BFCyg!H160,"")</f>
        <v>N200+Alpy600</v>
      </c>
      <c r="I155" s="21">
        <f>IF([1]BFCyg!I160&lt;&gt;"",[1]BFCyg!I160,"")</f>
        <v>501</v>
      </c>
      <c r="J155" s="21" t="str">
        <f>IF([1]BFCyg!J160&lt;&gt;"",[1]BFCyg!J160,"")</f>
        <v/>
      </c>
      <c r="K155" s="21" t="str">
        <f>IF([1]BFCyg!K160&lt;&gt;"",[1]BFCyg!K160,"")</f>
        <v/>
      </c>
      <c r="L155" s="21" t="str">
        <f>IF([1]BFCyg!L160&lt;&gt;"",[1]BFCyg!L160,"")</f>
        <v/>
      </c>
      <c r="M155" s="2"/>
      <c r="O155" s="4"/>
    </row>
    <row r="156" spans="2:15" x14ac:dyDescent="0.25">
      <c r="B156" s="5"/>
      <c r="C156" s="18">
        <f>IF([1]BFCyg!C161&lt;&gt;"",[1]BFCyg!C161,"")</f>
        <v>43341</v>
      </c>
      <c r="D156" s="19">
        <f>IF([1]BFCyg!D161&lt;&gt;"",[1]BFCyg!D161,"")</f>
        <v>0.86364583333333333</v>
      </c>
      <c r="E156" s="20">
        <f>IF([1]BFCyg!E161&lt;&gt;"",[1]BFCyg!E161,"")</f>
        <v>2458360.3741000001</v>
      </c>
      <c r="F156" s="18" t="str">
        <f>IF([1]BFCyg!F161&lt;&gt;"",[1]BFCyg!F161,"")</f>
        <v>FRA</v>
      </c>
      <c r="G156" s="18" t="str">
        <f>IF([1]BFCyg!G161&lt;&gt;"",[1]BFCyg!G161,"")</f>
        <v>BAL-IT</v>
      </c>
      <c r="H156" s="18" t="str">
        <f>IF([1]BFCyg!H161&lt;&gt;"",[1]BFCyg!H161,"")</f>
        <v>SC8_F/5+Alpy600</v>
      </c>
      <c r="I156" s="21">
        <f>IF([1]BFCyg!I161&lt;&gt;"",[1]BFCyg!I161,"")</f>
        <v>524</v>
      </c>
      <c r="J156" s="21" t="str">
        <f>IF([1]BFCyg!J161&lt;&gt;"",[1]BFCyg!J161,"")</f>
        <v/>
      </c>
      <c r="K156" s="21" t="str">
        <f>IF([1]BFCyg!K161&lt;&gt;"",[1]BFCyg!K161,"")</f>
        <v/>
      </c>
      <c r="L156" s="21" t="str">
        <f>IF([1]BFCyg!L161&lt;&gt;"",[1]BFCyg!L161,"")</f>
        <v/>
      </c>
      <c r="M156" s="2"/>
      <c r="O156" s="4"/>
    </row>
    <row r="157" spans="2:15" x14ac:dyDescent="0.25">
      <c r="B157" s="5"/>
      <c r="C157" s="18">
        <f>IF([1]BFCyg!C162&lt;&gt;"",[1]BFCyg!C162,"")</f>
        <v>43366</v>
      </c>
      <c r="D157" s="19">
        <f>IF([1]BFCyg!D162&lt;&gt;"",[1]BFCyg!D162,"")</f>
        <v>0.85819444444444448</v>
      </c>
      <c r="E157" s="20">
        <f>IF([1]BFCyg!E162&lt;&gt;"",[1]BFCyg!E162,"")</f>
        <v>2458385.3720999998</v>
      </c>
      <c r="F157" s="18" t="str">
        <f>IF([1]BFCyg!F162&lt;&gt;"",[1]BFCyg!F162,"")</f>
        <v>FCA</v>
      </c>
      <c r="G157" s="18" t="str">
        <f>IF([1]BFCyg!G162&lt;&gt;"",[1]BFCyg!G162,"")</f>
        <v>PAG-SP</v>
      </c>
      <c r="H157" s="18" t="str">
        <f>IF([1]BFCyg!H162&lt;&gt;"",[1]BFCyg!H162,"")</f>
        <v>RC350 _F/8 +DADOS_200+Atik314L+'</v>
      </c>
      <c r="I157" s="21">
        <f>IF([1]BFCyg!I162&lt;&gt;"",[1]BFCyg!I162,"")</f>
        <v>660</v>
      </c>
      <c r="J157" s="21" t="str">
        <f>IF([1]BFCyg!J162&lt;&gt;"",[1]BFCyg!J162,"")</f>
        <v/>
      </c>
      <c r="K157" s="21" t="str">
        <f>IF([1]BFCyg!K162&lt;&gt;"",[1]BFCyg!K162,"")</f>
        <v/>
      </c>
      <c r="L157" s="21" t="str">
        <f>IF([1]BFCyg!L162&lt;&gt;"",[1]BFCyg!L162,"")</f>
        <v/>
      </c>
      <c r="M157" s="2"/>
      <c r="O157" s="4"/>
    </row>
    <row r="158" spans="2:15" x14ac:dyDescent="0.25">
      <c r="B158" s="5"/>
      <c r="C158" s="18">
        <f>IF([1]BFCyg!C163&lt;&gt;"",[1]BFCyg!C163,"")</f>
        <v>43367</v>
      </c>
      <c r="D158" s="19">
        <f>IF([1]BFCyg!D163&lt;&gt;"",[1]BFCyg!D163,"")</f>
        <v>3.3923611111111113E-2</v>
      </c>
      <c r="E158" s="20">
        <f>IF([1]BFCyg!E163&lt;&gt;"",[1]BFCyg!E163,"")</f>
        <v>2458385.5548</v>
      </c>
      <c r="F158" s="18" t="str">
        <f>IF([1]BFCyg!F163&lt;&gt;"",[1]BFCyg!F163,"")</f>
        <v>GKA</v>
      </c>
      <c r="G158" s="18" t="str">
        <f>IF([1]BFCyg!G163&lt;&gt;"",[1]BFCyg!G163,"")</f>
        <v>MAN-US</v>
      </c>
      <c r="H158" s="18" t="str">
        <f>IF([1]BFCyg!H163&lt;&gt;"",[1]BFCyg!H163,"")</f>
        <v>SC10+Alpy600+Atik314L</v>
      </c>
      <c r="I158" s="21">
        <f>IF([1]BFCyg!I163&lt;&gt;"",[1]BFCyg!I163,"")</f>
        <v>543</v>
      </c>
      <c r="J158" s="21" t="str">
        <f>IF([1]BFCyg!J163&lt;&gt;"",[1]BFCyg!J163,"")</f>
        <v/>
      </c>
      <c r="K158" s="21" t="str">
        <f>IF([1]BFCyg!K163&lt;&gt;"",[1]BFCyg!K163,"")</f>
        <v/>
      </c>
      <c r="L158" s="21" t="str">
        <f>IF([1]BFCyg!L163&lt;&gt;"",[1]BFCyg!L163,"")</f>
        <v/>
      </c>
      <c r="M158" s="2"/>
      <c r="O158" s="4"/>
    </row>
    <row r="159" spans="2:15" x14ac:dyDescent="0.25">
      <c r="B159" s="5"/>
      <c r="C159" s="18">
        <f>IF([1]BFCyg!C164&lt;&gt;"",[1]BFCyg!C164,"")</f>
        <v>43375</v>
      </c>
      <c r="D159" s="19">
        <f>IF([1]BFCyg!D164&lt;&gt;"",[1]BFCyg!D164,"")</f>
        <v>0.81763888888888892</v>
      </c>
      <c r="E159" s="20">
        <f>IF([1]BFCyg!E164&lt;&gt;"",[1]BFCyg!E164,"")</f>
        <v>2458394.3873000001</v>
      </c>
      <c r="F159" s="18" t="str">
        <f>IF([1]BFCyg!F164&lt;&gt;"",[1]BFCyg!F164,"")</f>
        <v>JGF</v>
      </c>
      <c r="G159" s="18" t="str">
        <f>IF([1]BFCyg!G164&lt;&gt;"",[1]BFCyg!G164,"")</f>
        <v>PIE-SP</v>
      </c>
      <c r="H159" s="18" t="str">
        <f>IF([1]BFCyg!H164&lt;&gt;"",[1]BFCyg!H164,"")</f>
        <v>MUSSOL</v>
      </c>
      <c r="I159" s="21">
        <f>IF([1]BFCyg!I164&lt;&gt;"",[1]BFCyg!I164,"")</f>
        <v>9000</v>
      </c>
      <c r="J159" s="21" t="str">
        <f>IF([1]BFCyg!J164&lt;&gt;"",[1]BFCyg!J164,"")</f>
        <v/>
      </c>
      <c r="K159" s="21" t="str">
        <f>IF([1]BFCyg!K164&lt;&gt;"",[1]BFCyg!K164,"")</f>
        <v/>
      </c>
      <c r="L159" s="21" t="str">
        <f>IF([1]BFCyg!L164&lt;&gt;"",[1]BFCyg!L164,"")</f>
        <v/>
      </c>
      <c r="M159" s="2"/>
      <c r="O159" s="4"/>
    </row>
    <row r="160" spans="2:15" x14ac:dyDescent="0.25">
      <c r="B160" s="5"/>
      <c r="C160" s="18">
        <f>IF([1]BFCyg!C165&lt;&gt;"",[1]BFCyg!C165,"")</f>
        <v>43404</v>
      </c>
      <c r="D160" s="19">
        <f>IF([1]BFCyg!D165&lt;&gt;"",[1]BFCyg!D165,"")</f>
        <v>0.74571759259259263</v>
      </c>
      <c r="E160" s="20">
        <f>IF([1]BFCyg!E165&lt;&gt;"",[1]BFCyg!E165,"")</f>
        <v>2458423.2346999999</v>
      </c>
      <c r="F160" s="18" t="str">
        <f>IF([1]BFCyg!F165&lt;&gt;"",[1]BFCyg!F165,"")</f>
        <v>PSO</v>
      </c>
      <c r="G160" s="18" t="str">
        <f>IF([1]BFCyg!G165&lt;&gt;"",[1]BFCyg!G165,"")</f>
        <v>TAT-HU</v>
      </c>
      <c r="H160" s="18" t="str">
        <f>IF([1]BFCyg!H165&lt;&gt;"",[1]BFCyg!H165,"")</f>
        <v>T300+LhiresIII_600_35+Atik428esm</v>
      </c>
      <c r="I160" s="21">
        <f>IF([1]BFCyg!I165&lt;&gt;"",[1]BFCyg!I165,"")</f>
        <v>2193</v>
      </c>
      <c r="J160" s="21" t="str">
        <f>IF([1]BFCyg!J165&lt;&gt;"",[1]BFCyg!J165,"")</f>
        <v/>
      </c>
      <c r="K160" s="21" t="str">
        <f>IF([1]BFCyg!K165&lt;&gt;"",[1]BFCyg!K165,"")</f>
        <v/>
      </c>
      <c r="L160" s="21" t="str">
        <f>IF([1]BFCyg!L165&lt;&gt;"",[1]BFCyg!L165,"")</f>
        <v/>
      </c>
      <c r="M160" s="2"/>
      <c r="O160" s="4"/>
    </row>
    <row r="161" spans="2:15" x14ac:dyDescent="0.25">
      <c r="B161" s="5"/>
      <c r="C161" s="18">
        <f>IF([1]BFCyg!C166&lt;&gt;"",[1]BFCyg!C166,"")</f>
        <v>43577</v>
      </c>
      <c r="D161" s="19">
        <f>IF([1]BFCyg!D166&lt;&gt;"",[1]BFCyg!D166,"")</f>
        <v>0.25783564814814813</v>
      </c>
      <c r="E161" s="20">
        <f>IF([1]BFCyg!E166&lt;&gt;"",[1]BFCyg!E166,"")</f>
        <v>2458595.8007999999</v>
      </c>
      <c r="F161" s="18" t="str">
        <f>IF([1]BFCyg!F166&lt;&gt;"",[1]BFCyg!F166,"")</f>
        <v>LES</v>
      </c>
      <c r="G161" s="18" t="str">
        <f>IF([1]BFCyg!G166&lt;&gt;"",[1]BFCyg!G166,"")</f>
        <v>MRO-CA</v>
      </c>
      <c r="H161" s="18" t="str">
        <f>IF([1]BFCyg!H166&lt;&gt;"",[1]BFCyg!H166,"")</f>
        <v>31cmDK+ESSAT</v>
      </c>
      <c r="I161" s="21">
        <f>IF([1]BFCyg!I166&lt;&gt;"",[1]BFCyg!I166,"")</f>
        <v>14000</v>
      </c>
      <c r="J161" s="21" t="str">
        <f>IF([1]BFCyg!J166&lt;&gt;"",[1]BFCyg!J166,"")</f>
        <v/>
      </c>
      <c r="K161" s="21" t="str">
        <f>IF([1]BFCyg!K166&lt;&gt;"",[1]BFCyg!K166,"")</f>
        <v/>
      </c>
      <c r="L161" s="21" t="str">
        <f>IF([1]BFCyg!L166&lt;&gt;"",[1]BFCyg!L166,"")</f>
        <v/>
      </c>
      <c r="M161" s="20"/>
      <c r="O161" s="4"/>
    </row>
    <row r="162" spans="2:15" x14ac:dyDescent="0.25">
      <c r="B162" s="5"/>
      <c r="C162" s="18">
        <f>IF([1]BFCyg!C167&lt;&gt;"",[1]BFCyg!C167,"")</f>
        <v>43640</v>
      </c>
      <c r="D162" s="19">
        <f>IF([1]BFCyg!D167&lt;&gt;"",[1]BFCyg!D167,"")</f>
        <v>0.21731481481481482</v>
      </c>
      <c r="E162" s="20">
        <f>IF([1]BFCyg!E167&lt;&gt;"",[1]BFCyg!E167,"")</f>
        <v>2458658.767</v>
      </c>
      <c r="F162" s="18" t="str">
        <f>IF([1]BFCyg!F167&lt;&gt;"",[1]BFCyg!F167,"")</f>
        <v>LES</v>
      </c>
      <c r="G162" s="18" t="str">
        <f>IF([1]BFCyg!G167&lt;&gt;"",[1]BFCyg!G167,"")</f>
        <v>MRO-CA</v>
      </c>
      <c r="H162" s="18" t="str">
        <f>IF([1]BFCyg!H167&lt;&gt;"",[1]BFCyg!H167,"")</f>
        <v>31cmDK+ESSAT</v>
      </c>
      <c r="I162" s="21">
        <f>IF([1]BFCyg!I167&lt;&gt;"",[1]BFCyg!I167,"")</f>
        <v>14000</v>
      </c>
      <c r="J162" s="21" t="str">
        <f>IF([1]BFCyg!J167&lt;&gt;"",[1]BFCyg!J167,"")</f>
        <v/>
      </c>
      <c r="K162" s="21" t="str">
        <f>IF([1]BFCyg!K167&lt;&gt;"",[1]BFCyg!K167,"")</f>
        <v/>
      </c>
      <c r="L162" s="21" t="str">
        <f>IF([1]BFCyg!L167&lt;&gt;"",[1]BFCyg!L167,"")</f>
        <v/>
      </c>
      <c r="M162" s="20"/>
      <c r="O162" s="4"/>
    </row>
    <row r="163" spans="2:15" x14ac:dyDescent="0.25">
      <c r="B163" s="5"/>
      <c r="C163" s="18">
        <f>IF([1]BFCyg!C168&lt;&gt;"",[1]BFCyg!C168,"")</f>
        <v>43641</v>
      </c>
      <c r="D163" s="19">
        <f>IF([1]BFCyg!D168&lt;&gt;"",[1]BFCyg!D168,"")</f>
        <v>0.85837962962962966</v>
      </c>
      <c r="E163" s="20">
        <f>IF([1]BFCyg!E168&lt;&gt;"",[1]BFCyg!E168,"")</f>
        <v>2458660.4018999999</v>
      </c>
      <c r="F163" s="18" t="str">
        <f>IF([1]BFCyg!F168&lt;&gt;"",[1]BFCyg!F168,"")</f>
        <v>JGF</v>
      </c>
      <c r="G163" s="18" t="str">
        <f>IF([1]BFCyg!G168&lt;&gt;"",[1]BFCyg!G168,"")</f>
        <v>PIE-SP</v>
      </c>
      <c r="H163" s="18" t="str">
        <f>IF([1]BFCyg!H168&lt;&gt;"",[1]BFCyg!H168,"")</f>
        <v>MUSSOL</v>
      </c>
      <c r="I163" s="21">
        <f>IF([1]BFCyg!I168&lt;&gt;"",[1]BFCyg!I168,"")</f>
        <v>9000</v>
      </c>
      <c r="J163" s="21" t="str">
        <f>IF([1]BFCyg!J168&lt;&gt;"",[1]BFCyg!J168,"")</f>
        <v/>
      </c>
      <c r="K163" s="21" t="str">
        <f>IF([1]BFCyg!K168&lt;&gt;"",[1]BFCyg!K168,"")</f>
        <v/>
      </c>
      <c r="L163" s="21" t="str">
        <f>IF([1]BFCyg!L168&lt;&gt;"",[1]BFCyg!L168,"")</f>
        <v/>
      </c>
      <c r="M163" s="20"/>
      <c r="O163" s="4"/>
    </row>
    <row r="164" spans="2:15" x14ac:dyDescent="0.25">
      <c r="B164" s="5"/>
      <c r="C164" s="18">
        <f>IF([1]BFCyg!C169&lt;&gt;"",[1]BFCyg!C169,"")</f>
        <v>43648</v>
      </c>
      <c r="D164" s="19">
        <f>IF([1]BFCyg!D169&lt;&gt;"",[1]BFCyg!D169,"")</f>
        <v>0.87108796296296298</v>
      </c>
      <c r="E164" s="20">
        <f>IF([1]BFCyg!E169&lt;&gt;"",[1]BFCyg!E169,"")</f>
        <v>2458667.4128999999</v>
      </c>
      <c r="F164" s="18" t="str">
        <f>IF([1]BFCyg!F169&lt;&gt;"",[1]BFCyg!F169,"")</f>
        <v>JGF</v>
      </c>
      <c r="G164" s="18" t="str">
        <f>IF([1]BFCyg!G169&lt;&gt;"",[1]BFCyg!G169,"")</f>
        <v>SMM-SP</v>
      </c>
      <c r="H164" s="18" t="str">
        <f>IF([1]BFCyg!H169&lt;&gt;"",[1]BFCyg!H169,"")</f>
        <v>16REMOTLINX460EX</v>
      </c>
      <c r="I164" s="21">
        <f>IF([1]BFCyg!I169&lt;&gt;"",[1]BFCyg!I169,"")</f>
        <v>9000</v>
      </c>
      <c r="J164" s="21" t="str">
        <f>IF([1]BFCyg!J169&lt;&gt;"",[1]BFCyg!J169,"")</f>
        <v/>
      </c>
      <c r="K164" s="21" t="str">
        <f>IF([1]BFCyg!K169&lt;&gt;"",[1]BFCyg!K169,"")</f>
        <v/>
      </c>
      <c r="L164" s="21" t="str">
        <f>IF([1]BFCyg!L169&lt;&gt;"",[1]BFCyg!L169,"")</f>
        <v/>
      </c>
      <c r="M164" s="20"/>
      <c r="O164" s="4"/>
    </row>
    <row r="165" spans="2:15" x14ac:dyDescent="0.25">
      <c r="B165" s="5"/>
      <c r="C165" s="18">
        <f>IF([1]BFCyg!C170&lt;&gt;"",[1]BFCyg!C170,"")</f>
        <v>43658</v>
      </c>
      <c r="D165" s="19">
        <f>IF([1]BFCyg!D170&lt;&gt;"",[1]BFCyg!D170,"")</f>
        <v>0.8809837962962962</v>
      </c>
      <c r="E165" s="20">
        <f>IF([1]BFCyg!E170&lt;&gt;"",[1]BFCyg!E170,"")</f>
        <v>2458677.4298</v>
      </c>
      <c r="F165" s="18" t="str">
        <f>IF([1]BFCyg!F170&lt;&gt;"",[1]BFCyg!F170,"")</f>
        <v>JGF</v>
      </c>
      <c r="G165" s="18" t="str">
        <f>IF([1]BFCyg!G170&lt;&gt;"",[1]BFCyg!G170,"")</f>
        <v>PIE-SP</v>
      </c>
      <c r="H165" s="18" t="str">
        <f>IF([1]BFCyg!H170&lt;&gt;"",[1]BFCyg!H170,"")</f>
        <v>MUSSOL</v>
      </c>
      <c r="I165" s="21">
        <f>IF([1]BFCyg!I170&lt;&gt;"",[1]BFCyg!I170,"")</f>
        <v>9000</v>
      </c>
      <c r="J165" s="21" t="str">
        <f>IF([1]BFCyg!J170&lt;&gt;"",[1]BFCyg!J170,"")</f>
        <v/>
      </c>
      <c r="K165" s="21" t="str">
        <f>IF([1]BFCyg!K170&lt;&gt;"",[1]BFCyg!K170,"")</f>
        <v/>
      </c>
      <c r="L165" s="21" t="str">
        <f>IF([1]BFCyg!L170&lt;&gt;"",[1]BFCyg!L170,"")</f>
        <v/>
      </c>
      <c r="M165" s="20"/>
      <c r="O165" s="4"/>
    </row>
    <row r="166" spans="2:15" x14ac:dyDescent="0.25">
      <c r="B166" s="5"/>
      <c r="C166" s="18">
        <f>IF([1]BFCyg!C171&lt;&gt;"",[1]BFCyg!C171,"")</f>
        <v>43669</v>
      </c>
      <c r="D166" s="19">
        <f>IF([1]BFCyg!D171&lt;&gt;"",[1]BFCyg!D171,"")</f>
        <v>0.85722222222222222</v>
      </c>
      <c r="E166" s="20">
        <f>IF([1]BFCyg!E171&lt;&gt;"",[1]BFCyg!E171,"")</f>
        <v>2458688.3898</v>
      </c>
      <c r="F166" s="18" t="str">
        <f>IF([1]BFCyg!F171&lt;&gt;"",[1]BFCyg!F171,"")</f>
        <v>JMI</v>
      </c>
      <c r="G166" s="18" t="str">
        <f>IF([1]BFCyg!G171&lt;&gt;"",[1]BFCyg!G171,"")</f>
        <v>SAO-FR</v>
      </c>
      <c r="H166" s="18" t="str">
        <f>IF([1]BFCyg!H171&lt;&gt;"",[1]BFCyg!H171,"")</f>
        <v>C11-Lisa-Atik460EX</v>
      </c>
      <c r="I166" s="21">
        <f>IF([1]BFCyg!I171&lt;&gt;"",[1]BFCyg!I171,"")</f>
        <v>1011</v>
      </c>
      <c r="J166" s="21" t="str">
        <f>IF([1]BFCyg!J171&lt;&gt;"",[1]BFCyg!J171,"")</f>
        <v/>
      </c>
      <c r="K166" s="21" t="str">
        <f>IF([1]BFCyg!K171&lt;&gt;"",[1]BFCyg!K171,"")</f>
        <v/>
      </c>
      <c r="L166" s="21" t="str">
        <f>IF([1]BFCyg!L171&lt;&gt;"",[1]BFCyg!L171,"")</f>
        <v/>
      </c>
      <c r="M166" s="20"/>
      <c r="O166" s="4"/>
    </row>
    <row r="167" spans="2:15" x14ac:dyDescent="0.25">
      <c r="B167" s="5"/>
      <c r="C167" s="18">
        <f>IF([1]BFCyg!C172&lt;&gt;"",[1]BFCyg!C172,"")</f>
        <v>43686</v>
      </c>
      <c r="D167" s="19">
        <f>IF([1]BFCyg!D172&lt;&gt;"",[1]BFCyg!D172,"")</f>
        <v>0.14607638888888888</v>
      </c>
      <c r="E167" s="20">
        <f>IF([1]BFCyg!E172&lt;&gt;"",[1]BFCyg!E172,"")</f>
        <v>2458704.6537000001</v>
      </c>
      <c r="F167" s="18" t="str">
        <f>IF([1]BFCyg!F172&lt;&gt;"",[1]BFCyg!F172,"")</f>
        <v>GKA</v>
      </c>
      <c r="G167" s="18" t="str">
        <f>IF([1]BFCyg!G172&lt;&gt;"",[1]BFCyg!G172,"")</f>
        <v>GRL-US</v>
      </c>
      <c r="H167" s="18" t="str">
        <f>IF([1]BFCyg!H172&lt;&gt;"",[1]BFCyg!H172,"")</f>
        <v>lx20010"Alpy600Atik314L</v>
      </c>
      <c r="I167" s="21">
        <f>IF([1]BFCyg!I172&lt;&gt;"",[1]BFCyg!I172,"")</f>
        <v>530</v>
      </c>
      <c r="J167" s="21" t="str">
        <f>IF([1]BFCyg!J172&lt;&gt;"",[1]BFCyg!J172,"")</f>
        <v/>
      </c>
      <c r="K167" s="21" t="str">
        <f>IF([1]BFCyg!K172&lt;&gt;"",[1]BFCyg!K172,"")</f>
        <v/>
      </c>
      <c r="L167" s="21" t="str">
        <f>IF([1]BFCyg!L172&lt;&gt;"",[1]BFCyg!L172,"")</f>
        <v/>
      </c>
      <c r="M167" s="20"/>
      <c r="O167" s="4"/>
    </row>
    <row r="168" spans="2:15" x14ac:dyDescent="0.25">
      <c r="B168" s="5"/>
      <c r="C168" s="18">
        <f>IF([1]BFCyg!C173&lt;&gt;"",[1]BFCyg!C173,"")</f>
        <v>43686</v>
      </c>
      <c r="D168" s="19">
        <f>IF([1]BFCyg!D173&lt;&gt;"",[1]BFCyg!D173,"")</f>
        <v>0.2804166666666667</v>
      </c>
      <c r="E168" s="20">
        <f>IF([1]BFCyg!E173&lt;&gt;"",[1]BFCyg!E173,"")</f>
        <v>2458704.7988</v>
      </c>
      <c r="F168" s="18" t="str">
        <f>IF([1]BFCyg!F173&lt;&gt;"",[1]BFCyg!F173,"")</f>
        <v>JRF</v>
      </c>
      <c r="G168" s="18" t="str">
        <f>IF([1]BFCyg!G173&lt;&gt;"",[1]BFCyg!G173,"")</f>
        <v>UHO-US</v>
      </c>
      <c r="H168" s="18" t="str">
        <f>IF([1]BFCyg!H173&lt;&gt;"",[1]BFCyg!H173,"")</f>
        <v>CC13ALPY600ATIK460EX</v>
      </c>
      <c r="I168" s="21">
        <f>IF([1]BFCyg!I173&lt;&gt;"",[1]BFCyg!I173,"")</f>
        <v>1032</v>
      </c>
      <c r="J168" s="21" t="str">
        <f>IF([1]BFCyg!J173&lt;&gt;"",[1]BFCyg!J173,"")</f>
        <v/>
      </c>
      <c r="K168" s="21" t="str">
        <f>IF([1]BFCyg!K173&lt;&gt;"",[1]BFCyg!K173,"")</f>
        <v/>
      </c>
      <c r="L168" s="21" t="str">
        <f>IF([1]BFCyg!L173&lt;&gt;"",[1]BFCyg!L173,"")</f>
        <v/>
      </c>
      <c r="M168" s="20"/>
      <c r="O168" s="4"/>
    </row>
    <row r="169" spans="2:15" x14ac:dyDescent="0.25">
      <c r="B169" s="5"/>
      <c r="C169" s="18">
        <f>IF([1]BFCyg!C174&lt;&gt;"",[1]BFCyg!C174,"")</f>
        <v>43688</v>
      </c>
      <c r="D169" s="19">
        <f>IF([1]BFCyg!D174&lt;&gt;"",[1]BFCyg!D174,"")</f>
        <v>0.39879629629629632</v>
      </c>
      <c r="E169" s="20">
        <f>IF([1]BFCyg!E174&lt;&gt;"",[1]BFCyg!E174,"")</f>
        <v>2458706.9149000002</v>
      </c>
      <c r="F169" s="18" t="str">
        <f>IF([1]BFCyg!F174&lt;&gt;"",[1]BFCyg!F174,"")</f>
        <v>JRF</v>
      </c>
      <c r="G169" s="18" t="str">
        <f>IF([1]BFCyg!G174&lt;&gt;"",[1]BFCyg!G174,"")</f>
        <v>UHO-US</v>
      </c>
      <c r="H169" s="18" t="str">
        <f>IF([1]BFCyg!H174&lt;&gt;"",[1]BFCyg!H174,"")</f>
        <v>CDK17ALPY600ATIK460EX</v>
      </c>
      <c r="I169" s="21">
        <f>IF([1]BFCyg!I174&lt;&gt;"",[1]BFCyg!I174,"")</f>
        <v>578</v>
      </c>
      <c r="J169" s="21" t="str">
        <f>IF([1]BFCyg!J174&lt;&gt;"",[1]BFCyg!J174,"")</f>
        <v/>
      </c>
      <c r="K169" s="21" t="str">
        <f>IF([1]BFCyg!K174&lt;&gt;"",[1]BFCyg!K174,"")</f>
        <v/>
      </c>
      <c r="L169" s="21" t="str">
        <f>IF([1]BFCyg!L174&lt;&gt;"",[1]BFCyg!L174,"")</f>
        <v/>
      </c>
      <c r="M169" s="20"/>
      <c r="O169" s="4"/>
    </row>
    <row r="170" spans="2:15" x14ac:dyDescent="0.25">
      <c r="B170" s="5"/>
      <c r="C170" s="18">
        <f>IF([1]BFCyg!C175&lt;&gt;"",[1]BFCyg!C175,"")</f>
        <v>43692</v>
      </c>
      <c r="D170" s="19">
        <f>IF([1]BFCyg!D175&lt;&gt;"",[1]BFCyg!D175,"")</f>
        <v>6.2106481481481485E-2</v>
      </c>
      <c r="E170" s="20">
        <f>IF([1]BFCyg!E175&lt;&gt;"",[1]BFCyg!E175,"")</f>
        <v>2458710.6282000002</v>
      </c>
      <c r="F170" s="18" t="str">
        <f>IF([1]BFCyg!F175&lt;&gt;"",[1]BFCyg!F175,"")</f>
        <v>LES</v>
      </c>
      <c r="G170" s="18" t="str">
        <f>IF([1]BFCyg!G175&lt;&gt;"",[1]BFCyg!G175,"")</f>
        <v>MRO-CA</v>
      </c>
      <c r="H170" s="18" t="str">
        <f>IF([1]BFCyg!H175&lt;&gt;"",[1]BFCyg!H175,"")</f>
        <v>31cmDK+ESSAT</v>
      </c>
      <c r="I170" s="21">
        <f>IF([1]BFCyg!I175&lt;&gt;"",[1]BFCyg!I175,"")</f>
        <v>14000</v>
      </c>
      <c r="J170" s="21" t="str">
        <f>IF([1]BFCyg!J175&lt;&gt;"",[1]BFCyg!J175,"")</f>
        <v/>
      </c>
      <c r="K170" s="21" t="str">
        <f>IF([1]BFCyg!K175&lt;&gt;"",[1]BFCyg!K175,"")</f>
        <v/>
      </c>
      <c r="L170" s="21" t="str">
        <f>IF([1]BFCyg!L175&lt;&gt;"",[1]BFCyg!L175,"")</f>
        <v/>
      </c>
      <c r="M170" s="20"/>
      <c r="O170" s="4"/>
    </row>
    <row r="171" spans="2:15" x14ac:dyDescent="0.25">
      <c r="B171" s="5"/>
      <c r="C171" s="18">
        <f>IF([1]BFCyg!C176&lt;&gt;"",[1]BFCyg!C176,"")</f>
        <v>43702</v>
      </c>
      <c r="D171" s="19">
        <f>IF([1]BFCyg!D176&lt;&gt;"",[1]BFCyg!D176,"")</f>
        <v>0.87069444444444455</v>
      </c>
      <c r="E171" s="20">
        <f>IF([1]BFCyg!E176&lt;&gt;"",[1]BFCyg!E176,"")</f>
        <v>2458721.3886000002</v>
      </c>
      <c r="F171" s="18" t="str">
        <f>IF([1]BFCyg!F176&lt;&gt;"",[1]BFCyg!F176,"")</f>
        <v>DBO</v>
      </c>
      <c r="G171" s="18" t="str">
        <f>IF([1]BFCyg!G176&lt;&gt;"",[1]BFCyg!G176,"")</f>
        <v>WCO-UK</v>
      </c>
      <c r="H171" s="18" t="str">
        <f>IF([1]BFCyg!H176&lt;&gt;"",[1]BFCyg!H176,"")</f>
        <v>C11+LISA+SXVR-H694</v>
      </c>
      <c r="I171" s="21">
        <f>IF([1]BFCyg!I176&lt;&gt;"",[1]BFCyg!I176,"")</f>
        <v>986</v>
      </c>
      <c r="J171" s="21" t="str">
        <f>IF([1]BFCyg!J176&lt;&gt;"",[1]BFCyg!J176,"")</f>
        <v/>
      </c>
      <c r="K171" s="21" t="str">
        <f>IF([1]BFCyg!K176&lt;&gt;"",[1]BFCyg!K176,"")</f>
        <v/>
      </c>
      <c r="L171" s="21" t="str">
        <f>IF([1]BFCyg!L176&lt;&gt;"",[1]BFCyg!L176,"")</f>
        <v/>
      </c>
      <c r="M171" s="20"/>
      <c r="O171" s="4"/>
    </row>
    <row r="172" spans="2:15" x14ac:dyDescent="0.25">
      <c r="B172" s="5"/>
      <c r="C172" s="18">
        <f>IF([1]BFCyg!C177&lt;&gt;"",[1]BFCyg!C177,"")</f>
        <v>43738</v>
      </c>
      <c r="D172" s="19">
        <f>IF([1]BFCyg!D177&lt;&gt;"",[1]BFCyg!D177,"")</f>
        <v>0.88952546296296298</v>
      </c>
      <c r="E172" s="20">
        <f>IF([1]BFCyg!E177&lt;&gt;"",[1]BFCyg!E177,"")</f>
        <v>2458757.4007000001</v>
      </c>
      <c r="F172" s="18" t="str">
        <f>IF([1]BFCyg!F177&lt;&gt;"",[1]BFCyg!F177,"")</f>
        <v>PCA</v>
      </c>
      <c r="G172" s="18" t="str">
        <f>IF([1]BFCyg!G177&lt;&gt;"",[1]BFCyg!G177,"")</f>
        <v/>
      </c>
      <c r="H172" s="18" t="str">
        <f>IF([1]BFCyg!H177&lt;&gt;"",[1]BFCyg!H177,"")</f>
        <v>VX10_Alpy600_Atik414</v>
      </c>
      <c r="I172" s="21">
        <f>IF([1]BFCyg!I177&lt;&gt;"",[1]BFCyg!I177,"")</f>
        <v>529</v>
      </c>
      <c r="J172" s="21" t="str">
        <f>IF([1]BFCyg!J177&lt;&gt;"",[1]BFCyg!J177,"")</f>
        <v/>
      </c>
      <c r="K172" s="21" t="str">
        <f>IF([1]BFCyg!K177&lt;&gt;"",[1]BFCyg!K177,"")</f>
        <v/>
      </c>
      <c r="L172" s="21" t="str">
        <f>IF([1]BFCyg!L177&lt;&gt;"",[1]BFCyg!L177,"")</f>
        <v/>
      </c>
      <c r="M172" s="20"/>
      <c r="O172" s="4"/>
    </row>
    <row r="173" spans="2:15" x14ac:dyDescent="0.25">
      <c r="B173" s="5"/>
      <c r="C173" s="18">
        <f>IF([1]BFCyg!C178&lt;&gt;"",[1]BFCyg!C178,"")</f>
        <v>43740</v>
      </c>
      <c r="D173" s="19">
        <f>IF([1]BFCyg!D178&lt;&gt;"",[1]BFCyg!D178,"")</f>
        <v>0.84203703703703703</v>
      </c>
      <c r="E173" s="20">
        <f>IF([1]BFCyg!E178&lt;&gt;"",[1]BFCyg!E178,"")</f>
        <v>2458759.3668999998</v>
      </c>
      <c r="F173" s="18" t="str">
        <f>IF([1]BFCyg!F178&lt;&gt;"",[1]BFCyg!F178,"")</f>
        <v>DBO</v>
      </c>
      <c r="G173" s="18" t="str">
        <f>IF([1]BFCyg!G178&lt;&gt;"",[1]BFCyg!G178,"")</f>
        <v>WCO-UK</v>
      </c>
      <c r="H173" s="18" t="str">
        <f>IF([1]BFCyg!H178&lt;&gt;"",[1]BFCyg!H178,"")</f>
        <v>C11+LISA+SXVR-H694</v>
      </c>
      <c r="I173" s="21">
        <f>IF([1]BFCyg!I178&lt;&gt;"",[1]BFCyg!I178,"")</f>
        <v>1098</v>
      </c>
      <c r="J173" s="21" t="str">
        <f>IF([1]BFCyg!J178&lt;&gt;"",[1]BFCyg!J178,"")</f>
        <v/>
      </c>
      <c r="K173" s="21" t="str">
        <f>IF([1]BFCyg!K178&lt;&gt;"",[1]BFCyg!K178,"")</f>
        <v/>
      </c>
      <c r="L173" s="21" t="str">
        <f>IF([1]BFCyg!L178&lt;&gt;"",[1]BFCyg!L178,"")</f>
        <v/>
      </c>
      <c r="M173" s="20"/>
      <c r="O173" s="4"/>
    </row>
    <row r="174" spans="2:15" x14ac:dyDescent="0.25">
      <c r="B174" s="5"/>
      <c r="C174" s="18">
        <f>IF([1]BFCyg!C179&lt;&gt;"",[1]BFCyg!C179,"")</f>
        <v>43754</v>
      </c>
      <c r="D174" s="19">
        <f>IF([1]BFCyg!D179&lt;&gt;"",[1]BFCyg!D179,"")</f>
        <v>0.17608796296296295</v>
      </c>
      <c r="E174" s="20">
        <f>IF([1]BFCyg!E179&lt;&gt;"",[1]BFCyg!E179,"")</f>
        <v>2458772.6918000001</v>
      </c>
      <c r="F174" s="18" t="str">
        <f>IF([1]BFCyg!F179&lt;&gt;"",[1]BFCyg!F179,"")</f>
        <v>FAS</v>
      </c>
      <c r="G174" s="18" t="str">
        <f>IF([1]BFCyg!G179&lt;&gt;"",[1]BFCyg!G179,"")</f>
        <v>DCO-US</v>
      </c>
      <c r="H174" s="18" t="str">
        <f>IF([1]BFCyg!H179&lt;&gt;"",[1]BFCyg!H179,"")</f>
        <v>CDK14LISAAtik414ex</v>
      </c>
      <c r="I174" s="21">
        <f>IF([1]BFCyg!I179&lt;&gt;"",[1]BFCyg!I179,"")</f>
        <v>1059</v>
      </c>
      <c r="J174" s="21" t="str">
        <f>IF([1]BFCyg!J179&lt;&gt;"",[1]BFCyg!J179,"")</f>
        <v/>
      </c>
      <c r="K174" s="21" t="str">
        <f>IF([1]BFCyg!K179&lt;&gt;"",[1]BFCyg!K179,"")</f>
        <v/>
      </c>
      <c r="L174" s="21" t="str">
        <f>IF([1]BFCyg!L179&lt;&gt;"",[1]BFCyg!L179,"")</f>
        <v/>
      </c>
      <c r="M174" s="20"/>
      <c r="O174" s="4"/>
    </row>
    <row r="175" spans="2:15" x14ac:dyDescent="0.25">
      <c r="B175" s="5"/>
      <c r="C175" s="18">
        <f>IF([1]BFCyg!C180&lt;&gt;"",[1]BFCyg!C180,"")</f>
        <v>43764</v>
      </c>
      <c r="D175" s="19">
        <f>IF([1]BFCyg!D180&lt;&gt;"",[1]BFCyg!D180,"")</f>
        <v>0.86655092592592586</v>
      </c>
      <c r="E175" s="20">
        <f>IF([1]BFCyg!E180&lt;&gt;"",[1]BFCyg!E180,"")</f>
        <v>2458783.3769999999</v>
      </c>
      <c r="F175" s="18" t="str">
        <f>IF([1]BFCyg!F180&lt;&gt;"",[1]BFCyg!F180,"")</f>
        <v>FCA</v>
      </c>
      <c r="G175" s="18" t="str">
        <f>IF([1]BFCyg!G180&lt;&gt;"",[1]BFCyg!G180,"")</f>
        <v>PAG-SP</v>
      </c>
      <c r="H175" s="18" t="str">
        <f>IF([1]BFCyg!H180&lt;&gt;"",[1]BFCyg!H180,"")</f>
        <v>RC14f</v>
      </c>
      <c r="I175" s="21">
        <f>IF([1]BFCyg!I180&lt;&gt;"",[1]BFCyg!I180,"")</f>
        <v>909</v>
      </c>
      <c r="J175" s="21" t="str">
        <f>IF([1]BFCyg!J180&lt;&gt;"",[1]BFCyg!J180,"")</f>
        <v/>
      </c>
      <c r="K175" s="21" t="str">
        <f>IF([1]BFCyg!K180&lt;&gt;"",[1]BFCyg!K180,"")</f>
        <v/>
      </c>
      <c r="L175" s="21" t="str">
        <f>IF([1]BFCyg!L180&lt;&gt;"",[1]BFCyg!L180,"")</f>
        <v/>
      </c>
      <c r="M175" s="20"/>
      <c r="O175" s="4"/>
    </row>
    <row r="176" spans="2:15" x14ac:dyDescent="0.25">
      <c r="B176" s="5"/>
      <c r="C176" s="18">
        <f>IF([1]BFCyg!C181&lt;&gt;"",[1]BFCyg!C181,"")</f>
        <v>43767</v>
      </c>
      <c r="D176" s="19">
        <f>IF([1]BFCyg!D181&lt;&gt;"",[1]BFCyg!D181,"")</f>
        <v>0.13296296296296298</v>
      </c>
      <c r="E176" s="20">
        <f>IF([1]BFCyg!E181&lt;&gt;"",[1]BFCyg!E181,"")</f>
        <v>2458785.6486999998</v>
      </c>
      <c r="F176" s="18" t="str">
        <f>IF([1]BFCyg!F181&lt;&gt;"",[1]BFCyg!F181,"")</f>
        <v>FAS</v>
      </c>
      <c r="G176" s="18" t="str">
        <f>IF([1]BFCyg!G181&lt;&gt;"",[1]BFCyg!G181,"")</f>
        <v>DCO-US</v>
      </c>
      <c r="H176" s="18" t="str">
        <f>IF([1]BFCyg!H181&lt;&gt;"",[1]BFCyg!H181,"")</f>
        <v>CDK14LISAAtik414ex</v>
      </c>
      <c r="I176" s="21">
        <f>IF([1]BFCyg!I181&lt;&gt;"",[1]BFCyg!I181,"")</f>
        <v>1040</v>
      </c>
      <c r="J176" s="21" t="str">
        <f>IF([1]BFCyg!J181&lt;&gt;"",[1]BFCyg!J181,"")</f>
        <v/>
      </c>
      <c r="K176" s="21" t="str">
        <f>IF([1]BFCyg!K181&lt;&gt;"",[1]BFCyg!K181,"")</f>
        <v/>
      </c>
      <c r="L176" s="21" t="str">
        <f>IF([1]BFCyg!L181&lt;&gt;"",[1]BFCyg!L181,"")</f>
        <v/>
      </c>
      <c r="M176" s="20"/>
      <c r="O176" s="4"/>
    </row>
    <row r="177" spans="2:15" x14ac:dyDescent="0.25">
      <c r="B177" s="5"/>
      <c r="C177" s="18">
        <f>IF([1]BFCyg!C182&lt;&gt;"",[1]BFCyg!C182,"")</f>
        <v>43787</v>
      </c>
      <c r="D177" s="19">
        <f>IF([1]BFCyg!D182&lt;&gt;"",[1]BFCyg!D182,"")</f>
        <v>0.81255787037037042</v>
      </c>
      <c r="E177" s="20">
        <f>IF([1]BFCyg!E182&lt;&gt;"",[1]BFCyg!E182,"")</f>
        <v>2458806.3393000001</v>
      </c>
      <c r="F177" s="18" t="str">
        <f>IF([1]BFCyg!F182&lt;&gt;"",[1]BFCyg!F182,"")</f>
        <v>DBO</v>
      </c>
      <c r="G177" s="18" t="str">
        <f>IF([1]BFCyg!G182&lt;&gt;"",[1]BFCyg!G182,"")</f>
        <v>WCO-UK</v>
      </c>
      <c r="H177" s="18" t="str">
        <f>IF([1]BFCyg!H182&lt;&gt;"",[1]BFCyg!H182,"")</f>
        <v>C11+LISA+SXVR-H694</v>
      </c>
      <c r="I177" s="21">
        <f>IF([1]BFCyg!I182&lt;&gt;"",[1]BFCyg!I182,"")</f>
        <v>1035</v>
      </c>
      <c r="J177" s="21" t="str">
        <f>IF([1]BFCyg!J182&lt;&gt;"",[1]BFCyg!J182,"")</f>
        <v/>
      </c>
      <c r="K177" s="21" t="str">
        <f>IF([1]BFCyg!K182&lt;&gt;"",[1]BFCyg!K182,"")</f>
        <v/>
      </c>
      <c r="L177" s="21" t="str">
        <f>IF([1]BFCyg!L182&lt;&gt;"",[1]BFCyg!L182,"")</f>
        <v/>
      </c>
      <c r="M177" s="20"/>
      <c r="O177" s="4"/>
    </row>
    <row r="178" spans="2:15" x14ac:dyDescent="0.25">
      <c r="B178" s="5"/>
      <c r="C178" s="18">
        <f>IF([1]BFCyg!C183&lt;&gt;"",[1]BFCyg!C183,"")</f>
        <v>43796</v>
      </c>
      <c r="D178" s="19">
        <f>IF([1]BFCyg!D183&lt;&gt;"",[1]BFCyg!D183,"")</f>
        <v>7.1099537037037031E-2</v>
      </c>
      <c r="E178" s="20">
        <f>IF([1]BFCyg!E183&lt;&gt;"",[1]BFCyg!E183,"")</f>
        <v>2458814.5868000002</v>
      </c>
      <c r="F178" s="18" t="str">
        <f>IF([1]BFCyg!F183&lt;&gt;"",[1]BFCyg!F183,"")</f>
        <v>FAS</v>
      </c>
      <c r="G178" s="18" t="str">
        <f>IF([1]BFCyg!G183&lt;&gt;"",[1]BFCyg!G183,"")</f>
        <v>DCO-US</v>
      </c>
      <c r="H178" s="18" t="str">
        <f>IF([1]BFCyg!H183&lt;&gt;"",[1]BFCyg!H183,"")</f>
        <v>CDK14LISAAtik414ex</v>
      </c>
      <c r="I178" s="21">
        <f>IF([1]BFCyg!I183&lt;&gt;"",[1]BFCyg!I183,"")</f>
        <v>1042</v>
      </c>
      <c r="J178" s="21" t="str">
        <f>IF([1]BFCyg!J183&lt;&gt;"",[1]BFCyg!J183,"")</f>
        <v/>
      </c>
      <c r="K178" s="21" t="str">
        <f>IF([1]BFCyg!K183&lt;&gt;"",[1]BFCyg!K183,"")</f>
        <v/>
      </c>
      <c r="L178" s="21" t="str">
        <f>IF([1]BFCyg!L183&lt;&gt;"",[1]BFCyg!L183,"")</f>
        <v/>
      </c>
      <c r="M178" s="20"/>
      <c r="O178" s="4"/>
    </row>
    <row r="179" spans="2:15" x14ac:dyDescent="0.25">
      <c r="C179" s="18">
        <f>IF([1]BFCyg!C184&lt;&gt;"",[1]BFCyg!C184,"")</f>
        <v>43801</v>
      </c>
      <c r="D179" s="19">
        <f>IF([1]BFCyg!D184&lt;&gt;"",[1]BFCyg!D184,"")</f>
        <v>7.3321759259259267E-2</v>
      </c>
      <c r="E179" s="20">
        <f>IF([1]BFCyg!E184&lt;&gt;"",[1]BFCyg!E184,"")</f>
        <v>2458819.5891</v>
      </c>
      <c r="F179" s="18" t="str">
        <f>IF([1]BFCyg!F184&lt;&gt;"",[1]BFCyg!F184,"")</f>
        <v>FAS</v>
      </c>
      <c r="G179" s="18" t="str">
        <f>IF([1]BFCyg!G184&lt;&gt;"",[1]BFCyg!G184,"")</f>
        <v>DCO-US</v>
      </c>
      <c r="H179" s="18" t="str">
        <f>IF([1]BFCyg!H184&lt;&gt;"",[1]BFCyg!H184,"")</f>
        <v>CDK14LISAAtik414ex</v>
      </c>
      <c r="I179" s="21">
        <f>IF([1]BFCyg!I184&lt;&gt;"",[1]BFCyg!I184,"")</f>
        <v>1022</v>
      </c>
      <c r="J179" s="21" t="str">
        <f>IF([1]BFCyg!J184&lt;&gt;"",[1]BFCyg!J184,"")</f>
        <v/>
      </c>
      <c r="K179" s="21" t="str">
        <f>IF([1]BFCyg!K184&lt;&gt;"",[1]BFCyg!K184,"")</f>
        <v/>
      </c>
      <c r="L179" s="21" t="str">
        <f>IF([1]BFCyg!L184&lt;&gt;"",[1]BFCyg!L184,"")</f>
        <v/>
      </c>
      <c r="M179" s="20"/>
    </row>
    <row r="180" spans="2:15" x14ac:dyDescent="0.25">
      <c r="C180" s="18">
        <f>IF([1]BFCyg!C185&lt;&gt;"",[1]BFCyg!C185,"")</f>
        <v>43801</v>
      </c>
      <c r="D180" s="19">
        <f>IF([1]BFCyg!D185&lt;&gt;"",[1]BFCyg!D185,"")</f>
        <v>7.3321759259259267E-2</v>
      </c>
      <c r="E180" s="20">
        <f>IF([1]BFCyg!E185&lt;&gt;"",[1]BFCyg!E185,"")</f>
        <v>2458819.5891</v>
      </c>
      <c r="F180" s="18" t="str">
        <f>IF([1]BFCyg!F185&lt;&gt;"",[1]BFCyg!F185,"")</f>
        <v>FAS</v>
      </c>
      <c r="G180" s="18" t="str">
        <f>IF([1]BFCyg!G185&lt;&gt;"",[1]BFCyg!G185,"")</f>
        <v>DCO-US</v>
      </c>
      <c r="H180" s="18" t="str">
        <f>IF([1]BFCyg!H185&lt;&gt;"",[1]BFCyg!H185,"")</f>
        <v>CDK14LISAAtik414ex</v>
      </c>
      <c r="I180" s="21">
        <f>IF([1]BFCyg!I185&lt;&gt;"",[1]BFCyg!I185,"")</f>
        <v>1022</v>
      </c>
      <c r="J180" s="21" t="str">
        <f>IF([1]BFCyg!J185&lt;&gt;"",[1]BFCyg!J185,"")</f>
        <v/>
      </c>
      <c r="K180" s="21" t="str">
        <f>IF([1]BFCyg!K185&lt;&gt;"",[1]BFCyg!K185,"")</f>
        <v/>
      </c>
      <c r="L180" s="21" t="str">
        <f>IF([1]BFCyg!L185&lt;&gt;"",[1]BFCyg!L185,"")</f>
        <v/>
      </c>
      <c r="M180" s="20"/>
    </row>
    <row r="181" spans="2:15" x14ac:dyDescent="0.25">
      <c r="C181" s="18">
        <f>IF([1]BFCyg!C186&lt;&gt;"",[1]BFCyg!C186,"")</f>
        <v>43942</v>
      </c>
      <c r="D181" s="19">
        <f>IF([1]BFCyg!D186&lt;&gt;"",[1]BFCyg!D186,"")</f>
        <v>0.98048611111111106</v>
      </c>
      <c r="E181" s="20">
        <f>IF([1]BFCyg!E186&lt;&gt;"",[1]BFCyg!E186,"")</f>
        <v>2458961.5016000001</v>
      </c>
      <c r="F181" s="18" t="str">
        <f>IF([1]BFCyg!F186&lt;&gt;"",[1]BFCyg!F186,"")</f>
        <v>PDTM</v>
      </c>
      <c r="G181" s="18" t="str">
        <f>IF([1]BFCyg!G186&lt;&gt;"",[1]BFCyg!G186,"")</f>
        <v>KOL-SK</v>
      </c>
      <c r="H181" s="18" t="str">
        <f>IF([1]BFCyg!H186&lt;&gt;"",[1]BFCyg!H186,"")</f>
        <v>C11+LISA+Atik460EX</v>
      </c>
      <c r="I181" s="21">
        <f>IF([1]BFCyg!I186&lt;&gt;"",[1]BFCyg!I186,"")</f>
        <v>762</v>
      </c>
      <c r="J181" s="21" t="str">
        <f>IF([1]BFCyg!J186&lt;&gt;"",[1]BFCyg!J186,"")</f>
        <v/>
      </c>
      <c r="K181" s="21" t="str">
        <f>IF([1]BFCyg!K186&lt;&gt;"",[1]BFCyg!K186,"")</f>
        <v/>
      </c>
      <c r="L181" s="21" t="str">
        <f>IF([1]BFCyg!L186&lt;&gt;"",[1]BFCyg!L186,"")</f>
        <v/>
      </c>
      <c r="M181" s="20">
        <f t="shared" ref="M181:M187" si="0">+E181-2450000</f>
        <v>8961.501600000076</v>
      </c>
      <c r="N181">
        <v>9</v>
      </c>
    </row>
    <row r="182" spans="2:15" x14ac:dyDescent="0.25">
      <c r="C182" s="18">
        <f>IF([1]BFCyg!C187&lt;&gt;"",[1]BFCyg!C187,"")</f>
        <v>43946</v>
      </c>
      <c r="D182" s="19">
        <f>IF([1]BFCyg!D187&lt;&gt;"",[1]BFCyg!D187,"")</f>
        <v>0.26598379629629626</v>
      </c>
      <c r="E182" s="20">
        <f>IF([1]BFCyg!E187&lt;&gt;"",[1]BFCyg!E187,"")</f>
        <v>2458964.8088000002</v>
      </c>
      <c r="F182" s="18" t="str">
        <f>IF([1]BFCyg!F187&lt;&gt;"",[1]BFCyg!F187,"")</f>
        <v>LES</v>
      </c>
      <c r="G182" s="18" t="str">
        <f>IF([1]BFCyg!G187&lt;&gt;"",[1]BFCyg!G187,"")</f>
        <v>MRO-CA</v>
      </c>
      <c r="H182" s="18" t="str">
        <f>IF([1]BFCyg!H187&lt;&gt;"",[1]BFCyg!H187,"")</f>
        <v>31cmDK+ESSAT_2</v>
      </c>
      <c r="I182" s="21">
        <f>IF([1]BFCyg!I187&lt;&gt;"",[1]BFCyg!I187,"")</f>
        <v>14000</v>
      </c>
      <c r="J182" s="21" t="str">
        <f>IF([1]BFCyg!J187&lt;&gt;"",[1]BFCyg!J187,"")</f>
        <v/>
      </c>
      <c r="K182" s="21" t="str">
        <f>IF([1]BFCyg!K187&lt;&gt;"",[1]BFCyg!K187,"")</f>
        <v/>
      </c>
      <c r="L182" s="21" t="str">
        <f>IF([1]BFCyg!L187&lt;&gt;"",[1]BFCyg!L187,"")</f>
        <v/>
      </c>
      <c r="M182" s="20">
        <f t="shared" si="0"/>
        <v>8964.8088000002317</v>
      </c>
      <c r="N182">
        <f t="shared" ref="N182:N197" si="1">+N181</f>
        <v>9</v>
      </c>
    </row>
    <row r="183" spans="2:15" x14ac:dyDescent="0.25">
      <c r="C183" s="18">
        <f>IF([1]BFCyg!C188&lt;&gt;"",[1]BFCyg!C188,"")</f>
        <v>43972</v>
      </c>
      <c r="D183" s="19">
        <f>IF([1]BFCyg!D188&lt;&gt;"",[1]BFCyg!D188,"")</f>
        <v>2.9317129629629634E-2</v>
      </c>
      <c r="E183" s="20">
        <f>IF([1]BFCyg!E188&lt;&gt;"",[1]BFCyg!E188,"")</f>
        <v>2458990.5469</v>
      </c>
      <c r="F183" s="18" t="str">
        <f>IF([1]BFCyg!F188&lt;&gt;"",[1]BFCyg!F188,"")</f>
        <v>PDTM</v>
      </c>
      <c r="G183" s="18" t="str">
        <f>IF([1]BFCyg!G188&lt;&gt;"",[1]BFCyg!G188,"")</f>
        <v>KOL-SK</v>
      </c>
      <c r="H183" s="18" t="str">
        <f>IF([1]BFCyg!H188&lt;&gt;"",[1]BFCyg!H188,"")</f>
        <v>C11+LISA+Atik460EX</v>
      </c>
      <c r="I183" s="21">
        <f>IF([1]BFCyg!I188&lt;&gt;"",[1]BFCyg!I188,"")</f>
        <v>772</v>
      </c>
      <c r="J183" s="21" t="str">
        <f>IF([1]BFCyg!J188&lt;&gt;"",[1]BFCyg!J188,"")</f>
        <v/>
      </c>
      <c r="K183" s="21" t="str">
        <f>IF([1]BFCyg!K188&lt;&gt;"",[1]BFCyg!K188,"")</f>
        <v/>
      </c>
      <c r="L183" s="21" t="str">
        <f>IF([1]BFCyg!L188&lt;&gt;"",[1]BFCyg!L188,"")</f>
        <v/>
      </c>
      <c r="M183" s="20">
        <f t="shared" si="0"/>
        <v>8990.5468999999575</v>
      </c>
      <c r="N183">
        <f t="shared" si="1"/>
        <v>9</v>
      </c>
    </row>
    <row r="184" spans="2:15" x14ac:dyDescent="0.25">
      <c r="C184" s="18">
        <f>IF([1]BFCyg!C189&lt;&gt;"",[1]BFCyg!C189,"")</f>
        <v>43972</v>
      </c>
      <c r="D184" s="19">
        <f>IF([1]BFCyg!D189&lt;&gt;"",[1]BFCyg!D189,"")</f>
        <v>0.85917824074074067</v>
      </c>
      <c r="E184" s="20">
        <f>IF([1]BFCyg!E189&lt;&gt;"",[1]BFCyg!E189,"")</f>
        <v>2458991.3768000002</v>
      </c>
      <c r="F184" s="18" t="str">
        <f>IF([1]BFCyg!F189&lt;&gt;"",[1]BFCyg!F189,"")</f>
        <v>PDTM</v>
      </c>
      <c r="G184" s="18" t="str">
        <f>IF([1]BFCyg!G189&lt;&gt;"",[1]BFCyg!G189,"")</f>
        <v>KOL-SK</v>
      </c>
      <c r="H184" s="18" t="str">
        <f>IF([1]BFCyg!H189&lt;&gt;"",[1]BFCyg!H189,"")</f>
        <v>C11+LISA+Atik460EX</v>
      </c>
      <c r="I184" s="21">
        <f>IF([1]BFCyg!I189&lt;&gt;"",[1]BFCyg!I189,"")</f>
        <v>747</v>
      </c>
      <c r="J184" s="21" t="str">
        <f>IF([1]BFCyg!J189&lt;&gt;"",[1]BFCyg!J189,"")</f>
        <v/>
      </c>
      <c r="K184" s="21" t="str">
        <f>IF([1]BFCyg!K189&lt;&gt;"",[1]BFCyg!K189,"")</f>
        <v/>
      </c>
      <c r="L184" s="21" t="str">
        <f>IF([1]BFCyg!L189&lt;&gt;"",[1]BFCyg!L189,"")</f>
        <v/>
      </c>
      <c r="M184" s="20">
        <f t="shared" si="0"/>
        <v>8991.3768000002019</v>
      </c>
      <c r="N184">
        <f t="shared" si="1"/>
        <v>9</v>
      </c>
    </row>
    <row r="185" spans="2:15" x14ac:dyDescent="0.25">
      <c r="C185" s="18">
        <f>IF([1]BFCyg!C190&lt;&gt;"",[1]BFCyg!C190,"")</f>
        <v>43980</v>
      </c>
      <c r="D185" s="19">
        <f>IF([1]BFCyg!D190&lt;&gt;"",[1]BFCyg!D190,"")</f>
        <v>0.91766203703703697</v>
      </c>
      <c r="E185" s="20">
        <f>IF([1]BFCyg!E190&lt;&gt;"",[1]BFCyg!E190,"")</f>
        <v>2458999.4389999998</v>
      </c>
      <c r="F185" s="18" t="str">
        <f>IF([1]BFCyg!F190&lt;&gt;"",[1]BFCyg!F190,"")</f>
        <v>DBO</v>
      </c>
      <c r="G185" s="18" t="str">
        <f>IF([1]BFCyg!G190&lt;&gt;"",[1]BFCyg!G190,"")</f>
        <v>WCO-UK</v>
      </c>
      <c r="H185" s="18" t="str">
        <f>IF([1]BFCyg!H190&lt;&gt;"",[1]BFCyg!H190,"")</f>
        <v>C11+LISA+SXVR-H694</v>
      </c>
      <c r="I185" s="21">
        <f>IF([1]BFCyg!I190&lt;&gt;"",[1]BFCyg!I190,"")</f>
        <v>1110</v>
      </c>
      <c r="J185" s="21" t="str">
        <f>IF([1]BFCyg!J190&lt;&gt;"",[1]BFCyg!J190,"")</f>
        <v/>
      </c>
      <c r="K185" s="21" t="str">
        <f>IF([1]BFCyg!K190&lt;&gt;"",[1]BFCyg!K190,"")</f>
        <v/>
      </c>
      <c r="L185" s="21" t="str">
        <f>IF([1]BFCyg!L190&lt;&gt;"",[1]BFCyg!L190,"")</f>
        <v/>
      </c>
      <c r="M185" s="20">
        <f t="shared" si="0"/>
        <v>8999.4389999997802</v>
      </c>
      <c r="N185">
        <f t="shared" si="1"/>
        <v>9</v>
      </c>
    </row>
    <row r="186" spans="2:15" x14ac:dyDescent="0.25">
      <c r="C186" s="18">
        <f>IF([1]BFCyg!C191&lt;&gt;"",[1]BFCyg!C191,"")</f>
        <v>43999</v>
      </c>
      <c r="D186" s="19">
        <f>IF([1]BFCyg!D191&lt;&gt;"",[1]BFCyg!D191,"")</f>
        <v>0.18072916666666669</v>
      </c>
      <c r="E186" s="20">
        <f>IF([1]BFCyg!E191&lt;&gt;"",[1]BFCyg!E191,"")</f>
        <v>2459017.7377999998</v>
      </c>
      <c r="F186" s="18" t="str">
        <f>IF([1]BFCyg!F191&lt;&gt;"",[1]BFCyg!F191,"")</f>
        <v>LES</v>
      </c>
      <c r="G186" s="18" t="str">
        <f>IF([1]BFCyg!G191&lt;&gt;"",[1]BFCyg!G191,"")</f>
        <v>MRO-CA</v>
      </c>
      <c r="H186" s="18" t="str">
        <f>IF([1]BFCyg!H191&lt;&gt;"",[1]BFCyg!H191,"")</f>
        <v>31cmDK+ESSAT_2</v>
      </c>
      <c r="I186" s="21">
        <f>IF([1]BFCyg!I191&lt;&gt;"",[1]BFCyg!I191,"")</f>
        <v>14000</v>
      </c>
      <c r="J186" s="21" t="str">
        <f>IF([1]BFCyg!J191&lt;&gt;"",[1]BFCyg!J191,"")</f>
        <v/>
      </c>
      <c r="K186" s="21" t="str">
        <f>IF([1]BFCyg!K191&lt;&gt;"",[1]BFCyg!K191,"")</f>
        <v/>
      </c>
      <c r="L186" s="21" t="str">
        <f>IF([1]BFCyg!L191&lt;&gt;"",[1]BFCyg!L191,"")</f>
        <v/>
      </c>
      <c r="M186" s="20">
        <f t="shared" si="0"/>
        <v>9017.7377999997698</v>
      </c>
      <c r="N186">
        <f t="shared" si="1"/>
        <v>9</v>
      </c>
    </row>
    <row r="187" spans="2:15" x14ac:dyDescent="0.25">
      <c r="C187" s="18" t="str">
        <f>IF([1]BFCyg!C192&lt;&gt;"",[1]BFCyg!C192,"")</f>
        <v>10/07/2020</v>
      </c>
      <c r="D187" s="19">
        <f>IF([1]BFCyg!D192&lt;&gt;"",[1]BFCyg!D192,"")</f>
        <v>0.92291666666666661</v>
      </c>
      <c r="E187" s="20">
        <f>IF([1]BFCyg!E192&lt;&gt;"",[1]BFCyg!E192,"")</f>
        <v>2459041.423</v>
      </c>
      <c r="F187" s="18" t="str">
        <f>IF([1]BFCyg!F192&lt;&gt;"",[1]BFCyg!F192,"")</f>
        <v xml:space="preserve">FMT </v>
      </c>
      <c r="G187" s="18" t="str">
        <f>IF([1]BFCyg!G192&lt;&gt;"",[1]BFCyg!G192,"")</f>
        <v>ROU-FR</v>
      </c>
      <c r="H187" s="18" t="str">
        <f>IF([1]BFCyg!H192&lt;&gt;"",[1]BFCyg!H192,"")</f>
        <v>SC14+eShel+460EX_b2</v>
      </c>
      <c r="I187" s="21">
        <f>IF([1]BFCyg!I192&lt;&gt;"",[1]BFCyg!I192,"")</f>
        <v>11000</v>
      </c>
      <c r="J187" s="21" t="str">
        <f>IF([1]BFCyg!J192&lt;&gt;"",[1]BFCyg!J192,"")</f>
        <v/>
      </c>
      <c r="K187" s="21" t="str">
        <f>IF([1]BFCyg!K192&lt;&gt;"",[1]BFCyg!K192,"")</f>
        <v/>
      </c>
      <c r="L187" s="21" t="str">
        <f>IF([1]BFCyg!L192&lt;&gt;"",[1]BFCyg!L192,"")</f>
        <v/>
      </c>
      <c r="M187" s="20">
        <f t="shared" si="0"/>
        <v>9041.4229999999516</v>
      </c>
      <c r="N187">
        <f t="shared" si="1"/>
        <v>9</v>
      </c>
    </row>
    <row r="188" spans="2:15" x14ac:dyDescent="0.25">
      <c r="C188" s="18" t="str">
        <f>IF([1]BFCyg!C193&lt;&gt;"",[1]BFCyg!C193,"")</f>
        <v>19/07/2020</v>
      </c>
      <c r="D188" s="19">
        <f>IF([1]BFCyg!D193&lt;&gt;"",[1]BFCyg!D193,"")</f>
        <v>0.91180555555555554</v>
      </c>
      <c r="E188" s="20">
        <f>IF([1]BFCyg!E193&lt;&gt;"",[1]BFCyg!E193,"")</f>
        <v>2459050.4109999998</v>
      </c>
      <c r="F188" s="18" t="str">
        <f>IF([1]BFCyg!F193&lt;&gt;"",[1]BFCyg!F193,"")</f>
        <v>DBO</v>
      </c>
      <c r="G188" s="18" t="str">
        <f>IF([1]BFCyg!G193&lt;&gt;"",[1]BFCyg!G193,"")</f>
        <v>WCO-UK</v>
      </c>
      <c r="H188" s="18" t="str">
        <f>IF([1]BFCyg!H193&lt;&gt;"",[1]BFCyg!H193,"")</f>
        <v>C11 + LISA + SXVR-H694</v>
      </c>
      <c r="I188" s="21">
        <f>IF([1]BFCyg!I193&lt;&gt;"",[1]BFCyg!I193,"")</f>
        <v>1129</v>
      </c>
      <c r="J188" s="21" t="str">
        <f>IF([1]BFCyg!J193&lt;&gt;"",[1]BFCyg!J193,"")</f>
        <v/>
      </c>
      <c r="K188" s="21" t="str">
        <f>IF([1]BFCyg!K193&lt;&gt;"",[1]BFCyg!K193,"")</f>
        <v/>
      </c>
      <c r="L188" s="21" t="str">
        <f>IF([1]BFCyg!L193&lt;&gt;"",[1]BFCyg!L193,"")</f>
        <v/>
      </c>
      <c r="M188" s="20">
        <f t="shared" ref="M188:M194" si="2">+E188-2450000</f>
        <v>9050.4109999998473</v>
      </c>
      <c r="N188">
        <f t="shared" si="1"/>
        <v>9</v>
      </c>
    </row>
    <row r="189" spans="2:15" x14ac:dyDescent="0.25">
      <c r="C189" s="18" t="str">
        <f>IF([1]BFCyg!C194&lt;&gt;"",[1]BFCyg!C194,"")</f>
        <v>26/07/2020</v>
      </c>
      <c r="D189" s="19">
        <f>IF([1]BFCyg!D194&lt;&gt;"",[1]BFCyg!D194,"")</f>
        <v>0.85972222222222217</v>
      </c>
      <c r="E189" s="20">
        <f>IF([1]BFCyg!E194&lt;&gt;"",[1]BFCyg!E194,"")</f>
        <v>2459057.3879</v>
      </c>
      <c r="F189" s="18" t="str">
        <f>IF([1]BFCyg!F194&lt;&gt;"",[1]BFCyg!F194,"")</f>
        <v>JMI</v>
      </c>
      <c r="G189" s="18" t="str">
        <f>IF([1]BFCyg!G194&lt;&gt;"",[1]BFCyg!G194,"")</f>
        <v>SAO-FR</v>
      </c>
      <c r="H189" s="18" t="str">
        <f>IF([1]BFCyg!H194&lt;&gt;"",[1]BFCyg!H194,"")</f>
        <v>C11f7-Lisa-Atik460EX</v>
      </c>
      <c r="I189" s="21">
        <f>IF([1]BFCyg!I194&lt;&gt;"",[1]BFCyg!I194,"")</f>
        <v>1000</v>
      </c>
      <c r="J189" s="21" t="str">
        <f>IF([1]BFCyg!J194&lt;&gt;"",[1]BFCyg!J194,"")</f>
        <v/>
      </c>
      <c r="K189" s="21" t="str">
        <f>IF([1]BFCyg!K194&lt;&gt;"",[1]BFCyg!K194,"")</f>
        <v/>
      </c>
      <c r="L189" s="21" t="str">
        <f>IF([1]BFCyg!L194&lt;&gt;"",[1]BFCyg!L194,"")</f>
        <v/>
      </c>
      <c r="M189" s="20">
        <f t="shared" si="2"/>
        <v>9057.3878999999724</v>
      </c>
      <c r="N189">
        <f t="shared" si="1"/>
        <v>9</v>
      </c>
    </row>
    <row r="190" spans="2:15" x14ac:dyDescent="0.25">
      <c r="C190" s="18" t="str">
        <f>IF([1]BFCyg!C195&lt;&gt;"",[1]BFCyg!C195,"")</f>
        <v>31/07/2020</v>
      </c>
      <c r="D190" s="19">
        <f>IF([1]BFCyg!D195&lt;&gt;"",[1]BFCyg!D195,"")</f>
        <v>0.90902777777777777</v>
      </c>
      <c r="E190" s="20">
        <f>IF([1]BFCyg!E195&lt;&gt;"",[1]BFCyg!E195,"")</f>
        <v>2459062.4232000001</v>
      </c>
      <c r="F190" s="18" t="str">
        <f>IF([1]BFCyg!F195&lt;&gt;"",[1]BFCyg!F195,"")</f>
        <v>FCA</v>
      </c>
      <c r="G190" s="18" t="str">
        <f>IF([1]BFCyg!G195&lt;&gt;"",[1]BFCyg!G195,"")</f>
        <v>PAG-SP</v>
      </c>
      <c r="H190" s="18" t="str">
        <f>IF([1]BFCyg!H195&lt;&gt;"",[1]BFCyg!H195,"")</f>
        <v>N-200 f/4.7 + Barlow 2X  DADOS 200 l/mm</v>
      </c>
      <c r="I190" s="21">
        <f>IF([1]BFCyg!I195&lt;&gt;"",[1]BFCyg!I195,"")</f>
        <v>940</v>
      </c>
      <c r="J190" s="21" t="str">
        <f>IF([1]BFCyg!J195&lt;&gt;"",[1]BFCyg!J195,"")</f>
        <v/>
      </c>
      <c r="K190" s="21" t="str">
        <f>IF([1]BFCyg!K195&lt;&gt;"",[1]BFCyg!K195,"")</f>
        <v/>
      </c>
      <c r="L190" s="21" t="str">
        <f>IF([1]BFCyg!L195&lt;&gt;"",[1]BFCyg!L195,"")</f>
        <v/>
      </c>
      <c r="M190" s="20">
        <f t="shared" si="2"/>
        <v>9062.4232000000775</v>
      </c>
      <c r="N190">
        <f t="shared" si="1"/>
        <v>9</v>
      </c>
    </row>
    <row r="191" spans="2:15" x14ac:dyDescent="0.25">
      <c r="C191" s="18" t="str">
        <f>IF([1]BFCyg!C196&lt;&gt;"",[1]BFCyg!C196,"")</f>
        <v>13/08/2020</v>
      </c>
      <c r="D191" s="19">
        <f>IF([1]BFCyg!D196&lt;&gt;"",[1]BFCyg!D196,"")</f>
        <v>0.84375</v>
      </c>
      <c r="E191" s="20">
        <f>IF([1]BFCyg!E196&lt;&gt;"",[1]BFCyg!E196,"")</f>
        <v>2459075.3634000001</v>
      </c>
      <c r="F191" s="18" t="str">
        <f>IF([1]BFCyg!F196&lt;&gt;"",[1]BFCyg!F196,"")</f>
        <v>FRA</v>
      </c>
      <c r="G191" s="18" t="str">
        <f>IF([1]BFCyg!G196&lt;&gt;"",[1]BFCyg!G196,"")</f>
        <v/>
      </c>
      <c r="H191" s="18" t="str">
        <f>IF([1]BFCyg!H196&lt;&gt;"",[1]BFCyg!H196,"")</f>
        <v>LX200-8(F/5)+Alpy600+SXV-M7</v>
      </c>
      <c r="I191" s="21">
        <f>IF([1]BFCyg!I196&lt;&gt;"",[1]BFCyg!I196,"")</f>
        <v>540</v>
      </c>
      <c r="J191" s="21" t="str">
        <f>IF([1]BFCyg!J196&lt;&gt;"",[1]BFCyg!J196,"")</f>
        <v/>
      </c>
      <c r="K191" s="21" t="str">
        <f>IF([1]BFCyg!K196&lt;&gt;"",[1]BFCyg!K196,"")</f>
        <v/>
      </c>
      <c r="L191" s="21" t="str">
        <f>IF([1]BFCyg!L196&lt;&gt;"",[1]BFCyg!L196,"")</f>
        <v/>
      </c>
      <c r="M191" s="20">
        <f t="shared" si="2"/>
        <v>9075.3634000001475</v>
      </c>
      <c r="N191">
        <f t="shared" si="1"/>
        <v>9</v>
      </c>
    </row>
    <row r="192" spans="2:15" x14ac:dyDescent="0.25">
      <c r="C192" s="18" t="str">
        <f>IF([1]BFCyg!C197&lt;&gt;"",[1]BFCyg!C197,"")</f>
        <v>14/08/2020</v>
      </c>
      <c r="D192" s="19">
        <f>IF([1]BFCyg!D197&lt;&gt;"",[1]BFCyg!D197,"")</f>
        <v>0.84027777777777779</v>
      </c>
      <c r="E192" s="20">
        <f>IF([1]BFCyg!E197&lt;&gt;"",[1]BFCyg!E197,"")</f>
        <v>2459076.3615999999</v>
      </c>
      <c r="F192" s="18" t="str">
        <f>IF([1]BFCyg!F197&lt;&gt;"",[1]BFCyg!F197,"")</f>
        <v>PAD</v>
      </c>
      <c r="G192" s="18" t="str">
        <f>IF([1]BFCyg!G197&lt;&gt;"",[1]BFCyg!G197,"")</f>
        <v>KOL-SK</v>
      </c>
      <c r="H192" s="18" t="str">
        <f>IF([1]BFCyg!H197&lt;&gt;"",[1]BFCyg!H197,"")</f>
        <v>C11+LISA+Atik 460EX</v>
      </c>
      <c r="I192" s="21">
        <f>IF([1]BFCyg!I197&lt;&gt;"",[1]BFCyg!I197,"")</f>
        <v>1046</v>
      </c>
      <c r="J192" s="21" t="str">
        <f>IF([1]BFCyg!J197&lt;&gt;"",[1]BFCyg!J197,"")</f>
        <v/>
      </c>
      <c r="K192" s="21" t="str">
        <f>IF([1]BFCyg!K197&lt;&gt;"",[1]BFCyg!K197,"")</f>
        <v/>
      </c>
      <c r="L192" s="21" t="str">
        <f>IF([1]BFCyg!L197&lt;&gt;"",[1]BFCyg!L197,"")</f>
        <v/>
      </c>
      <c r="M192" s="20">
        <f t="shared" si="2"/>
        <v>9076.3615999999456</v>
      </c>
      <c r="N192">
        <f t="shared" si="1"/>
        <v>9</v>
      </c>
    </row>
    <row r="193" spans="3:14" x14ac:dyDescent="0.25">
      <c r="C193" s="18" t="str">
        <f>IF([1]BFCyg!C198&lt;&gt;"",[1]BFCyg!C198,"")</f>
        <v>20/08/2020</v>
      </c>
      <c r="D193" s="19">
        <f>IF([1]BFCyg!D198&lt;&gt;"",[1]BFCyg!D198,"")</f>
        <v>0.87916666666666676</v>
      </c>
      <c r="E193" s="20">
        <f>IF([1]BFCyg!E198&lt;&gt;"",[1]BFCyg!E198,"")</f>
        <v>2459082.4145999998</v>
      </c>
      <c r="F193" s="18" t="str">
        <f>IF([1]BFCyg!F198&lt;&gt;"",[1]BFCyg!F198,"")</f>
        <v>PAD</v>
      </c>
      <c r="G193" s="18" t="str">
        <f>IF([1]BFCyg!G198&lt;&gt;"",[1]BFCyg!G198,"")</f>
        <v>KOL-SK</v>
      </c>
      <c r="H193" s="18" t="str">
        <f>IF([1]BFCyg!H198&lt;&gt;"",[1]BFCyg!H198,"")</f>
        <v>C11+LISA+Atik 460EX</v>
      </c>
      <c r="I193" s="21">
        <f>IF([1]BFCyg!I198&lt;&gt;"",[1]BFCyg!I198,"")</f>
        <v>1029</v>
      </c>
      <c r="J193" s="21" t="str">
        <f>IF([1]BFCyg!J198&lt;&gt;"",[1]BFCyg!J198,"")</f>
        <v/>
      </c>
      <c r="K193" s="21" t="str">
        <f>IF([1]BFCyg!K198&lt;&gt;"",[1]BFCyg!K198,"")</f>
        <v/>
      </c>
      <c r="L193" s="21" t="str">
        <f>IF([1]BFCyg!L198&lt;&gt;"",[1]BFCyg!L198,"")</f>
        <v/>
      </c>
      <c r="M193" s="20">
        <f t="shared" si="2"/>
        <v>9082.4145999997854</v>
      </c>
      <c r="N193">
        <f t="shared" si="1"/>
        <v>9</v>
      </c>
    </row>
    <row r="194" spans="3:14" x14ac:dyDescent="0.25">
      <c r="C194" s="18" t="str">
        <f>IF([1]BFCyg!C199&lt;&gt;"",[1]BFCyg!C199,"")</f>
        <v>17/09/2020</v>
      </c>
      <c r="D194" s="19">
        <f>IF([1]BFCyg!D199&lt;&gt;"",[1]BFCyg!D199,"")</f>
        <v>0.84930555555555554</v>
      </c>
      <c r="E194" s="20">
        <f>IF([1]BFCyg!E199&lt;&gt;"",[1]BFCyg!E199,"")</f>
        <v>2459110.3709</v>
      </c>
      <c r="F194" s="18" t="str">
        <f>IF([1]BFCyg!F199&lt;&gt;"",[1]BFCyg!F199,"")</f>
        <v>DBO</v>
      </c>
      <c r="G194" s="18" t="str">
        <f>IF([1]BFCyg!G199&lt;&gt;"",[1]BFCyg!G199,"")</f>
        <v>WCO-UK</v>
      </c>
      <c r="H194" s="18" t="str">
        <f>IF([1]BFCyg!H199&lt;&gt;"",[1]BFCyg!H199,"")</f>
        <v>C11 + LISA + SXVR-H694</v>
      </c>
      <c r="I194" s="21">
        <f>IF([1]BFCyg!I199&lt;&gt;"",[1]BFCyg!I199,"")</f>
        <v>1148</v>
      </c>
      <c r="J194" s="21" t="str">
        <f>IF([1]BFCyg!J199&lt;&gt;"",[1]BFCyg!J199,"")</f>
        <v/>
      </c>
      <c r="K194" s="21" t="str">
        <f>IF([1]BFCyg!K199&lt;&gt;"",[1]BFCyg!K199,"")</f>
        <v/>
      </c>
      <c r="L194" s="21" t="str">
        <f>IF([1]BFCyg!L199&lt;&gt;"",[1]BFCyg!L199,"")</f>
        <v/>
      </c>
      <c r="M194" s="20">
        <f t="shared" si="2"/>
        <v>9110.3708999999799</v>
      </c>
      <c r="N194">
        <f t="shared" si="1"/>
        <v>9</v>
      </c>
    </row>
    <row r="195" spans="3:14" x14ac:dyDescent="0.25">
      <c r="C195" s="18" t="str">
        <f>IF([1]BFCyg!C200&lt;&gt;"",[1]BFCyg!C200,"")</f>
        <v>22/09/2020</v>
      </c>
      <c r="D195" s="19">
        <f>IF([1]BFCyg!D200&lt;&gt;"",[1]BFCyg!D200,"")</f>
        <v>0.79583333333333339</v>
      </c>
      <c r="E195" s="20">
        <f>IF([1]BFCyg!E200&lt;&gt;"",[1]BFCyg!E200,"")</f>
        <v>2459115.3451999999</v>
      </c>
      <c r="F195" s="18" t="str">
        <f>IF([1]BFCyg!F200&lt;&gt;"",[1]BFCyg!F200,"")</f>
        <v>JGF</v>
      </c>
      <c r="G195" s="18" t="str">
        <f>IF([1]BFCyg!G200&lt;&gt;"",[1]BFCyg!G200,"")</f>
        <v>SMM-SP</v>
      </c>
      <c r="H195" s="18" t="str">
        <f>IF([1]BFCyg!H200&lt;&gt;"",[1]BFCyg!H200,"")</f>
        <v>16 REMOT LINX 460EX</v>
      </c>
      <c r="I195" s="21">
        <f>IF([1]BFCyg!I200&lt;&gt;"",[1]BFCyg!I200,"")</f>
        <v>9500</v>
      </c>
      <c r="J195" s="21" t="str">
        <f>IF([1]BFCyg!J200&lt;&gt;"",[1]BFCyg!J200,"")</f>
        <v/>
      </c>
      <c r="K195" s="21" t="str">
        <f>IF([1]BFCyg!K200&lt;&gt;"",[1]BFCyg!K200,"")</f>
        <v/>
      </c>
      <c r="L195" s="21" t="str">
        <f>IF([1]BFCyg!L200&lt;&gt;"",[1]BFCyg!L200,"")</f>
        <v/>
      </c>
      <c r="M195" s="20">
        <f t="shared" ref="M195:M197" si="3">+E195-2450000</f>
        <v>9115.3451999998651</v>
      </c>
      <c r="N195">
        <f t="shared" si="1"/>
        <v>9</v>
      </c>
    </row>
    <row r="196" spans="3:14" x14ac:dyDescent="0.25">
      <c r="C196" s="18" t="str">
        <f>IF([1]BFCyg!C201&lt;&gt;"",[1]BFCyg!C201,"")</f>
        <v>22/09/2020</v>
      </c>
      <c r="D196" s="19">
        <f>IF([1]BFCyg!D201&lt;&gt;"",[1]BFCyg!D201,"")</f>
        <v>0.89444444444444438</v>
      </c>
      <c r="E196" s="20">
        <f>IF([1]BFCyg!E201&lt;&gt;"",[1]BFCyg!E201,"")</f>
        <v>2459115.4158999999</v>
      </c>
      <c r="F196" s="18" t="str">
        <f>IF([1]BFCyg!F201&lt;&gt;"",[1]BFCyg!F201,"")</f>
        <v>PAD</v>
      </c>
      <c r="G196" s="18" t="str">
        <f>IF([1]BFCyg!G201&lt;&gt;"",[1]BFCyg!G201,"")</f>
        <v>KOL-SK</v>
      </c>
      <c r="H196" s="18" t="str">
        <f>IF([1]BFCyg!H201&lt;&gt;"",[1]BFCyg!H201,"")</f>
        <v>C11+LISA+Atik 460EX</v>
      </c>
      <c r="I196" s="21">
        <f>IF([1]BFCyg!I201&lt;&gt;"",[1]BFCyg!I201,"")</f>
        <v>905</v>
      </c>
      <c r="J196" s="21" t="str">
        <f>IF([1]BFCyg!J201&lt;&gt;"",[1]BFCyg!J201,"")</f>
        <v/>
      </c>
      <c r="K196" s="21" t="str">
        <f>IF([1]BFCyg!K201&lt;&gt;"",[1]BFCyg!K201,"")</f>
        <v/>
      </c>
      <c r="L196" s="21" t="str">
        <f>IF([1]BFCyg!L201&lt;&gt;"",[1]BFCyg!L201,"")</f>
        <v/>
      </c>
      <c r="M196" s="20">
        <f t="shared" si="3"/>
        <v>9115.4158999999054</v>
      </c>
      <c r="N196">
        <f t="shared" si="1"/>
        <v>9</v>
      </c>
    </row>
    <row r="197" spans="3:14" x14ac:dyDescent="0.25">
      <c r="C197" s="18"/>
      <c r="D197" s="19"/>
      <c r="E197" s="20"/>
      <c r="F197" s="18"/>
      <c r="G197" s="18"/>
      <c r="H197" s="18"/>
      <c r="I197" s="21"/>
      <c r="J197" s="21"/>
      <c r="K197" s="21"/>
      <c r="L197" s="21"/>
      <c r="M197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Graphique">
                <anchor moveWithCells="1" sizeWithCells="1">
                  <from>
                    <xdr:col>21</xdr:col>
                    <xdr:colOff>542925</xdr:colOff>
                    <xdr:row>5</xdr:row>
                    <xdr:rowOff>9525</xdr:rowOff>
                  </from>
                  <to>
                    <xdr:col>22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AA941"/>
  <sheetViews>
    <sheetView topLeftCell="A883" workbookViewId="0">
      <selection activeCell="J892" sqref="J892"/>
    </sheetView>
  </sheetViews>
  <sheetFormatPr baseColWidth="10" defaultRowHeight="15" x14ac:dyDescent="0.25"/>
  <cols>
    <col min="1" max="1" width="16.42578125" customWidth="1"/>
    <col min="2" max="2" width="12.140625" bestFit="1" customWidth="1"/>
    <col min="3" max="3" width="9.7109375" bestFit="1" customWidth="1"/>
    <col min="4" max="4" width="16.42578125" customWidth="1"/>
    <col min="5" max="7" width="11.5703125" bestFit="1" customWidth="1"/>
    <col min="8" max="9" width="12" bestFit="1" customWidth="1"/>
    <col min="10" max="10" width="11.5703125" bestFit="1" customWidth="1"/>
    <col min="11" max="11" width="38.28515625" bestFit="1" customWidth="1"/>
    <col min="12" max="18" width="11.5703125" bestFit="1" customWidth="1"/>
  </cols>
  <sheetData>
    <row r="1" spans="1:4" x14ac:dyDescent="0.25">
      <c r="A1" s="1">
        <v>2451761.6087000002</v>
      </c>
      <c r="B1" s="1" t="s">
        <v>1280</v>
      </c>
      <c r="C1" s="1">
        <v>12.2</v>
      </c>
      <c r="D1" s="1"/>
    </row>
    <row r="2" spans="1:4" x14ac:dyDescent="0.25">
      <c r="A2" s="1">
        <v>2451771.6083</v>
      </c>
      <c r="B2" s="1" t="s">
        <v>1281</v>
      </c>
      <c r="C2" s="1">
        <v>12.3</v>
      </c>
      <c r="D2" s="1"/>
    </row>
    <row r="3" spans="1:4" x14ac:dyDescent="0.25">
      <c r="A3" s="1">
        <v>2451788.6923000002</v>
      </c>
      <c r="B3" s="1" t="s">
        <v>1282</v>
      </c>
      <c r="C3" s="1">
        <v>12.3</v>
      </c>
      <c r="D3" s="1"/>
    </row>
    <row r="4" spans="1:4" x14ac:dyDescent="0.25">
      <c r="A4" s="1">
        <v>2451799.6817000001</v>
      </c>
      <c r="B4" s="1" t="s">
        <v>1283</v>
      </c>
      <c r="C4" s="1">
        <v>11.9</v>
      </c>
      <c r="D4" s="1"/>
    </row>
    <row r="5" spans="1:4" x14ac:dyDescent="0.25">
      <c r="A5" s="1">
        <v>2451804.6523000002</v>
      </c>
      <c r="B5" s="1" t="s">
        <v>1284</v>
      </c>
      <c r="C5" s="1">
        <v>12.2</v>
      </c>
      <c r="D5" s="1"/>
    </row>
    <row r="6" spans="1:4" x14ac:dyDescent="0.25">
      <c r="A6" s="1">
        <v>2451814.5761000002</v>
      </c>
      <c r="B6" s="1" t="s">
        <v>1285</v>
      </c>
      <c r="C6" s="1">
        <v>11.9</v>
      </c>
      <c r="D6" s="1"/>
    </row>
    <row r="7" spans="1:4" x14ac:dyDescent="0.25">
      <c r="A7" s="1">
        <v>2451831.6069999998</v>
      </c>
      <c r="B7" s="1" t="s">
        <v>1286</v>
      </c>
      <c r="C7" s="1">
        <v>12.3</v>
      </c>
      <c r="D7" s="1"/>
    </row>
    <row r="8" spans="1:4" x14ac:dyDescent="0.25">
      <c r="A8" s="1">
        <v>2451836.6549999998</v>
      </c>
      <c r="B8" s="1" t="s">
        <v>1287</v>
      </c>
      <c r="C8" s="1">
        <v>12.2</v>
      </c>
      <c r="D8" s="1"/>
    </row>
    <row r="9" spans="1:4" x14ac:dyDescent="0.25">
      <c r="A9" s="1">
        <v>2451842.605</v>
      </c>
      <c r="B9" s="1" t="s">
        <v>936</v>
      </c>
      <c r="C9" s="1">
        <v>12.2</v>
      </c>
      <c r="D9" s="1"/>
    </row>
    <row r="10" spans="1:4" x14ac:dyDescent="0.25">
      <c r="A10" s="1">
        <v>2451848.6069999998</v>
      </c>
      <c r="B10" s="1" t="s">
        <v>1288</v>
      </c>
      <c r="C10" s="1">
        <v>12.2</v>
      </c>
      <c r="D10" s="1"/>
    </row>
    <row r="11" spans="1:4" x14ac:dyDescent="0.25">
      <c r="A11" s="1">
        <v>2451853.6260000002</v>
      </c>
      <c r="B11" s="1" t="s">
        <v>1289</v>
      </c>
      <c r="C11" s="1">
        <v>12.3</v>
      </c>
      <c r="D11" s="1"/>
    </row>
    <row r="12" spans="1:4" x14ac:dyDescent="0.25">
      <c r="A12" s="1">
        <v>2451864.5890000002</v>
      </c>
      <c r="B12" s="1" t="s">
        <v>1290</v>
      </c>
      <c r="C12" s="1">
        <v>11.8</v>
      </c>
      <c r="D12" s="1"/>
    </row>
    <row r="13" spans="1:4" x14ac:dyDescent="0.25">
      <c r="A13" s="1">
        <v>2452006.9810000001</v>
      </c>
      <c r="B13" s="1" t="s">
        <v>1291</v>
      </c>
      <c r="C13" s="1">
        <v>12.3</v>
      </c>
      <c r="D13" s="1"/>
    </row>
    <row r="14" spans="1:4" x14ac:dyDescent="0.25">
      <c r="A14" s="1">
        <v>2452026.9739999999</v>
      </c>
      <c r="B14" s="1" t="s">
        <v>947</v>
      </c>
      <c r="C14" s="1">
        <v>12.3</v>
      </c>
      <c r="D14" s="1"/>
    </row>
    <row r="15" spans="1:4" x14ac:dyDescent="0.25">
      <c r="A15" s="1">
        <v>2452032.98</v>
      </c>
      <c r="B15" s="1" t="s">
        <v>1292</v>
      </c>
      <c r="C15" s="1">
        <v>12.4</v>
      </c>
      <c r="D15" s="1"/>
    </row>
    <row r="16" spans="1:4" x14ac:dyDescent="0.25">
      <c r="A16" s="1">
        <v>2452035.9530000002</v>
      </c>
      <c r="B16" s="1" t="s">
        <v>1293</v>
      </c>
      <c r="C16" s="1">
        <v>12.4</v>
      </c>
      <c r="D16" s="1"/>
    </row>
    <row r="17" spans="1:4" x14ac:dyDescent="0.25">
      <c r="A17" s="1">
        <v>2452037.9640000002</v>
      </c>
      <c r="B17" s="1" t="s">
        <v>1294</v>
      </c>
      <c r="C17" s="1">
        <v>12.3</v>
      </c>
      <c r="D17" s="1"/>
    </row>
    <row r="18" spans="1:4" x14ac:dyDescent="0.25">
      <c r="A18" s="1">
        <v>2452041.9539999999</v>
      </c>
      <c r="B18" s="1" t="s">
        <v>1295</v>
      </c>
      <c r="C18" s="1">
        <v>12.2</v>
      </c>
      <c r="D18" s="1"/>
    </row>
    <row r="19" spans="1:4" x14ac:dyDescent="0.25">
      <c r="A19" s="1">
        <v>2452053.9210000001</v>
      </c>
      <c r="B19" s="1" t="s">
        <v>1296</v>
      </c>
      <c r="C19" s="1">
        <v>12.4</v>
      </c>
      <c r="D19" s="1"/>
    </row>
    <row r="20" spans="1:4" x14ac:dyDescent="0.25">
      <c r="A20" s="1">
        <v>2452059.9240000001</v>
      </c>
      <c r="B20" s="1" t="s">
        <v>1297</v>
      </c>
      <c r="C20" s="1">
        <v>12.3</v>
      </c>
      <c r="D20" s="1"/>
    </row>
    <row r="21" spans="1:4" x14ac:dyDescent="0.25">
      <c r="A21" s="1">
        <v>2452063.9509999999</v>
      </c>
      <c r="B21" s="1" t="s">
        <v>1298</v>
      </c>
      <c r="C21" s="1">
        <v>12.4</v>
      </c>
      <c r="D21" s="1"/>
    </row>
    <row r="22" spans="1:4" x14ac:dyDescent="0.25">
      <c r="A22" s="1">
        <v>2452078.9419999998</v>
      </c>
      <c r="B22" s="1" t="s">
        <v>1299</v>
      </c>
      <c r="C22" s="1">
        <v>12.4</v>
      </c>
      <c r="D22" s="1"/>
    </row>
    <row r="23" spans="1:4" x14ac:dyDescent="0.25">
      <c r="A23" s="1">
        <v>2452085.9369999999</v>
      </c>
      <c r="B23" s="1" t="s">
        <v>1300</v>
      </c>
      <c r="C23" s="1">
        <v>13.1</v>
      </c>
      <c r="D23" s="1"/>
    </row>
    <row r="24" spans="1:4" x14ac:dyDescent="0.25">
      <c r="A24" s="1">
        <v>2452094.6469999999</v>
      </c>
      <c r="B24" s="1" t="s">
        <v>1301</v>
      </c>
      <c r="C24" s="1">
        <v>12.8</v>
      </c>
      <c r="D24" s="1"/>
    </row>
    <row r="25" spans="1:4" x14ac:dyDescent="0.25">
      <c r="A25" s="1">
        <v>2452098.9580000001</v>
      </c>
      <c r="B25" s="1" t="s">
        <v>1302</v>
      </c>
      <c r="C25" s="1">
        <v>13.1</v>
      </c>
      <c r="D25" s="1"/>
    </row>
    <row r="26" spans="1:4" x14ac:dyDescent="0.25">
      <c r="A26" s="1">
        <v>2452133.6740000001</v>
      </c>
      <c r="B26" s="1" t="s">
        <v>1303</v>
      </c>
      <c r="C26" s="1">
        <v>13.1</v>
      </c>
      <c r="D26" s="1"/>
    </row>
    <row r="27" spans="1:4" x14ac:dyDescent="0.25">
      <c r="A27" s="1">
        <v>2452141.6880000001</v>
      </c>
      <c r="B27" s="1" t="s">
        <v>1304</v>
      </c>
      <c r="C27" s="1">
        <v>13.2</v>
      </c>
      <c r="D27" s="1"/>
    </row>
    <row r="28" spans="1:4" x14ac:dyDescent="0.25">
      <c r="A28" s="1">
        <v>2452145.6609999998</v>
      </c>
      <c r="B28" s="1" t="s">
        <v>1305</v>
      </c>
      <c r="C28" s="1">
        <v>13</v>
      </c>
      <c r="D28" s="1"/>
    </row>
    <row r="29" spans="1:4" x14ac:dyDescent="0.25">
      <c r="A29" s="1">
        <v>2452149.6359999999</v>
      </c>
      <c r="B29" s="1" t="s">
        <v>1306</v>
      </c>
      <c r="C29" s="1">
        <v>13.1</v>
      </c>
      <c r="D29" s="1"/>
    </row>
    <row r="30" spans="1:4" x14ac:dyDescent="0.25">
      <c r="A30" s="1">
        <v>2452153.6510000001</v>
      </c>
      <c r="B30" s="1" t="s">
        <v>1307</v>
      </c>
      <c r="C30" s="1">
        <v>13.1</v>
      </c>
      <c r="D30" s="1"/>
    </row>
    <row r="31" spans="1:4" x14ac:dyDescent="0.25">
      <c r="A31" s="1">
        <v>2452158.6529999999</v>
      </c>
      <c r="B31" s="1" t="s">
        <v>1308</v>
      </c>
      <c r="C31" s="1">
        <v>13.3</v>
      </c>
      <c r="D31" s="1"/>
    </row>
    <row r="32" spans="1:4" x14ac:dyDescent="0.25">
      <c r="A32" s="1">
        <v>2452162.6329999999</v>
      </c>
      <c r="B32" s="1" t="s">
        <v>1309</v>
      </c>
      <c r="C32" s="1">
        <v>13.1</v>
      </c>
      <c r="D32" s="1"/>
    </row>
    <row r="33" spans="1:4" x14ac:dyDescent="0.25">
      <c r="A33" s="1">
        <v>2452170.5759999999</v>
      </c>
      <c r="B33" s="1" t="s">
        <v>1310</v>
      </c>
      <c r="C33" s="1">
        <v>13</v>
      </c>
      <c r="D33" s="1"/>
    </row>
    <row r="34" spans="1:4" x14ac:dyDescent="0.25">
      <c r="A34" s="1">
        <v>2452176.6009999998</v>
      </c>
      <c r="B34" s="1" t="s">
        <v>1311</v>
      </c>
      <c r="C34" s="1">
        <v>13.3</v>
      </c>
      <c r="D34" s="1"/>
    </row>
    <row r="35" spans="1:4" x14ac:dyDescent="0.25">
      <c r="A35" s="1">
        <v>2452180.5690000001</v>
      </c>
      <c r="B35" s="1" t="s">
        <v>1312</v>
      </c>
      <c r="C35" s="1">
        <v>13.3</v>
      </c>
      <c r="D35" s="1"/>
    </row>
    <row r="36" spans="1:4" x14ac:dyDescent="0.25">
      <c r="A36" s="1">
        <v>2452185.639</v>
      </c>
      <c r="B36" s="1" t="s">
        <v>1313</v>
      </c>
      <c r="C36" s="1">
        <v>12.8</v>
      </c>
      <c r="D36" s="1"/>
    </row>
    <row r="37" spans="1:4" x14ac:dyDescent="0.25">
      <c r="A37" s="1">
        <v>2452202.5580000002</v>
      </c>
      <c r="B37" s="1" t="s">
        <v>1314</v>
      </c>
      <c r="C37" s="1">
        <v>13.1</v>
      </c>
      <c r="D37" s="1"/>
    </row>
    <row r="38" spans="1:4" x14ac:dyDescent="0.25">
      <c r="A38" s="1">
        <v>2452206.6329999999</v>
      </c>
      <c r="B38" s="1" t="s">
        <v>1315</v>
      </c>
      <c r="C38" s="1">
        <v>13.1</v>
      </c>
      <c r="D38" s="1"/>
    </row>
    <row r="39" spans="1:4" x14ac:dyDescent="0.25">
      <c r="A39" s="1">
        <v>2452210.639</v>
      </c>
      <c r="B39" s="1" t="s">
        <v>1316</v>
      </c>
      <c r="C39" s="1">
        <v>12.9</v>
      </c>
      <c r="D39" s="1"/>
    </row>
    <row r="40" spans="1:4" x14ac:dyDescent="0.25">
      <c r="A40" s="1">
        <v>2452215.605</v>
      </c>
      <c r="B40" s="1" t="s">
        <v>959</v>
      </c>
      <c r="C40" s="1">
        <v>13.5</v>
      </c>
      <c r="D40" s="1"/>
    </row>
    <row r="41" spans="1:4" x14ac:dyDescent="0.25">
      <c r="A41" s="1">
        <v>2452221.6129999999</v>
      </c>
      <c r="B41" s="1" t="s">
        <v>1317</v>
      </c>
      <c r="C41" s="1">
        <v>12.9</v>
      </c>
      <c r="D41" s="1"/>
    </row>
    <row r="42" spans="1:4" x14ac:dyDescent="0.25">
      <c r="A42" s="1">
        <v>2452226.6060000001</v>
      </c>
      <c r="B42" s="1" t="s">
        <v>1318</v>
      </c>
      <c r="C42" s="1">
        <v>13.2</v>
      </c>
      <c r="D42" s="1"/>
    </row>
    <row r="43" spans="1:4" x14ac:dyDescent="0.25">
      <c r="A43" s="1">
        <v>2452232.5729999999</v>
      </c>
      <c r="B43" s="1" t="s">
        <v>1319</v>
      </c>
      <c r="C43" s="1">
        <v>12.7</v>
      </c>
      <c r="D43" s="1"/>
    </row>
    <row r="44" spans="1:4" x14ac:dyDescent="0.25">
      <c r="A44" s="1">
        <v>2452318.0350000001</v>
      </c>
      <c r="B44" s="1" t="s">
        <v>1320</v>
      </c>
      <c r="C44" s="1">
        <v>12.4</v>
      </c>
      <c r="D44" s="1"/>
    </row>
    <row r="45" spans="1:4" x14ac:dyDescent="0.25">
      <c r="A45" s="1">
        <v>2452328.0099999998</v>
      </c>
      <c r="B45" s="1" t="s">
        <v>1321</v>
      </c>
      <c r="C45" s="1">
        <v>12.3</v>
      </c>
      <c r="D45" s="1"/>
    </row>
    <row r="46" spans="1:4" x14ac:dyDescent="0.25">
      <c r="A46" s="1">
        <v>2452339.9730000002</v>
      </c>
      <c r="B46" s="1" t="s">
        <v>1322</v>
      </c>
      <c r="C46" s="1">
        <v>12.4</v>
      </c>
      <c r="D46" s="1"/>
    </row>
    <row r="47" spans="1:4" x14ac:dyDescent="0.25">
      <c r="A47" s="1">
        <v>2452346.9909999999</v>
      </c>
      <c r="B47" s="1" t="s">
        <v>1323</v>
      </c>
      <c r="C47" s="1">
        <v>12.4</v>
      </c>
      <c r="D47" s="1"/>
    </row>
    <row r="48" spans="1:4" x14ac:dyDescent="0.25">
      <c r="A48" s="1">
        <v>2452358.997</v>
      </c>
      <c r="B48" s="1" t="s">
        <v>1324</v>
      </c>
      <c r="C48" s="1">
        <v>12.3</v>
      </c>
      <c r="D48" s="1"/>
    </row>
    <row r="49" spans="1:4" x14ac:dyDescent="0.25">
      <c r="A49" s="1">
        <v>2452374.0010000002</v>
      </c>
      <c r="B49" s="1" t="s">
        <v>1325</v>
      </c>
      <c r="C49" s="1">
        <v>12.4</v>
      </c>
      <c r="D49" s="1"/>
    </row>
    <row r="50" spans="1:4" x14ac:dyDescent="0.25">
      <c r="A50" s="1">
        <v>2452378.9890000001</v>
      </c>
      <c r="B50" s="1" t="s">
        <v>1326</v>
      </c>
      <c r="C50" s="1">
        <v>12.3</v>
      </c>
      <c r="D50" s="1"/>
    </row>
    <row r="51" spans="1:4" x14ac:dyDescent="0.25">
      <c r="A51" s="1">
        <v>2452383.963</v>
      </c>
      <c r="B51" s="1" t="s">
        <v>1327</v>
      </c>
      <c r="C51" s="1">
        <v>12.4</v>
      </c>
      <c r="D51" s="1"/>
    </row>
    <row r="52" spans="1:4" x14ac:dyDescent="0.25">
      <c r="A52" s="1">
        <v>2452391.9550000001</v>
      </c>
      <c r="B52" s="1" t="s">
        <v>1328</v>
      </c>
      <c r="C52" s="1">
        <v>12.3</v>
      </c>
      <c r="D52" s="1"/>
    </row>
    <row r="53" spans="1:4" x14ac:dyDescent="0.25">
      <c r="A53" s="1">
        <v>2452428.9309999999</v>
      </c>
      <c r="B53" s="1" t="s">
        <v>1329</v>
      </c>
      <c r="C53" s="1">
        <v>12.2</v>
      </c>
      <c r="D53" s="1"/>
    </row>
    <row r="54" spans="1:4" x14ac:dyDescent="0.25">
      <c r="A54" s="1">
        <v>2452433.9449999998</v>
      </c>
      <c r="B54" s="1" t="s">
        <v>1330</v>
      </c>
      <c r="C54" s="1">
        <v>12.3</v>
      </c>
      <c r="D54" s="1"/>
    </row>
    <row r="55" spans="1:4" x14ac:dyDescent="0.25">
      <c r="A55" s="1">
        <v>2452437.9449999998</v>
      </c>
      <c r="B55" s="1" t="s">
        <v>1331</v>
      </c>
      <c r="C55" s="1">
        <v>12.2</v>
      </c>
      <c r="D55" s="1"/>
    </row>
    <row r="56" spans="1:4" x14ac:dyDescent="0.25">
      <c r="A56" s="1">
        <v>2452441.6839999999</v>
      </c>
      <c r="B56" s="1" t="s">
        <v>1332</v>
      </c>
      <c r="C56" s="1">
        <v>12.3</v>
      </c>
      <c r="D56" s="1"/>
    </row>
    <row r="57" spans="1:4" x14ac:dyDescent="0.25">
      <c r="A57" s="1">
        <v>2452448.659</v>
      </c>
      <c r="B57" s="1" t="s">
        <v>1333</v>
      </c>
      <c r="C57" s="1">
        <v>12.2</v>
      </c>
      <c r="D57" s="1"/>
    </row>
    <row r="58" spans="1:4" x14ac:dyDescent="0.25">
      <c r="A58" s="1">
        <v>2452452.952</v>
      </c>
      <c r="B58" s="1" t="s">
        <v>1334</v>
      </c>
      <c r="C58" s="1">
        <v>12</v>
      </c>
      <c r="D58" s="1"/>
    </row>
    <row r="59" spans="1:4" x14ac:dyDescent="0.25">
      <c r="A59" s="1">
        <v>2452456.6430000002</v>
      </c>
      <c r="B59" s="1" t="s">
        <v>1335</v>
      </c>
      <c r="C59" s="1">
        <v>12.3</v>
      </c>
      <c r="D59" s="1"/>
    </row>
    <row r="60" spans="1:4" x14ac:dyDescent="0.25">
      <c r="A60" s="1">
        <v>2452461.67</v>
      </c>
      <c r="B60" s="1" t="s">
        <v>1336</v>
      </c>
      <c r="C60" s="1">
        <v>12.2</v>
      </c>
      <c r="D60" s="1"/>
    </row>
    <row r="61" spans="1:4" x14ac:dyDescent="0.25">
      <c r="A61" s="1">
        <v>2452469.6630000002</v>
      </c>
      <c r="B61" s="1" t="s">
        <v>1337</v>
      </c>
      <c r="C61" s="1">
        <v>12.3</v>
      </c>
      <c r="D61" s="1"/>
    </row>
    <row r="62" spans="1:4" x14ac:dyDescent="0.25">
      <c r="A62" s="1">
        <v>2452479.8050000002</v>
      </c>
      <c r="B62" s="1" t="s">
        <v>1338</v>
      </c>
      <c r="C62" s="1">
        <v>12.1</v>
      </c>
      <c r="D62" s="1"/>
    </row>
    <row r="63" spans="1:4" x14ac:dyDescent="0.25">
      <c r="A63" s="1">
        <v>2452487.7820000001</v>
      </c>
      <c r="B63" s="1" t="s">
        <v>1339</v>
      </c>
      <c r="C63" s="1">
        <v>12.2</v>
      </c>
      <c r="D63" s="1"/>
    </row>
    <row r="64" spans="1:4" x14ac:dyDescent="0.25">
      <c r="A64" s="1">
        <v>2452498.7480000001</v>
      </c>
      <c r="B64" s="1" t="s">
        <v>1340</v>
      </c>
      <c r="C64" s="1">
        <v>12.3</v>
      </c>
      <c r="D64" s="1"/>
    </row>
    <row r="65" spans="1:4" x14ac:dyDescent="0.25">
      <c r="A65" s="1">
        <v>2452504.7379999999</v>
      </c>
      <c r="B65" s="1" t="s">
        <v>1341</v>
      </c>
      <c r="C65" s="1">
        <v>12.3</v>
      </c>
      <c r="D65" s="1"/>
    </row>
    <row r="66" spans="1:4" x14ac:dyDescent="0.25">
      <c r="A66" s="1">
        <v>2452512.7230000002</v>
      </c>
      <c r="B66" s="1" t="s">
        <v>1342</v>
      </c>
      <c r="C66" s="1">
        <v>11.9</v>
      </c>
      <c r="D66" s="1"/>
    </row>
    <row r="67" spans="1:4" x14ac:dyDescent="0.25">
      <c r="A67" s="1">
        <v>2452535.6830000002</v>
      </c>
      <c r="B67" s="1" t="s">
        <v>1343</v>
      </c>
      <c r="C67" s="1">
        <v>12.1</v>
      </c>
      <c r="D67" s="1"/>
    </row>
    <row r="68" spans="1:4" x14ac:dyDescent="0.25">
      <c r="A68" s="1">
        <v>2452539.71</v>
      </c>
      <c r="B68" s="1" t="s">
        <v>1344</v>
      </c>
      <c r="C68" s="1">
        <v>12.1</v>
      </c>
      <c r="D68" s="1"/>
    </row>
    <row r="69" spans="1:4" x14ac:dyDescent="0.25">
      <c r="A69" s="1">
        <v>2452544.6379999998</v>
      </c>
      <c r="B69" s="1" t="s">
        <v>1345</v>
      </c>
      <c r="C69" s="1">
        <v>11.9</v>
      </c>
      <c r="D69" s="1"/>
    </row>
    <row r="70" spans="1:4" x14ac:dyDescent="0.25">
      <c r="A70" s="1">
        <v>2452549.6209999998</v>
      </c>
      <c r="B70" s="1" t="s">
        <v>1346</v>
      </c>
      <c r="C70" s="1">
        <v>12.1</v>
      </c>
      <c r="D70" s="1"/>
    </row>
    <row r="71" spans="1:4" x14ac:dyDescent="0.25">
      <c r="A71" s="1">
        <v>2452553.5890000002</v>
      </c>
      <c r="B71" s="1" t="s">
        <v>1347</v>
      </c>
      <c r="C71" s="1">
        <v>12.3</v>
      </c>
      <c r="D71" s="1"/>
    </row>
    <row r="72" spans="1:4" x14ac:dyDescent="0.25">
      <c r="A72" s="1">
        <v>2452557.591</v>
      </c>
      <c r="B72" s="1" t="s">
        <v>1348</v>
      </c>
      <c r="C72" s="1">
        <v>12.1</v>
      </c>
      <c r="D72" s="1"/>
    </row>
    <row r="73" spans="1:4" x14ac:dyDescent="0.25">
      <c r="A73" s="1">
        <v>2452566.6269999999</v>
      </c>
      <c r="B73" s="1" t="s">
        <v>1349</v>
      </c>
      <c r="C73" s="1">
        <v>12.1</v>
      </c>
      <c r="D73" s="1"/>
    </row>
    <row r="74" spans="1:4" x14ac:dyDescent="0.25">
      <c r="A74" s="1">
        <v>2452572.63</v>
      </c>
      <c r="B74" s="1" t="s">
        <v>1350</v>
      </c>
      <c r="C74" s="1">
        <v>12.3</v>
      </c>
      <c r="D74" s="1"/>
    </row>
    <row r="75" spans="1:4" x14ac:dyDescent="0.25">
      <c r="A75" s="1">
        <v>2452576.6349999998</v>
      </c>
      <c r="B75" s="1" t="s">
        <v>1351</v>
      </c>
      <c r="C75" s="1">
        <v>12.2</v>
      </c>
      <c r="D75" s="1"/>
    </row>
    <row r="76" spans="1:4" x14ac:dyDescent="0.25">
      <c r="A76" s="1">
        <v>2452580.6140000001</v>
      </c>
      <c r="B76" s="1" t="s">
        <v>1352</v>
      </c>
      <c r="C76" s="1">
        <v>12.2</v>
      </c>
      <c r="D76" s="1"/>
    </row>
    <row r="77" spans="1:4" x14ac:dyDescent="0.25">
      <c r="A77" s="1">
        <v>2452584.5959999999</v>
      </c>
      <c r="B77" s="1" t="s">
        <v>1353</v>
      </c>
      <c r="C77" s="1">
        <v>12.3</v>
      </c>
      <c r="D77" s="1"/>
    </row>
    <row r="78" spans="1:4" x14ac:dyDescent="0.25">
      <c r="A78" s="1">
        <v>2452589.5830000001</v>
      </c>
      <c r="B78" s="1" t="s">
        <v>1354</v>
      </c>
      <c r="C78" s="1">
        <v>12.1</v>
      </c>
      <c r="D78" s="1"/>
    </row>
    <row r="79" spans="1:4" x14ac:dyDescent="0.25">
      <c r="A79" s="1">
        <v>2452594.5869999998</v>
      </c>
      <c r="B79" s="1" t="s">
        <v>1355</v>
      </c>
      <c r="C79" s="1">
        <v>11.9</v>
      </c>
      <c r="D79" s="1"/>
    </row>
    <row r="80" spans="1:4" x14ac:dyDescent="0.25">
      <c r="A80" s="1">
        <v>2452597.56</v>
      </c>
      <c r="B80" s="1" t="s">
        <v>1356</v>
      </c>
      <c r="C80" s="1">
        <v>12.2</v>
      </c>
      <c r="D80" s="1"/>
    </row>
    <row r="81" spans="1:4" x14ac:dyDescent="0.25">
      <c r="A81" s="1">
        <v>2452601.5630000001</v>
      </c>
      <c r="B81" s="1" t="s">
        <v>1357</v>
      </c>
      <c r="C81" s="1">
        <v>12.1</v>
      </c>
      <c r="D81" s="1"/>
    </row>
    <row r="82" spans="1:4" x14ac:dyDescent="0.25">
      <c r="A82" s="1">
        <v>2452681.0329999998</v>
      </c>
      <c r="B82" s="1" t="s">
        <v>1358</v>
      </c>
      <c r="C82" s="1">
        <v>11.9</v>
      </c>
      <c r="D82" s="1"/>
    </row>
    <row r="83" spans="1:4" x14ac:dyDescent="0.25">
      <c r="A83" s="1">
        <v>2452700.9879999999</v>
      </c>
      <c r="B83" s="1" t="s">
        <v>1359</v>
      </c>
      <c r="C83" s="1">
        <v>12</v>
      </c>
      <c r="D83" s="1"/>
    </row>
    <row r="84" spans="1:4" x14ac:dyDescent="0.25">
      <c r="A84" s="1">
        <v>2452704.9649999999</v>
      </c>
      <c r="B84" s="1" t="s">
        <v>1360</v>
      </c>
      <c r="C84" s="1">
        <v>12.1</v>
      </c>
      <c r="D84" s="1"/>
    </row>
    <row r="85" spans="1:4" x14ac:dyDescent="0.25">
      <c r="A85" s="1">
        <v>2452708.9410000001</v>
      </c>
      <c r="B85" s="1" t="s">
        <v>1361</v>
      </c>
      <c r="C85" s="1">
        <v>12.2</v>
      </c>
      <c r="D85" s="1"/>
    </row>
    <row r="86" spans="1:4" x14ac:dyDescent="0.25">
      <c r="A86" s="1">
        <v>2452721.9070000001</v>
      </c>
      <c r="B86" s="1" t="s">
        <v>1362</v>
      </c>
      <c r="C86" s="1">
        <v>11.9</v>
      </c>
      <c r="D86" s="1"/>
    </row>
    <row r="87" spans="1:4" x14ac:dyDescent="0.25">
      <c r="A87" s="1">
        <v>2452724.8990000002</v>
      </c>
      <c r="B87" s="1" t="s">
        <v>1363</v>
      </c>
      <c r="C87" s="1">
        <v>12.1</v>
      </c>
      <c r="D87" s="1"/>
    </row>
    <row r="88" spans="1:4" x14ac:dyDescent="0.25">
      <c r="A88" s="1">
        <v>2452728.9019999998</v>
      </c>
      <c r="B88" s="1" t="s">
        <v>1364</v>
      </c>
      <c r="C88" s="1">
        <v>12.1</v>
      </c>
      <c r="D88" s="1"/>
    </row>
    <row r="89" spans="1:4" x14ac:dyDescent="0.25">
      <c r="A89" s="1">
        <v>2452761.8089999999</v>
      </c>
      <c r="B89" s="1" t="s">
        <v>1365</v>
      </c>
      <c r="C89" s="1">
        <v>12.3</v>
      </c>
      <c r="D89" s="1"/>
    </row>
    <row r="90" spans="1:4" x14ac:dyDescent="0.25">
      <c r="A90" s="1">
        <v>2452766.784</v>
      </c>
      <c r="B90" s="1" t="s">
        <v>1366</v>
      </c>
      <c r="C90" s="1">
        <v>12.3</v>
      </c>
      <c r="D90" s="1"/>
    </row>
    <row r="91" spans="1:4" x14ac:dyDescent="0.25">
      <c r="A91" s="1">
        <v>2452769.773</v>
      </c>
      <c r="B91" s="1" t="s">
        <v>1367</v>
      </c>
      <c r="C91" s="1">
        <v>12.3</v>
      </c>
      <c r="D91" s="1"/>
    </row>
    <row r="92" spans="1:4" x14ac:dyDescent="0.25">
      <c r="A92" s="1">
        <v>2452772.7799999998</v>
      </c>
      <c r="B92" s="1" t="s">
        <v>1368</v>
      </c>
      <c r="C92" s="1">
        <v>12.2</v>
      </c>
      <c r="D92" s="1"/>
    </row>
    <row r="93" spans="1:4" x14ac:dyDescent="0.25">
      <c r="A93" s="1">
        <v>2452777.753</v>
      </c>
      <c r="B93" s="1" t="s">
        <v>1369</v>
      </c>
      <c r="C93" s="1">
        <v>12.1</v>
      </c>
      <c r="D93" s="1"/>
    </row>
    <row r="94" spans="1:4" x14ac:dyDescent="0.25">
      <c r="A94" s="1">
        <v>2452781.7429999998</v>
      </c>
      <c r="B94" s="1" t="s">
        <v>1370</v>
      </c>
      <c r="C94" s="1">
        <v>12.3</v>
      </c>
      <c r="D94" s="1"/>
    </row>
    <row r="95" spans="1:4" x14ac:dyDescent="0.25">
      <c r="A95" s="1">
        <v>2452784.9539999999</v>
      </c>
      <c r="B95" s="1" t="s">
        <v>1371</v>
      </c>
      <c r="C95" s="1">
        <v>12.3</v>
      </c>
      <c r="D95" s="1"/>
    </row>
    <row r="96" spans="1:4" x14ac:dyDescent="0.25">
      <c r="A96" s="1">
        <v>2452787.9360000002</v>
      </c>
      <c r="B96" s="1" t="s">
        <v>1372</v>
      </c>
      <c r="C96" s="1">
        <v>12.4</v>
      </c>
      <c r="D96" s="1"/>
    </row>
    <row r="97" spans="1:4" x14ac:dyDescent="0.25">
      <c r="A97" s="1">
        <v>2452791.9300000002</v>
      </c>
      <c r="B97" s="1" t="s">
        <v>1373</v>
      </c>
      <c r="C97" s="1">
        <v>12.3</v>
      </c>
      <c r="D97" s="1"/>
    </row>
    <row r="98" spans="1:4" x14ac:dyDescent="0.25">
      <c r="A98" s="1">
        <v>2452795.9389999998</v>
      </c>
      <c r="B98" s="1" t="s">
        <v>1374</v>
      </c>
      <c r="C98" s="1">
        <v>12.2</v>
      </c>
      <c r="D98" s="1"/>
    </row>
    <row r="99" spans="1:4" x14ac:dyDescent="0.25">
      <c r="A99" s="1">
        <v>2452798.8909999998</v>
      </c>
      <c r="B99" s="1" t="s">
        <v>1375</v>
      </c>
      <c r="C99" s="1">
        <v>12.4</v>
      </c>
      <c r="D99" s="1"/>
    </row>
    <row r="100" spans="1:4" x14ac:dyDescent="0.25">
      <c r="A100" s="1">
        <v>2452801.9309999999</v>
      </c>
      <c r="B100" s="1" t="s">
        <v>1376</v>
      </c>
      <c r="C100" s="1">
        <v>12.4</v>
      </c>
      <c r="D100" s="1"/>
    </row>
    <row r="101" spans="1:4" x14ac:dyDescent="0.25">
      <c r="A101" s="1">
        <v>2452804.912</v>
      </c>
      <c r="B101" s="1" t="s">
        <v>1377</v>
      </c>
      <c r="C101" s="1">
        <v>12.4</v>
      </c>
      <c r="D101" s="1"/>
    </row>
    <row r="102" spans="1:4" x14ac:dyDescent="0.25">
      <c r="A102" s="1">
        <v>2452811.89</v>
      </c>
      <c r="B102" s="1" t="s">
        <v>990</v>
      </c>
      <c r="C102" s="1">
        <v>12.4</v>
      </c>
      <c r="D102" s="1"/>
    </row>
    <row r="103" spans="1:4" x14ac:dyDescent="0.25">
      <c r="A103" s="1">
        <v>2452814.8960000002</v>
      </c>
      <c r="B103" s="1" t="s">
        <v>1378</v>
      </c>
      <c r="C103" s="1">
        <v>12.3</v>
      </c>
      <c r="D103" s="1"/>
    </row>
    <row r="104" spans="1:4" x14ac:dyDescent="0.25">
      <c r="A104" s="1">
        <v>2452817.8739999998</v>
      </c>
      <c r="B104" s="1" t="s">
        <v>1379</v>
      </c>
      <c r="C104" s="1">
        <v>12.4</v>
      </c>
      <c r="D104" s="1"/>
    </row>
    <row r="105" spans="1:4" x14ac:dyDescent="0.25">
      <c r="A105" s="1">
        <v>2452821.8849999998</v>
      </c>
      <c r="B105" s="1" t="s">
        <v>1380</v>
      </c>
      <c r="C105" s="1">
        <v>12.4</v>
      </c>
      <c r="D105" s="1"/>
    </row>
    <row r="106" spans="1:4" x14ac:dyDescent="0.25">
      <c r="A106" s="1">
        <v>2452829.8879999998</v>
      </c>
      <c r="B106" s="1" t="s">
        <v>1381</v>
      </c>
      <c r="C106" s="1">
        <v>12.4</v>
      </c>
      <c r="D106" s="1"/>
    </row>
    <row r="107" spans="1:4" x14ac:dyDescent="0.25">
      <c r="A107" s="1">
        <v>2452833.8739999998</v>
      </c>
      <c r="B107" s="1" t="s">
        <v>1382</v>
      </c>
      <c r="C107" s="1">
        <v>12.6</v>
      </c>
      <c r="D107" s="1"/>
    </row>
    <row r="108" spans="1:4" x14ac:dyDescent="0.25">
      <c r="A108" s="1">
        <v>2452836.889</v>
      </c>
      <c r="B108" s="1" t="s">
        <v>1383</v>
      </c>
      <c r="C108" s="1">
        <v>12.6</v>
      </c>
      <c r="D108" s="1"/>
    </row>
    <row r="109" spans="1:4" x14ac:dyDescent="0.25">
      <c r="A109" s="1">
        <v>2452839.8739999998</v>
      </c>
      <c r="B109" s="1" t="s">
        <v>1384</v>
      </c>
      <c r="C109" s="1">
        <v>12.4</v>
      </c>
      <c r="D109" s="1"/>
    </row>
    <row r="110" spans="1:4" x14ac:dyDescent="0.25">
      <c r="A110" s="1">
        <v>2452843.8829999999</v>
      </c>
      <c r="B110" s="1" t="s">
        <v>1385</v>
      </c>
      <c r="C110" s="1">
        <v>12.5</v>
      </c>
      <c r="D110" s="1"/>
    </row>
    <row r="111" spans="1:4" x14ac:dyDescent="0.25">
      <c r="A111" s="1">
        <v>2452846.8360000001</v>
      </c>
      <c r="B111" s="1" t="s">
        <v>1386</v>
      </c>
      <c r="C111" s="1">
        <v>12.4</v>
      </c>
      <c r="D111" s="1"/>
    </row>
    <row r="112" spans="1:4" x14ac:dyDescent="0.25">
      <c r="A112" s="1">
        <v>2452849.8420000002</v>
      </c>
      <c r="B112" s="1" t="s">
        <v>1387</v>
      </c>
      <c r="C112" s="1">
        <v>12.2</v>
      </c>
      <c r="D112" s="1"/>
    </row>
    <row r="113" spans="1:4" x14ac:dyDescent="0.25">
      <c r="A113" s="1">
        <v>2452852.855</v>
      </c>
      <c r="B113" s="1" t="s">
        <v>1388</v>
      </c>
      <c r="C113" s="1">
        <v>12.3</v>
      </c>
      <c r="D113" s="1"/>
    </row>
    <row r="114" spans="1:4" x14ac:dyDescent="0.25">
      <c r="A114" s="1">
        <v>2452855.8590000002</v>
      </c>
      <c r="B114" s="1" t="s">
        <v>1389</v>
      </c>
      <c r="C114" s="1">
        <v>12.7</v>
      </c>
      <c r="D114" s="1"/>
    </row>
    <row r="115" spans="1:4" x14ac:dyDescent="0.25">
      <c r="A115" s="1">
        <v>2452863.8130000001</v>
      </c>
      <c r="B115" s="1" t="s">
        <v>1390</v>
      </c>
      <c r="C115" s="1">
        <v>12.7</v>
      </c>
      <c r="D115" s="1"/>
    </row>
    <row r="116" spans="1:4" x14ac:dyDescent="0.25">
      <c r="A116" s="1">
        <v>2452871.807</v>
      </c>
      <c r="B116" s="1" t="s">
        <v>1391</v>
      </c>
      <c r="C116" s="1">
        <v>12.6</v>
      </c>
      <c r="D116" s="1"/>
    </row>
    <row r="117" spans="1:4" x14ac:dyDescent="0.25">
      <c r="A117" s="1">
        <v>2452874.8059999999</v>
      </c>
      <c r="B117" s="1" t="s">
        <v>1392</v>
      </c>
      <c r="C117" s="1">
        <v>12.6</v>
      </c>
      <c r="D117" s="1"/>
    </row>
    <row r="118" spans="1:4" x14ac:dyDescent="0.25">
      <c r="A118" s="1">
        <v>2452884.6490000002</v>
      </c>
      <c r="B118" s="1" t="s">
        <v>1393</v>
      </c>
      <c r="C118" s="1">
        <v>12.6</v>
      </c>
      <c r="D118" s="1"/>
    </row>
    <row r="119" spans="1:4" x14ac:dyDescent="0.25">
      <c r="A119" s="1">
        <v>2452887.6609999998</v>
      </c>
      <c r="B119" s="1" t="s">
        <v>1394</v>
      </c>
      <c r="C119" s="1">
        <v>12.6</v>
      </c>
      <c r="D119" s="1"/>
    </row>
    <row r="120" spans="1:4" x14ac:dyDescent="0.25">
      <c r="A120" s="1">
        <v>2452890.7749999999</v>
      </c>
      <c r="B120" s="1" t="s">
        <v>1395</v>
      </c>
      <c r="C120" s="1">
        <v>12.7</v>
      </c>
      <c r="D120" s="1"/>
    </row>
    <row r="121" spans="1:4" x14ac:dyDescent="0.25">
      <c r="A121" s="1">
        <v>2452896.7680000002</v>
      </c>
      <c r="B121" s="1" t="s">
        <v>1396</v>
      </c>
      <c r="C121" s="1">
        <v>13.1</v>
      </c>
      <c r="D121" s="1"/>
    </row>
    <row r="122" spans="1:4" x14ac:dyDescent="0.25">
      <c r="A122" s="1">
        <v>2452899.7560000001</v>
      </c>
      <c r="B122" s="1" t="s">
        <v>1397</v>
      </c>
      <c r="C122" s="1">
        <v>12.7</v>
      </c>
      <c r="D122" s="1"/>
    </row>
    <row r="123" spans="1:4" x14ac:dyDescent="0.25">
      <c r="A123" s="1">
        <v>2452902.7629999998</v>
      </c>
      <c r="B123" s="1" t="s">
        <v>996</v>
      </c>
      <c r="C123" s="1">
        <v>13.2</v>
      </c>
      <c r="D123" s="1"/>
    </row>
    <row r="124" spans="1:4" x14ac:dyDescent="0.25">
      <c r="A124" s="1">
        <v>2452909.7420000001</v>
      </c>
      <c r="B124" s="1" t="s">
        <v>1398</v>
      </c>
      <c r="C124" s="1">
        <v>12.8</v>
      </c>
      <c r="D124" s="1"/>
    </row>
    <row r="125" spans="1:4" x14ac:dyDescent="0.25">
      <c r="A125" s="1">
        <v>2452912.733</v>
      </c>
      <c r="B125" s="1" t="s">
        <v>1399</v>
      </c>
      <c r="C125" s="1">
        <v>13.1</v>
      </c>
      <c r="D125" s="1"/>
    </row>
    <row r="126" spans="1:4" x14ac:dyDescent="0.25">
      <c r="A126" s="1">
        <v>2452918.6540000001</v>
      </c>
      <c r="B126" s="1" t="s">
        <v>1400</v>
      </c>
      <c r="C126" s="1">
        <v>13.4</v>
      </c>
      <c r="D126" s="1"/>
    </row>
    <row r="127" spans="1:4" x14ac:dyDescent="0.25">
      <c r="A127" s="1">
        <v>2452925.6529999999</v>
      </c>
      <c r="B127" s="1" t="s">
        <v>1401</v>
      </c>
      <c r="C127" s="1">
        <v>13.3</v>
      </c>
      <c r="D127" s="1"/>
    </row>
    <row r="128" spans="1:4" x14ac:dyDescent="0.25">
      <c r="A128" s="1">
        <v>2452928.6290000002</v>
      </c>
      <c r="B128" s="1" t="s">
        <v>1402</v>
      </c>
      <c r="C128" s="1">
        <v>13.5</v>
      </c>
      <c r="D128" s="1"/>
    </row>
    <row r="129" spans="1:4" x14ac:dyDescent="0.25">
      <c r="A129" s="1">
        <v>2452931.645</v>
      </c>
      <c r="B129" s="1" t="s">
        <v>1403</v>
      </c>
      <c r="C129" s="1">
        <v>13.2</v>
      </c>
      <c r="D129" s="1"/>
    </row>
    <row r="130" spans="1:4" x14ac:dyDescent="0.25">
      <c r="A130" s="1">
        <v>2452934.64</v>
      </c>
      <c r="B130" s="1" t="s">
        <v>1404</v>
      </c>
      <c r="C130" s="1">
        <v>13.2</v>
      </c>
      <c r="D130" s="1"/>
    </row>
    <row r="131" spans="1:4" x14ac:dyDescent="0.25">
      <c r="A131" s="1">
        <v>2452937.6310000001</v>
      </c>
      <c r="B131" s="1" t="s">
        <v>1405</v>
      </c>
      <c r="C131" s="1">
        <v>13.2</v>
      </c>
      <c r="D131" s="1"/>
    </row>
    <row r="132" spans="1:4" x14ac:dyDescent="0.25">
      <c r="A132" s="1">
        <v>2452940.6469999999</v>
      </c>
      <c r="B132" s="1" t="s">
        <v>1406</v>
      </c>
      <c r="C132" s="1">
        <v>13.2</v>
      </c>
      <c r="D132" s="1"/>
    </row>
    <row r="133" spans="1:4" x14ac:dyDescent="0.25">
      <c r="A133" s="1">
        <v>2452943.6409999998</v>
      </c>
      <c r="B133" s="1" t="s">
        <v>1407</v>
      </c>
      <c r="C133" s="1">
        <v>13.3</v>
      </c>
      <c r="D133" s="1"/>
    </row>
    <row r="134" spans="1:4" x14ac:dyDescent="0.25">
      <c r="A134" s="1">
        <v>2452946.6239999998</v>
      </c>
      <c r="B134" s="1" t="s">
        <v>1408</v>
      </c>
      <c r="C134" s="1">
        <v>13.3</v>
      </c>
      <c r="D134" s="1"/>
    </row>
    <row r="135" spans="1:4" x14ac:dyDescent="0.25">
      <c r="A135" s="1">
        <v>2452949.6290000002</v>
      </c>
      <c r="B135" s="1" t="s">
        <v>1409</v>
      </c>
      <c r="C135" s="1">
        <v>13.1</v>
      </c>
      <c r="D135" s="1"/>
    </row>
    <row r="136" spans="1:4" x14ac:dyDescent="0.25">
      <c r="A136" s="1">
        <v>2452952.6189999999</v>
      </c>
      <c r="B136" s="1" t="s">
        <v>1410</v>
      </c>
      <c r="C136" s="1">
        <v>12.8</v>
      </c>
      <c r="D136" s="1"/>
    </row>
    <row r="137" spans="1:4" x14ac:dyDescent="0.25">
      <c r="A137" s="1">
        <v>2452958.62</v>
      </c>
      <c r="B137" s="1" t="s">
        <v>1411</v>
      </c>
      <c r="C137" s="1">
        <v>12.9</v>
      </c>
      <c r="D137" s="1"/>
    </row>
    <row r="138" spans="1:4" x14ac:dyDescent="0.25">
      <c r="A138" s="1">
        <v>2452963.608</v>
      </c>
      <c r="B138" s="1" t="s">
        <v>1412</v>
      </c>
      <c r="C138" s="1">
        <v>13.1</v>
      </c>
      <c r="D138" s="1"/>
    </row>
    <row r="139" spans="1:4" x14ac:dyDescent="0.25">
      <c r="A139" s="1">
        <v>2452970.5839999998</v>
      </c>
      <c r="B139" s="1" t="s">
        <v>1413</v>
      </c>
      <c r="C139" s="1">
        <v>12.9</v>
      </c>
      <c r="D139" s="1"/>
    </row>
    <row r="140" spans="1:4" x14ac:dyDescent="0.25">
      <c r="A140" s="1">
        <v>2452974.58</v>
      </c>
      <c r="B140" s="1" t="s">
        <v>1414</v>
      </c>
      <c r="C140" s="1">
        <v>12.9</v>
      </c>
      <c r="D140" s="1"/>
    </row>
    <row r="141" spans="1:4" x14ac:dyDescent="0.25">
      <c r="A141" s="1">
        <v>2452978.5630000001</v>
      </c>
      <c r="B141" s="1" t="s">
        <v>1415</v>
      </c>
      <c r="C141" s="1">
        <v>12.9</v>
      </c>
      <c r="D141" s="1"/>
    </row>
    <row r="142" spans="1:4" x14ac:dyDescent="0.25">
      <c r="A142" s="1">
        <v>2453063.0131000001</v>
      </c>
      <c r="B142" s="1" t="s">
        <v>1416</v>
      </c>
      <c r="C142" s="1">
        <v>12.7</v>
      </c>
      <c r="D142" s="1"/>
    </row>
    <row r="143" spans="1:4" x14ac:dyDescent="0.25">
      <c r="A143" s="1">
        <v>2453081.0025999998</v>
      </c>
      <c r="B143" s="1" t="s">
        <v>1417</v>
      </c>
      <c r="C143" s="1">
        <v>12.4</v>
      </c>
      <c r="D143" s="1"/>
    </row>
    <row r="144" spans="1:4" x14ac:dyDescent="0.25">
      <c r="A144" s="1">
        <v>2453083.9855</v>
      </c>
      <c r="B144" s="1" t="s">
        <v>1005</v>
      </c>
      <c r="C144" s="1">
        <v>12.4</v>
      </c>
      <c r="D144" s="1"/>
    </row>
    <row r="145" spans="1:4" x14ac:dyDescent="0.25">
      <c r="A145" s="1">
        <v>2453091.9273999999</v>
      </c>
      <c r="B145" s="1" t="s">
        <v>1418</v>
      </c>
      <c r="C145" s="1">
        <v>12.4</v>
      </c>
      <c r="D145" s="1"/>
    </row>
    <row r="146" spans="1:4" x14ac:dyDescent="0.25">
      <c r="A146" s="1">
        <v>2453094.9509999999</v>
      </c>
      <c r="B146" s="1" t="s">
        <v>1419</v>
      </c>
      <c r="C146" s="1">
        <v>12.4</v>
      </c>
      <c r="D146" s="1"/>
    </row>
    <row r="147" spans="1:4" x14ac:dyDescent="0.25">
      <c r="A147" s="1">
        <v>2453102.98</v>
      </c>
      <c r="B147" s="1" t="s">
        <v>1420</v>
      </c>
      <c r="C147" s="1">
        <v>12.4</v>
      </c>
      <c r="D147" s="1"/>
    </row>
    <row r="148" spans="1:4" x14ac:dyDescent="0.25">
      <c r="A148" s="1">
        <v>2453116.9599000001</v>
      </c>
      <c r="B148" s="1" t="s">
        <v>1421</v>
      </c>
      <c r="C148" s="1">
        <v>12.4</v>
      </c>
      <c r="D148" s="1"/>
    </row>
    <row r="149" spans="1:4" x14ac:dyDescent="0.25">
      <c r="A149" s="1">
        <v>2453126.8472000002</v>
      </c>
      <c r="B149" s="1" t="s">
        <v>1422</v>
      </c>
      <c r="C149" s="1">
        <v>12.3</v>
      </c>
      <c r="D149" s="1"/>
    </row>
    <row r="150" spans="1:4" x14ac:dyDescent="0.25">
      <c r="A150" s="1">
        <v>2453129.8372</v>
      </c>
      <c r="B150" s="1" t="s">
        <v>1423</v>
      </c>
      <c r="C150" s="1">
        <v>12.3</v>
      </c>
      <c r="D150" s="1"/>
    </row>
    <row r="151" spans="1:4" x14ac:dyDescent="0.25">
      <c r="A151" s="1">
        <v>2453132.838</v>
      </c>
      <c r="B151" s="1" t="s">
        <v>1424</v>
      </c>
      <c r="C151" s="1">
        <v>12.3</v>
      </c>
      <c r="D151" s="1"/>
    </row>
    <row r="152" spans="1:4" x14ac:dyDescent="0.25">
      <c r="A152" s="1">
        <v>2453135.9306000001</v>
      </c>
      <c r="B152" s="1" t="s">
        <v>1425</v>
      </c>
      <c r="C152" s="1">
        <v>12.3</v>
      </c>
      <c r="D152" s="1"/>
    </row>
    <row r="153" spans="1:4" x14ac:dyDescent="0.25">
      <c r="A153" s="1">
        <v>2453139.8070999999</v>
      </c>
      <c r="B153" s="1" t="s">
        <v>1426</v>
      </c>
      <c r="C153" s="1">
        <v>12.3</v>
      </c>
      <c r="D153" s="1"/>
    </row>
    <row r="154" spans="1:4" x14ac:dyDescent="0.25">
      <c r="A154" s="1">
        <v>2453143.8015000001</v>
      </c>
      <c r="B154" s="1" t="s">
        <v>1427</v>
      </c>
      <c r="C154" s="1">
        <v>12.3</v>
      </c>
      <c r="D154" s="1"/>
    </row>
    <row r="155" spans="1:4" x14ac:dyDescent="0.25">
      <c r="A155" s="1">
        <v>2453147.8311999999</v>
      </c>
      <c r="B155" s="1" t="s">
        <v>1428</v>
      </c>
      <c r="C155" s="1">
        <v>12.3</v>
      </c>
      <c r="D155" s="1"/>
    </row>
    <row r="156" spans="1:4" x14ac:dyDescent="0.25">
      <c r="A156" s="1">
        <v>2453153.8286000001</v>
      </c>
      <c r="B156" s="1" t="s">
        <v>1429</v>
      </c>
      <c r="C156" s="1">
        <v>12.2</v>
      </c>
      <c r="D156" s="1"/>
    </row>
    <row r="157" spans="1:4" x14ac:dyDescent="0.25">
      <c r="A157" s="1">
        <v>2453157.8302000002</v>
      </c>
      <c r="B157" s="1" t="s">
        <v>1430</v>
      </c>
      <c r="C157" s="1">
        <v>12.3</v>
      </c>
      <c r="D157" s="1"/>
    </row>
    <row r="158" spans="1:4" x14ac:dyDescent="0.25">
      <c r="A158" s="1">
        <v>2453162.7796</v>
      </c>
      <c r="B158" s="1" t="s">
        <v>1431</v>
      </c>
      <c r="C158" s="1">
        <v>12.2</v>
      </c>
      <c r="D158" s="1"/>
    </row>
    <row r="159" spans="1:4" x14ac:dyDescent="0.25">
      <c r="A159" s="1">
        <v>2453166.781</v>
      </c>
      <c r="B159" s="1" t="s">
        <v>1432</v>
      </c>
      <c r="C159" s="1">
        <v>12.2</v>
      </c>
      <c r="D159" s="1"/>
    </row>
    <row r="160" spans="1:4" x14ac:dyDescent="0.25">
      <c r="A160" s="1">
        <v>2453171.8594999998</v>
      </c>
      <c r="B160" s="1" t="s">
        <v>1433</v>
      </c>
      <c r="C160" s="1">
        <v>12.2</v>
      </c>
      <c r="D160" s="1"/>
    </row>
    <row r="161" spans="1:4" x14ac:dyDescent="0.25">
      <c r="A161" s="1">
        <v>2453186.9484000001</v>
      </c>
      <c r="B161" s="1" t="s">
        <v>1434</v>
      </c>
      <c r="C161" s="1">
        <v>12.2</v>
      </c>
      <c r="D161" s="1"/>
    </row>
    <row r="162" spans="1:4" x14ac:dyDescent="0.25">
      <c r="A162" s="1">
        <v>2453190.7707000002</v>
      </c>
      <c r="B162" s="1" t="s">
        <v>1435</v>
      </c>
      <c r="C162" s="1">
        <v>12.1</v>
      </c>
      <c r="D162" s="1"/>
    </row>
    <row r="163" spans="1:4" x14ac:dyDescent="0.25">
      <c r="A163" s="1">
        <v>2453194.7592000002</v>
      </c>
      <c r="B163" s="1" t="s">
        <v>1436</v>
      </c>
      <c r="C163" s="1">
        <v>12.2</v>
      </c>
      <c r="D163" s="1"/>
    </row>
    <row r="164" spans="1:4" x14ac:dyDescent="0.25">
      <c r="A164" s="1">
        <v>2453201.9238999998</v>
      </c>
      <c r="B164" s="1" t="s">
        <v>1437</v>
      </c>
      <c r="C164" s="1">
        <v>12.1</v>
      </c>
      <c r="D164" s="1"/>
    </row>
    <row r="165" spans="1:4" x14ac:dyDescent="0.25">
      <c r="A165" s="1">
        <v>2453215.8791999999</v>
      </c>
      <c r="B165" s="1" t="s">
        <v>1438</v>
      </c>
      <c r="C165" s="1">
        <v>12</v>
      </c>
      <c r="D165" s="1"/>
    </row>
    <row r="166" spans="1:4" x14ac:dyDescent="0.25">
      <c r="A166" s="1">
        <v>2453219.8163200002</v>
      </c>
      <c r="B166" s="1" t="s">
        <v>1439</v>
      </c>
      <c r="C166" s="1">
        <v>11.768800000000001</v>
      </c>
      <c r="D166" s="1"/>
    </row>
    <row r="167" spans="1:4" x14ac:dyDescent="0.25">
      <c r="A167" s="1">
        <v>2453221.8119999999</v>
      </c>
      <c r="B167" s="1" t="s">
        <v>1440</v>
      </c>
      <c r="C167" s="1">
        <v>12</v>
      </c>
      <c r="D167" s="1"/>
    </row>
    <row r="168" spans="1:4" x14ac:dyDescent="0.25">
      <c r="A168" s="1">
        <v>2453225.8420000002</v>
      </c>
      <c r="B168" s="1" t="s">
        <v>1441</v>
      </c>
      <c r="C168" s="1">
        <v>11.9</v>
      </c>
      <c r="D168" s="1"/>
    </row>
    <row r="169" spans="1:4" x14ac:dyDescent="0.25">
      <c r="A169" s="1">
        <v>2453237.8424</v>
      </c>
      <c r="B169" s="1" t="s">
        <v>1442</v>
      </c>
      <c r="C169" s="1">
        <v>12.1</v>
      </c>
      <c r="D169" s="1"/>
    </row>
    <row r="170" spans="1:4" x14ac:dyDescent="0.25">
      <c r="A170" s="1">
        <v>2453241.8026000001</v>
      </c>
      <c r="B170" s="1" t="s">
        <v>1443</v>
      </c>
      <c r="C170" s="1">
        <v>12</v>
      </c>
      <c r="D170" s="1"/>
    </row>
    <row r="171" spans="1:4" x14ac:dyDescent="0.25">
      <c r="A171" s="1">
        <v>2453245.8139</v>
      </c>
      <c r="B171" s="1" t="s">
        <v>1444</v>
      </c>
      <c r="C171" s="1">
        <v>12.1</v>
      </c>
      <c r="D171" s="1"/>
    </row>
    <row r="172" spans="1:4" x14ac:dyDescent="0.25">
      <c r="A172" s="1">
        <v>2453251.7801999999</v>
      </c>
      <c r="B172" s="1" t="s">
        <v>1445</v>
      </c>
      <c r="C172" s="1">
        <v>12.1</v>
      </c>
      <c r="D172" s="1"/>
    </row>
    <row r="173" spans="1:4" x14ac:dyDescent="0.25">
      <c r="A173" s="1">
        <v>2453256.7667</v>
      </c>
      <c r="B173" s="1" t="s">
        <v>1446</v>
      </c>
      <c r="C173" s="1">
        <v>12.2</v>
      </c>
      <c r="D173" s="1"/>
    </row>
    <row r="174" spans="1:4" x14ac:dyDescent="0.25">
      <c r="A174" s="1">
        <v>2453260.7549000001</v>
      </c>
      <c r="B174" s="1" t="s">
        <v>1447</v>
      </c>
      <c r="C174" s="1">
        <v>11.8</v>
      </c>
      <c r="D174" s="1"/>
    </row>
    <row r="175" spans="1:4" x14ac:dyDescent="0.25">
      <c r="A175" s="1">
        <v>2453264.7458000001</v>
      </c>
      <c r="B175" s="1" t="s">
        <v>1448</v>
      </c>
      <c r="C175" s="1">
        <v>11.9</v>
      </c>
      <c r="D175" s="1"/>
    </row>
    <row r="176" spans="1:4" x14ac:dyDescent="0.25">
      <c r="A176" s="1">
        <v>2453270.7459</v>
      </c>
      <c r="B176" s="1" t="s">
        <v>1449</v>
      </c>
      <c r="C176" s="1">
        <v>12</v>
      </c>
      <c r="D176" s="1"/>
    </row>
    <row r="177" spans="1:4" x14ac:dyDescent="0.25">
      <c r="A177" s="1">
        <v>2453273.6343999999</v>
      </c>
      <c r="B177" s="1" t="s">
        <v>1450</v>
      </c>
      <c r="C177" s="1">
        <v>11.743570999999999</v>
      </c>
      <c r="D177" s="1"/>
    </row>
    <row r="178" spans="1:4" x14ac:dyDescent="0.25">
      <c r="A178" s="1">
        <v>2453276.7327000001</v>
      </c>
      <c r="B178" s="1" t="s">
        <v>1451</v>
      </c>
      <c r="C178" s="1">
        <v>11.9</v>
      </c>
      <c r="D178" s="1"/>
    </row>
    <row r="179" spans="1:4" x14ac:dyDescent="0.25">
      <c r="A179" s="1">
        <v>2453286.7220000001</v>
      </c>
      <c r="B179" s="1" t="s">
        <v>1452</v>
      </c>
      <c r="C179" s="1">
        <v>11.9</v>
      </c>
      <c r="D179" s="1"/>
    </row>
    <row r="180" spans="1:4" x14ac:dyDescent="0.25">
      <c r="A180" s="1">
        <v>2453291.7074000002</v>
      </c>
      <c r="B180" s="1" t="s">
        <v>1453</v>
      </c>
      <c r="C180" s="1">
        <v>11.8</v>
      </c>
      <c r="D180" s="1"/>
    </row>
    <row r="181" spans="1:4" x14ac:dyDescent="0.25">
      <c r="A181" s="1">
        <v>2453295.6943000001</v>
      </c>
      <c r="B181" s="1" t="s">
        <v>1454</v>
      </c>
      <c r="C181" s="1">
        <v>11.9</v>
      </c>
      <c r="D181" s="1"/>
    </row>
    <row r="182" spans="1:4" x14ac:dyDescent="0.25">
      <c r="A182" s="1">
        <v>2453299.6825999999</v>
      </c>
      <c r="B182" s="1" t="s">
        <v>1455</v>
      </c>
      <c r="C182" s="1">
        <v>11.9</v>
      </c>
      <c r="D182" s="1"/>
    </row>
    <row r="183" spans="1:4" x14ac:dyDescent="0.25">
      <c r="A183" s="1">
        <v>2453307.6677000001</v>
      </c>
      <c r="B183" s="1" t="s">
        <v>1456</v>
      </c>
      <c r="C183" s="1">
        <v>11.9</v>
      </c>
      <c r="D183" s="1"/>
    </row>
    <row r="184" spans="1:4" x14ac:dyDescent="0.25">
      <c r="A184" s="1">
        <v>2453319.6732700001</v>
      </c>
      <c r="B184" s="1" t="s">
        <v>1457</v>
      </c>
      <c r="C184" s="1">
        <v>11.5952</v>
      </c>
      <c r="D184" s="1"/>
    </row>
    <row r="185" spans="1:4" x14ac:dyDescent="0.25">
      <c r="A185" s="1">
        <v>2453329.4991000001</v>
      </c>
      <c r="B185" s="1" t="s">
        <v>1458</v>
      </c>
      <c r="C185" s="1">
        <v>11.6</v>
      </c>
      <c r="D185" s="1"/>
    </row>
    <row r="186" spans="1:4" x14ac:dyDescent="0.25">
      <c r="A186" s="1">
        <v>2453439.9599000001</v>
      </c>
      <c r="B186" s="1" t="s">
        <v>1459</v>
      </c>
      <c r="C186" s="1">
        <v>11.4</v>
      </c>
      <c r="D186" s="1"/>
    </row>
    <row r="187" spans="1:4" x14ac:dyDescent="0.25">
      <c r="A187" s="1">
        <v>2453459.8997</v>
      </c>
      <c r="B187" s="1" t="s">
        <v>1460</v>
      </c>
      <c r="C187" s="1">
        <v>11.5</v>
      </c>
      <c r="D187" s="1"/>
    </row>
    <row r="188" spans="1:4" x14ac:dyDescent="0.25">
      <c r="A188" s="1">
        <v>2453472.8684</v>
      </c>
      <c r="B188" s="1" t="s">
        <v>1461</v>
      </c>
      <c r="C188" s="1">
        <v>11.2</v>
      </c>
      <c r="D188" s="1"/>
    </row>
    <row r="189" spans="1:4" x14ac:dyDescent="0.25">
      <c r="A189" s="1">
        <v>2453476.8583999998</v>
      </c>
      <c r="B189" s="1" t="s">
        <v>1462</v>
      </c>
      <c r="C189" s="1">
        <v>11.2</v>
      </c>
      <c r="D189" s="1"/>
    </row>
    <row r="190" spans="1:4" x14ac:dyDescent="0.25">
      <c r="A190" s="1">
        <v>2453481.8404000001</v>
      </c>
      <c r="B190" s="1" t="s">
        <v>1463</v>
      </c>
      <c r="C190" s="1">
        <v>11.3</v>
      </c>
      <c r="D190" s="1"/>
    </row>
    <row r="191" spans="1:4" x14ac:dyDescent="0.25">
      <c r="A191" s="1">
        <v>2453487.8527500001</v>
      </c>
      <c r="B191" s="1" t="s">
        <v>1464</v>
      </c>
      <c r="C191" s="1">
        <v>11.308999999999999</v>
      </c>
      <c r="D191" s="1"/>
    </row>
    <row r="192" spans="1:4" x14ac:dyDescent="0.25">
      <c r="A192" s="1">
        <v>2453496.8276800001</v>
      </c>
      <c r="B192" s="1" t="s">
        <v>1465</v>
      </c>
      <c r="C192" s="1">
        <v>11.489000000000001</v>
      </c>
      <c r="D192" s="1"/>
    </row>
    <row r="193" spans="1:4" x14ac:dyDescent="0.25">
      <c r="A193" s="1">
        <v>2453500.7949999999</v>
      </c>
      <c r="B193" s="1" t="s">
        <v>1466</v>
      </c>
      <c r="C193" s="1">
        <v>11.4</v>
      </c>
      <c r="D193" s="1"/>
    </row>
    <row r="194" spans="1:4" x14ac:dyDescent="0.25">
      <c r="A194" s="1">
        <v>2453504.1924200002</v>
      </c>
      <c r="B194" s="1" t="s">
        <v>1467</v>
      </c>
      <c r="C194" s="1">
        <v>11.579667000000001</v>
      </c>
      <c r="D194" s="1"/>
    </row>
    <row r="195" spans="1:4" x14ac:dyDescent="0.25">
      <c r="A195" s="1">
        <v>2453508.7653000001</v>
      </c>
      <c r="B195" s="1" t="s">
        <v>1468</v>
      </c>
      <c r="C195" s="1">
        <v>11.6</v>
      </c>
      <c r="D195" s="1"/>
    </row>
    <row r="196" spans="1:4" x14ac:dyDescent="0.25">
      <c r="A196" s="1">
        <v>2453510.7993200002</v>
      </c>
      <c r="B196" s="1" t="s">
        <v>1469</v>
      </c>
      <c r="C196" s="1">
        <v>11.669667</v>
      </c>
      <c r="D196" s="1"/>
    </row>
    <row r="197" spans="1:4" x14ac:dyDescent="0.25">
      <c r="A197" s="1">
        <v>2453512.49486</v>
      </c>
      <c r="B197" s="1" t="s">
        <v>1470</v>
      </c>
      <c r="C197" s="1">
        <v>11.697333</v>
      </c>
      <c r="D197" s="1"/>
    </row>
    <row r="198" spans="1:4" x14ac:dyDescent="0.25">
      <c r="A198" s="1">
        <v>2453520.7497999999</v>
      </c>
      <c r="B198" s="1" t="s">
        <v>1471</v>
      </c>
      <c r="C198" s="1">
        <v>11.8</v>
      </c>
      <c r="D198" s="1"/>
    </row>
    <row r="199" spans="1:4" x14ac:dyDescent="0.25">
      <c r="A199" s="1">
        <v>2453521.3708299999</v>
      </c>
      <c r="B199" s="1" t="s">
        <v>1471</v>
      </c>
      <c r="C199" s="1">
        <v>11.829499999999999</v>
      </c>
      <c r="D199" s="1"/>
    </row>
    <row r="200" spans="1:4" x14ac:dyDescent="0.25">
      <c r="A200" s="1">
        <v>2453526.7938799998</v>
      </c>
      <c r="B200" s="1" t="s">
        <v>1472</v>
      </c>
      <c r="C200" s="1">
        <v>11.853</v>
      </c>
      <c r="D200" s="1"/>
    </row>
    <row r="201" spans="1:4" x14ac:dyDescent="0.25">
      <c r="A201" s="1">
        <v>2453527.7948500002</v>
      </c>
      <c r="B201" s="1" t="s">
        <v>1473</v>
      </c>
      <c r="C201" s="1">
        <v>11.823</v>
      </c>
      <c r="D201" s="1"/>
    </row>
    <row r="202" spans="1:4" x14ac:dyDescent="0.25">
      <c r="A202" s="1">
        <v>2453530.7541</v>
      </c>
      <c r="B202" s="1" t="s">
        <v>1474</v>
      </c>
      <c r="C202" s="1">
        <v>11.9</v>
      </c>
      <c r="D202" s="1"/>
    </row>
    <row r="203" spans="1:4" x14ac:dyDescent="0.25">
      <c r="A203" s="1">
        <v>2453535.2913700002</v>
      </c>
      <c r="B203" s="1" t="s">
        <v>1475</v>
      </c>
      <c r="C203" s="1">
        <v>11.916</v>
      </c>
      <c r="D203" s="1"/>
    </row>
    <row r="204" spans="1:4" x14ac:dyDescent="0.25">
      <c r="A204" s="1">
        <v>2453536.7266299999</v>
      </c>
      <c r="B204" s="1" t="s">
        <v>1031</v>
      </c>
      <c r="C204" s="1">
        <v>11.955</v>
      </c>
      <c r="D204" s="1"/>
    </row>
    <row r="205" spans="1:4" x14ac:dyDescent="0.25">
      <c r="A205" s="1">
        <v>2453539.80063</v>
      </c>
      <c r="B205" s="1" t="s">
        <v>1476</v>
      </c>
      <c r="C205" s="1">
        <v>11.964</v>
      </c>
      <c r="D205" s="1"/>
    </row>
    <row r="206" spans="1:4" x14ac:dyDescent="0.25">
      <c r="A206" s="1">
        <v>2453551.8865</v>
      </c>
      <c r="B206" s="1" t="s">
        <v>1477</v>
      </c>
      <c r="C206" s="1">
        <v>12.2</v>
      </c>
      <c r="D206" s="1"/>
    </row>
    <row r="207" spans="1:4" x14ac:dyDescent="0.25">
      <c r="A207" s="1">
        <v>2453556.8577999999</v>
      </c>
      <c r="B207" s="1" t="s">
        <v>1478</v>
      </c>
      <c r="C207" s="1">
        <v>12.1</v>
      </c>
      <c r="D207" s="1"/>
    </row>
    <row r="208" spans="1:4" x14ac:dyDescent="0.25">
      <c r="A208" s="1">
        <v>2453564.8261000002</v>
      </c>
      <c r="B208" s="1" t="s">
        <v>1479</v>
      </c>
      <c r="C208" s="1">
        <v>12.2</v>
      </c>
      <c r="D208" s="1"/>
    </row>
    <row r="209" spans="1:4" x14ac:dyDescent="0.25">
      <c r="A209" s="1">
        <v>2453572.8953999998</v>
      </c>
      <c r="B209" s="1" t="s">
        <v>1480</v>
      </c>
      <c r="C209" s="1">
        <v>12.1</v>
      </c>
      <c r="D209" s="1"/>
    </row>
    <row r="210" spans="1:4" x14ac:dyDescent="0.25">
      <c r="A210" s="1">
        <v>2453576.9286000002</v>
      </c>
      <c r="B210" s="1" t="s">
        <v>1481</v>
      </c>
      <c r="C210" s="1">
        <v>12.2</v>
      </c>
      <c r="D210" s="1"/>
    </row>
    <row r="211" spans="1:4" x14ac:dyDescent="0.25">
      <c r="A211" s="1">
        <v>2453584.7710000002</v>
      </c>
      <c r="B211" s="1" t="s">
        <v>1482</v>
      </c>
      <c r="C211" s="1">
        <v>12.2</v>
      </c>
      <c r="D211" s="1"/>
    </row>
    <row r="212" spans="1:4" x14ac:dyDescent="0.25">
      <c r="A212" s="1">
        <v>2453592.8339</v>
      </c>
      <c r="B212" s="1" t="s">
        <v>1483</v>
      </c>
      <c r="C212" s="1">
        <v>12.2</v>
      </c>
      <c r="D212" s="1"/>
    </row>
    <row r="213" spans="1:4" x14ac:dyDescent="0.25">
      <c r="A213" s="1">
        <v>2453603.8256000001</v>
      </c>
      <c r="B213" s="1" t="s">
        <v>1484</v>
      </c>
      <c r="C213" s="1">
        <v>12.4</v>
      </c>
      <c r="D213" s="1"/>
    </row>
    <row r="214" spans="1:4" x14ac:dyDescent="0.25">
      <c r="A214" s="1">
        <v>2453607.8173000002</v>
      </c>
      <c r="B214" s="1" t="s">
        <v>1485</v>
      </c>
      <c r="C214" s="1">
        <v>12.4</v>
      </c>
      <c r="D214" s="1"/>
    </row>
    <row r="215" spans="1:4" x14ac:dyDescent="0.25">
      <c r="A215" s="1">
        <v>2453611.8232</v>
      </c>
      <c r="B215" s="1" t="s">
        <v>1486</v>
      </c>
      <c r="C215" s="1">
        <v>12.4</v>
      </c>
      <c r="D215" s="1"/>
    </row>
    <row r="216" spans="1:4" x14ac:dyDescent="0.25">
      <c r="A216" s="1">
        <v>2453622.7779999999</v>
      </c>
      <c r="B216" s="1" t="s">
        <v>1487</v>
      </c>
      <c r="C216" s="1">
        <v>12.4</v>
      </c>
      <c r="D216" s="1"/>
    </row>
    <row r="217" spans="1:4" x14ac:dyDescent="0.25">
      <c r="A217" s="1">
        <v>2453626.7979000001</v>
      </c>
      <c r="B217" s="1" t="s">
        <v>1488</v>
      </c>
      <c r="C217" s="1">
        <v>12.4</v>
      </c>
      <c r="D217" s="1"/>
    </row>
    <row r="218" spans="1:4" x14ac:dyDescent="0.25">
      <c r="A218" s="1">
        <v>2453631.2634000001</v>
      </c>
      <c r="B218" s="1" t="s">
        <v>1489</v>
      </c>
      <c r="C218" s="1">
        <v>12.074999999999999</v>
      </c>
      <c r="D218" s="1"/>
    </row>
    <row r="219" spans="1:4" x14ac:dyDescent="0.25">
      <c r="A219" s="1">
        <v>2453644.7176000001</v>
      </c>
      <c r="B219" s="1" t="s">
        <v>1490</v>
      </c>
      <c r="C219" s="1">
        <v>12.5</v>
      </c>
      <c r="D219" s="1"/>
    </row>
    <row r="220" spans="1:4" x14ac:dyDescent="0.25">
      <c r="A220" s="1">
        <v>2453648.7472999999</v>
      </c>
      <c r="B220" s="1" t="s">
        <v>1491</v>
      </c>
      <c r="C220" s="1">
        <v>12.6</v>
      </c>
      <c r="D220" s="1"/>
    </row>
    <row r="221" spans="1:4" x14ac:dyDescent="0.25">
      <c r="A221" s="1">
        <v>2453651.32705</v>
      </c>
      <c r="B221" s="1" t="s">
        <v>1492</v>
      </c>
      <c r="C221" s="1">
        <v>12.375</v>
      </c>
      <c r="D221" s="1"/>
    </row>
    <row r="222" spans="1:4" x14ac:dyDescent="0.25">
      <c r="A222" s="1">
        <v>2453661.6954999999</v>
      </c>
      <c r="B222" s="1" t="s">
        <v>1493</v>
      </c>
      <c r="C222" s="1">
        <v>12.7</v>
      </c>
      <c r="D222" s="1"/>
    </row>
    <row r="223" spans="1:4" x14ac:dyDescent="0.25">
      <c r="A223" s="1">
        <v>2453666.6853999998</v>
      </c>
      <c r="B223" s="1" t="s">
        <v>1494</v>
      </c>
      <c r="C223" s="1">
        <v>12.7</v>
      </c>
      <c r="D223" s="1"/>
    </row>
    <row r="224" spans="1:4" x14ac:dyDescent="0.25">
      <c r="A224" s="1">
        <v>2453670.6847999999</v>
      </c>
      <c r="B224" s="1" t="s">
        <v>1495</v>
      </c>
      <c r="C224" s="1">
        <v>12.7</v>
      </c>
      <c r="D224" s="1"/>
    </row>
    <row r="225" spans="1:4" x14ac:dyDescent="0.25">
      <c r="A225" s="1">
        <v>2453674.6812999998</v>
      </c>
      <c r="B225" s="1" t="s">
        <v>1496</v>
      </c>
      <c r="C225" s="1">
        <v>12.7</v>
      </c>
      <c r="D225" s="1"/>
    </row>
    <row r="226" spans="1:4" x14ac:dyDescent="0.25">
      <c r="A226" s="1">
        <v>2453679.6608000002</v>
      </c>
      <c r="B226" s="1" t="s">
        <v>1497</v>
      </c>
      <c r="C226" s="1">
        <v>12.7</v>
      </c>
      <c r="D226" s="1"/>
    </row>
    <row r="227" spans="1:4" x14ac:dyDescent="0.25">
      <c r="A227" s="1">
        <v>2453695.58849</v>
      </c>
      <c r="B227" s="1" t="s">
        <v>1498</v>
      </c>
      <c r="C227" s="1">
        <v>12.5044</v>
      </c>
      <c r="D227" s="1"/>
    </row>
    <row r="228" spans="1:4" x14ac:dyDescent="0.25">
      <c r="A228" s="1">
        <v>2453788.0145999999</v>
      </c>
      <c r="B228" s="1" t="s">
        <v>1499</v>
      </c>
      <c r="C228" s="1">
        <v>12.4</v>
      </c>
      <c r="D228" s="1"/>
    </row>
    <row r="229" spans="1:4" x14ac:dyDescent="0.25">
      <c r="A229" s="1">
        <v>2453793.9972000001</v>
      </c>
      <c r="B229" s="1" t="s">
        <v>1500</v>
      </c>
      <c r="C229" s="1">
        <v>12.4</v>
      </c>
      <c r="D229" s="1"/>
    </row>
    <row r="230" spans="1:4" x14ac:dyDescent="0.25">
      <c r="A230" s="1">
        <v>2453797.9904999998</v>
      </c>
      <c r="B230" s="1" t="s">
        <v>1501</v>
      </c>
      <c r="C230" s="1">
        <v>12.6</v>
      </c>
      <c r="D230" s="1"/>
    </row>
    <row r="231" spans="1:4" x14ac:dyDescent="0.25">
      <c r="A231" s="1">
        <v>2453805.6153799999</v>
      </c>
      <c r="B231" s="1" t="s">
        <v>1502</v>
      </c>
      <c r="C231" s="1">
        <v>12.09</v>
      </c>
      <c r="D231" s="1"/>
    </row>
    <row r="232" spans="1:4" x14ac:dyDescent="0.25">
      <c r="A232" s="1">
        <v>2453808.9564</v>
      </c>
      <c r="B232" s="1" t="s">
        <v>1503</v>
      </c>
      <c r="C232" s="1">
        <v>12.4</v>
      </c>
      <c r="D232" s="1"/>
    </row>
    <row r="233" spans="1:4" x14ac:dyDescent="0.25">
      <c r="A233" s="1">
        <v>2453816.9445000002</v>
      </c>
      <c r="B233" s="1" t="s">
        <v>1504</v>
      </c>
      <c r="C233" s="1">
        <v>12.4</v>
      </c>
      <c r="D233" s="1"/>
    </row>
    <row r="234" spans="1:4" x14ac:dyDescent="0.25">
      <c r="A234" s="1">
        <v>2453820.9273999999</v>
      </c>
      <c r="B234" s="1" t="s">
        <v>1505</v>
      </c>
      <c r="C234" s="1">
        <v>12.4</v>
      </c>
      <c r="D234" s="1"/>
    </row>
    <row r="235" spans="1:4" x14ac:dyDescent="0.25">
      <c r="A235" s="1">
        <v>2453823.5776999998</v>
      </c>
      <c r="B235" s="1" t="s">
        <v>1506</v>
      </c>
      <c r="C235" s="1">
        <v>12</v>
      </c>
      <c r="D235" s="1"/>
    </row>
    <row r="236" spans="1:4" x14ac:dyDescent="0.25">
      <c r="A236" s="1">
        <v>2453824.9172999999</v>
      </c>
      <c r="B236" s="1" t="s">
        <v>1507</v>
      </c>
      <c r="C236" s="1">
        <v>12.3</v>
      </c>
      <c r="D236" s="1"/>
    </row>
    <row r="237" spans="1:4" x14ac:dyDescent="0.25">
      <c r="A237" s="1">
        <v>2453833.8961</v>
      </c>
      <c r="B237" s="1" t="s">
        <v>1508</v>
      </c>
      <c r="C237" s="1">
        <v>12.4</v>
      </c>
      <c r="D237" s="1"/>
    </row>
    <row r="238" spans="1:4" x14ac:dyDescent="0.25">
      <c r="A238" s="1">
        <v>2453838.8840999999</v>
      </c>
      <c r="B238" s="1" t="s">
        <v>1509</v>
      </c>
      <c r="C238" s="1">
        <v>12.4</v>
      </c>
      <c r="D238" s="1"/>
    </row>
    <row r="239" spans="1:4" x14ac:dyDescent="0.25">
      <c r="A239" s="1">
        <v>2453842.9197</v>
      </c>
      <c r="B239" s="1" t="s">
        <v>1510</v>
      </c>
      <c r="C239" s="1">
        <v>12.4</v>
      </c>
      <c r="D239" s="1"/>
    </row>
    <row r="240" spans="1:4" x14ac:dyDescent="0.25">
      <c r="A240" s="1">
        <v>2453846.8643</v>
      </c>
      <c r="B240" s="1" t="s">
        <v>1511</v>
      </c>
      <c r="C240" s="1">
        <v>12.4</v>
      </c>
      <c r="D240" s="1"/>
    </row>
    <row r="241" spans="1:4" x14ac:dyDescent="0.25">
      <c r="A241" s="1">
        <v>2453848.5142000001</v>
      </c>
      <c r="B241" s="1" t="s">
        <v>1512</v>
      </c>
      <c r="C241" s="1">
        <v>12.01</v>
      </c>
      <c r="D241" s="1"/>
    </row>
    <row r="242" spans="1:4" x14ac:dyDescent="0.25">
      <c r="A242" s="1">
        <v>2453849.5680999998</v>
      </c>
      <c r="B242" s="1" t="s">
        <v>1513</v>
      </c>
      <c r="C242" s="1">
        <v>11.96</v>
      </c>
      <c r="D242" s="1"/>
    </row>
    <row r="243" spans="1:4" x14ac:dyDescent="0.25">
      <c r="A243" s="1">
        <v>2453851.8354000002</v>
      </c>
      <c r="B243" s="1" t="s">
        <v>1514</v>
      </c>
      <c r="C243" s="1">
        <v>12.3</v>
      </c>
      <c r="D243" s="1"/>
    </row>
    <row r="244" spans="1:4" x14ac:dyDescent="0.25">
      <c r="A244" s="1">
        <v>2453855.8404999999</v>
      </c>
      <c r="B244" s="1" t="s">
        <v>1515</v>
      </c>
      <c r="C244" s="1">
        <v>12.3</v>
      </c>
      <c r="D244" s="1"/>
    </row>
    <row r="245" spans="1:4" x14ac:dyDescent="0.25">
      <c r="A245" s="1">
        <v>2453860.8166999999</v>
      </c>
      <c r="B245" s="1" t="s">
        <v>1516</v>
      </c>
      <c r="C245" s="1">
        <v>12.3</v>
      </c>
      <c r="D245" s="1"/>
    </row>
    <row r="246" spans="1:4" x14ac:dyDescent="0.25">
      <c r="A246" s="1">
        <v>2453864.7993000001</v>
      </c>
      <c r="B246" s="1" t="s">
        <v>1517</v>
      </c>
      <c r="C246" s="1">
        <v>12.3</v>
      </c>
      <c r="D246" s="1"/>
    </row>
    <row r="247" spans="1:4" x14ac:dyDescent="0.25">
      <c r="A247" s="1">
        <v>2453867.4890000001</v>
      </c>
      <c r="B247" s="1" t="s">
        <v>1518</v>
      </c>
      <c r="C247" s="1">
        <v>11.79</v>
      </c>
      <c r="D247" s="1"/>
    </row>
    <row r="248" spans="1:4" x14ac:dyDescent="0.25">
      <c r="A248" s="1">
        <v>2453869.7913000002</v>
      </c>
      <c r="B248" s="1" t="s">
        <v>1050</v>
      </c>
      <c r="C248" s="1">
        <v>12.3</v>
      </c>
      <c r="D248" s="1"/>
    </row>
    <row r="249" spans="1:4" x14ac:dyDescent="0.25">
      <c r="A249" s="1">
        <v>2453874.7952999999</v>
      </c>
      <c r="B249" s="1" t="s">
        <v>1519</v>
      </c>
      <c r="C249" s="1">
        <v>12.2</v>
      </c>
      <c r="D249" s="1"/>
    </row>
    <row r="250" spans="1:4" x14ac:dyDescent="0.25">
      <c r="A250" s="1">
        <v>2453878.7702000001</v>
      </c>
      <c r="B250" s="1" t="s">
        <v>1520</v>
      </c>
      <c r="C250" s="1">
        <v>12.2</v>
      </c>
      <c r="D250" s="1"/>
    </row>
    <row r="251" spans="1:4" x14ac:dyDescent="0.25">
      <c r="A251" s="1">
        <v>2453883.1784999999</v>
      </c>
      <c r="B251" s="1" t="s">
        <v>1521</v>
      </c>
      <c r="C251" s="1">
        <v>11.94</v>
      </c>
      <c r="D251" s="1"/>
    </row>
    <row r="252" spans="1:4" x14ac:dyDescent="0.25">
      <c r="A252" s="1">
        <v>2453886.8018999998</v>
      </c>
      <c r="B252" s="1" t="s">
        <v>1522</v>
      </c>
      <c r="C252" s="1">
        <v>12.2</v>
      </c>
      <c r="D252" s="1"/>
    </row>
    <row r="253" spans="1:4" x14ac:dyDescent="0.25">
      <c r="A253" s="1">
        <v>2453890.7189500001</v>
      </c>
      <c r="B253" s="1" t="s">
        <v>1523</v>
      </c>
      <c r="C253" s="1">
        <v>11.94</v>
      </c>
      <c r="D253" s="1"/>
    </row>
    <row r="254" spans="1:4" x14ac:dyDescent="0.25">
      <c r="A254" s="1">
        <v>2453897.8464000002</v>
      </c>
      <c r="B254" s="1" t="s">
        <v>1524</v>
      </c>
      <c r="C254" s="1">
        <v>12.1</v>
      </c>
      <c r="D254" s="1"/>
    </row>
    <row r="255" spans="1:4" x14ac:dyDescent="0.25">
      <c r="A255" s="1">
        <v>2453899.5299</v>
      </c>
      <c r="B255" s="1" t="s">
        <v>1525</v>
      </c>
      <c r="C255" s="1">
        <v>11.61</v>
      </c>
      <c r="D255" s="1"/>
    </row>
    <row r="256" spans="1:4" x14ac:dyDescent="0.25">
      <c r="A256" s="1">
        <v>2453902.8906</v>
      </c>
      <c r="B256" s="1" t="s">
        <v>1526</v>
      </c>
      <c r="C256" s="1">
        <v>12.1</v>
      </c>
      <c r="D256" s="1"/>
    </row>
    <row r="257" spans="1:4" x14ac:dyDescent="0.25">
      <c r="A257" s="1">
        <v>2453915.8786999998</v>
      </c>
      <c r="B257" s="1" t="s">
        <v>1053</v>
      </c>
      <c r="C257" s="1">
        <v>12</v>
      </c>
      <c r="D257" s="1"/>
    </row>
    <row r="258" spans="1:4" x14ac:dyDescent="0.25">
      <c r="A258" s="1">
        <v>2453919.8741000001</v>
      </c>
      <c r="B258" s="1" t="s">
        <v>1527</v>
      </c>
      <c r="C258" s="1">
        <v>12</v>
      </c>
      <c r="D258" s="1"/>
    </row>
    <row r="259" spans="1:4" x14ac:dyDescent="0.25">
      <c r="A259" s="1">
        <v>2453927.8443999998</v>
      </c>
      <c r="B259" s="1" t="s">
        <v>1528</v>
      </c>
      <c r="C259" s="1">
        <v>12</v>
      </c>
      <c r="D259" s="1"/>
    </row>
    <row r="260" spans="1:4" x14ac:dyDescent="0.25">
      <c r="A260" s="1">
        <v>2453933.8339</v>
      </c>
      <c r="B260" s="1" t="s">
        <v>1529</v>
      </c>
      <c r="C260" s="1">
        <v>11.640499999999999</v>
      </c>
      <c r="D260" s="1"/>
    </row>
    <row r="261" spans="1:4" x14ac:dyDescent="0.25">
      <c r="A261" s="1">
        <v>2453937.8103</v>
      </c>
      <c r="B261" s="1" t="s">
        <v>1530</v>
      </c>
      <c r="C261" s="1">
        <v>12</v>
      </c>
      <c r="D261" s="1"/>
    </row>
    <row r="262" spans="1:4" x14ac:dyDescent="0.25">
      <c r="A262" s="1">
        <v>2453955.8124899999</v>
      </c>
      <c r="B262" s="1" t="s">
        <v>1531</v>
      </c>
      <c r="C262" s="1">
        <v>11.420545000000001</v>
      </c>
      <c r="D262" s="1"/>
    </row>
    <row r="263" spans="1:4" x14ac:dyDescent="0.25">
      <c r="A263" s="1">
        <v>2453962.85561</v>
      </c>
      <c r="B263" s="1" t="s">
        <v>1532</v>
      </c>
      <c r="C263" s="1">
        <v>9.8615490000000001</v>
      </c>
      <c r="D263" s="1"/>
    </row>
    <row r="264" spans="1:4" x14ac:dyDescent="0.25">
      <c r="A264" s="1">
        <v>2453964.79268</v>
      </c>
      <c r="B264" s="1" t="s">
        <v>1056</v>
      </c>
      <c r="C264" s="1">
        <v>9.7647089999999999</v>
      </c>
      <c r="D264" s="1"/>
    </row>
    <row r="265" spans="1:4" x14ac:dyDescent="0.25">
      <c r="A265" s="1">
        <v>2453967.75826</v>
      </c>
      <c r="B265" s="1" t="s">
        <v>1533</v>
      </c>
      <c r="C265" s="1">
        <v>9.8740000000000006</v>
      </c>
      <c r="D265" s="1"/>
    </row>
    <row r="266" spans="1:4" x14ac:dyDescent="0.25">
      <c r="A266" s="1">
        <v>2453969.1334799998</v>
      </c>
      <c r="B266" s="1" t="s">
        <v>1534</v>
      </c>
      <c r="C266" s="1">
        <v>10.052371000000001</v>
      </c>
      <c r="D266" s="1"/>
    </row>
    <row r="267" spans="1:4" x14ac:dyDescent="0.25">
      <c r="A267" s="1">
        <v>2453970.7588</v>
      </c>
      <c r="B267" s="1" t="s">
        <v>1535</v>
      </c>
      <c r="C267" s="1">
        <v>10.4</v>
      </c>
      <c r="D267" s="1"/>
    </row>
    <row r="268" spans="1:4" x14ac:dyDescent="0.25">
      <c r="A268" s="1">
        <v>2453975.1195499999</v>
      </c>
      <c r="B268" s="1" t="s">
        <v>1536</v>
      </c>
      <c r="C268" s="1">
        <v>10.095000000000001</v>
      </c>
      <c r="D268" s="1"/>
    </row>
    <row r="269" spans="1:4" x14ac:dyDescent="0.25">
      <c r="A269" s="1">
        <v>2453977.37947</v>
      </c>
      <c r="B269" s="1" t="s">
        <v>1537</v>
      </c>
      <c r="C269" s="1">
        <v>10.104214000000001</v>
      </c>
      <c r="D269" s="1"/>
    </row>
    <row r="270" spans="1:4" x14ac:dyDescent="0.25">
      <c r="A270" s="1">
        <v>2453979.8227400002</v>
      </c>
      <c r="B270" s="1" t="s">
        <v>1538</v>
      </c>
      <c r="C270" s="1">
        <v>9.8897499999999994</v>
      </c>
      <c r="D270" s="1"/>
    </row>
    <row r="271" spans="1:4" x14ac:dyDescent="0.25">
      <c r="A271" s="1">
        <v>2453985.7941999999</v>
      </c>
      <c r="B271" s="1" t="s">
        <v>1539</v>
      </c>
      <c r="C271" s="1">
        <v>10.3</v>
      </c>
      <c r="D271" s="1"/>
    </row>
    <row r="272" spans="1:4" x14ac:dyDescent="0.25">
      <c r="A272" s="1">
        <v>2453989.5743</v>
      </c>
      <c r="B272" s="1" t="s">
        <v>1540</v>
      </c>
      <c r="C272" s="1">
        <v>10.16</v>
      </c>
      <c r="D272" s="1"/>
    </row>
    <row r="273" spans="1:4" x14ac:dyDescent="0.25">
      <c r="A273" s="1">
        <v>2453991.3206000002</v>
      </c>
      <c r="B273" s="1" t="s">
        <v>1541</v>
      </c>
      <c r="C273" s="1">
        <v>9.9499999999999993</v>
      </c>
      <c r="D273" s="1"/>
    </row>
    <row r="274" spans="1:4" x14ac:dyDescent="0.25">
      <c r="A274" s="1">
        <v>2453993.7785</v>
      </c>
      <c r="B274" s="1" t="s">
        <v>1542</v>
      </c>
      <c r="C274" s="1">
        <v>10.4</v>
      </c>
      <c r="D274" s="1"/>
    </row>
    <row r="275" spans="1:4" x14ac:dyDescent="0.25">
      <c r="A275" s="1">
        <v>2453997.7590999999</v>
      </c>
      <c r="B275" s="1" t="s">
        <v>1543</v>
      </c>
      <c r="C275" s="1">
        <v>10.199999999999999</v>
      </c>
      <c r="D275" s="1"/>
    </row>
    <row r="276" spans="1:4" x14ac:dyDescent="0.25">
      <c r="A276" s="1">
        <v>2453998.80394</v>
      </c>
      <c r="B276" s="1" t="s">
        <v>1544</v>
      </c>
      <c r="C276" s="1">
        <v>9.7981999999999996</v>
      </c>
      <c r="D276" s="1"/>
    </row>
    <row r="277" spans="1:4" x14ac:dyDescent="0.25">
      <c r="A277" s="1">
        <v>2454001.7549999999</v>
      </c>
      <c r="B277" s="1" t="s">
        <v>1545</v>
      </c>
      <c r="C277" s="1">
        <v>10.3</v>
      </c>
      <c r="D277" s="1"/>
    </row>
    <row r="278" spans="1:4" x14ac:dyDescent="0.25">
      <c r="A278" s="1">
        <v>2454005.7675999999</v>
      </c>
      <c r="B278" s="1" t="s">
        <v>1059</v>
      </c>
      <c r="C278" s="1">
        <v>10.4</v>
      </c>
      <c r="D278" s="1"/>
    </row>
    <row r="279" spans="1:4" x14ac:dyDescent="0.25">
      <c r="A279" s="1">
        <v>2454009.7599999998</v>
      </c>
      <c r="B279" s="1" t="s">
        <v>1546</v>
      </c>
      <c r="C279" s="1">
        <v>10.4</v>
      </c>
      <c r="D279" s="1"/>
    </row>
    <row r="280" spans="1:4" x14ac:dyDescent="0.25">
      <c r="A280" s="1">
        <v>2454019.2999</v>
      </c>
      <c r="B280" s="1" t="s">
        <v>1547</v>
      </c>
      <c r="C280" s="1">
        <v>9.85</v>
      </c>
      <c r="D280" s="1"/>
    </row>
    <row r="281" spans="1:4" x14ac:dyDescent="0.25">
      <c r="A281" s="1">
        <v>2454020.7445299998</v>
      </c>
      <c r="B281" s="1" t="s">
        <v>1060</v>
      </c>
      <c r="C281" s="1">
        <v>9.7705000000000002</v>
      </c>
      <c r="D281" s="1"/>
    </row>
    <row r="282" spans="1:4" x14ac:dyDescent="0.25">
      <c r="A282" s="1">
        <v>2454024.2423999999</v>
      </c>
      <c r="B282" s="1" t="s">
        <v>1548</v>
      </c>
      <c r="C282" s="1">
        <v>9.85</v>
      </c>
      <c r="D282" s="1"/>
    </row>
    <row r="283" spans="1:4" x14ac:dyDescent="0.25">
      <c r="A283" s="1">
        <v>2454041.6855000001</v>
      </c>
      <c r="B283" s="1" t="s">
        <v>1549</v>
      </c>
      <c r="C283" s="1">
        <v>10.4</v>
      </c>
      <c r="D283" s="1"/>
    </row>
    <row r="284" spans="1:4" x14ac:dyDescent="0.25">
      <c r="A284" s="1">
        <v>2454045.6723000002</v>
      </c>
      <c r="B284" s="1" t="s">
        <v>1550</v>
      </c>
      <c r="C284" s="1">
        <v>10.4</v>
      </c>
      <c r="D284" s="1"/>
    </row>
    <row r="285" spans="1:4" x14ac:dyDescent="0.25">
      <c r="A285" s="1">
        <v>2454049.6606999999</v>
      </c>
      <c r="B285" s="1" t="s">
        <v>1551</v>
      </c>
      <c r="C285" s="1">
        <v>10.3</v>
      </c>
      <c r="D285" s="1"/>
    </row>
    <row r="286" spans="1:4" x14ac:dyDescent="0.25">
      <c r="A286" s="1">
        <v>2454053.6603000001</v>
      </c>
      <c r="B286" s="1" t="s">
        <v>1552</v>
      </c>
      <c r="C286" s="1">
        <v>10.3</v>
      </c>
      <c r="D286" s="1"/>
    </row>
    <row r="287" spans="1:4" x14ac:dyDescent="0.25">
      <c r="A287" s="1">
        <v>2454056.6206</v>
      </c>
      <c r="B287" s="1" t="s">
        <v>1553</v>
      </c>
      <c r="C287" s="1">
        <v>9.923</v>
      </c>
      <c r="D287" s="1"/>
    </row>
    <row r="288" spans="1:4" x14ac:dyDescent="0.25">
      <c r="A288" s="1">
        <v>2454063.6463000001</v>
      </c>
      <c r="B288" s="1" t="s">
        <v>1554</v>
      </c>
      <c r="C288" s="1">
        <v>10.4</v>
      </c>
      <c r="D288" s="1"/>
    </row>
    <row r="289" spans="1:4" x14ac:dyDescent="0.25">
      <c r="A289" s="1">
        <v>2454104.5464400002</v>
      </c>
      <c r="B289" s="1" t="s">
        <v>1555</v>
      </c>
      <c r="C289" s="1">
        <v>10.089</v>
      </c>
      <c r="D289" s="1"/>
    </row>
    <row r="290" spans="1:4" x14ac:dyDescent="0.25">
      <c r="A290" s="1">
        <v>2454153.0199000002</v>
      </c>
      <c r="B290" s="1" t="s">
        <v>1556</v>
      </c>
      <c r="C290" s="1">
        <v>10.4</v>
      </c>
      <c r="D290" s="1"/>
    </row>
    <row r="291" spans="1:4" x14ac:dyDescent="0.25">
      <c r="A291" s="1">
        <v>2454158.0074999998</v>
      </c>
      <c r="B291" s="1" t="s">
        <v>1557</v>
      </c>
      <c r="C291" s="1">
        <v>10.4</v>
      </c>
      <c r="D291" s="1"/>
    </row>
    <row r="292" spans="1:4" x14ac:dyDescent="0.25">
      <c r="A292" s="1">
        <v>2454162.9948</v>
      </c>
      <c r="B292" s="1" t="s">
        <v>1558</v>
      </c>
      <c r="C292" s="1">
        <v>10.4</v>
      </c>
      <c r="D292" s="1"/>
    </row>
    <row r="293" spans="1:4" x14ac:dyDescent="0.25">
      <c r="A293" s="1">
        <v>2454166.9874999998</v>
      </c>
      <c r="B293" s="1" t="s">
        <v>1559</v>
      </c>
      <c r="C293" s="1">
        <v>10.5</v>
      </c>
      <c r="D293" s="1"/>
    </row>
    <row r="294" spans="1:4" x14ac:dyDescent="0.25">
      <c r="A294" s="1">
        <v>2454171.9657000001</v>
      </c>
      <c r="B294" s="1" t="s">
        <v>1560</v>
      </c>
      <c r="C294" s="1">
        <v>10.5</v>
      </c>
      <c r="D294" s="1"/>
    </row>
    <row r="295" spans="1:4" x14ac:dyDescent="0.25">
      <c r="A295" s="1">
        <v>2454175.9547000001</v>
      </c>
      <c r="B295" s="1" t="s">
        <v>1561</v>
      </c>
      <c r="C295" s="1">
        <v>10.5</v>
      </c>
      <c r="D295" s="1"/>
    </row>
    <row r="296" spans="1:4" x14ac:dyDescent="0.25">
      <c r="A296" s="1">
        <v>2454179.4637099998</v>
      </c>
      <c r="B296" s="1" t="s">
        <v>1562</v>
      </c>
      <c r="C296" s="1">
        <v>10.281499999999999</v>
      </c>
      <c r="D296" s="1"/>
    </row>
    <row r="297" spans="1:4" x14ac:dyDescent="0.25">
      <c r="A297" s="1">
        <v>2454185.9286000002</v>
      </c>
      <c r="B297" s="1" t="s">
        <v>1069</v>
      </c>
      <c r="C297" s="1">
        <v>10.5</v>
      </c>
      <c r="D297" s="1"/>
    </row>
    <row r="298" spans="1:4" x14ac:dyDescent="0.25">
      <c r="A298" s="1">
        <v>2454189.9202000001</v>
      </c>
      <c r="B298" s="1" t="s">
        <v>1563</v>
      </c>
      <c r="C298" s="1">
        <v>10.4</v>
      </c>
      <c r="D298" s="1"/>
    </row>
    <row r="299" spans="1:4" x14ac:dyDescent="0.25">
      <c r="A299" s="1">
        <v>2454193.9053000002</v>
      </c>
      <c r="B299" s="1" t="s">
        <v>1564</v>
      </c>
      <c r="C299" s="1">
        <v>10.4</v>
      </c>
      <c r="D299" s="1"/>
    </row>
    <row r="300" spans="1:4" x14ac:dyDescent="0.25">
      <c r="A300" s="1">
        <v>2454205.8820000002</v>
      </c>
      <c r="B300" s="1" t="s">
        <v>1565</v>
      </c>
      <c r="C300" s="1">
        <v>10.5</v>
      </c>
      <c r="D300" s="1"/>
    </row>
    <row r="301" spans="1:4" x14ac:dyDescent="0.25">
      <c r="A301" s="1">
        <v>2454209.8834000002</v>
      </c>
      <c r="B301" s="1" t="s">
        <v>1566</v>
      </c>
      <c r="C301" s="1">
        <v>10.5</v>
      </c>
      <c r="D301" s="1"/>
    </row>
    <row r="302" spans="1:4" x14ac:dyDescent="0.25">
      <c r="A302" s="1">
        <v>2454214.5797000001</v>
      </c>
      <c r="B302" s="1" t="s">
        <v>1567</v>
      </c>
      <c r="C302" s="1">
        <v>10.07</v>
      </c>
      <c r="D302" s="1"/>
    </row>
    <row r="303" spans="1:4" x14ac:dyDescent="0.25">
      <c r="A303" s="1">
        <v>2454217.8424999998</v>
      </c>
      <c r="B303" s="1" t="s">
        <v>1568</v>
      </c>
      <c r="C303" s="1">
        <v>10.5</v>
      </c>
      <c r="D303" s="1"/>
    </row>
    <row r="304" spans="1:4" x14ac:dyDescent="0.25">
      <c r="A304" s="1">
        <v>2454224.8149999999</v>
      </c>
      <c r="B304" s="1" t="s">
        <v>1569</v>
      </c>
      <c r="C304" s="1">
        <v>10.5</v>
      </c>
      <c r="D304" s="1"/>
    </row>
    <row r="305" spans="1:4" x14ac:dyDescent="0.25">
      <c r="A305" s="1">
        <v>2454230.8048999999</v>
      </c>
      <c r="B305" s="1" t="s">
        <v>1570</v>
      </c>
      <c r="C305" s="1">
        <v>10.5</v>
      </c>
      <c r="D305" s="1"/>
    </row>
    <row r="306" spans="1:4" x14ac:dyDescent="0.25">
      <c r="A306" s="1">
        <v>2454234.7892999998</v>
      </c>
      <c r="B306" s="1" t="s">
        <v>1571</v>
      </c>
      <c r="C306" s="1">
        <v>10.4</v>
      </c>
      <c r="D306" s="1"/>
    </row>
    <row r="307" spans="1:4" x14ac:dyDescent="0.25">
      <c r="A307" s="1">
        <v>2454239.5115999999</v>
      </c>
      <c r="B307" s="1" t="s">
        <v>1572</v>
      </c>
      <c r="C307" s="1">
        <v>10.09</v>
      </c>
      <c r="D307" s="1"/>
    </row>
    <row r="308" spans="1:4" x14ac:dyDescent="0.25">
      <c r="A308" s="1">
        <v>2454243.6557999998</v>
      </c>
      <c r="B308" s="1" t="s">
        <v>1573</v>
      </c>
      <c r="C308" s="1">
        <v>10.06</v>
      </c>
      <c r="D308" s="1"/>
    </row>
    <row r="309" spans="1:4" x14ac:dyDescent="0.25">
      <c r="A309" s="1">
        <v>2454244.9336000001</v>
      </c>
      <c r="B309" s="1" t="s">
        <v>1574</v>
      </c>
      <c r="C309" s="1">
        <v>10.5</v>
      </c>
      <c r="D309" s="1"/>
    </row>
    <row r="310" spans="1:4" x14ac:dyDescent="0.25">
      <c r="A310" s="1">
        <v>2454246.6264999998</v>
      </c>
      <c r="B310" s="1" t="s">
        <v>1575</v>
      </c>
      <c r="C310" s="1">
        <v>10.14</v>
      </c>
      <c r="D310" s="1"/>
    </row>
    <row r="311" spans="1:4" x14ac:dyDescent="0.25">
      <c r="A311" s="1">
        <v>2454249.9213999999</v>
      </c>
      <c r="B311" s="1" t="s">
        <v>1576</v>
      </c>
      <c r="C311" s="1">
        <v>10.6</v>
      </c>
      <c r="D311" s="1"/>
    </row>
    <row r="312" spans="1:4" x14ac:dyDescent="0.25">
      <c r="A312" s="1">
        <v>2454253.78682</v>
      </c>
      <c r="B312" s="1" t="s">
        <v>1577</v>
      </c>
      <c r="C312" s="1">
        <v>10.2552</v>
      </c>
      <c r="D312" s="1"/>
    </row>
    <row r="313" spans="1:4" x14ac:dyDescent="0.25">
      <c r="A313" s="1">
        <v>2454256.8150499999</v>
      </c>
      <c r="B313" s="1" t="s">
        <v>1578</v>
      </c>
      <c r="C313" s="1">
        <v>10.208</v>
      </c>
      <c r="D313" s="1"/>
    </row>
    <row r="314" spans="1:4" x14ac:dyDescent="0.25">
      <c r="A314" s="1">
        <v>2454257.9177000001</v>
      </c>
      <c r="B314" s="1" t="s">
        <v>1579</v>
      </c>
      <c r="C314" s="1">
        <v>10.6</v>
      </c>
      <c r="D314" s="1"/>
    </row>
    <row r="315" spans="1:4" x14ac:dyDescent="0.25">
      <c r="A315" s="1">
        <v>2454265.2826</v>
      </c>
      <c r="B315" s="1" t="s">
        <v>1580</v>
      </c>
      <c r="C315" s="1">
        <v>10.695</v>
      </c>
      <c r="D315" s="1"/>
    </row>
    <row r="316" spans="1:4" x14ac:dyDescent="0.25">
      <c r="A316" s="1">
        <v>2454269.8901999998</v>
      </c>
      <c r="B316" s="1" t="s">
        <v>1581</v>
      </c>
      <c r="C316" s="1">
        <v>10.7</v>
      </c>
      <c r="D316" s="1"/>
    </row>
    <row r="317" spans="1:4" x14ac:dyDescent="0.25">
      <c r="A317" s="1">
        <v>2454273.9024</v>
      </c>
      <c r="B317" s="1" t="s">
        <v>1582</v>
      </c>
      <c r="C317" s="1">
        <v>10.6</v>
      </c>
      <c r="D317" s="1"/>
    </row>
    <row r="318" spans="1:4" x14ac:dyDescent="0.25">
      <c r="A318" s="1">
        <v>2454277.8703000001</v>
      </c>
      <c r="B318" s="1" t="s">
        <v>1583</v>
      </c>
      <c r="C318" s="1">
        <v>10.7</v>
      </c>
      <c r="D318" s="1"/>
    </row>
    <row r="319" spans="1:4" x14ac:dyDescent="0.25">
      <c r="A319" s="1">
        <v>2454283.5510999998</v>
      </c>
      <c r="B319" s="1" t="s">
        <v>1584</v>
      </c>
      <c r="C319" s="1">
        <v>10.79</v>
      </c>
      <c r="D319" s="1"/>
    </row>
    <row r="320" spans="1:4" x14ac:dyDescent="0.25">
      <c r="A320" s="1">
        <v>2454285.9572000001</v>
      </c>
      <c r="B320" s="1" t="s">
        <v>1585</v>
      </c>
      <c r="C320" s="1">
        <v>10.7</v>
      </c>
      <c r="D320" s="1"/>
    </row>
    <row r="321" spans="1:4" x14ac:dyDescent="0.25">
      <c r="A321" s="1">
        <v>2454288.6</v>
      </c>
      <c r="B321" s="1" t="s">
        <v>1586</v>
      </c>
      <c r="C321" s="1">
        <v>10.199999999999999</v>
      </c>
      <c r="D321" s="1"/>
    </row>
    <row r="322" spans="1:4" x14ac:dyDescent="0.25">
      <c r="A322" s="1">
        <v>2454289.6518999999</v>
      </c>
      <c r="B322" s="1" t="s">
        <v>1587</v>
      </c>
      <c r="C322" s="1">
        <v>10.76</v>
      </c>
      <c r="D322" s="1"/>
    </row>
    <row r="323" spans="1:4" x14ac:dyDescent="0.25">
      <c r="A323" s="1">
        <v>2454295.4358999999</v>
      </c>
      <c r="B323" s="1" t="s">
        <v>1588</v>
      </c>
      <c r="C323" s="1">
        <v>10.32</v>
      </c>
      <c r="D323" s="1"/>
    </row>
    <row r="324" spans="1:4" x14ac:dyDescent="0.25">
      <c r="A324" s="1">
        <v>2454297.5195499999</v>
      </c>
      <c r="B324" s="1" t="s">
        <v>1589</v>
      </c>
      <c r="C324" s="1">
        <v>10.515000000000001</v>
      </c>
      <c r="D324" s="1"/>
    </row>
    <row r="325" spans="1:4" x14ac:dyDescent="0.25">
      <c r="A325" s="1">
        <v>2454299.0065000001</v>
      </c>
      <c r="B325" s="1" t="s">
        <v>1076</v>
      </c>
      <c r="C325" s="1">
        <v>10.693333000000001</v>
      </c>
      <c r="D325" s="1"/>
    </row>
    <row r="326" spans="1:4" x14ac:dyDescent="0.25">
      <c r="A326" s="1">
        <v>2454301.0698500001</v>
      </c>
      <c r="B326" s="1" t="s">
        <v>1590</v>
      </c>
      <c r="C326" s="1">
        <v>10.48</v>
      </c>
      <c r="D326" s="1"/>
    </row>
    <row r="327" spans="1:4" x14ac:dyDescent="0.25">
      <c r="A327" s="1">
        <v>2454302.8075999999</v>
      </c>
      <c r="B327" s="1" t="s">
        <v>1591</v>
      </c>
      <c r="C327" s="1">
        <v>10.25</v>
      </c>
      <c r="D327" s="1"/>
    </row>
    <row r="328" spans="1:4" x14ac:dyDescent="0.25">
      <c r="A328" s="1">
        <v>2454304.72389</v>
      </c>
      <c r="B328" s="1" t="s">
        <v>1592</v>
      </c>
      <c r="C328" s="1">
        <v>10.478999999999999</v>
      </c>
      <c r="D328" s="1"/>
    </row>
    <row r="329" spans="1:4" x14ac:dyDescent="0.25">
      <c r="A329" s="1">
        <v>2454306.3834699998</v>
      </c>
      <c r="B329" s="1" t="s">
        <v>1593</v>
      </c>
      <c r="C329" s="1">
        <v>10.48</v>
      </c>
      <c r="D329" s="1"/>
    </row>
    <row r="330" spans="1:4" x14ac:dyDescent="0.25">
      <c r="A330" s="1">
        <v>2454308.03155</v>
      </c>
      <c r="B330" s="1" t="s">
        <v>1594</v>
      </c>
      <c r="C330" s="1">
        <v>10.56</v>
      </c>
      <c r="D330" s="1"/>
    </row>
    <row r="331" spans="1:4" x14ac:dyDescent="0.25">
      <c r="A331" s="1">
        <v>2454309.2968899999</v>
      </c>
      <c r="B331" s="1" t="s">
        <v>1595</v>
      </c>
      <c r="C331" s="1">
        <v>10.523667</v>
      </c>
      <c r="D331" s="1"/>
    </row>
    <row r="332" spans="1:4" x14ac:dyDescent="0.25">
      <c r="A332" s="1">
        <v>2454313.5482999999</v>
      </c>
      <c r="B332" s="1" t="s">
        <v>1077</v>
      </c>
      <c r="C332" s="1">
        <v>10.58</v>
      </c>
      <c r="D332" s="1"/>
    </row>
    <row r="333" spans="1:4" x14ac:dyDescent="0.25">
      <c r="A333" s="1">
        <v>2454314.6044999999</v>
      </c>
      <c r="B333" s="1" t="s">
        <v>1596</v>
      </c>
      <c r="C333" s="1">
        <v>10.75</v>
      </c>
      <c r="D333" s="1"/>
    </row>
    <row r="334" spans="1:4" x14ac:dyDescent="0.25">
      <c r="A334" s="1">
        <v>2454316.2202499998</v>
      </c>
      <c r="B334" s="1" t="s">
        <v>1597</v>
      </c>
      <c r="C334" s="1">
        <v>10.6365</v>
      </c>
      <c r="D334" s="1"/>
    </row>
    <row r="335" spans="1:4" x14ac:dyDescent="0.25">
      <c r="A335" s="1">
        <v>2454318.0814999999</v>
      </c>
      <c r="B335" s="1" t="s">
        <v>1598</v>
      </c>
      <c r="C335" s="1">
        <v>10.835000000000001</v>
      </c>
      <c r="D335" s="1"/>
    </row>
    <row r="336" spans="1:4" x14ac:dyDescent="0.25">
      <c r="A336" s="1">
        <v>2454319.415</v>
      </c>
      <c r="B336" s="1" t="s">
        <v>1599</v>
      </c>
      <c r="C336" s="1">
        <v>10.44</v>
      </c>
      <c r="D336" s="1"/>
    </row>
    <row r="337" spans="1:4" x14ac:dyDescent="0.25">
      <c r="A337" s="1">
        <v>2454323.8834000002</v>
      </c>
      <c r="B337" s="1" t="s">
        <v>1600</v>
      </c>
      <c r="C337" s="1">
        <v>10.9</v>
      </c>
      <c r="D337" s="1"/>
    </row>
    <row r="338" spans="1:4" x14ac:dyDescent="0.25">
      <c r="A338" s="1">
        <v>2454328.44166</v>
      </c>
      <c r="B338" s="1" t="s">
        <v>1078</v>
      </c>
      <c r="C338" s="1">
        <v>10.619667</v>
      </c>
      <c r="D338" s="1"/>
    </row>
    <row r="339" spans="1:4" x14ac:dyDescent="0.25">
      <c r="A339" s="1">
        <v>2454332.2013500002</v>
      </c>
      <c r="B339" s="1" t="s">
        <v>1601</v>
      </c>
      <c r="C339" s="1">
        <v>10.87</v>
      </c>
      <c r="D339" s="1"/>
    </row>
    <row r="340" spans="1:4" x14ac:dyDescent="0.25">
      <c r="A340" s="1">
        <v>2454335.5548999999</v>
      </c>
      <c r="B340" s="1" t="s">
        <v>1602</v>
      </c>
      <c r="C340" s="1">
        <v>10.86</v>
      </c>
      <c r="D340" s="1"/>
    </row>
    <row r="341" spans="1:4" x14ac:dyDescent="0.25">
      <c r="A341" s="1">
        <v>2454337.2012999998</v>
      </c>
      <c r="B341" s="1" t="s">
        <v>1603</v>
      </c>
      <c r="C341" s="1">
        <v>10.75</v>
      </c>
      <c r="D341" s="1"/>
    </row>
    <row r="342" spans="1:4" x14ac:dyDescent="0.25">
      <c r="A342" s="1">
        <v>2454339.6904000002</v>
      </c>
      <c r="B342" s="1" t="s">
        <v>1604</v>
      </c>
      <c r="C342" s="1">
        <v>10.845000000000001</v>
      </c>
      <c r="D342" s="1"/>
    </row>
    <row r="343" spans="1:4" x14ac:dyDescent="0.25">
      <c r="A343" s="1">
        <v>2454341.7976199999</v>
      </c>
      <c r="B343" s="1" t="s">
        <v>1605</v>
      </c>
      <c r="C343" s="1">
        <v>10.595000000000001</v>
      </c>
      <c r="D343" s="1"/>
    </row>
    <row r="344" spans="1:4" x14ac:dyDescent="0.25">
      <c r="A344" s="1">
        <v>2454343.8465</v>
      </c>
      <c r="B344" s="1" t="s">
        <v>1079</v>
      </c>
      <c r="C344" s="1">
        <v>10.9</v>
      </c>
      <c r="D344" s="1"/>
    </row>
    <row r="345" spans="1:4" x14ac:dyDescent="0.25">
      <c r="A345" s="1">
        <v>2454347.9512999998</v>
      </c>
      <c r="B345" s="1" t="s">
        <v>1606</v>
      </c>
      <c r="C345" s="1">
        <v>10.91</v>
      </c>
      <c r="D345" s="1"/>
    </row>
    <row r="346" spans="1:4" x14ac:dyDescent="0.25">
      <c r="A346" s="1">
        <v>2454349.5093</v>
      </c>
      <c r="B346" s="1" t="s">
        <v>1607</v>
      </c>
      <c r="C346" s="1">
        <v>10.87</v>
      </c>
      <c r="D346" s="1"/>
    </row>
    <row r="347" spans="1:4" x14ac:dyDescent="0.25">
      <c r="A347" s="1">
        <v>2454350.5745999999</v>
      </c>
      <c r="B347" s="1" t="s">
        <v>1608</v>
      </c>
      <c r="C347" s="1">
        <v>10.52</v>
      </c>
      <c r="D347" s="1"/>
    </row>
    <row r="348" spans="1:4" x14ac:dyDescent="0.25">
      <c r="A348" s="1">
        <v>2454355.7911</v>
      </c>
      <c r="B348" s="1" t="s">
        <v>1609</v>
      </c>
      <c r="C348" s="1">
        <v>10.9</v>
      </c>
      <c r="D348" s="1"/>
    </row>
    <row r="349" spans="1:4" x14ac:dyDescent="0.25">
      <c r="A349" s="1">
        <v>2454359.7925</v>
      </c>
      <c r="B349" s="1" t="s">
        <v>1610</v>
      </c>
      <c r="C349" s="1">
        <v>11</v>
      </c>
      <c r="D349" s="1"/>
    </row>
    <row r="350" spans="1:4" x14ac:dyDescent="0.25">
      <c r="A350" s="1">
        <v>2454363.4619</v>
      </c>
      <c r="B350" s="1" t="s">
        <v>1611</v>
      </c>
      <c r="C350" s="1">
        <v>10.99</v>
      </c>
      <c r="D350" s="1"/>
    </row>
    <row r="351" spans="1:4" x14ac:dyDescent="0.25">
      <c r="A351" s="1">
        <v>2454367.4273999999</v>
      </c>
      <c r="B351" s="1" t="s">
        <v>1612</v>
      </c>
      <c r="C351" s="1">
        <v>10.89</v>
      </c>
      <c r="D351" s="1"/>
    </row>
    <row r="352" spans="1:4" x14ac:dyDescent="0.25">
      <c r="A352" s="1">
        <v>2454368.7483299999</v>
      </c>
      <c r="B352" s="1" t="s">
        <v>1613</v>
      </c>
      <c r="C352" s="1">
        <v>10.657</v>
      </c>
      <c r="D352" s="1"/>
    </row>
    <row r="353" spans="1:4" x14ac:dyDescent="0.25">
      <c r="A353" s="1">
        <v>2454369.7683999999</v>
      </c>
      <c r="B353" s="1" t="s">
        <v>1614</v>
      </c>
      <c r="C353" s="1">
        <v>11</v>
      </c>
      <c r="D353" s="1"/>
    </row>
    <row r="354" spans="1:4" x14ac:dyDescent="0.25">
      <c r="A354" s="1">
        <v>2454374.2796700001</v>
      </c>
      <c r="B354" s="1" t="s">
        <v>1081</v>
      </c>
      <c r="C354" s="1">
        <v>10.73</v>
      </c>
      <c r="D354" s="1"/>
    </row>
    <row r="355" spans="1:4" x14ac:dyDescent="0.25">
      <c r="A355" s="1">
        <v>2454377.4509000001</v>
      </c>
      <c r="B355" s="1" t="s">
        <v>1615</v>
      </c>
      <c r="C355" s="1">
        <v>11.05</v>
      </c>
      <c r="D355" s="1"/>
    </row>
    <row r="356" spans="1:4" x14ac:dyDescent="0.25">
      <c r="A356" s="1">
        <v>2454378.6560200001</v>
      </c>
      <c r="B356" s="1" t="s">
        <v>1616</v>
      </c>
      <c r="C356" s="1">
        <v>10.638999999999999</v>
      </c>
      <c r="D356" s="1"/>
    </row>
    <row r="357" spans="1:4" x14ac:dyDescent="0.25">
      <c r="A357" s="1">
        <v>2454379.7371999999</v>
      </c>
      <c r="B357" s="1" t="s">
        <v>1617</v>
      </c>
      <c r="C357" s="1">
        <v>11</v>
      </c>
      <c r="D357" s="1"/>
    </row>
    <row r="358" spans="1:4" x14ac:dyDescent="0.25">
      <c r="A358" s="1">
        <v>2454383.7303999998</v>
      </c>
      <c r="B358" s="1" t="s">
        <v>1618</v>
      </c>
      <c r="C358" s="1">
        <v>11</v>
      </c>
      <c r="D358" s="1"/>
    </row>
    <row r="359" spans="1:4" x14ac:dyDescent="0.25">
      <c r="A359" s="1">
        <v>2454385.3034999999</v>
      </c>
      <c r="B359" s="1" t="s">
        <v>1619</v>
      </c>
      <c r="C359" s="1">
        <v>10.69</v>
      </c>
      <c r="D359" s="1"/>
    </row>
    <row r="360" spans="1:4" x14ac:dyDescent="0.25">
      <c r="A360" s="1">
        <v>2454390.4079999998</v>
      </c>
      <c r="B360" s="1" t="s">
        <v>1620</v>
      </c>
      <c r="C360" s="1">
        <v>11.14</v>
      </c>
      <c r="D360" s="1"/>
    </row>
    <row r="361" spans="1:4" x14ac:dyDescent="0.25">
      <c r="A361" s="1">
        <v>2454392.1570899999</v>
      </c>
      <c r="B361" s="1" t="s">
        <v>1621</v>
      </c>
      <c r="C361" s="1">
        <v>10.891999999999999</v>
      </c>
      <c r="D361" s="1"/>
    </row>
    <row r="362" spans="1:4" x14ac:dyDescent="0.25">
      <c r="A362" s="1">
        <v>2454395.3325999998</v>
      </c>
      <c r="B362" s="1" t="s">
        <v>1622</v>
      </c>
      <c r="C362" s="1">
        <v>10.895</v>
      </c>
      <c r="D362" s="1"/>
    </row>
    <row r="363" spans="1:4" x14ac:dyDescent="0.25">
      <c r="A363" s="1">
        <v>2454396.6844000001</v>
      </c>
      <c r="B363" s="1" t="s">
        <v>1623</v>
      </c>
      <c r="C363" s="1">
        <v>11.1</v>
      </c>
      <c r="D363" s="1"/>
    </row>
    <row r="364" spans="1:4" x14ac:dyDescent="0.25">
      <c r="A364" s="1">
        <v>2454400.6823</v>
      </c>
      <c r="B364" s="1" t="s">
        <v>1624</v>
      </c>
      <c r="C364" s="1">
        <v>11.1</v>
      </c>
      <c r="D364" s="1"/>
    </row>
    <row r="365" spans="1:4" x14ac:dyDescent="0.25">
      <c r="A365" s="1">
        <v>2454404.57663</v>
      </c>
      <c r="B365" s="1" t="s">
        <v>1625</v>
      </c>
      <c r="C365" s="1">
        <v>10.866667</v>
      </c>
      <c r="D365" s="1"/>
    </row>
    <row r="366" spans="1:4" x14ac:dyDescent="0.25">
      <c r="A366" s="1">
        <v>2454409.0220499998</v>
      </c>
      <c r="B366" s="1" t="s">
        <v>1626</v>
      </c>
      <c r="C366" s="1">
        <v>11.14</v>
      </c>
      <c r="D366" s="1"/>
    </row>
    <row r="367" spans="1:4" x14ac:dyDescent="0.25">
      <c r="A367" s="1">
        <v>2454412.6691000001</v>
      </c>
      <c r="B367" s="1" t="s">
        <v>1627</v>
      </c>
      <c r="C367" s="1">
        <v>11.1</v>
      </c>
      <c r="D367" s="1"/>
    </row>
    <row r="368" spans="1:4" x14ac:dyDescent="0.25">
      <c r="A368" s="1">
        <v>2454416.6543999999</v>
      </c>
      <c r="B368" s="1" t="s">
        <v>1628</v>
      </c>
      <c r="C368" s="1">
        <v>11.2</v>
      </c>
      <c r="D368" s="1"/>
    </row>
    <row r="369" spans="1:4" x14ac:dyDescent="0.25">
      <c r="A369" s="1">
        <v>2454420.5870400001</v>
      </c>
      <c r="B369" s="1" t="s">
        <v>1629</v>
      </c>
      <c r="C369" s="1">
        <v>11.038</v>
      </c>
      <c r="D369" s="1"/>
    </row>
    <row r="370" spans="1:4" x14ac:dyDescent="0.25">
      <c r="A370" s="1">
        <v>2454423.6513</v>
      </c>
      <c r="B370" s="1" t="s">
        <v>1630</v>
      </c>
      <c r="C370" s="1">
        <v>11.3</v>
      </c>
      <c r="D370" s="1"/>
    </row>
    <row r="371" spans="1:4" x14ac:dyDescent="0.25">
      <c r="A371" s="1">
        <v>2454510.0304</v>
      </c>
      <c r="B371" s="1" t="s">
        <v>1631</v>
      </c>
      <c r="C371" s="1">
        <v>10.49</v>
      </c>
      <c r="D371" s="1"/>
    </row>
    <row r="372" spans="1:4" x14ac:dyDescent="0.25">
      <c r="A372" s="1">
        <v>2454521.99872</v>
      </c>
      <c r="B372" s="1" t="s">
        <v>1632</v>
      </c>
      <c r="C372" s="1">
        <v>10.3</v>
      </c>
      <c r="D372" s="1"/>
    </row>
    <row r="373" spans="1:4" x14ac:dyDescent="0.25">
      <c r="A373" s="1">
        <v>2454525.9840199999</v>
      </c>
      <c r="B373" s="1" t="s">
        <v>1633</v>
      </c>
      <c r="C373" s="1">
        <v>10.3</v>
      </c>
      <c r="D373" s="1"/>
    </row>
    <row r="374" spans="1:4" x14ac:dyDescent="0.25">
      <c r="A374" s="1">
        <v>2454529.9895100002</v>
      </c>
      <c r="B374" s="1" t="s">
        <v>1634</v>
      </c>
      <c r="C374" s="1">
        <v>10.3</v>
      </c>
      <c r="D374" s="1"/>
    </row>
    <row r="375" spans="1:4" x14ac:dyDescent="0.25">
      <c r="A375" s="1">
        <v>2454533.9619700001</v>
      </c>
      <c r="B375" s="1" t="s">
        <v>1635</v>
      </c>
      <c r="C375" s="1">
        <v>10.33</v>
      </c>
      <c r="D375" s="1"/>
    </row>
    <row r="376" spans="1:4" x14ac:dyDescent="0.25">
      <c r="A376" s="1">
        <v>2454537.96392</v>
      </c>
      <c r="B376" s="1" t="s">
        <v>1636</v>
      </c>
      <c r="C376" s="1">
        <v>10.31</v>
      </c>
      <c r="D376" s="1"/>
    </row>
    <row r="377" spans="1:4" x14ac:dyDescent="0.25">
      <c r="A377" s="1">
        <v>2454543.9354900001</v>
      </c>
      <c r="B377" s="1" t="s">
        <v>1637</v>
      </c>
      <c r="C377" s="1">
        <v>10.220000000000001</v>
      </c>
      <c r="D377" s="1"/>
    </row>
    <row r="378" spans="1:4" x14ac:dyDescent="0.25">
      <c r="A378" s="1">
        <v>2454547.9358999999</v>
      </c>
      <c r="B378" s="1" t="s">
        <v>1638</v>
      </c>
      <c r="C378" s="1">
        <v>10.220000000000001</v>
      </c>
      <c r="D378" s="1"/>
    </row>
    <row r="379" spans="1:4" x14ac:dyDescent="0.25">
      <c r="A379" s="1">
        <v>2454551.9379199999</v>
      </c>
      <c r="B379" s="1" t="s">
        <v>1639</v>
      </c>
      <c r="C379" s="1">
        <v>10.18</v>
      </c>
      <c r="D379" s="1"/>
    </row>
    <row r="380" spans="1:4" x14ac:dyDescent="0.25">
      <c r="A380" s="1">
        <v>2454556.5525000002</v>
      </c>
      <c r="B380" s="1" t="s">
        <v>1640</v>
      </c>
      <c r="C380" s="1">
        <v>10.023332999999999</v>
      </c>
      <c r="D380" s="1"/>
    </row>
    <row r="381" spans="1:4" x14ac:dyDescent="0.25">
      <c r="A381" s="1">
        <v>2454561.2883299999</v>
      </c>
      <c r="B381" s="1" t="s">
        <v>1641</v>
      </c>
      <c r="C381" s="1">
        <v>10.055</v>
      </c>
      <c r="D381" s="1"/>
    </row>
    <row r="382" spans="1:4" x14ac:dyDescent="0.25">
      <c r="A382" s="1">
        <v>2454565.84778</v>
      </c>
      <c r="B382" s="1" t="s">
        <v>1642</v>
      </c>
      <c r="C382" s="1">
        <v>10.054500000000001</v>
      </c>
      <c r="D382" s="1"/>
    </row>
    <row r="383" spans="1:4" x14ac:dyDescent="0.25">
      <c r="A383" s="1">
        <v>2454569.3937300001</v>
      </c>
      <c r="B383" s="1" t="s">
        <v>1643</v>
      </c>
      <c r="C383" s="1">
        <v>9.9975000000000005</v>
      </c>
      <c r="D383" s="1"/>
    </row>
    <row r="384" spans="1:4" x14ac:dyDescent="0.25">
      <c r="A384" s="1">
        <v>2454573.8552799998</v>
      </c>
      <c r="B384" s="1" t="s">
        <v>1644</v>
      </c>
      <c r="C384" s="1">
        <v>9.93</v>
      </c>
      <c r="D384" s="1"/>
    </row>
    <row r="385" spans="1:4" x14ac:dyDescent="0.25">
      <c r="A385" s="1">
        <v>2454577.9334100001</v>
      </c>
      <c r="B385" s="1" t="s">
        <v>1645</v>
      </c>
      <c r="C385" s="1">
        <v>9.81</v>
      </c>
      <c r="D385" s="1"/>
    </row>
    <row r="386" spans="1:4" x14ac:dyDescent="0.25">
      <c r="A386" s="1">
        <v>2454581.9441300002</v>
      </c>
      <c r="B386" s="1" t="s">
        <v>1646</v>
      </c>
      <c r="C386" s="1">
        <v>9.89</v>
      </c>
      <c r="D386" s="1"/>
    </row>
    <row r="387" spans="1:4" x14ac:dyDescent="0.25">
      <c r="A387" s="1">
        <v>2454585.8648799998</v>
      </c>
      <c r="B387" s="1" t="s">
        <v>1647</v>
      </c>
      <c r="C387" s="1">
        <v>9.8234999999999992</v>
      </c>
      <c r="D387" s="1"/>
    </row>
    <row r="388" spans="1:4" x14ac:dyDescent="0.25">
      <c r="A388" s="1">
        <v>2454589.8675299999</v>
      </c>
      <c r="B388" s="1" t="s">
        <v>1648</v>
      </c>
      <c r="C388" s="1">
        <v>9.74</v>
      </c>
      <c r="D388" s="1"/>
    </row>
    <row r="389" spans="1:4" x14ac:dyDescent="0.25">
      <c r="A389" s="1">
        <v>2454594.9441</v>
      </c>
      <c r="B389" s="1" t="s">
        <v>1649</v>
      </c>
      <c r="C389" s="1">
        <v>9.82</v>
      </c>
      <c r="D389" s="1"/>
    </row>
    <row r="390" spans="1:4" x14ac:dyDescent="0.25">
      <c r="A390" s="1">
        <v>2454596.85513</v>
      </c>
      <c r="B390" s="1" t="s">
        <v>1650</v>
      </c>
      <c r="C390" s="1">
        <v>9.6690000000000005</v>
      </c>
      <c r="D390" s="1"/>
    </row>
    <row r="391" spans="1:4" x14ac:dyDescent="0.25">
      <c r="A391" s="1">
        <v>2454605.90943</v>
      </c>
      <c r="B391" s="1" t="s">
        <v>1651</v>
      </c>
      <c r="C391" s="1">
        <v>9.74</v>
      </c>
      <c r="D391" s="1"/>
    </row>
    <row r="392" spans="1:4" x14ac:dyDescent="0.25">
      <c r="A392" s="1">
        <v>2454610.8580200002</v>
      </c>
      <c r="B392" s="1" t="s">
        <v>1652</v>
      </c>
      <c r="C392" s="1">
        <v>9.58</v>
      </c>
      <c r="D392" s="1"/>
    </row>
    <row r="393" spans="1:4" x14ac:dyDescent="0.25">
      <c r="A393" s="1">
        <v>2454614.8914600001</v>
      </c>
      <c r="B393" s="1" t="s">
        <v>1653</v>
      </c>
      <c r="C393" s="1">
        <v>9.6300000000000008</v>
      </c>
      <c r="D393" s="1"/>
    </row>
    <row r="394" spans="1:4" x14ac:dyDescent="0.25">
      <c r="A394" s="1">
        <v>2454618.84087</v>
      </c>
      <c r="B394" s="1" t="s">
        <v>1654</v>
      </c>
      <c r="C394" s="1">
        <v>9.76</v>
      </c>
      <c r="D394" s="1"/>
    </row>
    <row r="395" spans="1:4" x14ac:dyDescent="0.25">
      <c r="A395" s="1">
        <v>2454621.7570500001</v>
      </c>
      <c r="B395" s="1" t="s">
        <v>1655</v>
      </c>
      <c r="C395" s="1">
        <v>9.5990000000000002</v>
      </c>
      <c r="D395" s="1"/>
    </row>
    <row r="396" spans="1:4" x14ac:dyDescent="0.25">
      <c r="A396" s="1">
        <v>2454623.8385800002</v>
      </c>
      <c r="B396" s="1" t="s">
        <v>1656</v>
      </c>
      <c r="C396" s="1">
        <v>9.5299999999999994</v>
      </c>
      <c r="D396" s="1"/>
    </row>
    <row r="397" spans="1:4" x14ac:dyDescent="0.25">
      <c r="A397" s="1">
        <v>2454627.8442500001</v>
      </c>
      <c r="B397" s="1" t="s">
        <v>1657</v>
      </c>
      <c r="C397" s="1">
        <v>9.6199999999999992</v>
      </c>
      <c r="D397" s="1"/>
    </row>
    <row r="398" spans="1:4" x14ac:dyDescent="0.25">
      <c r="A398" s="1">
        <v>2454630.7821999998</v>
      </c>
      <c r="B398" s="1" t="s">
        <v>1096</v>
      </c>
      <c r="C398" s="1">
        <v>9.4350000000000005</v>
      </c>
      <c r="D398" s="1"/>
    </row>
    <row r="399" spans="1:4" x14ac:dyDescent="0.25">
      <c r="A399" s="1">
        <v>2454631.83506</v>
      </c>
      <c r="B399" s="1" t="s">
        <v>1658</v>
      </c>
      <c r="C399" s="1">
        <v>9.69</v>
      </c>
      <c r="D399" s="1"/>
    </row>
    <row r="400" spans="1:4" x14ac:dyDescent="0.25">
      <c r="A400" s="1">
        <v>2454635.8933999999</v>
      </c>
      <c r="B400" s="1" t="s">
        <v>1659</v>
      </c>
      <c r="C400" s="1">
        <v>9.6129999999999995</v>
      </c>
      <c r="D400" s="1"/>
    </row>
    <row r="401" spans="1:4" x14ac:dyDescent="0.25">
      <c r="A401" s="1">
        <v>2454643.7189500001</v>
      </c>
      <c r="B401" s="1" t="s">
        <v>1660</v>
      </c>
      <c r="C401" s="1">
        <v>9.3699999999999992</v>
      </c>
      <c r="D401" s="1"/>
    </row>
    <row r="402" spans="1:4" x14ac:dyDescent="0.25">
      <c r="A402" s="1">
        <v>2454649.6243799999</v>
      </c>
      <c r="B402" s="1" t="s">
        <v>1661</v>
      </c>
      <c r="C402" s="1">
        <v>9.6064290000000003</v>
      </c>
      <c r="D402" s="1"/>
    </row>
    <row r="403" spans="1:4" x14ac:dyDescent="0.25">
      <c r="A403" s="1">
        <v>2454651.9784499998</v>
      </c>
      <c r="B403" s="1" t="s">
        <v>1662</v>
      </c>
      <c r="C403" s="1">
        <v>9.5028889999999997</v>
      </c>
      <c r="D403" s="1"/>
    </row>
    <row r="404" spans="1:4" x14ac:dyDescent="0.25">
      <c r="A404" s="1">
        <v>2454660.6409999998</v>
      </c>
      <c r="B404" s="1" t="s">
        <v>1663</v>
      </c>
      <c r="C404" s="1">
        <v>9.42</v>
      </c>
      <c r="D404" s="1"/>
    </row>
    <row r="405" spans="1:4" x14ac:dyDescent="0.25">
      <c r="A405" s="1">
        <v>2454662.5375000001</v>
      </c>
      <c r="B405" s="1" t="s">
        <v>1098</v>
      </c>
      <c r="C405" s="1">
        <v>9.3800000000000008</v>
      </c>
      <c r="D405" s="1"/>
    </row>
    <row r="406" spans="1:4" x14ac:dyDescent="0.25">
      <c r="A406" s="1">
        <v>2454663.6057199999</v>
      </c>
      <c r="B406" s="1" t="s">
        <v>1664</v>
      </c>
      <c r="C406" s="1">
        <v>9.3171669999999995</v>
      </c>
      <c r="D406" s="1"/>
    </row>
    <row r="407" spans="1:4" x14ac:dyDescent="0.25">
      <c r="A407" s="1">
        <v>2454666.4201400001</v>
      </c>
      <c r="B407" s="1" t="s">
        <v>1665</v>
      </c>
      <c r="C407" s="1">
        <v>9.65</v>
      </c>
      <c r="D407" s="1"/>
    </row>
    <row r="408" spans="1:4" x14ac:dyDescent="0.25">
      <c r="A408" s="1">
        <v>2454674.0327599999</v>
      </c>
      <c r="B408" s="1" t="s">
        <v>1666</v>
      </c>
      <c r="C408" s="1">
        <v>9.3785000000000007</v>
      </c>
      <c r="D408" s="1"/>
    </row>
    <row r="409" spans="1:4" x14ac:dyDescent="0.25">
      <c r="A409" s="1">
        <v>2454675.5281400001</v>
      </c>
      <c r="B409" s="1" t="s">
        <v>1667</v>
      </c>
      <c r="C409" s="1">
        <v>9.4450000000000003</v>
      </c>
      <c r="D409" s="1"/>
    </row>
    <row r="410" spans="1:4" x14ac:dyDescent="0.25">
      <c r="A410" s="1">
        <v>2454676.9714799998</v>
      </c>
      <c r="B410" s="1" t="s">
        <v>1668</v>
      </c>
      <c r="C410" s="1">
        <v>9.4824999999999999</v>
      </c>
      <c r="D410" s="1"/>
    </row>
    <row r="411" spans="1:4" x14ac:dyDescent="0.25">
      <c r="A411" s="1">
        <v>2454678.0411299998</v>
      </c>
      <c r="B411" s="1" t="s">
        <v>1669</v>
      </c>
      <c r="C411" s="1">
        <v>9.4633330000000004</v>
      </c>
      <c r="D411" s="1"/>
    </row>
    <row r="412" spans="1:4" x14ac:dyDescent="0.25">
      <c r="A412" s="1">
        <v>2454679.5191799998</v>
      </c>
      <c r="B412" s="1" t="s">
        <v>1670</v>
      </c>
      <c r="C412" s="1">
        <v>9.4550000000000001</v>
      </c>
      <c r="D412" s="1"/>
    </row>
    <row r="413" spans="1:4" x14ac:dyDescent="0.25">
      <c r="A413" s="1">
        <v>2454696.4706299999</v>
      </c>
      <c r="B413" s="1" t="s">
        <v>1671</v>
      </c>
      <c r="C413" s="1">
        <v>9.3070000000000004</v>
      </c>
      <c r="D413" s="1"/>
    </row>
    <row r="414" spans="1:4" x14ac:dyDescent="0.25">
      <c r="A414" s="1">
        <v>2454699.61809</v>
      </c>
      <c r="B414" s="1" t="s">
        <v>1672</v>
      </c>
      <c r="C414" s="1">
        <v>9.2249999999999996</v>
      </c>
      <c r="D414" s="1"/>
    </row>
    <row r="415" spans="1:4" x14ac:dyDescent="0.25">
      <c r="A415" s="1">
        <v>2454700.7648399998</v>
      </c>
      <c r="B415" s="1" t="s">
        <v>1673</v>
      </c>
      <c r="C415" s="1">
        <v>9.5</v>
      </c>
      <c r="D415" s="1"/>
    </row>
    <row r="416" spans="1:4" x14ac:dyDescent="0.25">
      <c r="A416" s="1">
        <v>2454708.9384900001</v>
      </c>
      <c r="B416" s="1" t="s">
        <v>1101</v>
      </c>
      <c r="C416" s="1">
        <v>9.2520000000000007</v>
      </c>
      <c r="D416" s="1"/>
    </row>
    <row r="417" spans="1:4" x14ac:dyDescent="0.25">
      <c r="A417" s="1">
        <v>2454710.6571900002</v>
      </c>
      <c r="B417" s="1" t="s">
        <v>1674</v>
      </c>
      <c r="C417" s="1">
        <v>9.3406669999999998</v>
      </c>
      <c r="D417" s="1"/>
    </row>
    <row r="418" spans="1:4" x14ac:dyDescent="0.25">
      <c r="A418" s="1">
        <v>2454711.7587600001</v>
      </c>
      <c r="B418" s="1" t="s">
        <v>1675</v>
      </c>
      <c r="C418" s="1">
        <v>9.42</v>
      </c>
      <c r="D418" s="1"/>
    </row>
    <row r="419" spans="1:4" x14ac:dyDescent="0.25">
      <c r="A419" s="1">
        <v>2454715.72034</v>
      </c>
      <c r="B419" s="1" t="s">
        <v>1676</v>
      </c>
      <c r="C419" s="1">
        <v>9.4700000000000006</v>
      </c>
      <c r="D419" s="1"/>
    </row>
    <row r="420" spans="1:4" x14ac:dyDescent="0.25">
      <c r="A420" s="1">
        <v>2454719.6348100002</v>
      </c>
      <c r="B420" s="1" t="s">
        <v>1677</v>
      </c>
      <c r="C420" s="1">
        <v>9.1497499999999992</v>
      </c>
      <c r="D420" s="1"/>
    </row>
    <row r="421" spans="1:4" x14ac:dyDescent="0.25">
      <c r="A421" s="1">
        <v>2454722.41035</v>
      </c>
      <c r="B421" s="1" t="s">
        <v>1678</v>
      </c>
      <c r="C421" s="1">
        <v>9.3840000000000003</v>
      </c>
      <c r="D421" s="1"/>
    </row>
    <row r="422" spans="1:4" x14ac:dyDescent="0.25">
      <c r="A422" s="1">
        <v>2454723.7085099998</v>
      </c>
      <c r="B422" s="1" t="s">
        <v>1102</v>
      </c>
      <c r="C422" s="1">
        <v>9.48</v>
      </c>
      <c r="D422" s="1"/>
    </row>
    <row r="423" spans="1:4" x14ac:dyDescent="0.25">
      <c r="A423" s="1">
        <v>2454728.0648099999</v>
      </c>
      <c r="B423" s="1" t="s">
        <v>1679</v>
      </c>
      <c r="C423" s="1">
        <v>9.4749999999999996</v>
      </c>
      <c r="D423" s="1"/>
    </row>
    <row r="424" spans="1:4" x14ac:dyDescent="0.25">
      <c r="A424" s="1">
        <v>2454729.4276000001</v>
      </c>
      <c r="B424" s="1" t="s">
        <v>1680</v>
      </c>
      <c r="C424" s="1">
        <v>9.4179999999999993</v>
      </c>
      <c r="D424" s="1"/>
    </row>
    <row r="425" spans="1:4" x14ac:dyDescent="0.25">
      <c r="A425" s="1">
        <v>2454730.8305100002</v>
      </c>
      <c r="B425" s="1" t="s">
        <v>1681</v>
      </c>
      <c r="C425" s="1">
        <v>9.3613999999999997</v>
      </c>
      <c r="D425" s="1"/>
    </row>
    <row r="426" spans="1:4" x14ac:dyDescent="0.25">
      <c r="A426" s="1">
        <v>2454731.6489200001</v>
      </c>
      <c r="B426" s="1" t="s">
        <v>1682</v>
      </c>
      <c r="C426" s="1">
        <v>9.3432499999999994</v>
      </c>
      <c r="D426" s="1"/>
    </row>
    <row r="427" spans="1:4" x14ac:dyDescent="0.25">
      <c r="A427" s="1">
        <v>2454733.2977700001</v>
      </c>
      <c r="B427" s="1" t="s">
        <v>1683</v>
      </c>
      <c r="C427" s="1">
        <v>9.2648329999999994</v>
      </c>
      <c r="D427" s="1"/>
    </row>
    <row r="428" spans="1:4" x14ac:dyDescent="0.25">
      <c r="A428" s="1">
        <v>2454734.5340999998</v>
      </c>
      <c r="B428" s="1" t="s">
        <v>1684</v>
      </c>
      <c r="C428" s="1">
        <v>9.452</v>
      </c>
      <c r="D428" s="1"/>
    </row>
    <row r="429" spans="1:4" x14ac:dyDescent="0.25">
      <c r="A429" s="1">
        <v>2454735.6270599999</v>
      </c>
      <c r="B429" s="1" t="s">
        <v>1685</v>
      </c>
      <c r="C429" s="1">
        <v>9.2769999999999992</v>
      </c>
      <c r="D429" s="1"/>
    </row>
    <row r="430" spans="1:4" x14ac:dyDescent="0.25">
      <c r="A430" s="1">
        <v>2454737.68768</v>
      </c>
      <c r="B430" s="1" t="s">
        <v>1686</v>
      </c>
      <c r="C430" s="1">
        <v>9.3062500000000004</v>
      </c>
      <c r="D430" s="1"/>
    </row>
    <row r="431" spans="1:4" x14ac:dyDescent="0.25">
      <c r="A431" s="1">
        <v>2454748.9725199998</v>
      </c>
      <c r="B431" s="1" t="s">
        <v>1687</v>
      </c>
      <c r="C431" s="1">
        <v>9.4193999999999996</v>
      </c>
      <c r="D431" s="1"/>
    </row>
    <row r="432" spans="1:4" x14ac:dyDescent="0.25">
      <c r="A432" s="1">
        <v>2454749.5733099999</v>
      </c>
      <c r="B432" s="1" t="s">
        <v>1688</v>
      </c>
      <c r="C432" s="1">
        <v>9.4588570000000001</v>
      </c>
      <c r="D432" s="1"/>
    </row>
    <row r="433" spans="1:4" x14ac:dyDescent="0.25">
      <c r="A433" s="1">
        <v>2454752.65698</v>
      </c>
      <c r="B433" s="1" t="s">
        <v>1689</v>
      </c>
      <c r="C433" s="1">
        <v>9.41</v>
      </c>
      <c r="D433" s="1"/>
    </row>
    <row r="434" spans="1:4" x14ac:dyDescent="0.25">
      <c r="A434" s="1">
        <v>2454754.5087000001</v>
      </c>
      <c r="B434" s="1" t="s">
        <v>1690</v>
      </c>
      <c r="C434" s="1">
        <v>9.4390000000000001</v>
      </c>
      <c r="D434" s="1"/>
    </row>
    <row r="435" spans="1:4" x14ac:dyDescent="0.25">
      <c r="A435" s="1">
        <v>2454755.6808099998</v>
      </c>
      <c r="B435" s="1" t="s">
        <v>1104</v>
      </c>
      <c r="C435" s="1">
        <v>9.43</v>
      </c>
      <c r="D435" s="1"/>
    </row>
    <row r="436" spans="1:4" x14ac:dyDescent="0.25">
      <c r="A436" s="1">
        <v>2454759.02881</v>
      </c>
      <c r="B436" s="1" t="s">
        <v>1691</v>
      </c>
      <c r="C436" s="1">
        <v>9.4331999999999994</v>
      </c>
      <c r="D436" s="1"/>
    </row>
    <row r="437" spans="1:4" x14ac:dyDescent="0.25">
      <c r="A437" s="1">
        <v>2454761.66127</v>
      </c>
      <c r="B437" s="1" t="s">
        <v>1692</v>
      </c>
      <c r="C437" s="1">
        <v>9.3815000000000008</v>
      </c>
      <c r="D437" s="1"/>
    </row>
    <row r="438" spans="1:4" x14ac:dyDescent="0.25">
      <c r="A438" s="1">
        <v>2454764.30645</v>
      </c>
      <c r="B438" s="1" t="s">
        <v>1693</v>
      </c>
      <c r="C438" s="1">
        <v>9.1950000000000003</v>
      </c>
      <c r="D438" s="1"/>
    </row>
    <row r="439" spans="1:4" x14ac:dyDescent="0.25">
      <c r="A439" s="1">
        <v>2454768.2280999999</v>
      </c>
      <c r="B439" s="1" t="s">
        <v>1694</v>
      </c>
      <c r="C439" s="1">
        <v>9.3093330000000005</v>
      </c>
      <c r="D439" s="1"/>
    </row>
    <row r="440" spans="1:4" x14ac:dyDescent="0.25">
      <c r="A440" s="1">
        <v>2454769.6310100001</v>
      </c>
      <c r="B440" s="1" t="s">
        <v>1695</v>
      </c>
      <c r="C440" s="1">
        <v>9.1916670000000007</v>
      </c>
      <c r="D440" s="1"/>
    </row>
    <row r="441" spans="1:4" x14ac:dyDescent="0.25">
      <c r="A441" s="1">
        <v>2454771.96949</v>
      </c>
      <c r="B441" s="1" t="s">
        <v>1696</v>
      </c>
      <c r="C441" s="1">
        <v>9.35</v>
      </c>
      <c r="D441" s="1"/>
    </row>
    <row r="442" spans="1:4" x14ac:dyDescent="0.25">
      <c r="A442" s="1">
        <v>2454774.5847200002</v>
      </c>
      <c r="B442" s="1" t="s">
        <v>1697</v>
      </c>
      <c r="C442" s="1">
        <v>9.5347500000000007</v>
      </c>
      <c r="D442" s="1"/>
    </row>
    <row r="443" spans="1:4" x14ac:dyDescent="0.25">
      <c r="A443" s="1">
        <v>2454777.65282</v>
      </c>
      <c r="B443" s="1" t="s">
        <v>1698</v>
      </c>
      <c r="C443" s="1">
        <v>9.4499999999999993</v>
      </c>
      <c r="D443" s="1"/>
    </row>
    <row r="444" spans="1:4" x14ac:dyDescent="0.25">
      <c r="A444" s="1">
        <v>2454781.6461</v>
      </c>
      <c r="B444" s="1" t="s">
        <v>1699</v>
      </c>
      <c r="C444" s="1">
        <v>9.5</v>
      </c>
      <c r="D444" s="1"/>
    </row>
    <row r="445" spans="1:4" x14ac:dyDescent="0.25">
      <c r="A445" s="1">
        <v>2454787.6311699999</v>
      </c>
      <c r="B445" s="1" t="s">
        <v>1700</v>
      </c>
      <c r="C445" s="1">
        <v>9.3800000000000008</v>
      </c>
      <c r="D445" s="1"/>
    </row>
    <row r="446" spans="1:4" x14ac:dyDescent="0.25">
      <c r="A446" s="1">
        <v>2454791.5832099998</v>
      </c>
      <c r="B446" s="1" t="s">
        <v>1701</v>
      </c>
      <c r="C446" s="1">
        <v>9.4815000000000005</v>
      </c>
      <c r="D446" s="1"/>
    </row>
    <row r="447" spans="1:4" x14ac:dyDescent="0.25">
      <c r="A447" s="1">
        <v>2454795.1930800001</v>
      </c>
      <c r="B447" s="1" t="s">
        <v>1702</v>
      </c>
      <c r="C447" s="1">
        <v>9.2520000000000007</v>
      </c>
      <c r="D447" s="1"/>
    </row>
    <row r="448" spans="1:4" x14ac:dyDescent="0.25">
      <c r="A448" s="1">
        <v>2454799.1966200001</v>
      </c>
      <c r="B448" s="1" t="s">
        <v>1107</v>
      </c>
      <c r="C448" s="1">
        <v>9.1869999999999994</v>
      </c>
      <c r="D448" s="1"/>
    </row>
    <row r="449" spans="1:4" x14ac:dyDescent="0.25">
      <c r="A449" s="1">
        <v>2454824.1403100002</v>
      </c>
      <c r="B449" s="1" t="s">
        <v>1703</v>
      </c>
      <c r="C449" s="1">
        <v>9.3350000000000009</v>
      </c>
      <c r="D449" s="1"/>
    </row>
    <row r="450" spans="1:4" x14ac:dyDescent="0.25">
      <c r="A450" s="1">
        <v>2454906.9835799998</v>
      </c>
      <c r="B450" s="1" t="s">
        <v>1704</v>
      </c>
      <c r="C450" s="1">
        <v>9.66</v>
      </c>
      <c r="D450" s="1"/>
    </row>
    <row r="451" spans="1:4" x14ac:dyDescent="0.25">
      <c r="A451" s="1">
        <v>2454914.9765599999</v>
      </c>
      <c r="B451" s="1" t="s">
        <v>1705</v>
      </c>
      <c r="C451" s="1">
        <v>9.65</v>
      </c>
      <c r="D451" s="1"/>
    </row>
    <row r="452" spans="1:4" x14ac:dyDescent="0.25">
      <c r="A452" s="1">
        <v>2454930.9386</v>
      </c>
      <c r="B452" s="1" t="s">
        <v>1706</v>
      </c>
      <c r="C452" s="1">
        <v>9.57</v>
      </c>
      <c r="D452" s="1"/>
    </row>
    <row r="453" spans="1:4" x14ac:dyDescent="0.25">
      <c r="A453" s="1">
        <v>2454952.6049000002</v>
      </c>
      <c r="B453" s="1" t="s">
        <v>1707</v>
      </c>
      <c r="C453" s="1">
        <v>9.5</v>
      </c>
      <c r="D453" s="1"/>
    </row>
    <row r="454" spans="1:4" x14ac:dyDescent="0.25">
      <c r="A454" s="1">
        <v>2454971.5647999998</v>
      </c>
      <c r="B454" s="1" t="s">
        <v>1708</v>
      </c>
      <c r="C454" s="1">
        <v>9.5280000000000005</v>
      </c>
      <c r="D454" s="1"/>
    </row>
    <row r="455" spans="1:4" x14ac:dyDescent="0.25">
      <c r="A455" s="1">
        <v>2454975.88747</v>
      </c>
      <c r="B455" s="1" t="s">
        <v>1709</v>
      </c>
      <c r="C455" s="1">
        <v>9.5853330000000003</v>
      </c>
      <c r="D455" s="1"/>
    </row>
    <row r="456" spans="1:4" x14ac:dyDescent="0.25">
      <c r="A456" s="1">
        <v>2454977.0562399998</v>
      </c>
      <c r="B456" s="1" t="s">
        <v>1710</v>
      </c>
      <c r="C456" s="1">
        <v>9.6210000000000004</v>
      </c>
      <c r="D456" s="1"/>
    </row>
    <row r="457" spans="1:4" x14ac:dyDescent="0.25">
      <c r="A457" s="1">
        <v>2454981.5511500002</v>
      </c>
      <c r="B457" s="1" t="s">
        <v>1711</v>
      </c>
      <c r="C457" s="1">
        <v>9.6050000000000004</v>
      </c>
      <c r="D457" s="1"/>
    </row>
    <row r="458" spans="1:4" x14ac:dyDescent="0.25">
      <c r="A458" s="1">
        <v>2454982.5569600002</v>
      </c>
      <c r="B458" s="1" t="s">
        <v>1712</v>
      </c>
      <c r="C458" s="1">
        <v>9.657</v>
      </c>
      <c r="D458" s="1"/>
    </row>
    <row r="459" spans="1:4" x14ac:dyDescent="0.25">
      <c r="A459" s="1">
        <v>2454983.5577799999</v>
      </c>
      <c r="B459" s="1" t="s">
        <v>1713</v>
      </c>
      <c r="C459" s="1">
        <v>9.6419999999999995</v>
      </c>
      <c r="D459" s="1"/>
    </row>
    <row r="460" spans="1:4" x14ac:dyDescent="0.25">
      <c r="A460" s="1">
        <v>2454985.4619999998</v>
      </c>
      <c r="B460" s="1" t="s">
        <v>1714</v>
      </c>
      <c r="C460" s="1">
        <v>9.5340000000000007</v>
      </c>
      <c r="D460" s="1"/>
    </row>
    <row r="461" spans="1:4" x14ac:dyDescent="0.25">
      <c r="A461" s="1">
        <v>2455007.7550300001</v>
      </c>
      <c r="B461" s="1" t="s">
        <v>1715</v>
      </c>
      <c r="C461" s="1">
        <v>9.7104999999999997</v>
      </c>
      <c r="D461" s="1"/>
    </row>
    <row r="462" spans="1:4" x14ac:dyDescent="0.25">
      <c r="A462" s="1">
        <v>2455011.6991099999</v>
      </c>
      <c r="B462" s="1" t="s">
        <v>1716</v>
      </c>
      <c r="C462" s="1">
        <v>9.8450000000000006</v>
      </c>
      <c r="D462" s="1"/>
    </row>
    <row r="463" spans="1:4" x14ac:dyDescent="0.25">
      <c r="A463" s="1">
        <v>2455019.6555499998</v>
      </c>
      <c r="B463" s="1" t="s">
        <v>1717</v>
      </c>
      <c r="C463" s="1">
        <v>9.826333</v>
      </c>
      <c r="D463" s="1"/>
    </row>
    <row r="464" spans="1:4" x14ac:dyDescent="0.25">
      <c r="A464" s="1">
        <v>2455021.4345999998</v>
      </c>
      <c r="B464" s="1" t="s">
        <v>1120</v>
      </c>
      <c r="C464" s="1">
        <v>9.6489999999999991</v>
      </c>
      <c r="D464" s="1"/>
    </row>
    <row r="465" spans="1:4" x14ac:dyDescent="0.25">
      <c r="A465" s="1">
        <v>2455024.0323100002</v>
      </c>
      <c r="B465" s="1" t="s">
        <v>1718</v>
      </c>
      <c r="C465" s="1">
        <v>9.8539999999999992</v>
      </c>
      <c r="D465" s="1"/>
    </row>
    <row r="466" spans="1:4" x14ac:dyDescent="0.25">
      <c r="A466" s="1">
        <v>2455025.71985</v>
      </c>
      <c r="B466" s="1" t="s">
        <v>1719</v>
      </c>
      <c r="C466" s="1">
        <v>9.8164999999999996</v>
      </c>
      <c r="D466" s="1"/>
    </row>
    <row r="467" spans="1:4" x14ac:dyDescent="0.25">
      <c r="A467" s="1">
        <v>2455026.6181399999</v>
      </c>
      <c r="B467" s="1" t="s">
        <v>1720</v>
      </c>
      <c r="C467" s="1">
        <v>9.7880000000000003</v>
      </c>
      <c r="D467" s="1"/>
    </row>
    <row r="468" spans="1:4" x14ac:dyDescent="0.25">
      <c r="A468" s="1">
        <v>2455028.6496799998</v>
      </c>
      <c r="B468" s="1" t="s">
        <v>1721</v>
      </c>
      <c r="C468" s="1">
        <v>9.7183329999999994</v>
      </c>
      <c r="D468" s="1"/>
    </row>
    <row r="469" spans="1:4" x14ac:dyDescent="0.25">
      <c r="A469" s="1">
        <v>2455033.6205000002</v>
      </c>
      <c r="B469" s="1" t="s">
        <v>1722</v>
      </c>
      <c r="C469" s="1">
        <v>9.65</v>
      </c>
      <c r="D469" s="1"/>
    </row>
    <row r="470" spans="1:4" x14ac:dyDescent="0.25">
      <c r="A470" s="1">
        <v>2455035.48385</v>
      </c>
      <c r="B470" s="1" t="s">
        <v>1723</v>
      </c>
      <c r="C470" s="1">
        <v>9.7055000000000007</v>
      </c>
      <c r="D470" s="1"/>
    </row>
    <row r="471" spans="1:4" x14ac:dyDescent="0.25">
      <c r="A471" s="1">
        <v>2455039.8019300001</v>
      </c>
      <c r="B471" s="1" t="s">
        <v>1724</v>
      </c>
      <c r="C471" s="1">
        <v>9.8000000000000007</v>
      </c>
      <c r="D471" s="1"/>
    </row>
    <row r="472" spans="1:4" x14ac:dyDescent="0.25">
      <c r="A472" s="1">
        <v>2455042.4358299999</v>
      </c>
      <c r="B472" s="1" t="s">
        <v>1725</v>
      </c>
      <c r="C472" s="1">
        <v>9.4860000000000007</v>
      </c>
      <c r="D472" s="1"/>
    </row>
    <row r="473" spans="1:4" x14ac:dyDescent="0.25">
      <c r="A473" s="1">
        <v>2455043.6671799999</v>
      </c>
      <c r="B473" s="1" t="s">
        <v>1726</v>
      </c>
      <c r="C473" s="1">
        <v>9.7959999999999994</v>
      </c>
      <c r="D473" s="1"/>
    </row>
    <row r="474" spans="1:4" x14ac:dyDescent="0.25">
      <c r="A474" s="1">
        <v>2455044.6403100002</v>
      </c>
      <c r="B474" s="1" t="s">
        <v>1727</v>
      </c>
      <c r="C474" s="1">
        <v>9.8194999999999997</v>
      </c>
      <c r="D474" s="1"/>
    </row>
    <row r="475" spans="1:4" x14ac:dyDescent="0.25">
      <c r="A475" s="1">
        <v>2455049.9234699998</v>
      </c>
      <c r="B475" s="1" t="s">
        <v>1728</v>
      </c>
      <c r="C475" s="1">
        <v>9.7085000000000008</v>
      </c>
      <c r="D475" s="1"/>
    </row>
    <row r="476" spans="1:4" x14ac:dyDescent="0.25">
      <c r="A476" s="1">
        <v>2455051.41444</v>
      </c>
      <c r="B476" s="1" t="s">
        <v>1729</v>
      </c>
      <c r="C476" s="1">
        <v>9.7159999999999993</v>
      </c>
      <c r="D476" s="1"/>
    </row>
    <row r="477" spans="1:4" x14ac:dyDescent="0.25">
      <c r="A477" s="1">
        <v>2455053.409</v>
      </c>
      <c r="B477" s="1" t="s">
        <v>1730</v>
      </c>
      <c r="C477" s="1">
        <v>9.6029999999999998</v>
      </c>
      <c r="D477" s="1"/>
    </row>
    <row r="478" spans="1:4" x14ac:dyDescent="0.25">
      <c r="A478" s="1">
        <v>2455054.4126300002</v>
      </c>
      <c r="B478" s="1" t="s">
        <v>1731</v>
      </c>
      <c r="C478" s="1">
        <v>9.7040000000000006</v>
      </c>
      <c r="D478" s="1"/>
    </row>
    <row r="479" spans="1:4" x14ac:dyDescent="0.25">
      <c r="A479" s="1">
        <v>2455055.5041700001</v>
      </c>
      <c r="B479" s="1" t="s">
        <v>1732</v>
      </c>
      <c r="C479" s="1">
        <v>9.91</v>
      </c>
      <c r="D479" s="1"/>
    </row>
    <row r="480" spans="1:4" x14ac:dyDescent="0.25">
      <c r="A480" s="1">
        <v>2455059.7414699998</v>
      </c>
      <c r="B480" s="1" t="s">
        <v>1733</v>
      </c>
      <c r="C480" s="1">
        <v>9.66</v>
      </c>
      <c r="D480" s="1"/>
    </row>
    <row r="481" spans="1:4" x14ac:dyDescent="0.25">
      <c r="A481" s="1">
        <v>2455062.3873399999</v>
      </c>
      <c r="B481" s="1" t="s">
        <v>1734</v>
      </c>
      <c r="C481" s="1">
        <v>9.6440000000000001</v>
      </c>
      <c r="D481" s="1"/>
    </row>
    <row r="482" spans="1:4" x14ac:dyDescent="0.25">
      <c r="A482" s="1">
        <v>2455063.8842099998</v>
      </c>
      <c r="B482" s="1" t="s">
        <v>1735</v>
      </c>
      <c r="C482" s="1">
        <v>9.7680000000000007</v>
      </c>
      <c r="D482" s="1"/>
    </row>
    <row r="483" spans="1:4" x14ac:dyDescent="0.25">
      <c r="A483" s="1">
        <v>2455066.3812699998</v>
      </c>
      <c r="B483" s="1" t="s">
        <v>1736</v>
      </c>
      <c r="C483" s="1">
        <v>9.7629999999999999</v>
      </c>
      <c r="D483" s="1"/>
    </row>
    <row r="484" spans="1:4" x14ac:dyDescent="0.25">
      <c r="A484" s="1">
        <v>2455067.5008700001</v>
      </c>
      <c r="B484" s="1" t="s">
        <v>1737</v>
      </c>
      <c r="C484" s="1">
        <v>9.8254999999999999</v>
      </c>
      <c r="D484" s="1"/>
    </row>
    <row r="485" spans="1:4" x14ac:dyDescent="0.25">
      <c r="A485" s="1">
        <v>2455071.0380000002</v>
      </c>
      <c r="B485" s="1" t="s">
        <v>1738</v>
      </c>
      <c r="C485" s="1">
        <v>9.7899999999999991</v>
      </c>
      <c r="D485" s="1"/>
    </row>
    <row r="486" spans="1:4" x14ac:dyDescent="0.25">
      <c r="A486" s="1">
        <v>2455072.5320000001</v>
      </c>
      <c r="B486" s="1" t="s">
        <v>1739</v>
      </c>
      <c r="C486" s="1">
        <v>9.69</v>
      </c>
      <c r="D486" s="1"/>
    </row>
    <row r="487" spans="1:4" x14ac:dyDescent="0.25">
      <c r="A487" s="1">
        <v>2455073.5329999998</v>
      </c>
      <c r="B487" s="1" t="s">
        <v>1740</v>
      </c>
      <c r="C487" s="1">
        <v>9.68</v>
      </c>
      <c r="D487" s="1"/>
    </row>
    <row r="488" spans="1:4" x14ac:dyDescent="0.25">
      <c r="A488" s="1">
        <v>2455076.7650899999</v>
      </c>
      <c r="B488" s="1" t="s">
        <v>1741</v>
      </c>
      <c r="C488" s="1">
        <v>9.7159999999999993</v>
      </c>
      <c r="D488" s="1"/>
    </row>
    <row r="489" spans="1:4" x14ac:dyDescent="0.25">
      <c r="A489" s="1">
        <v>2455080.2185</v>
      </c>
      <c r="B489" s="1" t="s">
        <v>1742</v>
      </c>
      <c r="C489" s="1">
        <v>9.7590000000000003</v>
      </c>
      <c r="D489" s="1"/>
    </row>
    <row r="490" spans="1:4" x14ac:dyDescent="0.25">
      <c r="A490" s="1">
        <v>2455086.4622</v>
      </c>
      <c r="B490" s="1" t="s">
        <v>1743</v>
      </c>
      <c r="C490" s="1">
        <v>9.8741669999999999</v>
      </c>
      <c r="D490" s="1"/>
    </row>
    <row r="491" spans="1:4" x14ac:dyDescent="0.25">
      <c r="A491" s="1">
        <v>2455088.3262399998</v>
      </c>
      <c r="B491" s="1" t="s">
        <v>1744</v>
      </c>
      <c r="C491" s="1">
        <v>9.8640000000000008</v>
      </c>
      <c r="D491" s="1"/>
    </row>
    <row r="492" spans="1:4" x14ac:dyDescent="0.25">
      <c r="A492" s="1">
        <v>2455089.32663</v>
      </c>
      <c r="B492" s="1" t="s">
        <v>1745</v>
      </c>
      <c r="C492" s="1">
        <v>9.7669999999999995</v>
      </c>
      <c r="D492" s="1"/>
    </row>
    <row r="493" spans="1:4" x14ac:dyDescent="0.25">
      <c r="A493" s="1">
        <v>2455091.06495</v>
      </c>
      <c r="B493" s="1" t="s">
        <v>1746</v>
      </c>
      <c r="C493" s="1">
        <v>9.8379999999999992</v>
      </c>
      <c r="D493" s="1"/>
    </row>
    <row r="494" spans="1:4" x14ac:dyDescent="0.25">
      <c r="A494" s="1">
        <v>2455093.8146600001</v>
      </c>
      <c r="B494" s="1" t="s">
        <v>1747</v>
      </c>
      <c r="C494" s="1">
        <v>9.6820000000000004</v>
      </c>
      <c r="D494" s="1"/>
    </row>
    <row r="495" spans="1:4" x14ac:dyDescent="0.25">
      <c r="A495" s="1">
        <v>2455094.9646800002</v>
      </c>
      <c r="B495" s="1" t="s">
        <v>1748</v>
      </c>
      <c r="C495" s="1">
        <v>9.6890000000000001</v>
      </c>
      <c r="D495" s="1"/>
    </row>
    <row r="496" spans="1:4" x14ac:dyDescent="0.25">
      <c r="A496" s="1">
        <v>2455096.5804499998</v>
      </c>
      <c r="B496" s="1" t="s">
        <v>1749</v>
      </c>
      <c r="C496" s="1">
        <v>9.8623329999999996</v>
      </c>
      <c r="D496" s="1"/>
    </row>
    <row r="497" spans="1:4" x14ac:dyDescent="0.25">
      <c r="A497" s="1">
        <v>2455100.9455900001</v>
      </c>
      <c r="B497" s="1" t="s">
        <v>1750</v>
      </c>
      <c r="C497" s="1">
        <v>9.8175000000000008</v>
      </c>
      <c r="D497" s="1"/>
    </row>
    <row r="498" spans="1:4" x14ac:dyDescent="0.25">
      <c r="A498" s="1">
        <v>2455102.2949299999</v>
      </c>
      <c r="B498" s="1" t="s">
        <v>1751</v>
      </c>
      <c r="C498" s="1">
        <v>9.6389999999999993</v>
      </c>
      <c r="D498" s="1"/>
    </row>
    <row r="499" spans="1:4" x14ac:dyDescent="0.25">
      <c r="A499" s="1">
        <v>2455104.2876499998</v>
      </c>
      <c r="B499" s="1" t="s">
        <v>1752</v>
      </c>
      <c r="C499" s="1">
        <v>9.7579999999999991</v>
      </c>
      <c r="D499" s="1"/>
    </row>
    <row r="500" spans="1:4" x14ac:dyDescent="0.25">
      <c r="A500" s="1">
        <v>2455107.2720300001</v>
      </c>
      <c r="B500" s="1" t="s">
        <v>1753</v>
      </c>
      <c r="C500" s="1">
        <v>9.7530000000000001</v>
      </c>
      <c r="D500" s="1"/>
    </row>
    <row r="501" spans="1:4" x14ac:dyDescent="0.25">
      <c r="A501" s="1">
        <v>2455122.2626</v>
      </c>
      <c r="B501" s="1" t="s">
        <v>1754</v>
      </c>
      <c r="C501" s="1">
        <v>9.8879999999999999</v>
      </c>
      <c r="D501" s="1"/>
    </row>
    <row r="502" spans="1:4" x14ac:dyDescent="0.25">
      <c r="A502" s="1">
        <v>2455128.2993100001</v>
      </c>
      <c r="B502" s="1" t="s">
        <v>1755</v>
      </c>
      <c r="C502" s="1">
        <v>10.06</v>
      </c>
      <c r="D502" s="1"/>
    </row>
    <row r="503" spans="1:4" x14ac:dyDescent="0.25">
      <c r="A503" s="1">
        <v>2455131.7201</v>
      </c>
      <c r="B503" s="1" t="s">
        <v>1756</v>
      </c>
      <c r="C503" s="1">
        <v>9.9290000000000003</v>
      </c>
      <c r="D503" s="1"/>
    </row>
    <row r="504" spans="1:4" x14ac:dyDescent="0.25">
      <c r="A504" s="1">
        <v>2455157.1656300002</v>
      </c>
      <c r="B504" s="1" t="s">
        <v>1757</v>
      </c>
      <c r="C504" s="1">
        <v>9.9949999999999992</v>
      </c>
      <c r="D504" s="1"/>
    </row>
    <row r="505" spans="1:4" x14ac:dyDescent="0.25">
      <c r="A505" s="1">
        <v>2455166.2794499998</v>
      </c>
      <c r="B505" s="1" t="s">
        <v>1758</v>
      </c>
      <c r="C505" s="1">
        <v>10.053000000000001</v>
      </c>
      <c r="D505" s="1"/>
    </row>
    <row r="506" spans="1:4" x14ac:dyDescent="0.25">
      <c r="A506" s="1">
        <v>2455172.2553099999</v>
      </c>
      <c r="B506" s="1" t="s">
        <v>1759</v>
      </c>
      <c r="C506" s="1">
        <v>10.038</v>
      </c>
      <c r="D506" s="1"/>
    </row>
    <row r="507" spans="1:4" x14ac:dyDescent="0.25">
      <c r="A507" s="1">
        <v>2455178.7572599999</v>
      </c>
      <c r="B507" s="1" t="s">
        <v>1760</v>
      </c>
      <c r="C507" s="1">
        <v>10.154500000000001</v>
      </c>
      <c r="D507" s="1"/>
    </row>
    <row r="508" spans="1:4" x14ac:dyDescent="0.25">
      <c r="A508" s="1">
        <v>2455183.24994</v>
      </c>
      <c r="B508" s="1" t="s">
        <v>1761</v>
      </c>
      <c r="C508" s="1">
        <v>10.241</v>
      </c>
      <c r="D508" s="1"/>
    </row>
    <row r="509" spans="1:4" x14ac:dyDescent="0.25">
      <c r="A509" s="1">
        <v>2455184.2500399998</v>
      </c>
      <c r="B509" s="1" t="s">
        <v>1762</v>
      </c>
      <c r="C509" s="1">
        <v>10.207000000000001</v>
      </c>
      <c r="D509" s="1"/>
    </row>
    <row r="510" spans="1:4" x14ac:dyDescent="0.25">
      <c r="A510" s="1">
        <v>2455186.2502100002</v>
      </c>
      <c r="B510" s="1" t="s">
        <v>1763</v>
      </c>
      <c r="C510" s="1">
        <v>10.173999999999999</v>
      </c>
      <c r="D510" s="1"/>
    </row>
    <row r="511" spans="1:4" x14ac:dyDescent="0.25">
      <c r="A511" s="1">
        <v>2455188.2492900002</v>
      </c>
      <c r="B511" s="1" t="s">
        <v>1764</v>
      </c>
      <c r="C511" s="1">
        <v>10.234</v>
      </c>
      <c r="D511" s="1"/>
    </row>
    <row r="512" spans="1:4" x14ac:dyDescent="0.25">
      <c r="A512" s="1">
        <v>2455296.6285999999</v>
      </c>
      <c r="B512" s="1" t="s">
        <v>1765</v>
      </c>
      <c r="C512" s="1">
        <v>9.7889999999999997</v>
      </c>
      <c r="D512" s="1"/>
    </row>
    <row r="513" spans="1:4" x14ac:dyDescent="0.25">
      <c r="A513" s="1">
        <v>2455337.6020999998</v>
      </c>
      <c r="B513" s="1" t="s">
        <v>1766</v>
      </c>
      <c r="C513" s="1">
        <v>9.6349999999999998</v>
      </c>
      <c r="D513" s="1"/>
    </row>
    <row r="514" spans="1:4" x14ac:dyDescent="0.25">
      <c r="A514" s="1">
        <v>2455397.45309</v>
      </c>
      <c r="B514" s="1" t="s">
        <v>1767</v>
      </c>
      <c r="C514" s="1">
        <v>9.5470000000000006</v>
      </c>
      <c r="D514" s="1"/>
    </row>
    <row r="515" spans="1:4" x14ac:dyDescent="0.25">
      <c r="A515" s="1">
        <v>2455399.4485900002</v>
      </c>
      <c r="B515" s="1" t="s">
        <v>1768</v>
      </c>
      <c r="C515" s="1">
        <v>9.6</v>
      </c>
      <c r="D515" s="1"/>
    </row>
    <row r="516" spans="1:4" x14ac:dyDescent="0.25">
      <c r="A516" s="1">
        <v>2455405.51254</v>
      </c>
      <c r="B516" s="1" t="s">
        <v>1769</v>
      </c>
      <c r="C516" s="1">
        <v>9.8170000000000002</v>
      </c>
      <c r="D516" s="1"/>
    </row>
    <row r="517" spans="1:4" x14ac:dyDescent="0.25">
      <c r="A517" s="1">
        <v>2455409.5946999998</v>
      </c>
      <c r="B517" s="1" t="s">
        <v>1770</v>
      </c>
      <c r="C517" s="1">
        <v>10.204000000000001</v>
      </c>
      <c r="D517" s="1"/>
    </row>
    <row r="518" spans="1:4" x14ac:dyDescent="0.25">
      <c r="A518" s="1">
        <v>2455412.4046</v>
      </c>
      <c r="B518" s="1" t="s">
        <v>1144</v>
      </c>
      <c r="C518" s="1">
        <v>9.6129999999999995</v>
      </c>
      <c r="D518" s="1"/>
    </row>
    <row r="519" spans="1:4" x14ac:dyDescent="0.25">
      <c r="A519" s="1">
        <v>2455425.4086699998</v>
      </c>
      <c r="B519" s="1" t="s">
        <v>1771</v>
      </c>
      <c r="C519" s="1">
        <v>9.5879999999999992</v>
      </c>
      <c r="D519" s="1"/>
    </row>
    <row r="520" spans="1:4" x14ac:dyDescent="0.25">
      <c r="A520" s="1">
        <v>2455428.8636699999</v>
      </c>
      <c r="B520" s="1" t="s">
        <v>1772</v>
      </c>
      <c r="C520" s="1">
        <v>9.6430000000000007</v>
      </c>
      <c r="D520" s="1"/>
    </row>
    <row r="521" spans="1:4" x14ac:dyDescent="0.25">
      <c r="A521" s="1">
        <v>2455433.3612799998</v>
      </c>
      <c r="B521" s="1" t="s">
        <v>1773</v>
      </c>
      <c r="C521" s="1">
        <v>9.6549999999999994</v>
      </c>
      <c r="D521" s="1"/>
    </row>
    <row r="522" spans="1:4" x14ac:dyDescent="0.25">
      <c r="A522" s="1">
        <v>2455437.3539399998</v>
      </c>
      <c r="B522" s="1" t="s">
        <v>1774</v>
      </c>
      <c r="C522" s="1">
        <v>9.5459999999999994</v>
      </c>
      <c r="D522" s="1"/>
    </row>
    <row r="523" spans="1:4" x14ac:dyDescent="0.25">
      <c r="A523" s="1">
        <v>2455440.3444300001</v>
      </c>
      <c r="B523" s="1" t="s">
        <v>1775</v>
      </c>
      <c r="C523" s="1">
        <v>9.6920000000000002</v>
      </c>
      <c r="D523" s="1"/>
    </row>
    <row r="524" spans="1:4" x14ac:dyDescent="0.25">
      <c r="A524" s="1">
        <v>2455442.3379700002</v>
      </c>
      <c r="B524" s="1" t="s">
        <v>1776</v>
      </c>
      <c r="C524" s="1">
        <v>9.4909999999999997</v>
      </c>
      <c r="D524" s="1"/>
    </row>
    <row r="525" spans="1:4" x14ac:dyDescent="0.25">
      <c r="A525" s="1">
        <v>2455444.72278</v>
      </c>
      <c r="B525" s="1" t="s">
        <v>1777</v>
      </c>
      <c r="C525" s="1">
        <v>9.7913329999999998</v>
      </c>
      <c r="D525" s="1"/>
    </row>
    <row r="526" spans="1:4" x14ac:dyDescent="0.25">
      <c r="A526" s="1">
        <v>2455448.40044</v>
      </c>
      <c r="B526" s="1" t="s">
        <v>1778</v>
      </c>
      <c r="C526" s="1">
        <v>9.5500000000000007</v>
      </c>
      <c r="D526" s="1"/>
    </row>
    <row r="527" spans="1:4" x14ac:dyDescent="0.25">
      <c r="A527" s="1">
        <v>2455450.33495</v>
      </c>
      <c r="B527" s="1" t="s">
        <v>1779</v>
      </c>
      <c r="C527" s="1">
        <v>9.6</v>
      </c>
      <c r="D527" s="1"/>
    </row>
    <row r="528" spans="1:4" x14ac:dyDescent="0.25">
      <c r="A528" s="1">
        <v>2455457.7990700002</v>
      </c>
      <c r="B528" s="1" t="s">
        <v>1780</v>
      </c>
      <c r="C528" s="1">
        <v>9.5485000000000007</v>
      </c>
      <c r="D528" s="1"/>
    </row>
    <row r="529" spans="1:4" x14ac:dyDescent="0.25">
      <c r="A529" s="1">
        <v>2455459.3156599998</v>
      </c>
      <c r="B529" s="1" t="s">
        <v>1781</v>
      </c>
      <c r="C529" s="1">
        <v>9.2639999999999993</v>
      </c>
      <c r="D529" s="1"/>
    </row>
    <row r="530" spans="1:4" x14ac:dyDescent="0.25">
      <c r="A530" s="1">
        <v>2455461.7877199999</v>
      </c>
      <c r="B530" s="1" t="s">
        <v>1782</v>
      </c>
      <c r="C530" s="1">
        <v>9.5259999999999998</v>
      </c>
      <c r="D530" s="1"/>
    </row>
    <row r="531" spans="1:4" x14ac:dyDescent="0.25">
      <c r="A531" s="1">
        <v>2455463.28449</v>
      </c>
      <c r="B531" s="1" t="s">
        <v>1783</v>
      </c>
      <c r="C531" s="1">
        <v>9.5649999999999995</v>
      </c>
      <c r="D531" s="1"/>
    </row>
    <row r="532" spans="1:4" x14ac:dyDescent="0.25">
      <c r="A532" s="1">
        <v>2455468.32858</v>
      </c>
      <c r="B532" s="1" t="s">
        <v>1784</v>
      </c>
      <c r="C532" s="1">
        <v>9.4909999999999997</v>
      </c>
      <c r="D532" s="1"/>
    </row>
    <row r="533" spans="1:4" x14ac:dyDescent="0.25">
      <c r="A533" s="1">
        <v>2455480.2484300002</v>
      </c>
      <c r="B533" s="1" t="s">
        <v>1785</v>
      </c>
      <c r="C533" s="1">
        <v>9.4689999999999994</v>
      </c>
      <c r="D533" s="1"/>
    </row>
    <row r="534" spans="1:4" x14ac:dyDescent="0.25">
      <c r="A534" s="1">
        <v>2455482.33</v>
      </c>
      <c r="B534" s="1" t="s">
        <v>1786</v>
      </c>
      <c r="C534" s="1">
        <v>9.49</v>
      </c>
      <c r="D534" s="1"/>
    </row>
    <row r="535" spans="1:4" x14ac:dyDescent="0.25">
      <c r="A535" s="1">
        <v>2455499.2717499998</v>
      </c>
      <c r="B535" s="1" t="s">
        <v>1787</v>
      </c>
      <c r="C535" s="1">
        <v>9.452</v>
      </c>
      <c r="D535" s="1"/>
    </row>
    <row r="536" spans="1:4" x14ac:dyDescent="0.25">
      <c r="A536" s="1">
        <v>2455524.5085200001</v>
      </c>
      <c r="B536" s="1" t="s">
        <v>1788</v>
      </c>
      <c r="C536" s="1">
        <v>9.4774999999999991</v>
      </c>
      <c r="D536" s="1"/>
    </row>
    <row r="537" spans="1:4" x14ac:dyDescent="0.25">
      <c r="A537" s="1">
        <v>2455689.6027799998</v>
      </c>
      <c r="B537" s="1" t="s">
        <v>1789</v>
      </c>
      <c r="C537" s="1">
        <v>9.58</v>
      </c>
      <c r="D537" s="1"/>
    </row>
    <row r="538" spans="1:4" x14ac:dyDescent="0.25">
      <c r="A538" s="1">
        <v>2455731.5306000002</v>
      </c>
      <c r="B538" s="1" t="s">
        <v>1790</v>
      </c>
      <c r="C538" s="1">
        <v>9.6159999999999997</v>
      </c>
      <c r="D538" s="1"/>
    </row>
    <row r="539" spans="1:4" x14ac:dyDescent="0.25">
      <c r="A539" s="1">
        <v>2455746.2746799998</v>
      </c>
      <c r="B539" s="1" t="s">
        <v>1791</v>
      </c>
      <c r="C539" s="1">
        <v>9.7424999999999997</v>
      </c>
      <c r="D539" s="1"/>
    </row>
    <row r="540" spans="1:4" x14ac:dyDescent="0.25">
      <c r="A540" s="1">
        <v>2455756.5216000001</v>
      </c>
      <c r="B540" s="1" t="s">
        <v>1792</v>
      </c>
      <c r="C540" s="1">
        <v>9.8049999999999997</v>
      </c>
      <c r="D540" s="1"/>
    </row>
    <row r="541" spans="1:4" x14ac:dyDescent="0.25">
      <c r="A541" s="1">
        <v>2455763.4468</v>
      </c>
      <c r="B541" s="1" t="s">
        <v>1793</v>
      </c>
      <c r="C541" s="1">
        <v>9.7420000000000009</v>
      </c>
      <c r="D541" s="1"/>
    </row>
    <row r="542" spans="1:4" x14ac:dyDescent="0.25">
      <c r="A542" s="1">
        <v>2455766.4943599999</v>
      </c>
      <c r="B542" s="1" t="s">
        <v>1794</v>
      </c>
      <c r="C542" s="1">
        <v>9.8179999999999996</v>
      </c>
      <c r="D542" s="1"/>
    </row>
    <row r="543" spans="1:4" x14ac:dyDescent="0.25">
      <c r="A543" s="1">
        <v>2455769.4931100002</v>
      </c>
      <c r="B543" s="1" t="s">
        <v>1795</v>
      </c>
      <c r="C543" s="1">
        <v>9.7919999999999998</v>
      </c>
      <c r="D543" s="1"/>
    </row>
    <row r="544" spans="1:4" x14ac:dyDescent="0.25">
      <c r="A544" s="1">
        <v>2455770.4934299998</v>
      </c>
      <c r="B544" s="1" t="s">
        <v>1796</v>
      </c>
      <c r="C544" s="1">
        <v>9.8149999999999995</v>
      </c>
      <c r="D544" s="1"/>
    </row>
    <row r="545" spans="1:4" x14ac:dyDescent="0.25">
      <c r="A545" s="1">
        <v>2455776.44166</v>
      </c>
      <c r="B545" s="1" t="s">
        <v>1797</v>
      </c>
      <c r="C545" s="1">
        <v>9.8979999999999997</v>
      </c>
      <c r="D545" s="1"/>
    </row>
    <row r="546" spans="1:4" x14ac:dyDescent="0.25">
      <c r="A546" s="1">
        <v>2455782.44154</v>
      </c>
      <c r="B546" s="1" t="s">
        <v>1798</v>
      </c>
      <c r="C546" s="1">
        <v>9.827</v>
      </c>
      <c r="D546" s="1"/>
    </row>
    <row r="547" spans="1:4" x14ac:dyDescent="0.25">
      <c r="A547" s="1">
        <v>2455786.4423600002</v>
      </c>
      <c r="B547" s="1" t="s">
        <v>1799</v>
      </c>
      <c r="C547" s="1">
        <v>9.8149999999999995</v>
      </c>
      <c r="D547" s="1"/>
    </row>
    <row r="548" spans="1:4" x14ac:dyDescent="0.25">
      <c r="A548" s="1">
        <v>2455790.3953</v>
      </c>
      <c r="B548" s="1" t="s">
        <v>1167</v>
      </c>
      <c r="C548" s="1">
        <v>9.7729999999999997</v>
      </c>
      <c r="D548" s="1"/>
    </row>
    <row r="549" spans="1:4" x14ac:dyDescent="0.25">
      <c r="A549" s="1">
        <v>2455800.4314799998</v>
      </c>
      <c r="B549" s="1" t="s">
        <v>1800</v>
      </c>
      <c r="C549" s="1">
        <v>9.8699999999999992</v>
      </c>
      <c r="D549" s="1"/>
    </row>
    <row r="550" spans="1:4" x14ac:dyDescent="0.25">
      <c r="A550" s="1">
        <v>2455809.3986200001</v>
      </c>
      <c r="B550" s="1" t="s">
        <v>1801</v>
      </c>
      <c r="C550" s="1">
        <v>9.8239999999999998</v>
      </c>
      <c r="D550" s="1"/>
    </row>
    <row r="551" spans="1:4" x14ac:dyDescent="0.25">
      <c r="A551" s="1">
        <v>2455815.3774600001</v>
      </c>
      <c r="B551" s="1" t="s">
        <v>1802</v>
      </c>
      <c r="C551" s="1">
        <v>9.8170000000000002</v>
      </c>
      <c r="D551" s="1"/>
    </row>
    <row r="552" spans="1:4" x14ac:dyDescent="0.25">
      <c r="A552" s="1">
        <v>2455823.78492</v>
      </c>
      <c r="B552" s="1" t="s">
        <v>1803</v>
      </c>
      <c r="C552" s="1">
        <v>10.026999999999999</v>
      </c>
      <c r="D552" s="1"/>
    </row>
    <row r="553" spans="1:4" x14ac:dyDescent="0.25">
      <c r="A553" s="1">
        <v>2455827.6531000002</v>
      </c>
      <c r="B553" s="1" t="s">
        <v>1804</v>
      </c>
      <c r="C553" s="1">
        <v>10.016</v>
      </c>
      <c r="D553" s="1"/>
    </row>
    <row r="554" spans="1:4" x14ac:dyDescent="0.25">
      <c r="A554" s="1">
        <v>2455832.4234500001</v>
      </c>
      <c r="B554" s="1" t="s">
        <v>1805</v>
      </c>
      <c r="C554" s="1">
        <v>9.8849999999999998</v>
      </c>
      <c r="D554" s="1"/>
    </row>
    <row r="555" spans="1:4" x14ac:dyDescent="0.25">
      <c r="A555" s="1">
        <v>2455835.8766999999</v>
      </c>
      <c r="B555" s="1" t="s">
        <v>1806</v>
      </c>
      <c r="C555" s="1">
        <v>9.9130000000000003</v>
      </c>
      <c r="D555" s="1"/>
    </row>
    <row r="556" spans="1:4" x14ac:dyDescent="0.25">
      <c r="A556" s="1">
        <v>2455840.3435900002</v>
      </c>
      <c r="B556" s="1" t="s">
        <v>1807</v>
      </c>
      <c r="C556" s="1">
        <v>9.9410000000000007</v>
      </c>
      <c r="D556" s="1"/>
    </row>
    <row r="557" spans="1:4" x14ac:dyDescent="0.25">
      <c r="A557" s="1">
        <v>2455843.4150800002</v>
      </c>
      <c r="B557" s="1" t="s">
        <v>1808</v>
      </c>
      <c r="C557" s="1">
        <v>10.013999999999999</v>
      </c>
      <c r="D557" s="1"/>
    </row>
    <row r="558" spans="1:4" x14ac:dyDescent="0.25">
      <c r="A558" s="1">
        <v>2455849.3162699998</v>
      </c>
      <c r="B558" s="1" t="s">
        <v>1809</v>
      </c>
      <c r="C558" s="1">
        <v>9.9320000000000004</v>
      </c>
      <c r="D558" s="1"/>
    </row>
    <row r="559" spans="1:4" x14ac:dyDescent="0.25">
      <c r="A559" s="1">
        <v>2455856.3413</v>
      </c>
      <c r="B559" s="1" t="s">
        <v>1810</v>
      </c>
      <c r="C559" s="1">
        <v>9.9510000000000005</v>
      </c>
      <c r="D559" s="1"/>
    </row>
    <row r="560" spans="1:4" x14ac:dyDescent="0.25">
      <c r="A560" s="1">
        <v>2455866.22957</v>
      </c>
      <c r="B560" s="1" t="s">
        <v>1811</v>
      </c>
      <c r="C560" s="1">
        <v>10.058</v>
      </c>
      <c r="D560" s="1"/>
    </row>
    <row r="561" spans="1:4" x14ac:dyDescent="0.25">
      <c r="A561" s="1">
        <v>2455875.2607800001</v>
      </c>
      <c r="B561" s="1" t="s">
        <v>1812</v>
      </c>
      <c r="C561" s="1">
        <v>9.9830000000000005</v>
      </c>
      <c r="D561" s="1"/>
    </row>
    <row r="562" spans="1:4" x14ac:dyDescent="0.25">
      <c r="A562" s="1">
        <v>2455890.2469899999</v>
      </c>
      <c r="B562" s="1" t="s">
        <v>1813</v>
      </c>
      <c r="C562" s="1">
        <v>10.065</v>
      </c>
      <c r="D562" s="1"/>
    </row>
    <row r="563" spans="1:4" x14ac:dyDescent="0.25">
      <c r="A563" s="1">
        <v>2455892.25538</v>
      </c>
      <c r="B563" s="1" t="s">
        <v>1814</v>
      </c>
      <c r="C563" s="1">
        <v>10.103</v>
      </c>
      <c r="D563" s="1"/>
    </row>
    <row r="564" spans="1:4" x14ac:dyDescent="0.25">
      <c r="A564" s="1">
        <v>2455896.2781400001</v>
      </c>
      <c r="B564" s="1" t="s">
        <v>1174</v>
      </c>
      <c r="C564" s="1">
        <v>10.073</v>
      </c>
      <c r="D564" s="1"/>
    </row>
    <row r="565" spans="1:4" x14ac:dyDescent="0.25">
      <c r="A565" s="1">
        <v>2455923.1787</v>
      </c>
      <c r="B565" s="1" t="s">
        <v>1815</v>
      </c>
      <c r="C565" s="1">
        <v>10.157</v>
      </c>
      <c r="D565" s="1"/>
    </row>
    <row r="566" spans="1:4" x14ac:dyDescent="0.25">
      <c r="A566" s="1">
        <v>2456001.68334</v>
      </c>
      <c r="B566" s="1" t="s">
        <v>1816</v>
      </c>
      <c r="C566" s="1">
        <v>10.132999999999999</v>
      </c>
      <c r="D566" s="1"/>
    </row>
    <row r="567" spans="1:4" x14ac:dyDescent="0.25">
      <c r="A567" s="1">
        <v>2456066.5674800002</v>
      </c>
      <c r="B567" s="1" t="s">
        <v>1817</v>
      </c>
      <c r="C567" s="1">
        <v>10.016</v>
      </c>
      <c r="D567" s="1"/>
    </row>
    <row r="568" spans="1:4" x14ac:dyDescent="0.25">
      <c r="A568" s="1">
        <v>2456067.7239799998</v>
      </c>
      <c r="B568" s="1" t="s">
        <v>1818</v>
      </c>
      <c r="C568" s="1">
        <v>10.194000000000001</v>
      </c>
      <c r="D568" s="1"/>
    </row>
    <row r="569" spans="1:4" x14ac:dyDescent="0.25">
      <c r="A569" s="1">
        <v>2456073.9035999998</v>
      </c>
      <c r="B569" s="1" t="s">
        <v>1819</v>
      </c>
      <c r="C569" s="1">
        <v>10.159000000000001</v>
      </c>
      <c r="D569" s="1"/>
    </row>
    <row r="570" spans="1:4" x14ac:dyDescent="0.25">
      <c r="A570" s="1">
        <v>2456077.4946499998</v>
      </c>
      <c r="B570" s="1" t="s">
        <v>1820</v>
      </c>
      <c r="C570" s="1">
        <v>10.074999999999999</v>
      </c>
      <c r="D570" s="1"/>
    </row>
    <row r="571" spans="1:4" x14ac:dyDescent="0.25">
      <c r="A571" s="1">
        <v>2456082.90356</v>
      </c>
      <c r="B571" s="1" t="s">
        <v>1821</v>
      </c>
      <c r="C571" s="1">
        <v>10.210000000000001</v>
      </c>
      <c r="D571" s="1"/>
    </row>
    <row r="572" spans="1:4" x14ac:dyDescent="0.25">
      <c r="A572" s="1">
        <v>2456094.6897100001</v>
      </c>
      <c r="B572" s="1" t="s">
        <v>1822</v>
      </c>
      <c r="C572" s="1">
        <v>10.061</v>
      </c>
      <c r="D572" s="1"/>
    </row>
    <row r="573" spans="1:4" x14ac:dyDescent="0.25">
      <c r="A573" s="1">
        <v>2456096.8620699998</v>
      </c>
      <c r="B573" s="1" t="s">
        <v>1823</v>
      </c>
      <c r="C573" s="1">
        <v>10.244</v>
      </c>
      <c r="D573" s="1"/>
    </row>
    <row r="574" spans="1:4" x14ac:dyDescent="0.25">
      <c r="A574" s="1">
        <v>2456102.6340299998</v>
      </c>
      <c r="B574" s="1" t="s">
        <v>1824</v>
      </c>
      <c r="C574" s="1">
        <v>10.016500000000001</v>
      </c>
      <c r="D574" s="1"/>
    </row>
    <row r="575" spans="1:4" x14ac:dyDescent="0.25">
      <c r="A575" s="1">
        <v>2456106.7911299998</v>
      </c>
      <c r="B575" s="1" t="s">
        <v>1825</v>
      </c>
      <c r="C575" s="1">
        <v>10.122</v>
      </c>
      <c r="D575" s="1"/>
    </row>
    <row r="576" spans="1:4" x14ac:dyDescent="0.25">
      <c r="A576" s="1">
        <v>2456110.7178099998</v>
      </c>
      <c r="B576" s="1" t="s">
        <v>1826</v>
      </c>
      <c r="C576" s="1">
        <v>10.189</v>
      </c>
      <c r="D576" s="1"/>
    </row>
    <row r="577" spans="1:4" x14ac:dyDescent="0.25">
      <c r="A577" s="1">
        <v>2456114.7283399999</v>
      </c>
      <c r="B577" s="1" t="s">
        <v>1827</v>
      </c>
      <c r="C577" s="1">
        <v>10.086</v>
      </c>
      <c r="D577" s="1"/>
    </row>
    <row r="578" spans="1:4" x14ac:dyDescent="0.25">
      <c r="A578" s="1">
        <v>2456121.2820299999</v>
      </c>
      <c r="B578" s="1" t="s">
        <v>1828</v>
      </c>
      <c r="C578" s="1">
        <v>10.112500000000001</v>
      </c>
      <c r="D578" s="1"/>
    </row>
    <row r="579" spans="1:4" x14ac:dyDescent="0.25">
      <c r="A579" s="1">
        <v>2456130.7657400002</v>
      </c>
      <c r="B579" s="1" t="s">
        <v>1829</v>
      </c>
      <c r="C579" s="1">
        <v>10.029</v>
      </c>
      <c r="D579" s="1"/>
    </row>
    <row r="580" spans="1:4" x14ac:dyDescent="0.25">
      <c r="A580" s="1">
        <v>2456132.4691099999</v>
      </c>
      <c r="B580" s="1" t="s">
        <v>1830</v>
      </c>
      <c r="C580" s="1">
        <v>10.031000000000001</v>
      </c>
      <c r="D580" s="1"/>
    </row>
    <row r="581" spans="1:4" x14ac:dyDescent="0.25">
      <c r="A581" s="1">
        <v>2456135.4504399998</v>
      </c>
      <c r="B581" s="1" t="s">
        <v>1831</v>
      </c>
      <c r="C581" s="1">
        <v>10.069000000000001</v>
      </c>
      <c r="D581" s="1"/>
    </row>
    <row r="582" spans="1:4" x14ac:dyDescent="0.25">
      <c r="A582" s="1">
        <v>2456141.4167900002</v>
      </c>
      <c r="B582" s="1" t="s">
        <v>1832</v>
      </c>
      <c r="C582" s="1">
        <v>10.093999999999999</v>
      </c>
      <c r="D582" s="1"/>
    </row>
    <row r="583" spans="1:4" x14ac:dyDescent="0.25">
      <c r="A583" s="1">
        <v>2456142.6947499998</v>
      </c>
      <c r="B583" s="1" t="s">
        <v>1833</v>
      </c>
      <c r="C583" s="1">
        <v>10.058</v>
      </c>
      <c r="D583" s="1"/>
    </row>
    <row r="584" spans="1:4" x14ac:dyDescent="0.25">
      <c r="A584" s="1">
        <v>2456146.47615</v>
      </c>
      <c r="B584" s="1" t="s">
        <v>1834</v>
      </c>
      <c r="C584" s="1">
        <v>10.022</v>
      </c>
      <c r="D584" s="1"/>
    </row>
    <row r="585" spans="1:4" x14ac:dyDescent="0.25">
      <c r="A585" s="1">
        <v>2456148.41964</v>
      </c>
      <c r="B585" s="1" t="s">
        <v>1835</v>
      </c>
      <c r="C585" s="1">
        <v>10.009</v>
      </c>
      <c r="D585" s="1"/>
    </row>
    <row r="586" spans="1:4" x14ac:dyDescent="0.25">
      <c r="A586" s="1">
        <v>2456150.4038999998</v>
      </c>
      <c r="B586" s="1" t="s">
        <v>1836</v>
      </c>
      <c r="C586" s="1">
        <v>10.087</v>
      </c>
      <c r="D586" s="1"/>
    </row>
    <row r="587" spans="1:4" x14ac:dyDescent="0.25">
      <c r="A587" s="1">
        <v>2456153.38087</v>
      </c>
      <c r="B587" s="1" t="s">
        <v>1837</v>
      </c>
      <c r="C587" s="1">
        <v>10.048500000000001</v>
      </c>
      <c r="D587" s="1"/>
    </row>
    <row r="588" spans="1:4" x14ac:dyDescent="0.25">
      <c r="A588" s="1">
        <v>2456154.4358000001</v>
      </c>
      <c r="B588" s="1" t="s">
        <v>1189</v>
      </c>
      <c r="C588" s="1">
        <v>10.077999999999999</v>
      </c>
      <c r="D588" s="1"/>
    </row>
    <row r="589" spans="1:4" x14ac:dyDescent="0.25">
      <c r="A589" s="1">
        <v>2456156.44997</v>
      </c>
      <c r="B589" s="1" t="s">
        <v>1838</v>
      </c>
      <c r="C589" s="1">
        <v>10.095000000000001</v>
      </c>
      <c r="D589" s="1"/>
    </row>
    <row r="590" spans="1:4" x14ac:dyDescent="0.25">
      <c r="A590" s="1">
        <v>2456165.50556</v>
      </c>
      <c r="B590" s="1" t="s">
        <v>1839</v>
      </c>
      <c r="C590" s="1">
        <v>10.096</v>
      </c>
      <c r="D590" s="1"/>
    </row>
    <row r="591" spans="1:4" x14ac:dyDescent="0.25">
      <c r="A591" s="1">
        <v>2456168.64946</v>
      </c>
      <c r="B591" s="1" t="s">
        <v>1840</v>
      </c>
      <c r="C591" s="1">
        <v>10.169667</v>
      </c>
      <c r="D591" s="1"/>
    </row>
    <row r="592" spans="1:4" x14ac:dyDescent="0.25">
      <c r="A592" s="1">
        <v>2456173.6731500002</v>
      </c>
      <c r="B592" s="1" t="s">
        <v>1841</v>
      </c>
      <c r="C592" s="1">
        <v>10.036</v>
      </c>
      <c r="D592" s="1"/>
    </row>
    <row r="593" spans="1:4" x14ac:dyDescent="0.25">
      <c r="A593" s="1">
        <v>2456181.8598000002</v>
      </c>
      <c r="B593" s="1" t="s">
        <v>1842</v>
      </c>
      <c r="C593" s="1">
        <v>10.016332999999999</v>
      </c>
      <c r="D593" s="1"/>
    </row>
    <row r="594" spans="1:4" x14ac:dyDescent="0.25">
      <c r="A594" s="1">
        <v>2456183.5669999998</v>
      </c>
      <c r="B594" s="1" t="s">
        <v>1191</v>
      </c>
      <c r="C594" s="1">
        <v>10.048</v>
      </c>
      <c r="D594" s="1"/>
    </row>
    <row r="595" spans="1:4" x14ac:dyDescent="0.25">
      <c r="A595" s="1">
        <v>2456184.5676299999</v>
      </c>
      <c r="B595" s="1" t="s">
        <v>1843</v>
      </c>
      <c r="C595" s="1">
        <v>9.8680000000000003</v>
      </c>
      <c r="D595" s="1"/>
    </row>
    <row r="596" spans="1:4" x14ac:dyDescent="0.25">
      <c r="A596" s="1">
        <v>2456193.5646000002</v>
      </c>
      <c r="B596" s="1" t="s">
        <v>1844</v>
      </c>
      <c r="C596" s="1">
        <v>9.9849999999999994</v>
      </c>
      <c r="D596" s="1"/>
    </row>
    <row r="597" spans="1:4" x14ac:dyDescent="0.25">
      <c r="A597" s="1">
        <v>2456195.6398999998</v>
      </c>
      <c r="B597" s="1" t="s">
        <v>1845</v>
      </c>
      <c r="C597" s="1">
        <v>9.8460000000000001</v>
      </c>
      <c r="D597" s="1"/>
    </row>
    <row r="598" spans="1:4" x14ac:dyDescent="0.25">
      <c r="A598" s="1">
        <v>2456208.2974399999</v>
      </c>
      <c r="B598" s="1" t="s">
        <v>1846</v>
      </c>
      <c r="C598" s="1">
        <v>9.7829999999999995</v>
      </c>
      <c r="D598" s="1"/>
    </row>
    <row r="599" spans="1:4" x14ac:dyDescent="0.25">
      <c r="A599" s="1">
        <v>2456225.2270499999</v>
      </c>
      <c r="B599" s="1" t="s">
        <v>1847</v>
      </c>
      <c r="C599" s="1">
        <v>9.7789999999999999</v>
      </c>
      <c r="D599" s="1"/>
    </row>
    <row r="600" spans="1:4" x14ac:dyDescent="0.25">
      <c r="A600" s="1">
        <v>2456230.2450999999</v>
      </c>
      <c r="B600" s="1" t="s">
        <v>1194</v>
      </c>
      <c r="C600" s="1">
        <v>9.8239999999999998</v>
      </c>
      <c r="D600" s="1"/>
    </row>
    <row r="601" spans="1:4" x14ac:dyDescent="0.25">
      <c r="A601" s="1">
        <v>2456244.2358400002</v>
      </c>
      <c r="B601" s="1" t="s">
        <v>1195</v>
      </c>
      <c r="C601" s="1">
        <v>9.8520000000000003</v>
      </c>
      <c r="D601" s="1"/>
    </row>
    <row r="602" spans="1:4" x14ac:dyDescent="0.25">
      <c r="A602" s="1">
        <v>2456359.9490100001</v>
      </c>
      <c r="B602" s="1" t="s">
        <v>1848</v>
      </c>
      <c r="C602" s="1">
        <v>9.9580000000000002</v>
      </c>
      <c r="D602" s="1"/>
    </row>
    <row r="603" spans="1:4" x14ac:dyDescent="0.25">
      <c r="A603" s="1">
        <v>2456366.4520100001</v>
      </c>
      <c r="B603" s="1" t="s">
        <v>1849</v>
      </c>
      <c r="C603" s="1">
        <v>9.9440000000000008</v>
      </c>
      <c r="D603" s="1"/>
    </row>
    <row r="604" spans="1:4" x14ac:dyDescent="0.25">
      <c r="A604" s="1">
        <v>2456393.2873999998</v>
      </c>
      <c r="B604" s="1" t="s">
        <v>1850</v>
      </c>
      <c r="C604" s="1">
        <v>9.9295000000000009</v>
      </c>
      <c r="D604" s="1"/>
    </row>
    <row r="605" spans="1:4" x14ac:dyDescent="0.25">
      <c r="A605" s="1">
        <v>2456407.6205600002</v>
      </c>
      <c r="B605" s="1" t="s">
        <v>1851</v>
      </c>
      <c r="C605" s="1">
        <v>9.8390000000000004</v>
      </c>
      <c r="D605" s="1"/>
    </row>
    <row r="606" spans="1:4" x14ac:dyDescent="0.25">
      <c r="A606" s="1">
        <v>2456409.9111299999</v>
      </c>
      <c r="B606" s="1" t="s">
        <v>1852</v>
      </c>
      <c r="C606" s="1">
        <v>9.9090000000000007</v>
      </c>
      <c r="D606" s="1"/>
    </row>
    <row r="607" spans="1:4" x14ac:dyDescent="0.25">
      <c r="A607" s="1">
        <v>2456417.5839999998</v>
      </c>
      <c r="B607" s="1" t="s">
        <v>1853</v>
      </c>
      <c r="C607" s="1">
        <v>9.9450000000000003</v>
      </c>
      <c r="D607" s="1"/>
    </row>
    <row r="608" spans="1:4" x14ac:dyDescent="0.25">
      <c r="A608" s="1">
        <v>2456422.84412</v>
      </c>
      <c r="B608" s="1" t="s">
        <v>1204</v>
      </c>
      <c r="C608" s="1">
        <v>10.061999999999999</v>
      </c>
      <c r="D608" s="1"/>
    </row>
    <row r="609" spans="1:4" x14ac:dyDescent="0.25">
      <c r="A609" s="1">
        <v>2456427.90637</v>
      </c>
      <c r="B609" s="1" t="s">
        <v>1854</v>
      </c>
      <c r="C609" s="1">
        <v>9.9670000000000005</v>
      </c>
      <c r="D609" s="1"/>
    </row>
    <row r="610" spans="1:4" x14ac:dyDescent="0.25">
      <c r="A610" s="1">
        <v>2456430.90191</v>
      </c>
      <c r="B610" s="1" t="s">
        <v>1855</v>
      </c>
      <c r="C610" s="1">
        <v>10.016999999999999</v>
      </c>
      <c r="D610" s="1"/>
    </row>
    <row r="611" spans="1:4" x14ac:dyDescent="0.25">
      <c r="A611" s="1">
        <v>2456438.8975399998</v>
      </c>
      <c r="B611" s="1" t="s">
        <v>1856</v>
      </c>
      <c r="C611" s="1">
        <v>10.042999999999999</v>
      </c>
      <c r="D611" s="1"/>
    </row>
    <row r="612" spans="1:4" x14ac:dyDescent="0.25">
      <c r="A612" s="1">
        <v>2456445.0430700001</v>
      </c>
      <c r="B612" s="1" t="s">
        <v>1857</v>
      </c>
      <c r="C612" s="1">
        <v>9.9149999999999991</v>
      </c>
      <c r="D612" s="1"/>
    </row>
    <row r="613" spans="1:4" x14ac:dyDescent="0.25">
      <c r="A613" s="1">
        <v>2456447.0071299998</v>
      </c>
      <c r="B613" s="1" t="s">
        <v>1858</v>
      </c>
      <c r="C613" s="1">
        <v>9.9450000000000003</v>
      </c>
      <c r="D613" s="1"/>
    </row>
    <row r="614" spans="1:4" x14ac:dyDescent="0.25">
      <c r="A614" s="1">
        <v>2456452.9931899998</v>
      </c>
      <c r="B614" s="1" t="s">
        <v>1859</v>
      </c>
      <c r="C614" s="1">
        <v>9.9710000000000001</v>
      </c>
      <c r="D614" s="1"/>
    </row>
    <row r="615" spans="1:4" x14ac:dyDescent="0.25">
      <c r="A615" s="1">
        <v>2456468.5080400002</v>
      </c>
      <c r="B615" s="1" t="s">
        <v>1860</v>
      </c>
      <c r="C615" s="1">
        <v>9.9960000000000004</v>
      </c>
      <c r="D615" s="1"/>
    </row>
    <row r="616" spans="1:4" x14ac:dyDescent="0.25">
      <c r="A616" s="1">
        <v>2456505.4265000001</v>
      </c>
      <c r="B616" s="1" t="s">
        <v>1861</v>
      </c>
      <c r="C616" s="1">
        <v>10.117000000000001</v>
      </c>
      <c r="D616" s="1"/>
    </row>
    <row r="617" spans="1:4" x14ac:dyDescent="0.25">
      <c r="A617" s="1">
        <v>2456508.6992600001</v>
      </c>
      <c r="B617" s="1" t="s">
        <v>1862</v>
      </c>
      <c r="C617" s="1">
        <v>10.196</v>
      </c>
      <c r="D617" s="1"/>
    </row>
    <row r="618" spans="1:4" x14ac:dyDescent="0.25">
      <c r="A618" s="1">
        <v>2456510.40337</v>
      </c>
      <c r="B618" s="1" t="s">
        <v>1863</v>
      </c>
      <c r="C618" s="1">
        <v>10.128</v>
      </c>
      <c r="D618" s="1"/>
    </row>
    <row r="619" spans="1:4" x14ac:dyDescent="0.25">
      <c r="A619" s="1">
        <v>2456520.42766</v>
      </c>
      <c r="B619" s="1" t="s">
        <v>1864</v>
      </c>
      <c r="C619" s="1">
        <v>10.186999999999999</v>
      </c>
      <c r="D619" s="1"/>
    </row>
    <row r="620" spans="1:4" x14ac:dyDescent="0.25">
      <c r="A620" s="1">
        <v>2456526.4344299999</v>
      </c>
      <c r="B620" s="1" t="s">
        <v>1865</v>
      </c>
      <c r="C620" s="1">
        <v>10.137</v>
      </c>
      <c r="D620" s="1"/>
    </row>
    <row r="621" spans="1:4" x14ac:dyDescent="0.25">
      <c r="A621" s="1">
        <v>2456527.4674</v>
      </c>
      <c r="B621" s="1" t="s">
        <v>1866</v>
      </c>
      <c r="C621" s="1">
        <v>10.217000000000001</v>
      </c>
      <c r="D621" s="1"/>
    </row>
    <row r="622" spans="1:4" x14ac:dyDescent="0.25">
      <c r="A622" s="1">
        <v>2456529.4868100001</v>
      </c>
      <c r="B622" s="1" t="s">
        <v>1867</v>
      </c>
      <c r="C622" s="1">
        <v>10.146000000000001</v>
      </c>
      <c r="D622" s="1"/>
    </row>
    <row r="623" spans="1:4" x14ac:dyDescent="0.25">
      <c r="A623" s="1">
        <v>2456538.3798099998</v>
      </c>
      <c r="B623" s="1" t="s">
        <v>1868</v>
      </c>
      <c r="C623" s="1">
        <v>10.122</v>
      </c>
      <c r="D623" s="1"/>
    </row>
    <row r="624" spans="1:4" x14ac:dyDescent="0.25">
      <c r="A624" s="1">
        <v>2456541.4511299999</v>
      </c>
      <c r="B624" s="1" t="s">
        <v>1869</v>
      </c>
      <c r="C624" s="1">
        <v>10.169</v>
      </c>
      <c r="D624" s="1"/>
    </row>
    <row r="625" spans="1:4" x14ac:dyDescent="0.25">
      <c r="A625" s="1">
        <v>2456543.3490599999</v>
      </c>
      <c r="B625" s="1" t="s">
        <v>1870</v>
      </c>
      <c r="C625" s="1">
        <v>10.156000000000001</v>
      </c>
      <c r="D625" s="1"/>
    </row>
    <row r="626" spans="1:4" x14ac:dyDescent="0.25">
      <c r="A626" s="1">
        <v>2456545.37959</v>
      </c>
      <c r="B626" s="1" t="s">
        <v>1212</v>
      </c>
      <c r="C626" s="1">
        <v>10.170999999999999</v>
      </c>
      <c r="D626" s="1"/>
    </row>
    <row r="627" spans="1:4" x14ac:dyDescent="0.25">
      <c r="A627" s="1">
        <v>2456550.2874500002</v>
      </c>
      <c r="B627" s="1" t="s">
        <v>1871</v>
      </c>
      <c r="C627" s="1">
        <v>10.196999999999999</v>
      </c>
      <c r="D627" s="1"/>
    </row>
    <row r="628" spans="1:4" x14ac:dyDescent="0.25">
      <c r="A628" s="1">
        <v>2456553.5552099999</v>
      </c>
      <c r="B628" s="1" t="s">
        <v>1872</v>
      </c>
      <c r="C628" s="1">
        <v>10.284000000000001</v>
      </c>
      <c r="D628" s="1"/>
    </row>
    <row r="629" spans="1:4" x14ac:dyDescent="0.25">
      <c r="A629" s="1">
        <v>2456566.5433</v>
      </c>
      <c r="B629" s="1" t="s">
        <v>1873</v>
      </c>
      <c r="C629" s="1">
        <v>10.29</v>
      </c>
      <c r="D629" s="1"/>
    </row>
    <row r="630" spans="1:4" x14ac:dyDescent="0.25">
      <c r="A630" s="1">
        <v>2456569.4085599999</v>
      </c>
      <c r="B630" s="1" t="s">
        <v>1874</v>
      </c>
      <c r="C630" s="1">
        <v>10.273999999999999</v>
      </c>
      <c r="D630" s="1"/>
    </row>
    <row r="631" spans="1:4" x14ac:dyDescent="0.25">
      <c r="A631" s="1">
        <v>2456577.2423299998</v>
      </c>
      <c r="B631" s="1" t="s">
        <v>1875</v>
      </c>
      <c r="C631" s="1">
        <v>10.282</v>
      </c>
      <c r="D631" s="1"/>
    </row>
    <row r="632" spans="1:4" x14ac:dyDescent="0.25">
      <c r="A632" s="1">
        <v>2456592.5481799999</v>
      </c>
      <c r="B632" s="1" t="s">
        <v>1215</v>
      </c>
      <c r="C632" s="1">
        <v>10.39</v>
      </c>
      <c r="D632" s="1"/>
    </row>
    <row r="633" spans="1:4" x14ac:dyDescent="0.25">
      <c r="A633" s="1">
        <v>2456626.2651499999</v>
      </c>
      <c r="B633" s="1" t="s">
        <v>1876</v>
      </c>
      <c r="C633" s="1">
        <v>10.339</v>
      </c>
      <c r="D633" s="1"/>
    </row>
    <row r="634" spans="1:4" x14ac:dyDescent="0.25">
      <c r="A634" s="1">
        <v>2456656.2671500002</v>
      </c>
      <c r="B634" s="1" t="s">
        <v>1877</v>
      </c>
      <c r="C634" s="1">
        <v>10.444000000000001</v>
      </c>
      <c r="D634" s="1"/>
    </row>
    <row r="635" spans="1:4" x14ac:dyDescent="0.25">
      <c r="A635" s="1">
        <v>2456706.9652100001</v>
      </c>
      <c r="B635" s="1" t="s">
        <v>1878</v>
      </c>
      <c r="C635" s="1">
        <v>10.919</v>
      </c>
      <c r="D635" s="1"/>
    </row>
    <row r="636" spans="1:4" x14ac:dyDescent="0.25">
      <c r="A636" s="1">
        <v>2456718.9591199998</v>
      </c>
      <c r="B636" s="1" t="s">
        <v>1879</v>
      </c>
      <c r="C636" s="1">
        <v>10.933</v>
      </c>
      <c r="D636" s="1"/>
    </row>
    <row r="637" spans="1:4" x14ac:dyDescent="0.25">
      <c r="A637" s="1">
        <v>2456730.94771</v>
      </c>
      <c r="B637" s="1" t="s">
        <v>1880</v>
      </c>
      <c r="C637" s="1">
        <v>10.808999999999999</v>
      </c>
      <c r="D637" s="1"/>
    </row>
    <row r="638" spans="1:4" x14ac:dyDescent="0.25">
      <c r="A638" s="1">
        <v>2456739.66365</v>
      </c>
      <c r="B638" s="1" t="s">
        <v>1881</v>
      </c>
      <c r="C638" s="1">
        <v>10.59</v>
      </c>
      <c r="D638" s="1"/>
    </row>
    <row r="639" spans="1:4" x14ac:dyDescent="0.25">
      <c r="A639" s="1">
        <v>2456741.6700800001</v>
      </c>
      <c r="B639" s="1" t="s">
        <v>1882</v>
      </c>
      <c r="C639" s="1">
        <v>10.663</v>
      </c>
      <c r="D639" s="1"/>
    </row>
    <row r="640" spans="1:4" x14ac:dyDescent="0.25">
      <c r="A640" s="1">
        <v>2456742.9447900001</v>
      </c>
      <c r="B640" s="1" t="s">
        <v>1883</v>
      </c>
      <c r="C640" s="1">
        <v>10.81</v>
      </c>
      <c r="D640" s="1"/>
    </row>
    <row r="641" spans="1:4" x14ac:dyDescent="0.25">
      <c r="A641" s="1">
        <v>2456760.9221800002</v>
      </c>
      <c r="B641" s="1" t="s">
        <v>1884</v>
      </c>
      <c r="C641" s="1">
        <v>10.702</v>
      </c>
      <c r="D641" s="1"/>
    </row>
    <row r="642" spans="1:4" x14ac:dyDescent="0.25">
      <c r="A642" s="1">
        <v>2456764.9211499998</v>
      </c>
      <c r="B642" s="1" t="s">
        <v>1885</v>
      </c>
      <c r="C642" s="1">
        <v>10.81</v>
      </c>
      <c r="D642" s="1"/>
    </row>
    <row r="643" spans="1:4" x14ac:dyDescent="0.25">
      <c r="A643" s="1">
        <v>2456767.5920000002</v>
      </c>
      <c r="B643" s="1" t="s">
        <v>1886</v>
      </c>
      <c r="C643" s="1">
        <v>10.641999999999999</v>
      </c>
      <c r="D643" s="1"/>
    </row>
    <row r="644" spans="1:4" x14ac:dyDescent="0.25">
      <c r="A644" s="1">
        <v>2456782.91396</v>
      </c>
      <c r="B644" s="1" t="s">
        <v>1887</v>
      </c>
      <c r="C644" s="1">
        <v>10.768000000000001</v>
      </c>
      <c r="D644" s="1"/>
    </row>
    <row r="645" spans="1:4" x14ac:dyDescent="0.25">
      <c r="A645" s="1">
        <v>2456795.80015</v>
      </c>
      <c r="B645" s="1" t="s">
        <v>1888</v>
      </c>
      <c r="C645" s="1">
        <v>10.772</v>
      </c>
      <c r="D645" s="1"/>
    </row>
    <row r="646" spans="1:4" x14ac:dyDescent="0.25">
      <c r="A646" s="1">
        <v>2456798.90803</v>
      </c>
      <c r="B646" s="1" t="s">
        <v>1889</v>
      </c>
      <c r="C646" s="1">
        <v>10.840999999999999</v>
      </c>
      <c r="D646" s="1"/>
    </row>
    <row r="647" spans="1:4" x14ac:dyDescent="0.25">
      <c r="A647" s="1">
        <v>2456806.89536</v>
      </c>
      <c r="B647" s="1" t="s">
        <v>1890</v>
      </c>
      <c r="C647" s="1">
        <v>10.836</v>
      </c>
      <c r="D647" s="1"/>
    </row>
    <row r="648" spans="1:4" x14ac:dyDescent="0.25">
      <c r="A648" s="1">
        <v>2456809.4531700001</v>
      </c>
      <c r="B648" s="1" t="s">
        <v>1891</v>
      </c>
      <c r="C648" s="1">
        <v>10.81</v>
      </c>
      <c r="D648" s="1"/>
    </row>
    <row r="649" spans="1:4" x14ac:dyDescent="0.25">
      <c r="A649" s="1">
        <v>2456813.8947999999</v>
      </c>
      <c r="B649" s="1" t="s">
        <v>1892</v>
      </c>
      <c r="C649" s="1">
        <v>10.722</v>
      </c>
      <c r="D649" s="1"/>
    </row>
    <row r="650" spans="1:4" x14ac:dyDescent="0.25">
      <c r="A650" s="1">
        <v>2456816.5060899998</v>
      </c>
      <c r="B650" s="1" t="s">
        <v>1893</v>
      </c>
      <c r="C650" s="1">
        <v>10.701000000000001</v>
      </c>
      <c r="D650" s="1"/>
    </row>
    <row r="651" spans="1:4" x14ac:dyDescent="0.25">
      <c r="A651" s="1">
        <v>2456823.8698100001</v>
      </c>
      <c r="B651" s="1" t="s">
        <v>1894</v>
      </c>
      <c r="C651" s="1">
        <v>10.747</v>
      </c>
      <c r="D651" s="1"/>
    </row>
    <row r="652" spans="1:4" x14ac:dyDescent="0.25">
      <c r="A652" s="1">
        <v>2456825.8936600001</v>
      </c>
      <c r="B652" s="1" t="s">
        <v>1895</v>
      </c>
      <c r="C652" s="1">
        <v>10.81</v>
      </c>
      <c r="D652" s="1"/>
    </row>
    <row r="653" spans="1:4" x14ac:dyDescent="0.25">
      <c r="A653" s="1">
        <v>2456829.4660899998</v>
      </c>
      <c r="B653" s="1" t="s">
        <v>1896</v>
      </c>
      <c r="C653" s="1">
        <v>10.680999999999999</v>
      </c>
      <c r="D653" s="1"/>
    </row>
    <row r="654" spans="1:4" x14ac:dyDescent="0.25">
      <c r="A654" s="1">
        <v>2456830.8798400001</v>
      </c>
      <c r="B654" s="1" t="s">
        <v>1897</v>
      </c>
      <c r="C654" s="1">
        <v>10.749000000000001</v>
      </c>
      <c r="D654" s="1"/>
    </row>
    <row r="655" spans="1:4" x14ac:dyDescent="0.25">
      <c r="A655" s="1">
        <v>2456835.87322</v>
      </c>
      <c r="B655" s="1" t="s">
        <v>1898</v>
      </c>
      <c r="C655" s="1">
        <v>10.711</v>
      </c>
      <c r="D655" s="1"/>
    </row>
    <row r="656" spans="1:4" x14ac:dyDescent="0.25">
      <c r="A656" s="1">
        <v>2456844.5223599998</v>
      </c>
      <c r="B656" s="1" t="s">
        <v>1899</v>
      </c>
      <c r="C656" s="1">
        <v>10.682</v>
      </c>
      <c r="D656" s="1"/>
    </row>
    <row r="657" spans="1:4" x14ac:dyDescent="0.25">
      <c r="A657" s="1">
        <v>2456855.4702599999</v>
      </c>
      <c r="B657" s="1" t="s">
        <v>1900</v>
      </c>
      <c r="C657" s="1">
        <v>10.725</v>
      </c>
      <c r="D657" s="1"/>
    </row>
    <row r="658" spans="1:4" x14ac:dyDescent="0.25">
      <c r="A658" s="1">
        <v>2456856.5123299998</v>
      </c>
      <c r="B658" s="1" t="s">
        <v>1901</v>
      </c>
      <c r="C658" s="1">
        <v>10.688000000000001</v>
      </c>
      <c r="D658" s="1"/>
    </row>
    <row r="659" spans="1:4" x14ac:dyDescent="0.25">
      <c r="A659" s="1">
        <v>2456863.4916300001</v>
      </c>
      <c r="B659" s="1" t="s">
        <v>1902</v>
      </c>
      <c r="C659" s="1">
        <v>10.651999999999999</v>
      </c>
      <c r="D659" s="1"/>
    </row>
    <row r="660" spans="1:4" x14ac:dyDescent="0.25">
      <c r="A660" s="1">
        <v>2456866.4801699999</v>
      </c>
      <c r="B660" s="1" t="s">
        <v>1903</v>
      </c>
      <c r="C660" s="1">
        <v>10.592000000000001</v>
      </c>
      <c r="D660" s="1"/>
    </row>
    <row r="661" spans="1:4" x14ac:dyDescent="0.25">
      <c r="A661" s="1">
        <v>2456869.4312</v>
      </c>
      <c r="B661" s="1" t="s">
        <v>1904</v>
      </c>
      <c r="C661" s="1">
        <v>10.617000000000001</v>
      </c>
      <c r="D661" s="1"/>
    </row>
    <row r="662" spans="1:4" x14ac:dyDescent="0.25">
      <c r="A662" s="1">
        <v>2456870.93255</v>
      </c>
      <c r="B662" s="1" t="s">
        <v>1905</v>
      </c>
      <c r="C662" s="1">
        <v>10.586</v>
      </c>
      <c r="D662" s="1"/>
    </row>
    <row r="663" spans="1:4" x14ac:dyDescent="0.25">
      <c r="A663" s="1">
        <v>2456873.4591100002</v>
      </c>
      <c r="B663" s="1" t="s">
        <v>1906</v>
      </c>
      <c r="C663" s="1">
        <v>10.599</v>
      </c>
      <c r="D663" s="1"/>
    </row>
    <row r="664" spans="1:4" x14ac:dyDescent="0.25">
      <c r="A664" s="1">
        <v>2456874.9515300002</v>
      </c>
      <c r="B664" s="1" t="s">
        <v>1907</v>
      </c>
      <c r="C664" s="1">
        <v>10.5875</v>
      </c>
      <c r="D664" s="1"/>
    </row>
    <row r="665" spans="1:4" x14ac:dyDescent="0.25">
      <c r="A665" s="1">
        <v>2456879.6749999998</v>
      </c>
      <c r="B665" s="1" t="s">
        <v>1908</v>
      </c>
      <c r="C665" s="1">
        <v>10.718</v>
      </c>
      <c r="D665" s="1"/>
    </row>
    <row r="666" spans="1:4" x14ac:dyDescent="0.25">
      <c r="A666" s="1">
        <v>2456883.4336199998</v>
      </c>
      <c r="B666" s="1" t="s">
        <v>1232</v>
      </c>
      <c r="C666" s="1">
        <v>10.538</v>
      </c>
      <c r="D666" s="1"/>
    </row>
    <row r="667" spans="1:4" x14ac:dyDescent="0.25">
      <c r="A667" s="1">
        <v>2456887.3950800002</v>
      </c>
      <c r="B667" s="1" t="s">
        <v>1909</v>
      </c>
      <c r="C667" s="1">
        <v>10.609</v>
      </c>
      <c r="D667" s="1"/>
    </row>
    <row r="668" spans="1:4" x14ac:dyDescent="0.25">
      <c r="A668" s="1">
        <v>2456890.5780799999</v>
      </c>
      <c r="B668" s="1" t="s">
        <v>1910</v>
      </c>
      <c r="C668" s="1">
        <v>10.676</v>
      </c>
      <c r="D668" s="1"/>
    </row>
    <row r="669" spans="1:4" x14ac:dyDescent="0.25">
      <c r="A669" s="1">
        <v>2456893.5770399999</v>
      </c>
      <c r="B669" s="1" t="s">
        <v>1911</v>
      </c>
      <c r="C669" s="1">
        <v>10.641</v>
      </c>
      <c r="D669" s="1"/>
    </row>
    <row r="670" spans="1:4" x14ac:dyDescent="0.25">
      <c r="A670" s="1">
        <v>2456894.6933900001</v>
      </c>
      <c r="B670" s="1" t="s">
        <v>1233</v>
      </c>
      <c r="C670" s="1">
        <v>10.766</v>
      </c>
      <c r="D670" s="1"/>
    </row>
    <row r="671" spans="1:4" x14ac:dyDescent="0.25">
      <c r="A671" s="1">
        <v>2456901.6838699998</v>
      </c>
      <c r="B671" s="1" t="s">
        <v>1912</v>
      </c>
      <c r="C671" s="1">
        <v>10.771000000000001</v>
      </c>
      <c r="D671" s="1"/>
    </row>
    <row r="672" spans="1:4" x14ac:dyDescent="0.25">
      <c r="A672" s="1">
        <v>2456914.3516099998</v>
      </c>
      <c r="B672" s="1" t="s">
        <v>1913</v>
      </c>
      <c r="C672" s="1">
        <v>10.494999999999999</v>
      </c>
      <c r="D672" s="1"/>
    </row>
    <row r="673" spans="1:4" x14ac:dyDescent="0.25">
      <c r="A673" s="1">
        <v>2456915.38632</v>
      </c>
      <c r="B673" s="1" t="s">
        <v>1914</v>
      </c>
      <c r="C673" s="1">
        <v>10.590999999999999</v>
      </c>
      <c r="D673" s="1"/>
    </row>
    <row r="674" spans="1:4" x14ac:dyDescent="0.25">
      <c r="A674" s="1">
        <v>2456927.3286799998</v>
      </c>
      <c r="B674" s="1" t="s">
        <v>48</v>
      </c>
      <c r="C674" s="1">
        <v>10.494</v>
      </c>
      <c r="D674" s="1"/>
    </row>
    <row r="675" spans="1:4" x14ac:dyDescent="0.25">
      <c r="A675" s="1">
        <v>2456932.3986800001</v>
      </c>
      <c r="B675" s="1" t="s">
        <v>49</v>
      </c>
      <c r="C675" s="1">
        <v>10.654999999999999</v>
      </c>
      <c r="D675" s="1"/>
    </row>
    <row r="676" spans="1:4" x14ac:dyDescent="0.25">
      <c r="A676" s="1">
        <v>2456936.4937999998</v>
      </c>
      <c r="B676" s="1" t="s">
        <v>50</v>
      </c>
      <c r="C676" s="1">
        <v>10.673</v>
      </c>
      <c r="D676" s="1"/>
    </row>
    <row r="677" spans="1:4" x14ac:dyDescent="0.25">
      <c r="A677" s="1">
        <v>2456942.3361200001</v>
      </c>
      <c r="B677" s="1" t="s">
        <v>60</v>
      </c>
      <c r="C677" s="1">
        <v>10.532</v>
      </c>
      <c r="D677" s="1"/>
    </row>
    <row r="678" spans="1:4" x14ac:dyDescent="0.25">
      <c r="A678" s="1">
        <v>2456944.5862599998</v>
      </c>
      <c r="B678" s="1" t="s">
        <v>51</v>
      </c>
      <c r="C678" s="1">
        <v>10.493</v>
      </c>
      <c r="D678" s="1"/>
    </row>
    <row r="679" spans="1:4" x14ac:dyDescent="0.25">
      <c r="A679" s="1">
        <v>2456954.5855899998</v>
      </c>
      <c r="B679" s="1" t="s">
        <v>52</v>
      </c>
      <c r="C679" s="1">
        <v>10.714</v>
      </c>
      <c r="D679" s="1"/>
    </row>
    <row r="680" spans="1:4" x14ac:dyDescent="0.25">
      <c r="A680" s="1">
        <v>2456958.4830399998</v>
      </c>
      <c r="B680" s="1" t="s">
        <v>53</v>
      </c>
      <c r="C680" s="1">
        <v>10.553000000000001</v>
      </c>
      <c r="D680" s="1"/>
    </row>
    <row r="681" spans="1:4" x14ac:dyDescent="0.25">
      <c r="A681" s="1">
        <v>2456961.3210999998</v>
      </c>
      <c r="B681" s="1" t="s">
        <v>54</v>
      </c>
      <c r="C681" s="1">
        <v>10.59</v>
      </c>
      <c r="D681" s="1"/>
    </row>
    <row r="682" spans="1:4" x14ac:dyDescent="0.25">
      <c r="A682" s="1">
        <v>2456971.4731899998</v>
      </c>
      <c r="B682" s="1" t="s">
        <v>55</v>
      </c>
      <c r="C682" s="1">
        <v>10.561999999999999</v>
      </c>
      <c r="D682" s="1"/>
    </row>
    <row r="683" spans="1:4" x14ac:dyDescent="0.25">
      <c r="A683" s="1">
        <v>2456991.4678600002</v>
      </c>
      <c r="B683" s="1" t="s">
        <v>56</v>
      </c>
      <c r="C683" s="1">
        <v>10.492000000000001</v>
      </c>
      <c r="D683" s="1"/>
    </row>
    <row r="684" spans="1:4" x14ac:dyDescent="0.25">
      <c r="A684" s="1">
        <v>2457004.4682800001</v>
      </c>
      <c r="B684" s="1" t="s">
        <v>61</v>
      </c>
      <c r="C684" s="1">
        <v>10.327999999999999</v>
      </c>
      <c r="D684" s="1"/>
    </row>
    <row r="685" spans="1:4" x14ac:dyDescent="0.25">
      <c r="A685" s="1">
        <v>2457009.46759</v>
      </c>
      <c r="B685" s="1" t="s">
        <v>150</v>
      </c>
      <c r="C685" s="1">
        <v>10.15</v>
      </c>
      <c r="D685" s="1"/>
    </row>
    <row r="686" spans="1:4" x14ac:dyDescent="0.25">
      <c r="A686" s="1">
        <v>2457018.1705700001</v>
      </c>
      <c r="B686" s="1" t="s">
        <v>18</v>
      </c>
      <c r="C686" s="1">
        <v>10.028</v>
      </c>
      <c r="D686" s="1"/>
    </row>
    <row r="687" spans="1:4" x14ac:dyDescent="0.25">
      <c r="A687" s="1">
        <v>2457056.97168</v>
      </c>
      <c r="B687" s="1" t="s">
        <v>19</v>
      </c>
      <c r="C687" s="1">
        <v>9.5190000000000001</v>
      </c>
      <c r="D687" s="1"/>
    </row>
    <row r="688" spans="1:4" x14ac:dyDescent="0.25">
      <c r="A688" s="1">
        <v>2457059.97114</v>
      </c>
      <c r="B688" s="1" t="s">
        <v>20</v>
      </c>
      <c r="C688" s="1">
        <v>9.4949999999999992</v>
      </c>
      <c r="D688" s="1"/>
    </row>
    <row r="689" spans="1:4" x14ac:dyDescent="0.25">
      <c r="A689" s="1">
        <v>2457064.97065</v>
      </c>
      <c r="B689" s="1" t="s">
        <v>151</v>
      </c>
      <c r="C689" s="1">
        <v>9.532</v>
      </c>
      <c r="D689" s="1"/>
    </row>
    <row r="690" spans="1:4" x14ac:dyDescent="0.25">
      <c r="A690" s="1">
        <v>2457068.97218</v>
      </c>
      <c r="B690" s="1" t="s">
        <v>152</v>
      </c>
      <c r="C690" s="1">
        <v>9.4130000000000003</v>
      </c>
      <c r="D690" s="1"/>
    </row>
    <row r="691" spans="1:4" x14ac:dyDescent="0.25">
      <c r="A691" s="1">
        <v>2457075.9209199999</v>
      </c>
      <c r="B691" s="1" t="s">
        <v>153</v>
      </c>
      <c r="C691" s="1">
        <v>9.52</v>
      </c>
      <c r="D691" s="1"/>
    </row>
    <row r="692" spans="1:4" x14ac:dyDescent="0.25">
      <c r="A692" s="1">
        <v>2457090.8866599998</v>
      </c>
      <c r="B692" s="1" t="s">
        <v>12</v>
      </c>
      <c r="C692" s="1">
        <v>9.4700000000000006</v>
      </c>
      <c r="D692" s="1"/>
    </row>
    <row r="693" spans="1:4" x14ac:dyDescent="0.25">
      <c r="A693" s="1">
        <v>2457096.2150500002</v>
      </c>
      <c r="B693" s="1" t="s">
        <v>154</v>
      </c>
      <c r="C693" s="1">
        <v>9.3979999999999997</v>
      </c>
      <c r="D693" s="1"/>
    </row>
    <row r="694" spans="1:4" x14ac:dyDescent="0.25">
      <c r="A694" s="1">
        <v>2457097.7699500001</v>
      </c>
      <c r="B694" s="1" t="s">
        <v>13</v>
      </c>
      <c r="C694" s="1">
        <v>9.4060000000000006</v>
      </c>
      <c r="D694" s="1"/>
    </row>
    <row r="695" spans="1:4" x14ac:dyDescent="0.25">
      <c r="A695" s="1">
        <v>2457098.9174299999</v>
      </c>
      <c r="B695" s="1" t="s">
        <v>155</v>
      </c>
      <c r="C695" s="1">
        <v>9.5455000000000005</v>
      </c>
      <c r="D695" s="1"/>
    </row>
    <row r="696" spans="1:4" x14ac:dyDescent="0.25">
      <c r="A696" s="1">
        <v>2457099.9370900001</v>
      </c>
      <c r="B696" s="1" t="s">
        <v>156</v>
      </c>
      <c r="C696" s="1">
        <v>9.4789999999999992</v>
      </c>
      <c r="D696" s="1"/>
    </row>
    <row r="697" spans="1:4" x14ac:dyDescent="0.25">
      <c r="A697" s="1">
        <v>2457101.9397200001</v>
      </c>
      <c r="B697" s="1" t="s">
        <v>14</v>
      </c>
      <c r="C697" s="1">
        <v>9.4719999999999995</v>
      </c>
      <c r="D697" s="1"/>
    </row>
    <row r="698" spans="1:4" x14ac:dyDescent="0.25">
      <c r="A698" s="1">
        <v>2457105.0205399999</v>
      </c>
      <c r="B698" s="1" t="s">
        <v>15</v>
      </c>
      <c r="C698" s="1">
        <v>9.407</v>
      </c>
      <c r="D698" s="1"/>
    </row>
    <row r="699" spans="1:4" x14ac:dyDescent="0.25">
      <c r="A699" s="1">
        <v>2457107.0184599999</v>
      </c>
      <c r="B699" s="1" t="s">
        <v>16</v>
      </c>
      <c r="C699" s="1">
        <v>9.3209999999999997</v>
      </c>
      <c r="D699" s="1"/>
    </row>
    <row r="700" spans="1:4" x14ac:dyDescent="0.25">
      <c r="A700" s="1">
        <v>2457109.8706800002</v>
      </c>
      <c r="B700" s="1" t="s">
        <v>17</v>
      </c>
      <c r="C700" s="1">
        <v>9.3559999999999999</v>
      </c>
      <c r="D700" s="1"/>
    </row>
    <row r="701" spans="1:4" x14ac:dyDescent="0.25">
      <c r="A701" s="1">
        <v>2457112.9323200001</v>
      </c>
      <c r="B701" s="1" t="s">
        <v>157</v>
      </c>
      <c r="C701" s="1">
        <v>9.4440000000000008</v>
      </c>
      <c r="D701" s="1"/>
    </row>
    <row r="702" spans="1:4" x14ac:dyDescent="0.25">
      <c r="A702" s="1">
        <v>2457114.0122099998</v>
      </c>
      <c r="B702" s="1" t="s">
        <v>0</v>
      </c>
      <c r="C702" s="1">
        <v>9.4320000000000004</v>
      </c>
      <c r="D702" s="1"/>
    </row>
    <row r="703" spans="1:4" x14ac:dyDescent="0.25">
      <c r="A703" s="1">
        <v>2457121.0059600002</v>
      </c>
      <c r="B703" s="1" t="s">
        <v>1</v>
      </c>
      <c r="C703" s="1">
        <v>9.423</v>
      </c>
      <c r="D703" s="1"/>
    </row>
    <row r="704" spans="1:4" x14ac:dyDescent="0.25">
      <c r="A704" s="1">
        <v>2457123.2304199999</v>
      </c>
      <c r="B704" s="1" t="s">
        <v>2</v>
      </c>
      <c r="C704" s="1">
        <v>9.5399999999999991</v>
      </c>
      <c r="D704" s="1"/>
    </row>
    <row r="705" spans="1:4" x14ac:dyDescent="0.25">
      <c r="A705" s="1">
        <v>2457123.9679399999</v>
      </c>
      <c r="B705" s="1" t="s">
        <v>158</v>
      </c>
      <c r="C705" s="1">
        <v>9.5210000000000008</v>
      </c>
      <c r="D705" s="1"/>
    </row>
    <row r="706" spans="1:4" x14ac:dyDescent="0.25">
      <c r="A706" s="1">
        <v>2457126.87794</v>
      </c>
      <c r="B706" s="1" t="s">
        <v>3</v>
      </c>
      <c r="C706" s="1">
        <v>9.5280000000000005</v>
      </c>
      <c r="D706" s="1"/>
    </row>
    <row r="707" spans="1:4" x14ac:dyDescent="0.25">
      <c r="A707" s="1">
        <v>2457127.9619100001</v>
      </c>
      <c r="B707" s="1" t="s">
        <v>4</v>
      </c>
      <c r="C707" s="1">
        <v>9.5950000000000006</v>
      </c>
      <c r="D707" s="1"/>
    </row>
    <row r="708" spans="1:4" x14ac:dyDescent="0.25">
      <c r="A708" s="1">
        <v>2457129.9594200002</v>
      </c>
      <c r="B708" s="1" t="s">
        <v>5</v>
      </c>
      <c r="C708" s="1">
        <v>9.5239999999999991</v>
      </c>
      <c r="D708" s="1"/>
    </row>
    <row r="709" spans="1:4" x14ac:dyDescent="0.25">
      <c r="A709" s="1">
        <v>2457130.9623500002</v>
      </c>
      <c r="B709" s="1" t="s">
        <v>6</v>
      </c>
      <c r="C709" s="1">
        <v>9.5579999999999998</v>
      </c>
      <c r="D709" s="1"/>
    </row>
    <row r="710" spans="1:4" x14ac:dyDescent="0.25">
      <c r="A710" s="1">
        <v>2457133.4615500001</v>
      </c>
      <c r="B710" s="1" t="s">
        <v>7</v>
      </c>
      <c r="C710" s="1">
        <v>9.5295000000000005</v>
      </c>
      <c r="D710" s="1"/>
    </row>
    <row r="711" spans="1:4" x14ac:dyDescent="0.25">
      <c r="A711" s="1">
        <v>2457134.9541799999</v>
      </c>
      <c r="B711" s="1" t="s">
        <v>8</v>
      </c>
      <c r="C711" s="1">
        <v>9.7089999999999996</v>
      </c>
      <c r="D711" s="1"/>
    </row>
    <row r="712" spans="1:4" x14ac:dyDescent="0.25">
      <c r="A712" s="1">
        <v>2457135.9571400001</v>
      </c>
      <c r="B712" s="1" t="s">
        <v>9</v>
      </c>
      <c r="C712" s="1">
        <v>9.52</v>
      </c>
      <c r="D712" s="1"/>
    </row>
    <row r="713" spans="1:4" x14ac:dyDescent="0.25">
      <c r="A713" s="1">
        <v>2457137.9531100001</v>
      </c>
      <c r="B713" s="1" t="s">
        <v>10</v>
      </c>
      <c r="C713" s="1">
        <v>9.5739999999999998</v>
      </c>
      <c r="D713" s="1"/>
    </row>
    <row r="714" spans="1:4" x14ac:dyDescent="0.25">
      <c r="A714" s="1">
        <v>2457141.4699200001</v>
      </c>
      <c r="B714" s="1" t="s">
        <v>159</v>
      </c>
      <c r="C714" s="1">
        <v>9.5459999999999994</v>
      </c>
      <c r="D714" s="1"/>
    </row>
    <row r="715" spans="1:4" x14ac:dyDescent="0.25">
      <c r="A715" s="1">
        <v>2457142.9663900002</v>
      </c>
      <c r="B715" s="1" t="s">
        <v>11</v>
      </c>
      <c r="C715" s="1">
        <v>9.5640000000000001</v>
      </c>
      <c r="D715" s="1"/>
    </row>
    <row r="716" spans="1:4" x14ac:dyDescent="0.25">
      <c r="A716" s="1">
        <v>2457143.94832</v>
      </c>
      <c r="B716" s="1" t="s">
        <v>21</v>
      </c>
      <c r="C716" s="1">
        <v>9.5519999999999996</v>
      </c>
      <c r="D716" s="1"/>
    </row>
    <row r="717" spans="1:4" x14ac:dyDescent="0.25">
      <c r="A717" s="1">
        <v>2457145.4340300001</v>
      </c>
      <c r="B717" s="1" t="s">
        <v>22</v>
      </c>
      <c r="C717" s="1">
        <v>9.6344999999999992</v>
      </c>
      <c r="D717" s="1"/>
    </row>
    <row r="718" spans="1:4" x14ac:dyDescent="0.25">
      <c r="A718" s="1">
        <v>2457151.4377199998</v>
      </c>
      <c r="B718" s="1" t="s">
        <v>23</v>
      </c>
      <c r="C718" s="1">
        <v>9.5995000000000008</v>
      </c>
      <c r="D718" s="1"/>
    </row>
    <row r="719" spans="1:4" x14ac:dyDescent="0.25">
      <c r="A719" s="1">
        <v>2457153.6151899998</v>
      </c>
      <c r="B719" s="1" t="s">
        <v>24</v>
      </c>
      <c r="C719" s="1">
        <v>9.6959999999999997</v>
      </c>
      <c r="D719" s="1"/>
    </row>
    <row r="720" spans="1:4" x14ac:dyDescent="0.25">
      <c r="A720" s="1">
        <v>2457156.9067600002</v>
      </c>
      <c r="B720" s="1" t="s">
        <v>38</v>
      </c>
      <c r="C720" s="1">
        <v>9.7799999999999994</v>
      </c>
      <c r="D720" s="1"/>
    </row>
    <row r="721" spans="1:4" x14ac:dyDescent="0.25">
      <c r="A721" s="1">
        <v>2457160.9299400002</v>
      </c>
      <c r="B721" s="1" t="s">
        <v>25</v>
      </c>
      <c r="C721" s="1">
        <v>9.6460000000000008</v>
      </c>
      <c r="D721" s="1"/>
    </row>
    <row r="722" spans="1:4" x14ac:dyDescent="0.25">
      <c r="A722" s="1">
        <v>2457162.8952100002</v>
      </c>
      <c r="B722" s="1" t="s">
        <v>26</v>
      </c>
      <c r="C722" s="1">
        <v>9.6170000000000009</v>
      </c>
      <c r="D722" s="1"/>
    </row>
    <row r="723" spans="1:4" x14ac:dyDescent="0.25">
      <c r="A723" s="1">
        <v>2457164.9035499999</v>
      </c>
      <c r="B723" s="1" t="s">
        <v>160</v>
      </c>
      <c r="C723" s="1">
        <v>9.68</v>
      </c>
      <c r="D723" s="1"/>
    </row>
    <row r="724" spans="1:4" x14ac:dyDescent="0.25">
      <c r="A724" s="1">
        <v>2457167.93139</v>
      </c>
      <c r="B724" s="1" t="s">
        <v>27</v>
      </c>
      <c r="C724" s="1">
        <v>9.6110000000000007</v>
      </c>
      <c r="D724" s="1"/>
    </row>
    <row r="725" spans="1:4" x14ac:dyDescent="0.25">
      <c r="A725" s="1">
        <v>2457169.9250500002</v>
      </c>
      <c r="B725" s="1" t="s">
        <v>35</v>
      </c>
      <c r="C725" s="1">
        <v>9.6229999999999993</v>
      </c>
      <c r="D725" s="1"/>
    </row>
    <row r="726" spans="1:4" x14ac:dyDescent="0.25">
      <c r="A726" s="1">
        <v>2457170.9273799998</v>
      </c>
      <c r="B726" s="1" t="s">
        <v>28</v>
      </c>
      <c r="C726" s="1">
        <v>9.6880000000000006</v>
      </c>
      <c r="D726" s="1"/>
    </row>
    <row r="727" spans="1:4" x14ac:dyDescent="0.25">
      <c r="A727" s="1">
        <v>2457172.2171399998</v>
      </c>
      <c r="B727" s="1" t="s">
        <v>29</v>
      </c>
      <c r="C727" s="1">
        <v>9.6310000000000002</v>
      </c>
      <c r="D727" s="1"/>
    </row>
    <row r="728" spans="1:4" x14ac:dyDescent="0.25">
      <c r="A728" s="1">
        <v>2457176.9344199998</v>
      </c>
      <c r="B728" s="1" t="s">
        <v>30</v>
      </c>
      <c r="C728" s="1">
        <v>9.7270000000000003</v>
      </c>
      <c r="D728" s="1"/>
    </row>
    <row r="729" spans="1:4" x14ac:dyDescent="0.25">
      <c r="A729" s="1">
        <v>2457177.92668</v>
      </c>
      <c r="B729" s="1" t="s">
        <v>31</v>
      </c>
      <c r="C729" s="1">
        <v>9.6419999999999995</v>
      </c>
      <c r="D729" s="1"/>
    </row>
    <row r="730" spans="1:4" x14ac:dyDescent="0.25">
      <c r="A730" s="1">
        <v>2457184.4593799999</v>
      </c>
      <c r="B730" s="1" t="s">
        <v>32</v>
      </c>
      <c r="C730" s="1">
        <v>9.7409999999999997</v>
      </c>
      <c r="D730" s="1"/>
    </row>
    <row r="731" spans="1:4" x14ac:dyDescent="0.25">
      <c r="A731" s="1">
        <v>2457185.9171799999</v>
      </c>
      <c r="B731" s="1" t="s">
        <v>36</v>
      </c>
      <c r="C731" s="1">
        <v>9.7225000000000001</v>
      </c>
      <c r="D731" s="1"/>
    </row>
    <row r="732" spans="1:4" x14ac:dyDescent="0.25">
      <c r="A732" s="1">
        <v>2457187.4189300002</v>
      </c>
      <c r="B732" s="1" t="s">
        <v>37</v>
      </c>
      <c r="C732" s="1">
        <v>9.7155000000000005</v>
      </c>
      <c r="D732" s="1"/>
    </row>
    <row r="733" spans="1:4" x14ac:dyDescent="0.25">
      <c r="A733" s="1">
        <v>2457190.9152099998</v>
      </c>
      <c r="B733" s="1" t="s">
        <v>39</v>
      </c>
      <c r="C733" s="1">
        <v>9.7319999999999993</v>
      </c>
      <c r="D733" s="1"/>
    </row>
    <row r="734" spans="1:4" x14ac:dyDescent="0.25">
      <c r="A734" s="1">
        <v>2457194.9470700002</v>
      </c>
      <c r="B734" s="1" t="s">
        <v>33</v>
      </c>
      <c r="C734" s="1">
        <v>9.7620000000000005</v>
      </c>
      <c r="D734" s="1"/>
    </row>
    <row r="735" spans="1:4" x14ac:dyDescent="0.25">
      <c r="A735" s="1">
        <v>2457204.9049300002</v>
      </c>
      <c r="B735" s="1" t="s">
        <v>40</v>
      </c>
      <c r="C735" s="1">
        <v>9.77</v>
      </c>
      <c r="D735" s="1"/>
    </row>
    <row r="736" spans="1:4" x14ac:dyDescent="0.25">
      <c r="A736" s="1">
        <v>2457205.9071200001</v>
      </c>
      <c r="B736" s="1" t="s">
        <v>41</v>
      </c>
      <c r="C736" s="1">
        <v>9.7889999999999997</v>
      </c>
      <c r="D736" s="1"/>
    </row>
    <row r="737" spans="1:4" x14ac:dyDescent="0.25">
      <c r="A737" s="1">
        <v>2457219.44679</v>
      </c>
      <c r="B737" s="1" t="s">
        <v>42</v>
      </c>
      <c r="C737" s="1">
        <v>9.8829999999999991</v>
      </c>
      <c r="D737" s="1"/>
    </row>
    <row r="738" spans="1:4" x14ac:dyDescent="0.25">
      <c r="A738" s="1">
        <v>2457221.8845299999</v>
      </c>
      <c r="B738" s="1" t="s">
        <v>43</v>
      </c>
      <c r="C738" s="1">
        <v>9.9049999999999994</v>
      </c>
      <c r="D738" s="1"/>
    </row>
    <row r="739" spans="1:4" x14ac:dyDescent="0.25">
      <c r="A739" s="1">
        <v>2457224.5027800002</v>
      </c>
      <c r="B739" s="1" t="s">
        <v>44</v>
      </c>
      <c r="C739" s="1">
        <v>9.8989999999999991</v>
      </c>
      <c r="D739" s="1"/>
    </row>
    <row r="740" spans="1:4" x14ac:dyDescent="0.25">
      <c r="A740" s="1">
        <v>2457232.7897600001</v>
      </c>
      <c r="B740" s="1" t="s">
        <v>161</v>
      </c>
      <c r="C740" s="1">
        <v>10.003</v>
      </c>
      <c r="D740" s="1"/>
    </row>
    <row r="741" spans="1:4" x14ac:dyDescent="0.25">
      <c r="A741" s="1">
        <v>2457234.4112399998</v>
      </c>
      <c r="B741" s="1" t="s">
        <v>162</v>
      </c>
      <c r="C741" s="1">
        <v>10.248749999999999</v>
      </c>
      <c r="D741" s="1"/>
    </row>
    <row r="742" spans="1:4" x14ac:dyDescent="0.25">
      <c r="A742" s="1">
        <v>2457235.6763900002</v>
      </c>
      <c r="B742" s="1" t="s">
        <v>163</v>
      </c>
      <c r="C742" s="1">
        <v>10.127000000000001</v>
      </c>
      <c r="D742" s="1"/>
    </row>
    <row r="743" spans="1:4" x14ac:dyDescent="0.25">
      <c r="A743" s="1">
        <v>2457243.7598999999</v>
      </c>
      <c r="B743" s="1" t="s">
        <v>45</v>
      </c>
      <c r="C743" s="1">
        <v>10.119</v>
      </c>
      <c r="D743" s="1"/>
    </row>
    <row r="744" spans="1:4" x14ac:dyDescent="0.25">
      <c r="A744" s="1">
        <v>2457246.3721500002</v>
      </c>
      <c r="B744" s="1" t="s">
        <v>164</v>
      </c>
      <c r="C744" s="1">
        <v>9.93</v>
      </c>
      <c r="D744" s="1"/>
    </row>
    <row r="745" spans="1:4" x14ac:dyDescent="0.25">
      <c r="A745" s="1">
        <v>2457251.7379100001</v>
      </c>
      <c r="B745" s="1" t="s">
        <v>46</v>
      </c>
      <c r="C745" s="1">
        <v>9.94</v>
      </c>
      <c r="D745" s="1"/>
    </row>
    <row r="746" spans="1:4" x14ac:dyDescent="0.25">
      <c r="A746" s="1">
        <v>2457260.71337</v>
      </c>
      <c r="B746" s="1" t="s">
        <v>165</v>
      </c>
      <c r="C746" s="1">
        <v>9.9930000000000003</v>
      </c>
      <c r="D746" s="1"/>
    </row>
    <row r="747" spans="1:4" x14ac:dyDescent="0.25">
      <c r="A747" s="1">
        <v>2457264.3865999999</v>
      </c>
      <c r="B747" s="1" t="s">
        <v>166</v>
      </c>
      <c r="C747" s="1">
        <v>10.005000000000001</v>
      </c>
      <c r="D747" s="1"/>
    </row>
    <row r="748" spans="1:4" x14ac:dyDescent="0.25">
      <c r="A748" s="1">
        <v>2457275.5243000002</v>
      </c>
      <c r="B748" s="1" t="s">
        <v>167</v>
      </c>
      <c r="C748" s="1">
        <v>9.9734999999999996</v>
      </c>
      <c r="D748" s="1"/>
    </row>
    <row r="749" spans="1:4" x14ac:dyDescent="0.25">
      <c r="A749" s="1">
        <v>2457277.4082499999</v>
      </c>
      <c r="B749" s="1" t="s">
        <v>168</v>
      </c>
      <c r="C749" s="1">
        <v>10.028</v>
      </c>
      <c r="D749" s="1"/>
    </row>
    <row r="750" spans="1:4" x14ac:dyDescent="0.25">
      <c r="A750" s="1">
        <v>2457283.6506400001</v>
      </c>
      <c r="B750" s="1" t="s">
        <v>169</v>
      </c>
      <c r="C750" s="1">
        <v>10.045</v>
      </c>
      <c r="D750" s="1"/>
    </row>
    <row r="751" spans="1:4" x14ac:dyDescent="0.25">
      <c r="A751" s="1">
        <v>2457290.79458</v>
      </c>
      <c r="B751" s="1" t="s">
        <v>65</v>
      </c>
      <c r="C751" s="1">
        <v>9.9883330000000008</v>
      </c>
      <c r="D751" s="1"/>
    </row>
    <row r="752" spans="1:4" x14ac:dyDescent="0.25">
      <c r="A752" s="1">
        <v>2457295.3552199998</v>
      </c>
      <c r="B752" s="1" t="s">
        <v>47</v>
      </c>
      <c r="C752" s="1">
        <v>10.013999999999999</v>
      </c>
      <c r="D752" s="1"/>
    </row>
    <row r="753" spans="1:4" x14ac:dyDescent="0.25">
      <c r="A753" s="1">
        <v>2457296.9254800002</v>
      </c>
      <c r="B753" s="1" t="s">
        <v>62</v>
      </c>
      <c r="C753" s="1">
        <v>10.067500000000001</v>
      </c>
      <c r="D753" s="1"/>
    </row>
    <row r="754" spans="1:4" x14ac:dyDescent="0.25">
      <c r="A754" s="1">
        <v>2457298.42197</v>
      </c>
      <c r="B754" s="1" t="s">
        <v>170</v>
      </c>
      <c r="C754" s="1">
        <v>10.010999999999999</v>
      </c>
      <c r="D754" s="1"/>
    </row>
    <row r="755" spans="1:4" x14ac:dyDescent="0.25">
      <c r="A755" s="1">
        <v>2457302.61846</v>
      </c>
      <c r="B755" s="1" t="s">
        <v>171</v>
      </c>
      <c r="C755" s="1">
        <v>9.9410000000000007</v>
      </c>
      <c r="D755" s="1"/>
    </row>
    <row r="756" spans="1:4" x14ac:dyDescent="0.25">
      <c r="A756" s="1">
        <v>2457308.3939299998</v>
      </c>
      <c r="B756" s="1" t="s">
        <v>57</v>
      </c>
      <c r="C756" s="1">
        <v>10.054</v>
      </c>
      <c r="D756" s="1"/>
    </row>
    <row r="757" spans="1:4" x14ac:dyDescent="0.25">
      <c r="A757" s="1">
        <v>2457310.4815099998</v>
      </c>
      <c r="B757" s="1" t="s">
        <v>58</v>
      </c>
      <c r="C757" s="1">
        <v>10.083</v>
      </c>
      <c r="D757" s="1"/>
    </row>
    <row r="758" spans="1:4" x14ac:dyDescent="0.25">
      <c r="A758" s="1">
        <v>2457318.6008700002</v>
      </c>
      <c r="B758" s="1" t="s">
        <v>59</v>
      </c>
      <c r="C758" s="1">
        <v>10.099</v>
      </c>
      <c r="D758" s="1"/>
    </row>
    <row r="759" spans="1:4" x14ac:dyDescent="0.25">
      <c r="A759" s="1">
        <v>2457332.53363</v>
      </c>
      <c r="B759" s="1" t="s">
        <v>63</v>
      </c>
      <c r="C759" s="1">
        <v>10.113</v>
      </c>
      <c r="D759" s="1"/>
    </row>
    <row r="760" spans="1:4" x14ac:dyDescent="0.25">
      <c r="A760" s="1">
        <v>2457339.4743400002</v>
      </c>
      <c r="B760" s="1" t="s">
        <v>64</v>
      </c>
      <c r="C760" s="1">
        <v>10.051</v>
      </c>
      <c r="D760" s="1"/>
    </row>
    <row r="761" spans="1:4" x14ac:dyDescent="0.25">
      <c r="A761" s="1">
        <v>2457374.4676000001</v>
      </c>
      <c r="B761" s="1" t="s">
        <v>172</v>
      </c>
      <c r="C761" s="1">
        <v>10.18</v>
      </c>
      <c r="D761" s="1"/>
    </row>
    <row r="762" spans="1:4" x14ac:dyDescent="0.25">
      <c r="A762" s="1">
        <v>2457426.9635600001</v>
      </c>
      <c r="B762" s="1" t="s">
        <v>66</v>
      </c>
      <c r="C762" s="1">
        <v>10.484999999999999</v>
      </c>
      <c r="D762" s="1"/>
    </row>
    <row r="763" spans="1:4" x14ac:dyDescent="0.25">
      <c r="A763" s="1">
        <v>2457437.9704200001</v>
      </c>
      <c r="B763" s="1" t="s">
        <v>68</v>
      </c>
      <c r="C763" s="1">
        <v>10.438000000000001</v>
      </c>
      <c r="D763" s="1"/>
    </row>
    <row r="764" spans="1:4" x14ac:dyDescent="0.25">
      <c r="A764" s="1">
        <v>2457448.9660499999</v>
      </c>
      <c r="B764" s="1" t="s">
        <v>67</v>
      </c>
      <c r="C764" s="1">
        <v>10.664999999999999</v>
      </c>
      <c r="D764" s="1"/>
    </row>
    <row r="765" spans="1:4" x14ac:dyDescent="0.25">
      <c r="A765" s="1">
        <v>2457453.9618799998</v>
      </c>
      <c r="B765" s="1" t="s">
        <v>173</v>
      </c>
      <c r="C765" s="1">
        <v>10.667</v>
      </c>
      <c r="D765" s="1"/>
    </row>
    <row r="766" spans="1:4" x14ac:dyDescent="0.25">
      <c r="A766" s="1">
        <v>2457459.4502900001</v>
      </c>
      <c r="B766" s="1" t="s">
        <v>69</v>
      </c>
      <c r="C766" s="1">
        <v>10.728999999999999</v>
      </c>
      <c r="D766" s="1"/>
    </row>
    <row r="767" spans="1:4" x14ac:dyDescent="0.25">
      <c r="A767" s="1">
        <v>2457471.9418899999</v>
      </c>
      <c r="B767" s="1" t="s">
        <v>70</v>
      </c>
      <c r="C767" s="1">
        <v>10.737</v>
      </c>
      <c r="D767" s="1"/>
    </row>
    <row r="768" spans="1:4" x14ac:dyDescent="0.25">
      <c r="A768" s="1">
        <v>2457479.94202</v>
      </c>
      <c r="B768" s="1" t="s">
        <v>71</v>
      </c>
      <c r="C768" s="1">
        <v>10.603</v>
      </c>
      <c r="D768" s="1"/>
    </row>
    <row r="769" spans="1:4" x14ac:dyDescent="0.25">
      <c r="A769" s="1">
        <v>2457487.9291699999</v>
      </c>
      <c r="B769" s="1" t="s">
        <v>174</v>
      </c>
      <c r="C769" s="1">
        <v>10.635</v>
      </c>
      <c r="D769" s="1"/>
    </row>
    <row r="770" spans="1:4" x14ac:dyDescent="0.25">
      <c r="A770" s="1">
        <v>2457504.9205100001</v>
      </c>
      <c r="B770" s="1" t="s">
        <v>72</v>
      </c>
      <c r="C770" s="1">
        <v>10.484999999999999</v>
      </c>
      <c r="D770" s="1"/>
    </row>
    <row r="771" spans="1:4" x14ac:dyDescent="0.25">
      <c r="A771" s="1">
        <v>2457509.9844300002</v>
      </c>
      <c r="B771" s="1" t="s">
        <v>73</v>
      </c>
      <c r="C771" s="1">
        <v>10.6</v>
      </c>
      <c r="D771" s="1"/>
    </row>
    <row r="772" spans="1:4" x14ac:dyDescent="0.25">
      <c r="A772" s="1">
        <v>2457514.9104399998</v>
      </c>
      <c r="B772" s="1" t="s">
        <v>74</v>
      </c>
      <c r="C772" s="1">
        <v>10.51</v>
      </c>
      <c r="D772" s="1"/>
    </row>
    <row r="773" spans="1:4" x14ac:dyDescent="0.25">
      <c r="A773" s="1">
        <v>2457523.9085599999</v>
      </c>
      <c r="B773" s="1" t="s">
        <v>75</v>
      </c>
      <c r="C773" s="1">
        <v>10.537000000000001</v>
      </c>
      <c r="D773" s="1"/>
    </row>
    <row r="774" spans="1:4" x14ac:dyDescent="0.25">
      <c r="A774" s="1">
        <v>2457528.9045699998</v>
      </c>
      <c r="B774" s="1" t="s">
        <v>76</v>
      </c>
      <c r="C774" s="1">
        <v>10.513</v>
      </c>
      <c r="D774" s="1"/>
    </row>
    <row r="775" spans="1:4" x14ac:dyDescent="0.25">
      <c r="A775" s="1">
        <v>2457533.89671</v>
      </c>
      <c r="B775" s="1" t="s">
        <v>77</v>
      </c>
      <c r="C775" s="1">
        <v>10.446999999999999</v>
      </c>
      <c r="D775" s="1"/>
    </row>
    <row r="776" spans="1:4" x14ac:dyDescent="0.25">
      <c r="A776" s="1">
        <v>2457539.9490200002</v>
      </c>
      <c r="B776" s="1" t="s">
        <v>78</v>
      </c>
      <c r="C776" s="1">
        <v>10.654999999999999</v>
      </c>
      <c r="D776" s="1"/>
    </row>
    <row r="777" spans="1:4" x14ac:dyDescent="0.25">
      <c r="A777" s="1">
        <v>2457561.2470300002</v>
      </c>
      <c r="B777" s="1" t="s">
        <v>79</v>
      </c>
      <c r="C777" s="1">
        <v>10.519</v>
      </c>
      <c r="D777" s="1"/>
    </row>
    <row r="778" spans="1:4" x14ac:dyDescent="0.25">
      <c r="A778" s="1">
        <v>2457575.5549699999</v>
      </c>
      <c r="B778" s="1" t="s">
        <v>80</v>
      </c>
      <c r="C778" s="1">
        <v>10.51</v>
      </c>
      <c r="D778" s="1"/>
    </row>
    <row r="779" spans="1:4" x14ac:dyDescent="0.25">
      <c r="A779" s="1">
        <v>2457582.8341999999</v>
      </c>
      <c r="B779" s="1" t="s">
        <v>81</v>
      </c>
      <c r="C779" s="1">
        <v>10.597</v>
      </c>
      <c r="D779" s="1"/>
    </row>
    <row r="780" spans="1:4" x14ac:dyDescent="0.25">
      <c r="A780" s="1">
        <v>2457587.4394299998</v>
      </c>
      <c r="B780" s="1" t="s">
        <v>175</v>
      </c>
      <c r="C780" s="1">
        <v>10.475</v>
      </c>
      <c r="D780" s="1"/>
    </row>
    <row r="781" spans="1:4" x14ac:dyDescent="0.25">
      <c r="A781" s="1">
        <v>2457602.77679</v>
      </c>
      <c r="B781" s="1" t="s">
        <v>176</v>
      </c>
      <c r="C781" s="1">
        <v>10.49</v>
      </c>
      <c r="D781" s="1"/>
    </row>
    <row r="782" spans="1:4" x14ac:dyDescent="0.25">
      <c r="A782" s="1">
        <v>2457617.5526800002</v>
      </c>
      <c r="B782" s="1" t="s">
        <v>82</v>
      </c>
      <c r="C782" s="1">
        <v>10.541700000000001</v>
      </c>
      <c r="D782" s="1"/>
    </row>
    <row r="783" spans="1:4" x14ac:dyDescent="0.25">
      <c r="A783" s="1">
        <v>2457624.5071800002</v>
      </c>
      <c r="B783" s="1" t="s">
        <v>83</v>
      </c>
      <c r="C783" s="1">
        <v>10.494</v>
      </c>
      <c r="D783" s="1"/>
    </row>
    <row r="784" spans="1:4" x14ac:dyDescent="0.25">
      <c r="A784" s="1">
        <v>2457626.1232799999</v>
      </c>
      <c r="B784" s="1" t="s">
        <v>84</v>
      </c>
      <c r="C784" s="1">
        <v>10.537000000000001</v>
      </c>
      <c r="D784" s="1"/>
    </row>
    <row r="785" spans="1:4" x14ac:dyDescent="0.25">
      <c r="A785" s="1">
        <v>2457640.5939500001</v>
      </c>
      <c r="B785" s="1" t="s">
        <v>177</v>
      </c>
      <c r="C785" s="1">
        <v>10.537000000000001</v>
      </c>
      <c r="D785" s="1"/>
    </row>
    <row r="786" spans="1:4" x14ac:dyDescent="0.25">
      <c r="A786" s="1">
        <v>2457655.6321200002</v>
      </c>
      <c r="B786" s="1" t="s">
        <v>178</v>
      </c>
      <c r="C786" s="1">
        <v>10.606</v>
      </c>
      <c r="D786" s="1"/>
    </row>
    <row r="787" spans="1:4" x14ac:dyDescent="0.25">
      <c r="A787" s="1">
        <v>2457667.6166300001</v>
      </c>
      <c r="B787" s="1" t="s">
        <v>179</v>
      </c>
      <c r="C787" s="1">
        <v>10.619</v>
      </c>
      <c r="D787" s="1"/>
    </row>
    <row r="788" spans="1:4" x14ac:dyDescent="0.25">
      <c r="A788" s="1">
        <v>2457671.4859500001</v>
      </c>
      <c r="B788" s="1" t="s">
        <v>180</v>
      </c>
      <c r="C788" s="1">
        <v>10.565</v>
      </c>
      <c r="D788" s="1"/>
    </row>
    <row r="789" spans="1:4" x14ac:dyDescent="0.25">
      <c r="A789" s="1">
        <v>2457682.4797299998</v>
      </c>
      <c r="B789" s="1" t="s">
        <v>181</v>
      </c>
      <c r="C789" s="1">
        <v>10.523</v>
      </c>
      <c r="D789" s="1"/>
    </row>
    <row r="790" spans="1:4" x14ac:dyDescent="0.25">
      <c r="A790" s="1">
        <v>2457703.47089</v>
      </c>
      <c r="B790" s="1" t="s">
        <v>182</v>
      </c>
      <c r="C790" s="1">
        <v>10.484999999999999</v>
      </c>
      <c r="D790" s="1"/>
    </row>
    <row r="791" spans="1:4" x14ac:dyDescent="0.25">
      <c r="A791" s="1">
        <v>2457708.4737300002</v>
      </c>
      <c r="B791" s="1" t="s">
        <v>183</v>
      </c>
      <c r="C791" s="1">
        <v>10.361000000000001</v>
      </c>
      <c r="D791" s="1"/>
    </row>
    <row r="792" spans="1:4" x14ac:dyDescent="0.25">
      <c r="A792" s="1">
        <v>2457713.4693100001</v>
      </c>
      <c r="B792" s="1" t="s">
        <v>184</v>
      </c>
      <c r="C792" s="1">
        <v>10.489000000000001</v>
      </c>
      <c r="D792" s="1"/>
    </row>
    <row r="793" spans="1:4" x14ac:dyDescent="0.25">
      <c r="A793" s="1">
        <v>2457715.4705400001</v>
      </c>
      <c r="B793" s="1" t="s">
        <v>185</v>
      </c>
      <c r="C793" s="1">
        <v>10.489000000000001</v>
      </c>
      <c r="D793" s="1"/>
    </row>
    <row r="794" spans="1:4" x14ac:dyDescent="0.25">
      <c r="A794" s="1">
        <v>2457720.46905</v>
      </c>
      <c r="B794" s="1" t="s">
        <v>186</v>
      </c>
      <c r="C794" s="1">
        <v>10.481</v>
      </c>
      <c r="D794" s="1"/>
    </row>
    <row r="795" spans="1:4" x14ac:dyDescent="0.25">
      <c r="A795" s="1">
        <v>2457727.5550099998</v>
      </c>
      <c r="B795" s="1" t="s">
        <v>1915</v>
      </c>
      <c r="C795" s="1">
        <v>10.403</v>
      </c>
      <c r="D795" s="1"/>
    </row>
    <row r="796" spans="1:4" x14ac:dyDescent="0.25">
      <c r="A796" s="1">
        <v>2457738.48698</v>
      </c>
      <c r="B796" s="1" t="s">
        <v>1916</v>
      </c>
      <c r="C796" s="1">
        <v>10.36</v>
      </c>
      <c r="D796" s="1"/>
    </row>
    <row r="797" spans="1:4" x14ac:dyDescent="0.25">
      <c r="A797" s="1">
        <v>2457784.9796500001</v>
      </c>
      <c r="B797" s="1" t="s">
        <v>1941</v>
      </c>
      <c r="C797" s="1">
        <v>9.6910000000000007</v>
      </c>
      <c r="D797" s="1"/>
    </row>
    <row r="798" spans="1:4" x14ac:dyDescent="0.25">
      <c r="A798" s="1">
        <v>2457804.9681299999</v>
      </c>
      <c r="B798" s="1" t="s">
        <v>1942</v>
      </c>
      <c r="C798" s="1">
        <v>9.5429999999999993</v>
      </c>
      <c r="D798" s="1"/>
    </row>
    <row r="799" spans="1:4" x14ac:dyDescent="0.25">
      <c r="A799" s="1">
        <v>2457811.96746</v>
      </c>
      <c r="B799" s="1" t="s">
        <v>1943</v>
      </c>
      <c r="C799" s="1">
        <v>9.5779999999999994</v>
      </c>
      <c r="D799" s="1"/>
    </row>
    <row r="800" spans="1:4" x14ac:dyDescent="0.25">
      <c r="A800" s="1">
        <v>2457830.9501499999</v>
      </c>
      <c r="B800" s="1" t="s">
        <v>1944</v>
      </c>
      <c r="C800" s="1">
        <v>9.4659999999999993</v>
      </c>
      <c r="D800" s="1"/>
    </row>
    <row r="801" spans="1:27" x14ac:dyDescent="0.25">
      <c r="A801" s="1">
        <v>2457832.9373699999</v>
      </c>
      <c r="B801" s="1" t="s">
        <v>1945</v>
      </c>
      <c r="C801" s="1">
        <v>9.4309999999999992</v>
      </c>
      <c r="D801" s="1"/>
    </row>
    <row r="802" spans="1:27" x14ac:dyDescent="0.25">
      <c r="A802" s="1">
        <v>2457838.9404799999</v>
      </c>
      <c r="B802" s="1" t="s">
        <v>1946</v>
      </c>
      <c r="C802" s="1">
        <v>9.3979999999999997</v>
      </c>
      <c r="D802" s="1"/>
    </row>
    <row r="803" spans="1:27" x14ac:dyDescent="0.25">
      <c r="A803" s="1">
        <v>2457857.92557</v>
      </c>
      <c r="B803" s="1" t="s">
        <v>1947</v>
      </c>
      <c r="C803" s="1">
        <v>9.4149999999999991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2457870.9214499998</v>
      </c>
      <c r="B804" s="1" t="s">
        <v>1948</v>
      </c>
      <c r="C804" s="1">
        <v>9.4019999999999992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27">
        <v>2457882.9082200001</v>
      </c>
      <c r="B805" s="27" t="s">
        <v>1955</v>
      </c>
      <c r="C805" s="27">
        <v>9.3849999999999998</v>
      </c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</row>
    <row r="806" spans="1:27" x14ac:dyDescent="0.25">
      <c r="A806" s="27">
        <v>2457887.9073000001</v>
      </c>
      <c r="B806" s="27" t="s">
        <v>1956</v>
      </c>
      <c r="C806" s="27">
        <v>9.3699999999999992</v>
      </c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</row>
    <row r="807" spans="1:27" x14ac:dyDescent="0.25">
      <c r="A807" s="1">
        <v>2457939.8898299998</v>
      </c>
      <c r="B807" s="1" t="s">
        <v>1957</v>
      </c>
      <c r="C807" s="1">
        <v>9.5359999999999996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2457940.89775</v>
      </c>
      <c r="B808" s="1" t="s">
        <v>1958</v>
      </c>
      <c r="C808" s="1">
        <v>9.4090000000000007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2457941.5598300002</v>
      </c>
      <c r="B809" s="1" t="s">
        <v>1959</v>
      </c>
      <c r="C809" s="1">
        <v>9.4760000000000009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2457953.6289900001</v>
      </c>
      <c r="B810" s="1" t="s">
        <v>1960</v>
      </c>
      <c r="C810" s="1">
        <v>9.3460000000000001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2457972.53902</v>
      </c>
      <c r="B811" s="1" t="s">
        <v>1961</v>
      </c>
      <c r="C811" s="1">
        <v>9.57</v>
      </c>
      <c r="D811" s="1"/>
    </row>
    <row r="812" spans="1:27" x14ac:dyDescent="0.25">
      <c r="A812" s="1">
        <v>2457985.4600300002</v>
      </c>
      <c r="B812" s="1" t="s">
        <v>1962</v>
      </c>
      <c r="C812" s="1">
        <v>9.5609999999999999</v>
      </c>
      <c r="D812" s="1"/>
    </row>
    <row r="813" spans="1:27" x14ac:dyDescent="0.25">
      <c r="A813" s="1">
        <v>2457991.4826600002</v>
      </c>
      <c r="B813" s="1" t="s">
        <v>1963</v>
      </c>
      <c r="C813" s="1">
        <v>9.4290000000000003</v>
      </c>
      <c r="D813" s="1"/>
    </row>
    <row r="814" spans="1:27" x14ac:dyDescent="0.25">
      <c r="A814" s="1">
        <v>2457993.8933899999</v>
      </c>
      <c r="B814" s="1" t="s">
        <v>1964</v>
      </c>
      <c r="C814" s="1">
        <v>9.5619999999999994</v>
      </c>
      <c r="D814" s="1"/>
    </row>
    <row r="815" spans="1:27" x14ac:dyDescent="0.25">
      <c r="A815" s="1">
        <v>2457997.3483500001</v>
      </c>
      <c r="B815" s="1" t="s">
        <v>1965</v>
      </c>
      <c r="C815" s="1">
        <v>9.5760000000000005</v>
      </c>
      <c r="D815" s="1"/>
    </row>
    <row r="816" spans="1:27" x14ac:dyDescent="0.25">
      <c r="A816" s="1">
        <v>2457998.35451</v>
      </c>
      <c r="B816" s="1" t="s">
        <v>1966</v>
      </c>
      <c r="C816" s="1">
        <v>9.5779999999999994</v>
      </c>
      <c r="D816" s="1"/>
    </row>
    <row r="817" spans="1:4" x14ac:dyDescent="0.25">
      <c r="A817" s="1">
        <v>2458006.3035400002</v>
      </c>
      <c r="B817" s="1" t="s">
        <v>1967</v>
      </c>
      <c r="C817" s="1">
        <v>9.6</v>
      </c>
      <c r="D817" s="1"/>
    </row>
    <row r="818" spans="1:4" x14ac:dyDescent="0.25">
      <c r="A818" s="1">
        <v>2458007.6202500002</v>
      </c>
      <c r="B818" s="1" t="s">
        <v>1968</v>
      </c>
      <c r="C818" s="1">
        <v>9.5640000000000001</v>
      </c>
      <c r="D818" s="1"/>
    </row>
    <row r="819" spans="1:4" x14ac:dyDescent="0.25">
      <c r="A819" s="1">
        <v>2458012.2953300001</v>
      </c>
      <c r="B819" s="1" t="s">
        <v>1969</v>
      </c>
      <c r="C819" s="1">
        <v>9.6159999999999997</v>
      </c>
      <c r="D819" s="1"/>
    </row>
    <row r="820" spans="1:4" x14ac:dyDescent="0.25">
      <c r="A820" s="1">
        <v>2458018.00342</v>
      </c>
      <c r="B820" s="1" t="s">
        <v>1970</v>
      </c>
      <c r="C820" s="1">
        <v>9.65</v>
      </c>
      <c r="D820" s="1"/>
    </row>
    <row r="821" spans="1:4" x14ac:dyDescent="0.25">
      <c r="A821" s="1">
        <v>2458019.4166600001</v>
      </c>
      <c r="B821" s="1" t="s">
        <v>1971</v>
      </c>
      <c r="C821" s="1">
        <v>9.5604999999999993</v>
      </c>
      <c r="D821" s="1"/>
    </row>
    <row r="822" spans="1:4" x14ac:dyDescent="0.25">
      <c r="A822" s="1">
        <v>2458023.3837899999</v>
      </c>
      <c r="B822" s="1" t="s">
        <v>1972</v>
      </c>
      <c r="C822" s="1">
        <v>9.6780000000000008</v>
      </c>
      <c r="D822" s="1"/>
    </row>
    <row r="823" spans="1:4" x14ac:dyDescent="0.25">
      <c r="A823" s="1">
        <v>2458025.2852400001</v>
      </c>
      <c r="B823" s="1" t="s">
        <v>1973</v>
      </c>
      <c r="C823" s="1">
        <v>9.5690000000000008</v>
      </c>
      <c r="D823" s="1"/>
    </row>
    <row r="824" spans="1:4" x14ac:dyDescent="0.25">
      <c r="A824" s="1">
        <v>2458039.2931400002</v>
      </c>
      <c r="B824" s="1" t="s">
        <v>1974</v>
      </c>
      <c r="C824" s="1">
        <v>9.6739999999999995</v>
      </c>
      <c r="D824" s="1"/>
    </row>
    <row r="825" spans="1:4" x14ac:dyDescent="0.25">
      <c r="A825" s="1">
        <v>2458041.4816700001</v>
      </c>
      <c r="B825" s="1" t="s">
        <v>1975</v>
      </c>
      <c r="C825" s="1">
        <v>9.6780000000000008</v>
      </c>
      <c r="D825" s="1"/>
    </row>
    <row r="826" spans="1:4" x14ac:dyDescent="0.25">
      <c r="A826" s="1">
        <v>2458054.2743700002</v>
      </c>
      <c r="B826" s="1" t="s">
        <v>1976</v>
      </c>
      <c r="C826" s="1">
        <v>9.7129999999999992</v>
      </c>
      <c r="D826" s="1"/>
    </row>
    <row r="827" spans="1:4" x14ac:dyDescent="0.25">
      <c r="A827" s="1">
        <v>2458058.4787099999</v>
      </c>
      <c r="B827" s="1" t="s">
        <v>1977</v>
      </c>
      <c r="C827" s="1">
        <v>9.6829999999999998</v>
      </c>
      <c r="D827" s="1"/>
    </row>
    <row r="828" spans="1:4" x14ac:dyDescent="0.25">
      <c r="A828" s="1">
        <v>2458060.4742000001</v>
      </c>
      <c r="B828" s="1" t="s">
        <v>1978</v>
      </c>
      <c r="C828" s="1">
        <v>9.6869999999999994</v>
      </c>
      <c r="D828" s="1"/>
    </row>
    <row r="829" spans="1:4" x14ac:dyDescent="0.25">
      <c r="A829" s="1">
        <v>2458062.9089100002</v>
      </c>
      <c r="B829" s="1" t="s">
        <v>1979</v>
      </c>
      <c r="C829" s="1">
        <v>9.7509999999999994</v>
      </c>
      <c r="D829" s="1"/>
    </row>
    <row r="830" spans="1:4" x14ac:dyDescent="0.25">
      <c r="A830" s="1">
        <v>2458064.2674599998</v>
      </c>
      <c r="B830" s="1" t="s">
        <v>1980</v>
      </c>
      <c r="C830" s="1">
        <v>9.7569999999999997</v>
      </c>
      <c r="D830" s="1"/>
    </row>
    <row r="831" spans="1:4" x14ac:dyDescent="0.25">
      <c r="A831" s="1">
        <v>2458065.5456099999</v>
      </c>
      <c r="B831" s="1" t="s">
        <v>1981</v>
      </c>
      <c r="C831" s="1">
        <v>9.6790000000000003</v>
      </c>
      <c r="D831" s="1"/>
    </row>
    <row r="832" spans="1:4" x14ac:dyDescent="0.25">
      <c r="A832" s="1">
        <v>2458068.3188100001</v>
      </c>
      <c r="B832" s="1" t="s">
        <v>1982</v>
      </c>
      <c r="C832" s="1">
        <v>9.6969999999999992</v>
      </c>
      <c r="D832" s="1"/>
    </row>
    <row r="833" spans="1:4" x14ac:dyDescent="0.25">
      <c r="A833" s="1">
        <v>2458077.2338700001</v>
      </c>
      <c r="B833" s="1" t="s">
        <v>1983</v>
      </c>
      <c r="C833" s="1">
        <v>9.7249999999999996</v>
      </c>
      <c r="D833" s="1"/>
    </row>
    <row r="834" spans="1:4" x14ac:dyDescent="0.25">
      <c r="A834" s="1">
        <v>2458077.2338700001</v>
      </c>
      <c r="B834" s="1" t="s">
        <v>1983</v>
      </c>
      <c r="C834" s="1">
        <v>9.7249999999999996</v>
      </c>
      <c r="D834" s="1"/>
    </row>
    <row r="835" spans="1:4" x14ac:dyDescent="0.25">
      <c r="A835" s="1">
        <v>2458084.23649</v>
      </c>
      <c r="B835" s="1" t="s">
        <v>1984</v>
      </c>
      <c r="C835" s="1">
        <v>9.7210000000000001</v>
      </c>
      <c r="D835" s="1"/>
    </row>
    <row r="836" spans="1:4" x14ac:dyDescent="0.25">
      <c r="A836" s="1">
        <v>2458086.4738099999</v>
      </c>
      <c r="B836" s="1" t="s">
        <v>1985</v>
      </c>
      <c r="C836" s="1">
        <v>9.7029999999999994</v>
      </c>
      <c r="D836" s="1"/>
    </row>
    <row r="837" spans="1:4" x14ac:dyDescent="0.25">
      <c r="A837" s="1">
        <v>2458096.2325300002</v>
      </c>
      <c r="B837" s="1" t="s">
        <v>1986</v>
      </c>
      <c r="C837" s="1">
        <v>9.7639999999999993</v>
      </c>
      <c r="D837" s="1"/>
    </row>
    <row r="838" spans="1:4" x14ac:dyDescent="0.25">
      <c r="A838" s="1">
        <v>2458103.3226800002</v>
      </c>
      <c r="B838" s="1" t="s">
        <v>1987</v>
      </c>
      <c r="C838" s="1">
        <v>9.7409999999999997</v>
      </c>
      <c r="D838" s="1"/>
    </row>
    <row r="839" spans="1:4" x14ac:dyDescent="0.25">
      <c r="A839" s="1">
        <v>2458116.2198299998</v>
      </c>
      <c r="B839" s="1" t="s">
        <v>1988</v>
      </c>
      <c r="C839" s="1">
        <v>9.7319999999999993</v>
      </c>
      <c r="D839" s="1"/>
    </row>
    <row r="840" spans="1:4" x14ac:dyDescent="0.25">
      <c r="A840" s="1">
        <v>2458149.9797</v>
      </c>
      <c r="B840" s="1" t="s">
        <v>1989</v>
      </c>
      <c r="C840" s="1">
        <v>9.7609999999999992</v>
      </c>
      <c r="D840" s="1"/>
    </row>
    <row r="841" spans="1:4" x14ac:dyDescent="0.25">
      <c r="A841" s="1">
        <v>2458162.7272600001</v>
      </c>
      <c r="B841" s="1" t="s">
        <v>1990</v>
      </c>
      <c r="C841" s="1">
        <v>9.8439999999999994</v>
      </c>
      <c r="D841" s="1"/>
    </row>
    <row r="842" spans="1:4" x14ac:dyDescent="0.25">
      <c r="A842" s="1">
        <v>2458168.9748499999</v>
      </c>
      <c r="B842" s="1" t="s">
        <v>1991</v>
      </c>
      <c r="C842" s="1">
        <v>9.8019999999999996</v>
      </c>
      <c r="D842" s="1"/>
    </row>
    <row r="843" spans="1:4" x14ac:dyDescent="0.25">
      <c r="A843" s="1">
        <v>2458177.6699600001</v>
      </c>
      <c r="B843" s="1" t="s">
        <v>1992</v>
      </c>
      <c r="C843" s="1">
        <v>9.891</v>
      </c>
      <c r="D843" s="1"/>
    </row>
    <row r="844" spans="1:4" x14ac:dyDescent="0.25">
      <c r="A844" s="1">
        <v>2458187.95799</v>
      </c>
      <c r="B844" s="1" t="s">
        <v>1993</v>
      </c>
      <c r="C844" s="1">
        <v>9.8510000000000009</v>
      </c>
      <c r="D844" s="1"/>
    </row>
    <row r="845" spans="1:4" x14ac:dyDescent="0.25">
      <c r="A845" s="1">
        <v>2458200.9480499998</v>
      </c>
      <c r="B845" s="1" t="s">
        <v>1994</v>
      </c>
      <c r="C845" s="1">
        <v>9.9960000000000004</v>
      </c>
      <c r="D845" s="1"/>
    </row>
    <row r="846" spans="1:4" x14ac:dyDescent="0.25">
      <c r="A846" s="1">
        <v>2458204.6232599998</v>
      </c>
      <c r="B846" s="1" t="s">
        <v>1995</v>
      </c>
      <c r="C846" s="1">
        <v>10.074</v>
      </c>
      <c r="D846" s="1"/>
    </row>
    <row r="847" spans="1:4" x14ac:dyDescent="0.25">
      <c r="A847" s="1">
        <v>2458205.9378999998</v>
      </c>
      <c r="B847" s="1" t="s">
        <v>1996</v>
      </c>
      <c r="C847" s="1">
        <v>10.132999999999999</v>
      </c>
      <c r="D847" s="1"/>
    </row>
    <row r="848" spans="1:4" x14ac:dyDescent="0.25">
      <c r="A848" s="1">
        <v>2458214.6310800002</v>
      </c>
      <c r="B848" s="1" t="s">
        <v>1997</v>
      </c>
      <c r="C848" s="1">
        <v>10.105</v>
      </c>
      <c r="D848" s="1"/>
    </row>
    <row r="849" spans="1:4" x14ac:dyDescent="0.25">
      <c r="A849" s="1">
        <v>2458221.92827</v>
      </c>
      <c r="B849" s="1" t="s">
        <v>1998</v>
      </c>
      <c r="C849" s="1">
        <v>10.119999999999999</v>
      </c>
      <c r="D849" s="1"/>
    </row>
    <row r="850" spans="1:4" x14ac:dyDescent="0.25">
      <c r="A850" s="1">
        <v>2458222.9311299999</v>
      </c>
      <c r="B850" s="1" t="s">
        <v>1999</v>
      </c>
      <c r="C850" s="1">
        <v>10.079000000000001</v>
      </c>
      <c r="D850" s="1"/>
    </row>
    <row r="851" spans="1:4" x14ac:dyDescent="0.25">
      <c r="A851" s="1">
        <v>2458224.6403000001</v>
      </c>
      <c r="B851" s="1" t="s">
        <v>2000</v>
      </c>
      <c r="C851" s="1">
        <v>10.116</v>
      </c>
      <c r="D851" s="1"/>
    </row>
    <row r="852" spans="1:4" x14ac:dyDescent="0.25">
      <c r="A852" s="1">
        <v>2458239.9189499998</v>
      </c>
      <c r="B852" s="1" t="s">
        <v>2001</v>
      </c>
      <c r="C852" s="1">
        <v>10.031000000000001</v>
      </c>
      <c r="D852" s="1"/>
    </row>
    <row r="853" spans="1:4" x14ac:dyDescent="0.25">
      <c r="A853" s="1">
        <v>2458241.9090399998</v>
      </c>
      <c r="B853" s="1" t="s">
        <v>2002</v>
      </c>
      <c r="C853" s="1">
        <v>10.050000000000001</v>
      </c>
      <c r="D853" s="1"/>
    </row>
    <row r="854" spans="1:4" x14ac:dyDescent="0.25">
      <c r="A854" s="1">
        <v>2458243.41255</v>
      </c>
      <c r="B854" s="1" t="s">
        <v>2003</v>
      </c>
      <c r="C854" s="1">
        <v>10.093500000000001</v>
      </c>
      <c r="D854" s="1"/>
    </row>
    <row r="855" spans="1:4" x14ac:dyDescent="0.25">
      <c r="A855" s="1">
        <v>2458247.43664</v>
      </c>
      <c r="B855" s="1" t="s">
        <v>2004</v>
      </c>
      <c r="C855" s="1">
        <v>10.074</v>
      </c>
      <c r="D855" s="1"/>
    </row>
    <row r="856" spans="1:4" x14ac:dyDescent="0.25">
      <c r="A856" s="1">
        <v>2458256.4274200001</v>
      </c>
      <c r="B856" s="1" t="s">
        <v>2005</v>
      </c>
      <c r="C856" s="1">
        <v>10.023999999999999</v>
      </c>
      <c r="D856" s="1"/>
    </row>
    <row r="857" spans="1:4" x14ac:dyDescent="0.25">
      <c r="A857" s="1">
        <v>2458275.4385099998</v>
      </c>
      <c r="B857" s="1" t="s">
        <v>2006</v>
      </c>
      <c r="C857" s="1">
        <v>9.9659999999999993</v>
      </c>
      <c r="D857" s="1"/>
    </row>
    <row r="858" spans="1:4" x14ac:dyDescent="0.25">
      <c r="A858" s="1">
        <v>2458284.4069500002</v>
      </c>
      <c r="B858" s="1" t="s">
        <v>2007</v>
      </c>
      <c r="C858" s="1">
        <v>9.907</v>
      </c>
      <c r="D858" s="1"/>
    </row>
    <row r="859" spans="1:4" x14ac:dyDescent="0.25">
      <c r="A859" s="1">
        <v>2458290.4201799999</v>
      </c>
      <c r="B859" s="1" t="s">
        <v>2008</v>
      </c>
      <c r="C859" s="1">
        <v>9.8849999999999998</v>
      </c>
      <c r="D859" s="1"/>
    </row>
    <row r="860" spans="1:4" x14ac:dyDescent="0.25">
      <c r="A860" s="1">
        <v>2458295.4110500002</v>
      </c>
      <c r="B860" s="1" t="s">
        <v>2009</v>
      </c>
      <c r="C860" s="1">
        <v>9.9640000000000004</v>
      </c>
      <c r="D860" s="1"/>
    </row>
    <row r="861" spans="1:4" x14ac:dyDescent="0.25">
      <c r="A861" s="1">
        <v>2458298.4178200001</v>
      </c>
      <c r="B861" s="1" t="s">
        <v>2010</v>
      </c>
      <c r="C861" s="1">
        <v>9.9369999999999994</v>
      </c>
      <c r="D861" s="1"/>
    </row>
    <row r="862" spans="1:4" x14ac:dyDescent="0.25">
      <c r="A862" s="1">
        <v>2458302.40166</v>
      </c>
      <c r="B862" s="1" t="s">
        <v>2011</v>
      </c>
      <c r="C862" s="1">
        <v>9.9160000000000004</v>
      </c>
      <c r="D862" s="1"/>
    </row>
    <row r="863" spans="1:4" x14ac:dyDescent="0.25">
      <c r="A863" s="1">
        <v>2458304.4105699998</v>
      </c>
      <c r="B863" s="1" t="s">
        <v>2012</v>
      </c>
      <c r="C863" s="1">
        <v>10.016999999999999</v>
      </c>
      <c r="D863" s="1"/>
    </row>
    <row r="864" spans="1:4" x14ac:dyDescent="0.25">
      <c r="A864" s="1">
        <v>2458305.4345399998</v>
      </c>
      <c r="B864" s="1" t="s">
        <v>2013</v>
      </c>
      <c r="C864" s="1">
        <v>9.9659999999999993</v>
      </c>
      <c r="D864" s="1"/>
    </row>
    <row r="865" spans="1:27" x14ac:dyDescent="0.25">
      <c r="A865" s="1">
        <v>2458308.40796</v>
      </c>
      <c r="B865" s="1" t="s">
        <v>2014</v>
      </c>
      <c r="C865" s="1">
        <v>9.9280000000000008</v>
      </c>
      <c r="D865" s="1"/>
    </row>
    <row r="866" spans="1:27" x14ac:dyDescent="0.25">
      <c r="A866" s="1">
        <v>2458311.3946699998</v>
      </c>
      <c r="B866" s="1" t="s">
        <v>2015</v>
      </c>
      <c r="C866" s="1">
        <v>9.9260000000000002</v>
      </c>
      <c r="D866" s="1"/>
      <c r="F866" s="6"/>
      <c r="G866" s="29"/>
    </row>
    <row r="867" spans="1:27" x14ac:dyDescent="0.25">
      <c r="A867" s="1">
        <v>2458313.4553499999</v>
      </c>
      <c r="B867" s="1" t="s">
        <v>2016</v>
      </c>
      <c r="C867" s="1">
        <v>9.8505000000000003</v>
      </c>
      <c r="D867" s="1"/>
      <c r="G867" s="29"/>
    </row>
    <row r="868" spans="1:27" x14ac:dyDescent="0.25">
      <c r="A868" s="1">
        <v>2458317.8894799999</v>
      </c>
      <c r="B868" s="1" t="s">
        <v>2017</v>
      </c>
      <c r="C868" s="1">
        <v>9.8469999999999995</v>
      </c>
      <c r="D868" s="1"/>
      <c r="G868" s="29"/>
    </row>
    <row r="869" spans="1:27" x14ac:dyDescent="0.25">
      <c r="A869" s="1">
        <v>2458321.4019300002</v>
      </c>
      <c r="B869" s="1" t="s">
        <v>2018</v>
      </c>
      <c r="C869" s="1">
        <v>9.9410000000000007</v>
      </c>
      <c r="D869" s="1"/>
      <c r="G869" s="29"/>
    </row>
    <row r="870" spans="1:27" x14ac:dyDescent="0.25">
      <c r="A870" s="1">
        <v>2458325.3998799999</v>
      </c>
      <c r="B870" s="1" t="s">
        <v>2019</v>
      </c>
      <c r="C870" s="1">
        <v>9.8420000000000005</v>
      </c>
      <c r="D870" s="1"/>
      <c r="F870" s="6"/>
      <c r="G870" s="29"/>
      <c r="I870" s="29"/>
    </row>
    <row r="871" spans="1:27" x14ac:dyDescent="0.25">
      <c r="A871" s="1">
        <v>2458331.3932099999</v>
      </c>
      <c r="B871" s="1" t="s">
        <v>2020</v>
      </c>
      <c r="C871" s="1">
        <v>9.8290000000000006</v>
      </c>
      <c r="D871" s="1"/>
      <c r="F871" s="6"/>
      <c r="G871" s="29"/>
      <c r="I871" s="29"/>
    </row>
    <row r="872" spans="1:27" x14ac:dyDescent="0.25">
      <c r="A872" s="1">
        <v>2458336.38729</v>
      </c>
      <c r="B872" s="1" t="s">
        <v>2021</v>
      </c>
      <c r="C872" s="1">
        <v>9.8160000000000007</v>
      </c>
      <c r="D872" s="1"/>
      <c r="F872" s="6"/>
      <c r="G872" s="29"/>
      <c r="I872" s="30"/>
    </row>
    <row r="873" spans="1:27" x14ac:dyDescent="0.25">
      <c r="A873" s="1">
        <v>2458337.5423099999</v>
      </c>
      <c r="B873" s="1" t="s">
        <v>2022</v>
      </c>
      <c r="C873" s="1">
        <v>9.7270000000000003</v>
      </c>
      <c r="D873" s="1"/>
    </row>
    <row r="874" spans="1:27" x14ac:dyDescent="0.25">
      <c r="A874" s="1">
        <v>2458345.3676300002</v>
      </c>
      <c r="B874" s="1" t="s">
        <v>2023</v>
      </c>
      <c r="C874" s="1">
        <v>9.7119999999999997</v>
      </c>
      <c r="D874" s="1"/>
      <c r="G874" s="29"/>
      <c r="I874" s="29"/>
      <c r="J874" s="6"/>
    </row>
    <row r="875" spans="1:27" x14ac:dyDescent="0.25">
      <c r="A875" s="1">
        <v>2458352.3747399999</v>
      </c>
      <c r="B875" s="1" t="s">
        <v>2024</v>
      </c>
      <c r="C875" s="1">
        <v>9.6850000000000005</v>
      </c>
      <c r="D875" s="1"/>
    </row>
    <row r="876" spans="1:27" x14ac:dyDescent="0.25">
      <c r="A876" s="1">
        <v>2458359.3314200002</v>
      </c>
      <c r="B876" s="1" t="s">
        <v>2025</v>
      </c>
      <c r="C876" s="1">
        <v>9.5719999999999992</v>
      </c>
      <c r="D876" s="1"/>
    </row>
    <row r="877" spans="1:27" x14ac:dyDescent="0.25">
      <c r="A877" s="1">
        <v>2458384.6338</v>
      </c>
      <c r="B877" s="1" t="s">
        <v>2026</v>
      </c>
      <c r="C877" s="1">
        <v>9.6259999999999994</v>
      </c>
      <c r="D877" s="1"/>
    </row>
    <row r="878" spans="1:27" x14ac:dyDescent="0.25">
      <c r="A878" s="1">
        <v>2458404.4929800001</v>
      </c>
      <c r="B878" s="1" t="s">
        <v>2027</v>
      </c>
      <c r="C878" s="1">
        <v>9.7569999999999997</v>
      </c>
      <c r="D878" s="1"/>
    </row>
    <row r="879" spans="1:27" x14ac:dyDescent="0.25">
      <c r="A879" s="1">
        <v>2458423.4762200001</v>
      </c>
      <c r="B879" s="1" t="s">
        <v>2028</v>
      </c>
      <c r="C879" s="1">
        <v>9.6829999999999998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2458523.9585500001</v>
      </c>
      <c r="B880" s="1" t="s">
        <v>2029</v>
      </c>
      <c r="C880" s="1">
        <v>9.4440000000000008</v>
      </c>
      <c r="D880" s="1"/>
    </row>
    <row r="881" spans="1:27" x14ac:dyDescent="0.25">
      <c r="A881" s="1">
        <v>2458550.95676</v>
      </c>
      <c r="B881" s="1" t="s">
        <v>2030</v>
      </c>
      <c r="C881" s="1">
        <v>9.4649999999999999</v>
      </c>
      <c r="D881" s="1"/>
    </row>
    <row r="882" spans="1:27" x14ac:dyDescent="0.25">
      <c r="A882" s="1">
        <v>2458572.4748</v>
      </c>
      <c r="B882" s="1" t="s">
        <v>2031</v>
      </c>
      <c r="C882" s="1">
        <v>9.4886669999999995</v>
      </c>
      <c r="D882" s="1"/>
    </row>
    <row r="883" spans="1:27" x14ac:dyDescent="0.25">
      <c r="A883" s="1">
        <v>2458590.4319199999</v>
      </c>
      <c r="B883" s="1" t="s">
        <v>2032</v>
      </c>
      <c r="C883" s="1">
        <v>9.4885000000000002</v>
      </c>
      <c r="D883" s="1"/>
    </row>
    <row r="884" spans="1:27" x14ac:dyDescent="0.25">
      <c r="A884" s="1">
        <v>2458597.4267000002</v>
      </c>
      <c r="B884" s="1" t="s">
        <v>2033</v>
      </c>
      <c r="C884" s="1">
        <v>9.4685000000000006</v>
      </c>
      <c r="D884" s="1"/>
    </row>
    <row r="885" spans="1:27" x14ac:dyDescent="0.25">
      <c r="A885" s="1">
        <v>2458614.91071</v>
      </c>
      <c r="B885" s="1" t="s">
        <v>2034</v>
      </c>
      <c r="C885" s="1">
        <v>9.5579999999999998</v>
      </c>
      <c r="D885" s="1"/>
    </row>
    <row r="886" spans="1:27" x14ac:dyDescent="0.25">
      <c r="A886" s="1">
        <v>2458628.8914999999</v>
      </c>
      <c r="B886" s="1" t="s">
        <v>2035</v>
      </c>
      <c r="C886" s="1">
        <v>9.51</v>
      </c>
      <c r="D886" s="1"/>
      <c r="E886" s="29"/>
      <c r="F886" s="6"/>
      <c r="H886" s="6"/>
    </row>
    <row r="887" spans="1:27" x14ac:dyDescent="0.25">
      <c r="A887" s="1">
        <v>2458635.8939299998</v>
      </c>
      <c r="B887" s="1" t="s">
        <v>2036</v>
      </c>
      <c r="C887" s="1">
        <v>9.5429999999999993</v>
      </c>
      <c r="D887" s="1"/>
    </row>
    <row r="888" spans="1:27" x14ac:dyDescent="0.25">
      <c r="A888" s="1">
        <v>2458720.03076</v>
      </c>
      <c r="B888" s="1" t="s">
        <v>2037</v>
      </c>
      <c r="C888" s="1">
        <v>9.7245000000000008</v>
      </c>
      <c r="D888" s="1"/>
    </row>
    <row r="889" spans="1:27" x14ac:dyDescent="0.25">
      <c r="A889" s="1">
        <v>2458721.3942499999</v>
      </c>
      <c r="B889" s="1" t="s">
        <v>2038</v>
      </c>
      <c r="C889" s="1">
        <v>9.67</v>
      </c>
      <c r="D889" s="1"/>
    </row>
    <row r="890" spans="1:27" x14ac:dyDescent="0.25">
      <c r="A890" s="1">
        <v>2458759.29929</v>
      </c>
      <c r="B890" s="1" t="s">
        <v>2039</v>
      </c>
      <c r="C890" s="1">
        <v>9.7515000000000001</v>
      </c>
      <c r="D890" s="1"/>
    </row>
    <row r="891" spans="1:27" x14ac:dyDescent="0.25">
      <c r="A891" s="1">
        <v>2458800.47713</v>
      </c>
      <c r="B891" s="1" t="s">
        <v>2040</v>
      </c>
      <c r="C891" s="1">
        <v>9.8919999999999995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2458806.31702</v>
      </c>
      <c r="B892" s="1" t="s">
        <v>2041</v>
      </c>
      <c r="C892" s="1">
        <v>9.8480000000000008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2458882.97878</v>
      </c>
      <c r="B893" s="1" t="s">
        <v>2101</v>
      </c>
      <c r="C893" s="1">
        <v>9.9870000000000001</v>
      </c>
      <c r="D893" s="1"/>
    </row>
    <row r="894" spans="1:27" x14ac:dyDescent="0.25">
      <c r="A894" s="1">
        <v>2458946.6270599999</v>
      </c>
      <c r="B894" s="1" t="s">
        <v>2102</v>
      </c>
      <c r="C894" s="1">
        <v>10.121</v>
      </c>
      <c r="D894" s="1"/>
    </row>
    <row r="895" spans="1:27" x14ac:dyDescent="0.25">
      <c r="A895" s="1">
        <v>2458991.5016700001</v>
      </c>
      <c r="B895" s="1" t="s">
        <v>2103</v>
      </c>
      <c r="C895" s="1">
        <v>10.337999999999999</v>
      </c>
      <c r="D895" s="1"/>
    </row>
    <row r="896" spans="1:27" x14ac:dyDescent="0.25">
      <c r="A896" s="1">
        <v>2458994.54421</v>
      </c>
      <c r="B896" s="1" t="s">
        <v>2104</v>
      </c>
      <c r="C896" s="1">
        <v>10.303000000000001</v>
      </c>
      <c r="D896" s="1"/>
    </row>
    <row r="897" spans="1:4" x14ac:dyDescent="0.25">
      <c r="A897" s="1">
        <v>2458997.5256699999</v>
      </c>
      <c r="B897" s="1" t="s">
        <v>2105</v>
      </c>
      <c r="C897" s="1">
        <v>10.243</v>
      </c>
      <c r="D897" s="1"/>
    </row>
    <row r="898" spans="1:4" x14ac:dyDescent="0.25">
      <c r="A898" s="1">
        <v>2458999.4627200002</v>
      </c>
      <c r="B898" s="1" t="s">
        <v>2106</v>
      </c>
      <c r="C898" s="1">
        <v>10.265000000000001</v>
      </c>
      <c r="D898" s="1"/>
    </row>
    <row r="899" spans="1:4" x14ac:dyDescent="0.25">
      <c r="A899" s="1">
        <v>2459001.5656099999</v>
      </c>
      <c r="B899" s="1" t="s">
        <v>2107</v>
      </c>
      <c r="C899" s="1">
        <v>10.199</v>
      </c>
      <c r="D899" s="1"/>
    </row>
    <row r="900" spans="1:4" x14ac:dyDescent="0.25">
      <c r="A900" s="1">
        <v>2459021.6025299998</v>
      </c>
      <c r="B900" s="1" t="s">
        <v>2108</v>
      </c>
      <c r="C900" s="1">
        <v>10.093999999999999</v>
      </c>
      <c r="D900" s="1"/>
    </row>
    <row r="901" spans="1:4" x14ac:dyDescent="0.25">
      <c r="A901" s="1">
        <v>2459050.4486500002</v>
      </c>
      <c r="B901" s="1" t="s">
        <v>2109</v>
      </c>
      <c r="C901" s="1">
        <v>10.087999999999999</v>
      </c>
      <c r="D901" s="1"/>
    </row>
    <row r="902" spans="1:4" x14ac:dyDescent="0.25">
      <c r="A902" s="1">
        <v>2459072.6322300001</v>
      </c>
      <c r="B902" s="1" t="s">
        <v>2110</v>
      </c>
      <c r="C902" s="1">
        <v>10.051</v>
      </c>
      <c r="D902" s="1"/>
    </row>
    <row r="903" spans="1:4" x14ac:dyDescent="0.25">
      <c r="A903" s="1">
        <v>2459074.12873</v>
      </c>
      <c r="B903" s="1" t="s">
        <v>2111</v>
      </c>
      <c r="C903" s="1">
        <v>10.1065</v>
      </c>
      <c r="D903" s="1"/>
    </row>
    <row r="904" spans="1:4" x14ac:dyDescent="0.25">
      <c r="A904" s="1">
        <v>2459080.6185900001</v>
      </c>
      <c r="B904" s="1" t="s">
        <v>2112</v>
      </c>
      <c r="C904" s="1">
        <v>10.14</v>
      </c>
      <c r="D904" s="1"/>
    </row>
    <row r="905" spans="1:4" x14ac:dyDescent="0.25">
      <c r="A905" s="1">
        <v>2459082.6181399999</v>
      </c>
      <c r="B905" s="1" t="s">
        <v>2113</v>
      </c>
      <c r="C905" s="1">
        <v>10.039999999999999</v>
      </c>
      <c r="D905" s="1"/>
    </row>
    <row r="906" spans="1:4" x14ac:dyDescent="0.25">
      <c r="A906" s="1">
        <v>2459084.6186500001</v>
      </c>
      <c r="B906" s="1" t="s">
        <v>2114</v>
      </c>
      <c r="C906" s="1">
        <v>10.244999999999999</v>
      </c>
      <c r="D906" s="1"/>
    </row>
    <row r="907" spans="1:4" x14ac:dyDescent="0.25">
      <c r="A907" s="1">
        <v>2459086.11442</v>
      </c>
      <c r="B907" s="1" t="s">
        <v>2115</v>
      </c>
      <c r="C907" s="1">
        <v>10.119</v>
      </c>
      <c r="D907" s="1"/>
    </row>
    <row r="908" spans="1:4" x14ac:dyDescent="0.25">
      <c r="A908" s="1">
        <v>2459088.6114099999</v>
      </c>
      <c r="B908" s="1" t="s">
        <v>2116</v>
      </c>
      <c r="C908" s="1">
        <v>10.111000000000001</v>
      </c>
      <c r="D908" s="1"/>
    </row>
    <row r="909" spans="1:4" x14ac:dyDescent="0.25">
      <c r="A909" s="1">
        <v>2459089.6116300002</v>
      </c>
      <c r="B909" s="1" t="s">
        <v>2117</v>
      </c>
      <c r="C909" s="1">
        <v>10.237</v>
      </c>
      <c r="D909" s="1"/>
    </row>
    <row r="910" spans="1:4" x14ac:dyDescent="0.25">
      <c r="A910" s="1">
        <v>2459090.6123500001</v>
      </c>
      <c r="B910" s="1" t="s">
        <v>2118</v>
      </c>
      <c r="C910" s="1">
        <v>10.099</v>
      </c>
      <c r="D910" s="1"/>
    </row>
    <row r="911" spans="1:4" x14ac:dyDescent="0.25">
      <c r="A911" s="1">
        <v>2459091.62622</v>
      </c>
      <c r="B911" s="1" t="s">
        <v>2119</v>
      </c>
      <c r="C911" s="1">
        <v>10.071</v>
      </c>
      <c r="D911" s="1"/>
    </row>
    <row r="912" spans="1:4" x14ac:dyDescent="0.25">
      <c r="A912" s="1">
        <v>2459093.6049299999</v>
      </c>
      <c r="B912" s="1" t="s">
        <v>2120</v>
      </c>
      <c r="C912" s="1">
        <v>10.186999999999999</v>
      </c>
      <c r="D912" s="1"/>
    </row>
    <row r="913" spans="1:4" x14ac:dyDescent="0.25">
      <c r="A913" s="1">
        <v>2459095.1185699999</v>
      </c>
      <c r="B913" s="1" t="s">
        <v>2121</v>
      </c>
      <c r="C913" s="1">
        <v>10.153</v>
      </c>
      <c r="D913" s="1"/>
    </row>
    <row r="914" spans="1:4" x14ac:dyDescent="0.25">
      <c r="A914" s="1">
        <v>2459097.2877600002</v>
      </c>
      <c r="B914" s="1" t="s">
        <v>2122</v>
      </c>
      <c r="C914" s="1">
        <v>10.097</v>
      </c>
      <c r="D914" s="1"/>
    </row>
    <row r="915" spans="1:4" x14ac:dyDescent="0.25">
      <c r="A915" s="1">
        <v>2459098.6010799999</v>
      </c>
      <c r="B915" s="1" t="s">
        <v>2123</v>
      </c>
      <c r="C915" s="1">
        <v>10.108000000000001</v>
      </c>
      <c r="D915" s="1"/>
    </row>
    <row r="916" spans="1:4" x14ac:dyDescent="0.25">
      <c r="A916" s="1">
        <v>2459100.0995</v>
      </c>
      <c r="B916" s="1" t="s">
        <v>2124</v>
      </c>
      <c r="C916" s="1">
        <v>10.0975</v>
      </c>
      <c r="D916" s="1"/>
    </row>
    <row r="917" spans="1:4" x14ac:dyDescent="0.25">
      <c r="A917" s="1">
        <v>2459106.5945100002</v>
      </c>
      <c r="B917" s="1" t="s">
        <v>2125</v>
      </c>
      <c r="C917" s="1">
        <v>10.135999999999999</v>
      </c>
      <c r="D917" s="1"/>
    </row>
    <row r="918" spans="1:4" x14ac:dyDescent="0.25">
      <c r="A918" s="1">
        <v>2459109.97364</v>
      </c>
      <c r="B918" s="1" t="s">
        <v>2126</v>
      </c>
      <c r="C918" s="1">
        <v>10.047000000000001</v>
      </c>
      <c r="D918" s="1"/>
    </row>
    <row r="919" spans="1:4" x14ac:dyDescent="0.25">
      <c r="A919" s="1">
        <v>2459111.4596799999</v>
      </c>
      <c r="B919" s="1" t="s">
        <v>2127</v>
      </c>
      <c r="C919" s="1">
        <v>10.101000000000001</v>
      </c>
      <c r="D919" s="1"/>
    </row>
    <row r="920" spans="1:4" x14ac:dyDescent="0.25">
      <c r="A920" s="1">
        <v>2459113.59375</v>
      </c>
      <c r="B920" s="1" t="s">
        <v>2128</v>
      </c>
      <c r="C920" s="1">
        <v>10.119999999999999</v>
      </c>
      <c r="D920" s="1"/>
    </row>
    <row r="921" spans="1:4" x14ac:dyDescent="0.25">
      <c r="A921" s="1">
        <v>2459115.5948600001</v>
      </c>
      <c r="B921" s="1" t="s">
        <v>2129</v>
      </c>
      <c r="C921" s="1">
        <v>10.076000000000001</v>
      </c>
      <c r="D921" s="1"/>
    </row>
    <row r="922" spans="1:4" x14ac:dyDescent="0.25">
      <c r="A922" s="1">
        <v>2459118.5957599999</v>
      </c>
      <c r="B922" s="1" t="s">
        <v>2130</v>
      </c>
      <c r="C922" s="1">
        <v>9.9849999999999994</v>
      </c>
      <c r="D922" s="1"/>
    </row>
    <row r="923" spans="1:4" x14ac:dyDescent="0.25">
      <c r="A923" s="1">
        <v>2459119.5990900001</v>
      </c>
      <c r="B923" s="1" t="s">
        <v>2131</v>
      </c>
      <c r="C923" s="1">
        <v>9.9979999999999993</v>
      </c>
      <c r="D923" s="1"/>
    </row>
    <row r="924" spans="1:4" x14ac:dyDescent="0.25">
      <c r="A924" s="1">
        <v>2459122.09418</v>
      </c>
      <c r="B924" s="1" t="s">
        <v>2132</v>
      </c>
      <c r="C924" s="1">
        <v>10.186999999999999</v>
      </c>
      <c r="D924" s="1"/>
    </row>
    <row r="925" spans="1:4" x14ac:dyDescent="0.25">
      <c r="A925" s="1">
        <v>2459123.4428699999</v>
      </c>
      <c r="B925" s="1" t="s">
        <v>2133</v>
      </c>
      <c r="C925" s="1">
        <v>10.108000000000001</v>
      </c>
      <c r="D925" s="1"/>
    </row>
    <row r="926" spans="1:4" x14ac:dyDescent="0.25">
      <c r="A926" s="1">
        <v>2459125.0929999999</v>
      </c>
      <c r="B926" s="1" t="s">
        <v>2134</v>
      </c>
      <c r="C926" s="1">
        <v>10.066000000000001</v>
      </c>
      <c r="D926" s="1"/>
    </row>
    <row r="927" spans="1:4" x14ac:dyDescent="0.25">
      <c r="A927" s="1">
        <v>2459126.5920099998</v>
      </c>
      <c r="B927" s="1" t="s">
        <v>2135</v>
      </c>
      <c r="C927" s="1">
        <v>10.055999999999999</v>
      </c>
      <c r="D927" s="1"/>
    </row>
    <row r="928" spans="1:4" x14ac:dyDescent="0.25">
      <c r="A928" s="1">
        <v>2459128.5957399998</v>
      </c>
      <c r="B928" s="1" t="s">
        <v>2136</v>
      </c>
      <c r="C928" s="1">
        <v>10.037000000000001</v>
      </c>
      <c r="D928" s="1"/>
    </row>
    <row r="929" spans="1:4" x14ac:dyDescent="0.25">
      <c r="A929" s="1">
        <v>2459130.2732299999</v>
      </c>
      <c r="B929" s="1" t="s">
        <v>2137</v>
      </c>
      <c r="C929" s="1">
        <v>10.010999999999999</v>
      </c>
      <c r="D929" s="1"/>
    </row>
    <row r="930" spans="1:4" x14ac:dyDescent="0.25">
      <c r="A930" s="1">
        <v>2459132.5751200002</v>
      </c>
      <c r="B930" s="1" t="s">
        <v>2138</v>
      </c>
      <c r="C930" s="1">
        <v>10.116</v>
      </c>
      <c r="D930" s="1"/>
    </row>
    <row r="931" spans="1:4" x14ac:dyDescent="0.25">
      <c r="A931" s="1">
        <v>2459134.9368400001</v>
      </c>
      <c r="B931" s="1" t="s">
        <v>2139</v>
      </c>
      <c r="C931" s="1">
        <v>10.045</v>
      </c>
      <c r="D931" s="1"/>
    </row>
    <row r="932" spans="1:4" x14ac:dyDescent="0.25">
      <c r="A932" s="1">
        <v>2459136.5927800001</v>
      </c>
      <c r="B932" s="1" t="s">
        <v>2140</v>
      </c>
      <c r="C932" s="1">
        <v>10.026999999999999</v>
      </c>
      <c r="D932" s="1"/>
    </row>
    <row r="933" spans="1:4" x14ac:dyDescent="0.25">
      <c r="A933" s="1">
        <v>2459138.5975199998</v>
      </c>
      <c r="B933" s="1" t="s">
        <v>2141</v>
      </c>
      <c r="C933" s="1">
        <v>9.9719999999999995</v>
      </c>
      <c r="D933" s="1"/>
    </row>
    <row r="934" spans="1:4" x14ac:dyDescent="0.25">
      <c r="A934" s="1">
        <v>2459140.5971400002</v>
      </c>
      <c r="B934" s="1" t="s">
        <v>2142</v>
      </c>
      <c r="C934" s="1">
        <v>9.9260000000000002</v>
      </c>
      <c r="D934" s="1"/>
    </row>
    <row r="935" spans="1:4" x14ac:dyDescent="0.25">
      <c r="A935" s="1">
        <v>2459142.6728099999</v>
      </c>
      <c r="B935" s="1" t="s">
        <v>2143</v>
      </c>
      <c r="C935" s="1">
        <v>9.93</v>
      </c>
      <c r="D935" s="1"/>
    </row>
    <row r="936" spans="1:4" x14ac:dyDescent="0.25">
      <c r="A936" s="1">
        <v>2459144.6684699999</v>
      </c>
      <c r="B936" s="1" t="s">
        <v>2144</v>
      </c>
      <c r="C936" s="1">
        <v>9.9250000000000007</v>
      </c>
      <c r="D936" s="1"/>
    </row>
    <row r="937" spans="1:4" x14ac:dyDescent="0.25">
      <c r="A937" s="1">
        <v>2459146.6686800001</v>
      </c>
      <c r="B937" s="1" t="s">
        <v>2145</v>
      </c>
      <c r="C937" s="1">
        <v>9.9209999999999994</v>
      </c>
      <c r="D937" s="1"/>
    </row>
    <row r="938" spans="1:4" x14ac:dyDescent="0.25">
      <c r="A938" s="1">
        <v>2459148.3565600002</v>
      </c>
      <c r="B938" s="1" t="s">
        <v>2146</v>
      </c>
      <c r="C938" s="1">
        <v>9.9480000000000004</v>
      </c>
      <c r="D938" s="1"/>
    </row>
    <row r="939" spans="1:4" x14ac:dyDescent="0.25">
      <c r="A939" s="1">
        <v>2459151.67178</v>
      </c>
      <c r="B939" s="1" t="s">
        <v>2147</v>
      </c>
      <c r="C939" s="1">
        <v>9.923</v>
      </c>
      <c r="D939" s="1"/>
    </row>
    <row r="940" spans="1:4" x14ac:dyDescent="0.25">
      <c r="A940" s="1">
        <v>2459153.6689800001</v>
      </c>
      <c r="B940" s="1" t="s">
        <v>2148</v>
      </c>
      <c r="C940" s="1">
        <v>9.9359999999999999</v>
      </c>
      <c r="D940" s="1"/>
    </row>
    <row r="941" spans="1:4" x14ac:dyDescent="0.25">
      <c r="A941" s="1">
        <v>2459159.1584700001</v>
      </c>
      <c r="B941" s="1" t="s">
        <v>2149</v>
      </c>
      <c r="C941" s="1">
        <v>9.85</v>
      </c>
      <c r="D94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4104"/>
  <sheetViews>
    <sheetView topLeftCell="A1078" zoomScale="87" zoomScaleNormal="87" workbookViewId="0">
      <selection activeCell="I1090" sqref="I1090"/>
    </sheetView>
  </sheetViews>
  <sheetFormatPr baseColWidth="10" defaultRowHeight="15" x14ac:dyDescent="0.25"/>
  <cols>
    <col min="1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8" width="12" bestFit="1" customWidth="1"/>
  </cols>
  <sheetData>
    <row r="1" spans="1:27" x14ac:dyDescent="0.25">
      <c r="A1" s="1">
        <v>2430184.2124999999</v>
      </c>
      <c r="B1" s="1" t="s">
        <v>194</v>
      </c>
      <c r="C1" s="1">
        <v>12.05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2430200.2374999998</v>
      </c>
      <c r="B2" s="1" t="s">
        <v>195</v>
      </c>
      <c r="C2" s="1">
        <v>11.737500000000001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2430215.7333300002</v>
      </c>
      <c r="B3" s="1" t="s">
        <v>196</v>
      </c>
      <c r="C3" s="1">
        <v>11.666667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2430232.1833299999</v>
      </c>
      <c r="B4" s="1" t="s">
        <v>197</v>
      </c>
      <c r="C4" s="1">
        <v>11.675000000000001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2430252.75</v>
      </c>
      <c r="B5" s="1" t="s">
        <v>198</v>
      </c>
      <c r="C5" s="1">
        <v>11.741667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2430272.2666699998</v>
      </c>
      <c r="B6" s="1" t="s">
        <v>199</v>
      </c>
      <c r="C6" s="1">
        <v>11.8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2430284.4857100002</v>
      </c>
      <c r="B7" s="1" t="s">
        <v>200</v>
      </c>
      <c r="C7" s="1">
        <v>11.585713999999999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2430314.0499999998</v>
      </c>
      <c r="B8" s="1" t="s">
        <v>201</v>
      </c>
      <c r="C8" s="1">
        <v>11.55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2435637.7000000002</v>
      </c>
      <c r="B9" s="1" t="s">
        <v>202</v>
      </c>
      <c r="C9" s="1">
        <v>11.6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2435727.7000000002</v>
      </c>
      <c r="B10" s="1" t="s">
        <v>203</v>
      </c>
      <c r="C10" s="1">
        <v>11.6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2435749.7000000002</v>
      </c>
      <c r="B11" s="1" t="s">
        <v>204</v>
      </c>
      <c r="C11" s="1">
        <v>11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2435807.7000000002</v>
      </c>
      <c r="B12" s="1" t="s">
        <v>205</v>
      </c>
      <c r="C12" s="1">
        <v>11.6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2436010.7000000002</v>
      </c>
      <c r="B13" s="1" t="s">
        <v>206</v>
      </c>
      <c r="C13" s="1">
        <v>11.7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2436026.7000000002</v>
      </c>
      <c r="B14" s="1" t="s">
        <v>207</v>
      </c>
      <c r="C14" s="1">
        <v>12.2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2436103.7999999998</v>
      </c>
      <c r="B15" s="1" t="s">
        <v>208</v>
      </c>
      <c r="C15" s="1">
        <v>11.8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2436158.7000000002</v>
      </c>
      <c r="B16" s="1" t="s">
        <v>209</v>
      </c>
      <c r="C16" s="1">
        <v>12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2436198.6</v>
      </c>
      <c r="B17" s="1" t="s">
        <v>210</v>
      </c>
      <c r="C17" s="1">
        <v>12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2436354.7999999998</v>
      </c>
      <c r="B18" s="1" t="s">
        <v>211</v>
      </c>
      <c r="C18" s="1">
        <v>11.9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2436379.7999999998</v>
      </c>
      <c r="B19" s="1" t="s">
        <v>212</v>
      </c>
      <c r="C19" s="1">
        <v>12.4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2436404.7000000002</v>
      </c>
      <c r="B20" s="1" t="s">
        <v>213</v>
      </c>
      <c r="C20" s="1">
        <v>12.2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2436454.7999999998</v>
      </c>
      <c r="B21" s="1" t="s">
        <v>214</v>
      </c>
      <c r="C21" s="1">
        <v>11.8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2436498.7000000002</v>
      </c>
      <c r="B22" s="1" t="s">
        <v>215</v>
      </c>
      <c r="C22" s="1">
        <v>11.8</v>
      </c>
      <c r="D22" s="1"/>
      <c r="E22" s="1"/>
      <c r="F22" s="1"/>
      <c r="G22" s="26">
        <v>2435000</v>
      </c>
      <c r="H22" s="25" t="e">
        <f ca="1">+[2]!JDtoDate(G22)</f>
        <v>#NAME?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2436526.6</v>
      </c>
      <c r="B23" s="1" t="s">
        <v>216</v>
      </c>
      <c r="C23" s="1">
        <v>11.9</v>
      </c>
      <c r="D23" s="1"/>
      <c r="E23" s="1"/>
      <c r="F23" s="1"/>
      <c r="G23" s="1">
        <v>2454100</v>
      </c>
      <c r="H23" s="25" t="e">
        <f ca="1">+[2]!JDtoDate(G23)</f>
        <v>#NAME?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2436671</v>
      </c>
      <c r="B24" s="1" t="s">
        <v>217</v>
      </c>
      <c r="C24" s="1">
        <v>11.8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2436720.7999999998</v>
      </c>
      <c r="B25" s="1" t="s">
        <v>218</v>
      </c>
      <c r="C25" s="1">
        <v>11.6</v>
      </c>
      <c r="D25" s="1"/>
      <c r="E25" s="1"/>
      <c r="F25" s="1"/>
      <c r="G25" s="25">
        <v>20090</v>
      </c>
      <c r="H25" s="1" t="e">
        <f ca="1">+[2]!DateToJD(G25)</f>
        <v>#NAME?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2436775.7000000002</v>
      </c>
      <c r="B26" s="1" t="s">
        <v>219</v>
      </c>
      <c r="C26" s="1">
        <v>11.6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2436839.7999999998</v>
      </c>
      <c r="B27" s="1" t="s">
        <v>220</v>
      </c>
      <c r="C27" s="1">
        <v>11.9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2436865.7000000002</v>
      </c>
      <c r="B28" s="1" t="s">
        <v>221</v>
      </c>
      <c r="C28" s="1">
        <v>12.3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2436897.6</v>
      </c>
      <c r="B29" s="1" t="s">
        <v>222</v>
      </c>
      <c r="C29" s="1">
        <v>12.4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2437106.7999999998</v>
      </c>
      <c r="B30" s="1" t="s">
        <v>223</v>
      </c>
      <c r="C30" s="1">
        <v>12.2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2437146.7000000002</v>
      </c>
      <c r="B31" s="1" t="s">
        <v>224</v>
      </c>
      <c r="C31" s="1">
        <v>12.05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2437167.9</v>
      </c>
      <c r="B32" s="1" t="s">
        <v>225</v>
      </c>
      <c r="C32" s="1">
        <v>12.6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2437189.7000000002</v>
      </c>
      <c r="B33" s="1" t="s">
        <v>226</v>
      </c>
      <c r="C33" s="1">
        <v>12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2437225.7000000002</v>
      </c>
      <c r="B34" s="1" t="s">
        <v>227</v>
      </c>
      <c r="C34" s="1">
        <v>12.5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2437257.7000000002</v>
      </c>
      <c r="B35" s="1" t="s">
        <v>228</v>
      </c>
      <c r="C35" s="1">
        <v>11.9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2437476.7999999998</v>
      </c>
      <c r="B36" s="1" t="s">
        <v>229</v>
      </c>
      <c r="C36" s="1">
        <v>11.9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2437517.7999999998</v>
      </c>
      <c r="B37" s="1" t="s">
        <v>230</v>
      </c>
      <c r="C37" s="1">
        <v>12.3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2437560.7034999998</v>
      </c>
      <c r="B38" s="1" t="s">
        <v>231</v>
      </c>
      <c r="C38" s="1">
        <v>11.6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2437846.4</v>
      </c>
      <c r="B39" s="1" t="s">
        <v>232</v>
      </c>
      <c r="C39" s="1">
        <v>11.9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2437874.7000000002</v>
      </c>
      <c r="B40" s="1" t="s">
        <v>233</v>
      </c>
      <c r="C40" s="1">
        <v>12.5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2437931.7999999998</v>
      </c>
      <c r="B41" s="1" t="s">
        <v>234</v>
      </c>
      <c r="C41" s="1">
        <v>11.8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2437958.6</v>
      </c>
      <c r="B42" s="1" t="s">
        <v>235</v>
      </c>
      <c r="C42" s="1">
        <v>12.4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2438005.7000000002</v>
      </c>
      <c r="B43" s="1" t="s">
        <v>236</v>
      </c>
      <c r="C43" s="1">
        <v>11.7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2438169.7999999998</v>
      </c>
      <c r="B44" s="1" t="s">
        <v>237</v>
      </c>
      <c r="C44" s="1">
        <v>11.8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2438211.7999999998</v>
      </c>
      <c r="B45" s="1" t="s">
        <v>238</v>
      </c>
      <c r="C45" s="1">
        <v>11.6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2438236.7000000002</v>
      </c>
      <c r="B46" s="1" t="s">
        <v>239</v>
      </c>
      <c r="C46" s="1">
        <v>11.8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2438290.7000000002</v>
      </c>
      <c r="B47" s="1" t="s">
        <v>240</v>
      </c>
      <c r="C47" s="1">
        <v>12.5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2438327.7000000002</v>
      </c>
      <c r="B48" s="1" t="s">
        <v>241</v>
      </c>
      <c r="C48" s="1">
        <v>11.9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2438356.6</v>
      </c>
      <c r="B49" s="1" t="s">
        <v>242</v>
      </c>
      <c r="C49" s="1">
        <v>12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2438538.7999999998</v>
      </c>
      <c r="B50" s="1" t="s">
        <v>243</v>
      </c>
      <c r="C50" s="1">
        <v>13.3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2438574.7999999998</v>
      </c>
      <c r="B51" s="1" t="s">
        <v>244</v>
      </c>
      <c r="C51" s="1">
        <v>12.7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2438592.7000000002</v>
      </c>
      <c r="B52" s="1" t="s">
        <v>245</v>
      </c>
      <c r="C52" s="1">
        <v>12.3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2438621.7000000002</v>
      </c>
      <c r="B53" s="1" t="s">
        <v>246</v>
      </c>
      <c r="C53" s="1">
        <v>12.5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2438670.3333299998</v>
      </c>
      <c r="B54" s="1" t="s">
        <v>247</v>
      </c>
      <c r="C54" s="1">
        <v>12.5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2438688.65</v>
      </c>
      <c r="B55" s="1" t="s">
        <v>248</v>
      </c>
      <c r="C55" s="1">
        <v>12.4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2438707.6</v>
      </c>
      <c r="B56" s="1" t="s">
        <v>249</v>
      </c>
      <c r="C56" s="1">
        <v>12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2438718.6</v>
      </c>
      <c r="B57" s="1" t="s">
        <v>250</v>
      </c>
      <c r="C57" s="1">
        <v>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2438737.5750000002</v>
      </c>
      <c r="B58" s="1" t="s">
        <v>251</v>
      </c>
      <c r="C58" s="1">
        <v>12.324999999999999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2438857.85</v>
      </c>
      <c r="B59" s="1" t="s">
        <v>252</v>
      </c>
      <c r="C59" s="1">
        <v>11.35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2438879.7999999998</v>
      </c>
      <c r="B60" s="1" t="s">
        <v>253</v>
      </c>
      <c r="C60" s="1">
        <v>11.2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2438910.7999999998</v>
      </c>
      <c r="B61" s="1" t="s">
        <v>254</v>
      </c>
      <c r="C61" s="1">
        <v>11.933332999999999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2438922.1800000002</v>
      </c>
      <c r="B62" s="1" t="s">
        <v>255</v>
      </c>
      <c r="C62" s="1">
        <v>11.92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2438935.2777800001</v>
      </c>
      <c r="B63" s="1" t="s">
        <v>256</v>
      </c>
      <c r="C63" s="1">
        <v>11.866667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2438954</v>
      </c>
      <c r="B64" s="1" t="s">
        <v>257</v>
      </c>
      <c r="C64" s="1">
        <v>12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2438971.2230799999</v>
      </c>
      <c r="B65" s="1" t="s">
        <v>258</v>
      </c>
      <c r="C65" s="1">
        <v>11.746154000000001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2438985.25</v>
      </c>
      <c r="B66" s="1" t="s">
        <v>259</v>
      </c>
      <c r="C66" s="1">
        <v>11.925000000000001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2439001.4636400002</v>
      </c>
      <c r="B67" s="1" t="s">
        <v>260</v>
      </c>
      <c r="C67" s="1">
        <v>11.9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2439027.6</v>
      </c>
      <c r="B68" s="1" t="s">
        <v>261</v>
      </c>
      <c r="C68" s="1">
        <v>11.5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2439035.88</v>
      </c>
      <c r="B69" s="1" t="s">
        <v>262</v>
      </c>
      <c r="C69" s="1">
        <v>11.96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2439056.70909</v>
      </c>
      <c r="B70" s="1" t="s">
        <v>263</v>
      </c>
      <c r="C70" s="1">
        <v>11.954545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2439070.5666700001</v>
      </c>
      <c r="B71" s="1" t="s">
        <v>264</v>
      </c>
      <c r="C71" s="1">
        <v>12.133333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2439095.5</v>
      </c>
      <c r="B72" s="1" t="s">
        <v>265</v>
      </c>
      <c r="C72" s="1">
        <v>12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2439123.5</v>
      </c>
      <c r="B73" s="1" t="s">
        <v>266</v>
      </c>
      <c r="C73" s="1">
        <v>12.2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2439173.6666700002</v>
      </c>
      <c r="B74" s="1" t="s">
        <v>267</v>
      </c>
      <c r="C74" s="1">
        <v>12.066667000000001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2439185.2000000002</v>
      </c>
      <c r="B75" s="1" t="s">
        <v>268</v>
      </c>
      <c r="C75" s="1">
        <v>12.1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2439208.3142900001</v>
      </c>
      <c r="B76" s="1" t="s">
        <v>269</v>
      </c>
      <c r="C76" s="1">
        <v>11.971429000000001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2439223.125</v>
      </c>
      <c r="B77" s="1" t="s">
        <v>270</v>
      </c>
      <c r="C77" s="1">
        <v>11.987500000000001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2439242.1</v>
      </c>
      <c r="B78" s="1" t="s">
        <v>271</v>
      </c>
      <c r="C78" s="1">
        <v>11.887499999999999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2439253.35</v>
      </c>
      <c r="B79" s="1" t="s">
        <v>272</v>
      </c>
      <c r="C79" s="1">
        <v>11.95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2439270.75385</v>
      </c>
      <c r="B80" s="1" t="s">
        <v>273</v>
      </c>
      <c r="C80" s="1">
        <v>11.776923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2439289.28571</v>
      </c>
      <c r="B81" s="1" t="s">
        <v>274</v>
      </c>
      <c r="C81" s="1">
        <v>11.728571000000001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2439309.3666699999</v>
      </c>
      <c r="B82" s="1" t="s">
        <v>275</v>
      </c>
      <c r="C82" s="1">
        <v>11.844443999999999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2439326.8083299999</v>
      </c>
      <c r="B83" s="1" t="s">
        <v>276</v>
      </c>
      <c r="C83" s="1">
        <v>11.841666999999999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2439342.125</v>
      </c>
      <c r="B84" s="1" t="s">
        <v>277</v>
      </c>
      <c r="C84" s="1">
        <v>11.862500000000001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2439357.5428599999</v>
      </c>
      <c r="B85" s="1" t="s">
        <v>278</v>
      </c>
      <c r="C85" s="1">
        <v>11.914286000000001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2439371.9750000001</v>
      </c>
      <c r="B86" s="1" t="s">
        <v>279</v>
      </c>
      <c r="C86" s="1">
        <v>11.95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2439388.75</v>
      </c>
      <c r="B87" s="1" t="s">
        <v>280</v>
      </c>
      <c r="C87" s="1">
        <v>11.933332999999999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2439406.85</v>
      </c>
      <c r="B88" s="1" t="s">
        <v>281</v>
      </c>
      <c r="C88" s="1">
        <v>11.966666999999999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2439426.1</v>
      </c>
      <c r="B89" s="1" t="s">
        <v>282</v>
      </c>
      <c r="C89" s="1">
        <v>12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2439442.6</v>
      </c>
      <c r="B90" s="1" t="s">
        <v>283</v>
      </c>
      <c r="C90" s="1">
        <v>12.15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2439460</v>
      </c>
      <c r="B91" s="1" t="s">
        <v>284</v>
      </c>
      <c r="C91" s="1">
        <v>12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2439474.5666700001</v>
      </c>
      <c r="B92" s="1" t="s">
        <v>285</v>
      </c>
      <c r="C92" s="1">
        <v>12.033333000000001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2439567.9</v>
      </c>
      <c r="B93" s="1" t="s">
        <v>286</v>
      </c>
      <c r="C93" s="1">
        <v>11.9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2439581.15</v>
      </c>
      <c r="B94" s="1" t="s">
        <v>287</v>
      </c>
      <c r="C94" s="1">
        <v>11.824999999999999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2439592.3285699999</v>
      </c>
      <c r="B95" s="1" t="s">
        <v>288</v>
      </c>
      <c r="C95" s="1">
        <v>11.871428999999999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2439611.2571399999</v>
      </c>
      <c r="B96" s="1" t="s">
        <v>289</v>
      </c>
      <c r="C96" s="1">
        <v>11.728571000000001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2439625.2999999998</v>
      </c>
      <c r="B97" s="1" t="s">
        <v>290</v>
      </c>
      <c r="C97" s="1">
        <v>11.75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2439641.0538499998</v>
      </c>
      <c r="B98" s="1" t="s">
        <v>291</v>
      </c>
      <c r="C98" s="1">
        <v>11.607692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2439660.03333</v>
      </c>
      <c r="B99" s="1" t="s">
        <v>292</v>
      </c>
      <c r="C99" s="1">
        <v>11.933332999999999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2439674.7000000002</v>
      </c>
      <c r="B100" s="1" t="s">
        <v>293</v>
      </c>
      <c r="C100" s="1">
        <v>11.8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2439692.1749999998</v>
      </c>
      <c r="B101" s="1" t="s">
        <v>294</v>
      </c>
      <c r="C101" s="1">
        <v>11.75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2439711.25</v>
      </c>
      <c r="B102" s="1" t="s">
        <v>295</v>
      </c>
      <c r="C102" s="1">
        <v>11.7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2439735.8374999999</v>
      </c>
      <c r="B103" s="1" t="s">
        <v>296</v>
      </c>
      <c r="C103" s="1">
        <v>11.8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2439750.2000000002</v>
      </c>
      <c r="B104" s="1" t="s">
        <v>297</v>
      </c>
      <c r="C104" s="1">
        <v>11.783333000000001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2439766.71667</v>
      </c>
      <c r="B105" s="1" t="s">
        <v>298</v>
      </c>
      <c r="C105" s="1">
        <v>11.666667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2439786.35</v>
      </c>
      <c r="B106" s="1" t="s">
        <v>299</v>
      </c>
      <c r="C106" s="1">
        <v>11.2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2439798.0666700001</v>
      </c>
      <c r="B107" s="1" t="s">
        <v>300</v>
      </c>
      <c r="C107" s="1">
        <v>11.116667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2439816.9500000002</v>
      </c>
      <c r="B108" s="1" t="s">
        <v>301</v>
      </c>
      <c r="C108" s="1">
        <v>11.1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2439915.4</v>
      </c>
      <c r="B109" s="1" t="s">
        <v>302</v>
      </c>
      <c r="C109" s="1">
        <v>10.15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2439928.9</v>
      </c>
      <c r="B110" s="1" t="s">
        <v>303</v>
      </c>
      <c r="C110" s="1">
        <v>10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2439948.6666700002</v>
      </c>
      <c r="B111" s="1" t="s">
        <v>304</v>
      </c>
      <c r="C111" s="1">
        <v>10.433332999999999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2439976.1333300001</v>
      </c>
      <c r="B112" s="1" t="s">
        <v>305</v>
      </c>
      <c r="C112" s="1">
        <v>10.766667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2440000.3312499998</v>
      </c>
      <c r="B113" s="1" t="s">
        <v>306</v>
      </c>
      <c r="C113" s="1">
        <v>11.05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2440019.0520000001</v>
      </c>
      <c r="B114" s="1" t="s">
        <v>307</v>
      </c>
      <c r="C114" s="1">
        <v>10.96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2440037.378</v>
      </c>
      <c r="B115" s="1" t="s">
        <v>308</v>
      </c>
      <c r="C115" s="1">
        <v>11.13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2440057.1549999998</v>
      </c>
      <c r="B116" s="1" t="s">
        <v>309</v>
      </c>
      <c r="C116" s="1">
        <v>10.975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2440067.3450000002</v>
      </c>
      <c r="B117" s="1" t="s">
        <v>310</v>
      </c>
      <c r="C117" s="1">
        <v>11.166667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2440088.622</v>
      </c>
      <c r="B118" s="1" t="s">
        <v>311</v>
      </c>
      <c r="C118" s="1">
        <v>11.16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2440106.2650000001</v>
      </c>
      <c r="B119" s="1" t="s">
        <v>312</v>
      </c>
      <c r="C119" s="1">
        <v>11.233333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2440121.8276900002</v>
      </c>
      <c r="B120" s="1" t="s">
        <v>313</v>
      </c>
      <c r="C120" s="1">
        <v>11.407692000000001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2440140.0649999999</v>
      </c>
      <c r="B121" s="1" t="s">
        <v>314</v>
      </c>
      <c r="C121" s="1">
        <v>11.5875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2440158.00667</v>
      </c>
      <c r="B122" s="1" t="s">
        <v>315</v>
      </c>
      <c r="C122" s="1">
        <v>11.7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2440177.946</v>
      </c>
      <c r="B123" s="1" t="s">
        <v>316</v>
      </c>
      <c r="C123" s="1">
        <v>11.68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2440198.4849999999</v>
      </c>
      <c r="B124" s="1" t="s">
        <v>317</v>
      </c>
      <c r="C124" s="1">
        <v>11.65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2440265.7999999998</v>
      </c>
      <c r="B125" s="1" t="s">
        <v>318</v>
      </c>
      <c r="C125" s="1">
        <v>11.7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2440297.4</v>
      </c>
      <c r="B126" s="1" t="s">
        <v>319</v>
      </c>
      <c r="C126" s="1">
        <v>11.7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2440328.3166700001</v>
      </c>
      <c r="B127" s="1" t="s">
        <v>320</v>
      </c>
      <c r="C127" s="1">
        <v>11.516667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2440355.0249999999</v>
      </c>
      <c r="B128" s="1" t="s">
        <v>321</v>
      </c>
      <c r="C128" s="1">
        <v>11.55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2440372.4500000002</v>
      </c>
      <c r="B129" s="1" t="s">
        <v>322</v>
      </c>
      <c r="C129" s="1">
        <v>11.85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2440386.25556</v>
      </c>
      <c r="B130" s="1" t="s">
        <v>323</v>
      </c>
      <c r="C130" s="1">
        <v>11.433332999999999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2440406.6749999998</v>
      </c>
      <c r="B131" s="1" t="s">
        <v>324</v>
      </c>
      <c r="C131" s="1">
        <v>11.574999999999999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2440421.6800000002</v>
      </c>
      <c r="B132" s="1" t="s">
        <v>325</v>
      </c>
      <c r="C132" s="1">
        <v>11.58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2440439.7000000002</v>
      </c>
      <c r="B133" s="1" t="s">
        <v>326</v>
      </c>
      <c r="C133" s="1">
        <v>11.5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2440457.875</v>
      </c>
      <c r="B134" s="1" t="s">
        <v>327</v>
      </c>
      <c r="C134" s="1">
        <v>11.6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2440478.3111100001</v>
      </c>
      <c r="B135" s="1" t="s">
        <v>328</v>
      </c>
      <c r="C135" s="1">
        <v>11.544444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2440494.5857099998</v>
      </c>
      <c r="B136" s="1" t="s">
        <v>329</v>
      </c>
      <c r="C136" s="1">
        <v>11.614286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2440510.1666700002</v>
      </c>
      <c r="B137" s="1" t="s">
        <v>330</v>
      </c>
      <c r="C137" s="1">
        <v>11.555555999999999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2440528.15</v>
      </c>
      <c r="B138" s="1" t="s">
        <v>331</v>
      </c>
      <c r="C138" s="1">
        <v>11.425000000000001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2440550.1285700002</v>
      </c>
      <c r="B139" s="1" t="s">
        <v>332</v>
      </c>
      <c r="C139" s="1">
        <v>11.328571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2440568</v>
      </c>
      <c r="B140" s="1" t="s">
        <v>333</v>
      </c>
      <c r="C140" s="1">
        <v>11.15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2440591.53333</v>
      </c>
      <c r="B141" s="1" t="s">
        <v>334</v>
      </c>
      <c r="C141" s="1">
        <v>11.066667000000001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2440639.4500000002</v>
      </c>
      <c r="B142" s="1" t="s">
        <v>335</v>
      </c>
      <c r="C142" s="1">
        <v>11.1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2440656.35</v>
      </c>
      <c r="B143" s="1" t="s">
        <v>336</v>
      </c>
      <c r="C143" s="1">
        <v>10.95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2440685.7799999998</v>
      </c>
      <c r="B144" s="1" t="s">
        <v>337</v>
      </c>
      <c r="C144" s="1">
        <v>11.12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2440699.7000000002</v>
      </c>
      <c r="B145" s="1" t="s">
        <v>338</v>
      </c>
      <c r="C145" s="1">
        <v>11.1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2440716.7999999998</v>
      </c>
      <c r="B146" s="1" t="s">
        <v>339</v>
      </c>
      <c r="C146" s="1">
        <v>11.3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2440738.5625</v>
      </c>
      <c r="B147" s="1" t="s">
        <v>340</v>
      </c>
      <c r="C147" s="1">
        <v>11.225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2440754.8285699999</v>
      </c>
      <c r="B148" s="1" t="s">
        <v>341</v>
      </c>
      <c r="C148" s="1">
        <v>11.357143000000001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2440772.2999999998</v>
      </c>
      <c r="B149" s="1" t="s">
        <v>342</v>
      </c>
      <c r="C149" s="1">
        <v>11.3375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2440788.2999999998</v>
      </c>
      <c r="B150" s="1" t="s">
        <v>343</v>
      </c>
      <c r="C150" s="1">
        <v>11.566667000000001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2440805.5</v>
      </c>
      <c r="B151" s="1" t="s">
        <v>344</v>
      </c>
      <c r="C151" s="1">
        <v>11.58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2440828</v>
      </c>
      <c r="B152" s="1" t="s">
        <v>345</v>
      </c>
      <c r="C152" s="1">
        <v>11.62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2440842.3333299998</v>
      </c>
      <c r="B153" s="1" t="s">
        <v>346</v>
      </c>
      <c r="C153" s="1">
        <v>11.566667000000001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2440861.2333300002</v>
      </c>
      <c r="B154" s="1" t="s">
        <v>347</v>
      </c>
      <c r="C154" s="1">
        <v>11.7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2440880.125</v>
      </c>
      <c r="B155" s="1" t="s">
        <v>348</v>
      </c>
      <c r="C155" s="1">
        <v>11.7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2440891.58</v>
      </c>
      <c r="B156" s="1" t="s">
        <v>349</v>
      </c>
      <c r="C156" s="1">
        <v>11.86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2440910.9</v>
      </c>
      <c r="B157" s="1" t="s">
        <v>350</v>
      </c>
      <c r="C157" s="1">
        <v>11.666667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2440929.8666699999</v>
      </c>
      <c r="B158" s="1" t="s">
        <v>351</v>
      </c>
      <c r="C158" s="1">
        <v>11.833333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2440951.8666699999</v>
      </c>
      <c r="B159" s="1" t="s">
        <v>352</v>
      </c>
      <c r="C159" s="1">
        <v>11.6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2441006.9</v>
      </c>
      <c r="B160" s="1" t="s">
        <v>353</v>
      </c>
      <c r="C160" s="1">
        <v>11.6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2441030.7999999998</v>
      </c>
      <c r="B161" s="1" t="s">
        <v>354</v>
      </c>
      <c r="C161" s="1">
        <v>11.5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2441042.6166699999</v>
      </c>
      <c r="B162" s="1" t="s">
        <v>355</v>
      </c>
      <c r="C162" s="1">
        <v>11.516667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2441066.6666700002</v>
      </c>
      <c r="B163" s="1" t="s">
        <v>356</v>
      </c>
      <c r="C163" s="1">
        <v>11.633333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2441082.6749999998</v>
      </c>
      <c r="B164" s="1" t="s">
        <v>357</v>
      </c>
      <c r="C164" s="1">
        <v>11.824999999999999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2441101.2999999998</v>
      </c>
      <c r="B165" s="1" t="s">
        <v>358</v>
      </c>
      <c r="C165" s="1">
        <v>11.64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2441118.84778</v>
      </c>
      <c r="B166" s="1" t="s">
        <v>359</v>
      </c>
      <c r="C166" s="1">
        <v>11.555555999999999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2441142.22438</v>
      </c>
      <c r="B167" s="1" t="s">
        <v>360</v>
      </c>
      <c r="C167" s="1">
        <v>11.668749999999999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2441160.6657099999</v>
      </c>
      <c r="B168" s="1" t="s">
        <v>361</v>
      </c>
      <c r="C168" s="1">
        <v>11.614286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2441177.1778600002</v>
      </c>
      <c r="B169" s="1" t="s">
        <v>362</v>
      </c>
      <c r="C169" s="1">
        <v>11.607143000000001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2441201.088</v>
      </c>
      <c r="B170" s="1" t="s">
        <v>363</v>
      </c>
      <c r="C170" s="1">
        <v>11.36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2441213.0980000002</v>
      </c>
      <c r="B171" s="1" t="s">
        <v>364</v>
      </c>
      <c r="C171" s="1">
        <v>11.47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2441233.8739999998</v>
      </c>
      <c r="B172" s="1" t="s">
        <v>365</v>
      </c>
      <c r="C172" s="1">
        <v>11.27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2441247.7376899999</v>
      </c>
      <c r="B173" s="1" t="s">
        <v>366</v>
      </c>
      <c r="C173" s="1">
        <v>11.223077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2441264.62818</v>
      </c>
      <c r="B174" s="1" t="s">
        <v>367</v>
      </c>
      <c r="C174" s="1">
        <v>11.027272999999999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2441280.4333299999</v>
      </c>
      <c r="B175" s="1" t="s">
        <v>368</v>
      </c>
      <c r="C175" s="1">
        <v>10.983333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2441296.2822199999</v>
      </c>
      <c r="B176" s="1" t="s">
        <v>369</v>
      </c>
      <c r="C176" s="1">
        <v>10.988889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2441326.5249999999</v>
      </c>
      <c r="B177" s="1" t="s">
        <v>370</v>
      </c>
      <c r="C177" s="1">
        <v>10.95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2441398.66</v>
      </c>
      <c r="B178" s="1" t="s">
        <v>371</v>
      </c>
      <c r="C178" s="1">
        <v>10.533333000000001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2441410.96667</v>
      </c>
      <c r="B179" s="1" t="s">
        <v>372</v>
      </c>
      <c r="C179" s="1">
        <v>10.666667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2441427.52</v>
      </c>
      <c r="B180" s="1" t="s">
        <v>373</v>
      </c>
      <c r="C180" s="1">
        <v>10.86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2441443.9133299999</v>
      </c>
      <c r="B181" s="1" t="s">
        <v>374</v>
      </c>
      <c r="C181" s="1">
        <v>10.6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2441462.3250000002</v>
      </c>
      <c r="B182" s="1" t="s">
        <v>375</v>
      </c>
      <c r="C182" s="1">
        <v>11.0375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2441475.8640000001</v>
      </c>
      <c r="B183" s="1" t="s">
        <v>376</v>
      </c>
      <c r="C183" s="1">
        <v>10.88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2441495.4240000001</v>
      </c>
      <c r="B184" s="1" t="s">
        <v>377</v>
      </c>
      <c r="C184" s="1">
        <v>11.02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2441510.02</v>
      </c>
      <c r="B185" s="1" t="s">
        <v>378</v>
      </c>
      <c r="C185" s="1">
        <v>11.12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2441528.68909</v>
      </c>
      <c r="B186" s="1" t="s">
        <v>379</v>
      </c>
      <c r="C186" s="1">
        <v>11.154545000000001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2441545.8199999998</v>
      </c>
      <c r="B187" s="1" t="s">
        <v>380</v>
      </c>
      <c r="C187" s="1">
        <v>11.32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2441563.9</v>
      </c>
      <c r="B188" s="1" t="s">
        <v>381</v>
      </c>
      <c r="C188" s="1">
        <v>11.375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2441581.2583300001</v>
      </c>
      <c r="B189" s="1" t="s">
        <v>382</v>
      </c>
      <c r="C189" s="1">
        <v>11.45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2441596.9481799998</v>
      </c>
      <c r="B190" s="1" t="s">
        <v>383</v>
      </c>
      <c r="C190" s="1">
        <v>11.336364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2441615.5074999998</v>
      </c>
      <c r="B191" s="1" t="s">
        <v>384</v>
      </c>
      <c r="C191" s="1">
        <v>11.2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2441632.6433299999</v>
      </c>
      <c r="B192" s="1" t="s">
        <v>385</v>
      </c>
      <c r="C192" s="1">
        <v>11.3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2441646.8428600002</v>
      </c>
      <c r="B193" s="1" t="s">
        <v>386</v>
      </c>
      <c r="C193" s="1">
        <v>11.214286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2441664.9683300001</v>
      </c>
      <c r="B194" s="1" t="s">
        <v>387</v>
      </c>
      <c r="C194" s="1">
        <v>11.183332999999999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2441686.1375000002</v>
      </c>
      <c r="B195" s="1" t="s">
        <v>388</v>
      </c>
      <c r="C195" s="1">
        <v>11.1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2441727.9</v>
      </c>
      <c r="B196" s="1" t="s">
        <v>389</v>
      </c>
      <c r="C196" s="1">
        <v>11.4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2441751.63</v>
      </c>
      <c r="B197" s="1" t="s">
        <v>390</v>
      </c>
      <c r="C197" s="1">
        <v>10.5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2441760.8333299998</v>
      </c>
      <c r="B198" s="1" t="s">
        <v>391</v>
      </c>
      <c r="C198" s="1">
        <v>10.7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2441787.7999999998</v>
      </c>
      <c r="B199" s="1" t="s">
        <v>392</v>
      </c>
      <c r="C199" s="1">
        <v>10.9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2441804.5499999998</v>
      </c>
      <c r="B200" s="1" t="s">
        <v>393</v>
      </c>
      <c r="C200" s="1">
        <v>10.833333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2441829.38</v>
      </c>
      <c r="B201" s="1" t="s">
        <v>394</v>
      </c>
      <c r="C201" s="1">
        <v>10.5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2441842.8555600001</v>
      </c>
      <c r="B202" s="1" t="s">
        <v>395</v>
      </c>
      <c r="C202" s="1">
        <v>11.088889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2441858.2628600001</v>
      </c>
      <c r="B203" s="1" t="s">
        <v>396</v>
      </c>
      <c r="C203" s="1">
        <v>11.071429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2441873.59571</v>
      </c>
      <c r="B204" s="1" t="s">
        <v>397</v>
      </c>
      <c r="C204" s="1">
        <v>11.271428999999999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2441895.2658299999</v>
      </c>
      <c r="B205" s="1" t="s">
        <v>398</v>
      </c>
      <c r="C205" s="1">
        <v>11.341666999999999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2441910.9720000001</v>
      </c>
      <c r="B206" s="1" t="s">
        <v>399</v>
      </c>
      <c r="C206" s="1">
        <v>11.53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2441931.8829999999</v>
      </c>
      <c r="B207" s="1" t="s">
        <v>400</v>
      </c>
      <c r="C207" s="1">
        <v>11.64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2441947.25667</v>
      </c>
      <c r="B208" s="1" t="s">
        <v>401</v>
      </c>
      <c r="C208" s="1">
        <v>11.6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2441963.8333299998</v>
      </c>
      <c r="B209" s="1" t="s">
        <v>402</v>
      </c>
      <c r="C209" s="1">
        <v>11.733333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2441980.68444</v>
      </c>
      <c r="B210" s="1" t="s">
        <v>403</v>
      </c>
      <c r="C210" s="1">
        <v>11.688889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2441999.1</v>
      </c>
      <c r="B211" s="1" t="s">
        <v>404</v>
      </c>
      <c r="C211" s="1">
        <v>11.75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2442016.36</v>
      </c>
      <c r="B212" s="1" t="s">
        <v>405</v>
      </c>
      <c r="C212" s="1">
        <v>11.62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2442033.8840000001</v>
      </c>
      <c r="B213" s="1" t="s">
        <v>406</v>
      </c>
      <c r="C213" s="1">
        <v>11.72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2442060.5</v>
      </c>
      <c r="B214" s="1" t="s">
        <v>407</v>
      </c>
      <c r="C214" s="1">
        <v>11.9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2442162.4562499998</v>
      </c>
      <c r="B215" s="1" t="s">
        <v>408</v>
      </c>
      <c r="C215" s="1">
        <v>11.975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2442187.1166699999</v>
      </c>
      <c r="B216" s="1" t="s">
        <v>409</v>
      </c>
      <c r="C216" s="1">
        <v>12.05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2442216.4024999999</v>
      </c>
      <c r="B217" s="1" t="s">
        <v>410</v>
      </c>
      <c r="C217" s="1">
        <v>11.987500000000001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2442232.2914300002</v>
      </c>
      <c r="B218" s="1" t="s">
        <v>411</v>
      </c>
      <c r="C218" s="1">
        <v>12.185714000000001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2442248.4146199999</v>
      </c>
      <c r="B219" s="1" t="s">
        <v>412</v>
      </c>
      <c r="C219" s="1">
        <v>12.107692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2442264.5520000001</v>
      </c>
      <c r="B220" s="1" t="s">
        <v>413</v>
      </c>
      <c r="C220" s="1">
        <v>12.14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2442276.6329999999</v>
      </c>
      <c r="B221" s="1" t="s">
        <v>414</v>
      </c>
      <c r="C221" s="1">
        <v>12.08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2442299.6179999998</v>
      </c>
      <c r="B222" s="1" t="s">
        <v>415</v>
      </c>
      <c r="C222" s="1">
        <v>12.31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2442316.02</v>
      </c>
      <c r="B223" s="1" t="s">
        <v>416</v>
      </c>
      <c r="C223" s="1">
        <v>12.46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2442331.9</v>
      </c>
      <c r="B224" s="1" t="s">
        <v>417</v>
      </c>
      <c r="C224" s="1">
        <v>12.314285999999999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2442350.2000000002</v>
      </c>
      <c r="B225" s="1" t="s">
        <v>418</v>
      </c>
      <c r="C225" s="1">
        <v>12.38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2442365.1222199998</v>
      </c>
      <c r="B226" s="1" t="s">
        <v>419</v>
      </c>
      <c r="C226" s="1">
        <v>12.322222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2442382.7749999999</v>
      </c>
      <c r="B227" s="1" t="s">
        <v>420</v>
      </c>
      <c r="C227" s="1">
        <v>12.35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2442400.5</v>
      </c>
      <c r="B228" s="1" t="s">
        <v>421</v>
      </c>
      <c r="C228" s="1">
        <v>12.366667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2442417.1749999998</v>
      </c>
      <c r="B229" s="1" t="s">
        <v>422</v>
      </c>
      <c r="C229" s="1">
        <v>12.4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2442518.1</v>
      </c>
      <c r="B230" s="1" t="s">
        <v>423</v>
      </c>
      <c r="C230" s="1">
        <v>11.975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2442538.4888900002</v>
      </c>
      <c r="B231" s="1" t="s">
        <v>424</v>
      </c>
      <c r="C231" s="1">
        <v>12.066667000000001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2442556.66</v>
      </c>
      <c r="B232" s="1" t="s">
        <v>425</v>
      </c>
      <c r="C232" s="1">
        <v>11.86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2442573.023</v>
      </c>
      <c r="B233" s="1" t="s">
        <v>426</v>
      </c>
      <c r="C233" s="1">
        <v>11.99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2442593.4142900002</v>
      </c>
      <c r="B234" s="1" t="s">
        <v>427</v>
      </c>
      <c r="C234" s="1">
        <v>11.857143000000001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2442604.0685700001</v>
      </c>
      <c r="B235" s="1" t="s">
        <v>428</v>
      </c>
      <c r="C235" s="1">
        <v>11.8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2442624.04</v>
      </c>
      <c r="B236" s="1" t="s">
        <v>429</v>
      </c>
      <c r="C236" s="1">
        <v>11.685714000000001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2442633.8388899998</v>
      </c>
      <c r="B237" s="1" t="s">
        <v>430</v>
      </c>
      <c r="C237" s="1">
        <v>11.922222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2442656.9861499998</v>
      </c>
      <c r="B238" s="1" t="s">
        <v>431</v>
      </c>
      <c r="C238" s="1">
        <v>11.807691999999999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2442669.1933300002</v>
      </c>
      <c r="B239" s="1" t="s">
        <v>432</v>
      </c>
      <c r="C239" s="1">
        <v>11.666667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2442687.7599999998</v>
      </c>
      <c r="B240" s="1" t="s">
        <v>433</v>
      </c>
      <c r="C240" s="1">
        <v>11.85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2442707.2827300001</v>
      </c>
      <c r="B241" s="1" t="s">
        <v>434</v>
      </c>
      <c r="C241" s="1">
        <v>11.827273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2442719.0499999998</v>
      </c>
      <c r="B242" s="1" t="s">
        <v>435</v>
      </c>
      <c r="C242" s="1">
        <v>11.8375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2442734.6175000002</v>
      </c>
      <c r="B243" s="1" t="s">
        <v>436</v>
      </c>
      <c r="C243" s="1">
        <v>11.8125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2442750.3666699999</v>
      </c>
      <c r="B244" s="1" t="s">
        <v>437</v>
      </c>
      <c r="C244" s="1">
        <v>11.883333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2442770.53333</v>
      </c>
      <c r="B245" s="1" t="s">
        <v>438</v>
      </c>
      <c r="C245" s="1">
        <v>12.066667000000001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2442781</v>
      </c>
      <c r="B246" s="1" t="s">
        <v>439</v>
      </c>
      <c r="C246" s="1">
        <v>12.05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2442829.9</v>
      </c>
      <c r="B247" s="1" t="s">
        <v>440</v>
      </c>
      <c r="C247" s="1">
        <v>12.4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2442874</v>
      </c>
      <c r="B248" s="1" t="s">
        <v>441</v>
      </c>
      <c r="C248" s="1">
        <v>11.8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2442896.7533300002</v>
      </c>
      <c r="B249" s="1" t="s">
        <v>442</v>
      </c>
      <c r="C249" s="1">
        <v>12.1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2442922.6</v>
      </c>
      <c r="B250" s="1" t="s">
        <v>443</v>
      </c>
      <c r="C250" s="1">
        <v>12.15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2442935</v>
      </c>
      <c r="B251" s="1" t="s">
        <v>444</v>
      </c>
      <c r="C251" s="1">
        <v>12.25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2442954.92</v>
      </c>
      <c r="B252" s="1" t="s">
        <v>445</v>
      </c>
      <c r="C252" s="1">
        <v>12.24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2442966.6714300001</v>
      </c>
      <c r="B253" s="1" t="s">
        <v>446</v>
      </c>
      <c r="C253" s="1">
        <v>12.285714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2442983.8666699999</v>
      </c>
      <c r="B254" s="1" t="s">
        <v>447</v>
      </c>
      <c r="C254" s="1">
        <v>12.233333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2442998.66</v>
      </c>
      <c r="B255" s="1" t="s">
        <v>448</v>
      </c>
      <c r="C255" s="1">
        <v>12.27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2443016.3363600001</v>
      </c>
      <c r="B256" s="1" t="s">
        <v>449</v>
      </c>
      <c r="C256" s="1">
        <v>12.136364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2443034.2944999998</v>
      </c>
      <c r="B257" s="1" t="s">
        <v>450</v>
      </c>
      <c r="C257" s="1">
        <v>12.3375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2443049.7250000001</v>
      </c>
      <c r="B258" s="1" t="s">
        <v>451</v>
      </c>
      <c r="C258" s="1">
        <v>12.4375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2443065.3285699999</v>
      </c>
      <c r="B259" s="1" t="s">
        <v>452</v>
      </c>
      <c r="C259" s="1">
        <v>12.314285999999999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2443084.4</v>
      </c>
      <c r="B260" s="1" t="s">
        <v>453</v>
      </c>
      <c r="C260" s="1">
        <v>12.383333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2443099.7599999998</v>
      </c>
      <c r="B261" s="1" t="s">
        <v>454</v>
      </c>
      <c r="C261" s="1">
        <v>12.44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2443114.54</v>
      </c>
      <c r="B262" s="1" t="s">
        <v>455</v>
      </c>
      <c r="C262" s="1">
        <v>12.42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2443132.5</v>
      </c>
      <c r="B263" s="1" t="s">
        <v>456</v>
      </c>
      <c r="C263" s="1">
        <v>12.45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2443204.9500000002</v>
      </c>
      <c r="B264" s="1" t="s">
        <v>457</v>
      </c>
      <c r="C264" s="1">
        <v>12.3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2443229.9</v>
      </c>
      <c r="B265" s="1" t="s">
        <v>458</v>
      </c>
      <c r="C265" s="1">
        <v>12.4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2443253.85</v>
      </c>
      <c r="B266" s="1" t="s">
        <v>459</v>
      </c>
      <c r="C266" s="1">
        <v>12.1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2443280.0249999999</v>
      </c>
      <c r="B267" s="1" t="s">
        <v>460</v>
      </c>
      <c r="C267" s="1">
        <v>12.15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2443293.8250000002</v>
      </c>
      <c r="B268" s="1" t="s">
        <v>461</v>
      </c>
      <c r="C268" s="1">
        <v>12.175000000000001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2443308.5874999999</v>
      </c>
      <c r="B269" s="1" t="s">
        <v>462</v>
      </c>
      <c r="C269" s="1">
        <v>12.125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2443335.3285699999</v>
      </c>
      <c r="B270" s="1" t="s">
        <v>463</v>
      </c>
      <c r="C270" s="1">
        <v>12.042857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2443352.895</v>
      </c>
      <c r="B271" s="1" t="s">
        <v>464</v>
      </c>
      <c r="C271" s="1">
        <v>11.95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2443369.9428599998</v>
      </c>
      <c r="B272" s="1" t="s">
        <v>465</v>
      </c>
      <c r="C272" s="1">
        <v>12.1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2443392.19</v>
      </c>
      <c r="B273" s="1" t="s">
        <v>466</v>
      </c>
      <c r="C273" s="1">
        <v>11.9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2443409.1</v>
      </c>
      <c r="B274" s="1" t="s">
        <v>467</v>
      </c>
      <c r="C274" s="1">
        <v>12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2443423.84</v>
      </c>
      <c r="B275" s="1" t="s">
        <v>468</v>
      </c>
      <c r="C275" s="1">
        <v>11.99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2443445.1</v>
      </c>
      <c r="B276" s="1" t="s">
        <v>469</v>
      </c>
      <c r="C276" s="1">
        <v>11.925000000000001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2443459.8833300001</v>
      </c>
      <c r="B277" s="1" t="s">
        <v>470</v>
      </c>
      <c r="C277" s="1">
        <v>11.95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2443473.9</v>
      </c>
      <c r="B278" s="1" t="s">
        <v>471</v>
      </c>
      <c r="C278" s="1">
        <v>11.95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2443492.6333300001</v>
      </c>
      <c r="B279" s="1" t="s">
        <v>472</v>
      </c>
      <c r="C279" s="1">
        <v>11.9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2443515.2999999998</v>
      </c>
      <c r="B280" s="1" t="s">
        <v>473</v>
      </c>
      <c r="C280" s="1">
        <v>12.066667000000001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2443615.9</v>
      </c>
      <c r="B281" s="1" t="s">
        <v>474</v>
      </c>
      <c r="C281" s="1">
        <v>12.2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2443635.2000000002</v>
      </c>
      <c r="B282" s="1" t="s">
        <v>475</v>
      </c>
      <c r="C282" s="1">
        <v>11.985714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2443655.6</v>
      </c>
      <c r="B283" s="1" t="s">
        <v>476</v>
      </c>
      <c r="C283" s="1">
        <v>12.6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2443668.6833299999</v>
      </c>
      <c r="B284" s="1" t="s">
        <v>477</v>
      </c>
      <c r="C284" s="1">
        <v>12.083333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2443685.4166700002</v>
      </c>
      <c r="B285" s="1" t="s">
        <v>478</v>
      </c>
      <c r="C285" s="1">
        <v>11.683332999999999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2443698.9272699999</v>
      </c>
      <c r="B286" s="1" t="s">
        <v>479</v>
      </c>
      <c r="C286" s="1">
        <v>12.118181999999999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2443722.5444399999</v>
      </c>
      <c r="B287" s="1" t="s">
        <v>480</v>
      </c>
      <c r="C287" s="1">
        <v>11.977778000000001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2443737.4</v>
      </c>
      <c r="B288" s="1" t="s">
        <v>481</v>
      </c>
      <c r="C288" s="1">
        <v>11.966666999999999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2443754.3444400001</v>
      </c>
      <c r="B289" s="1" t="s">
        <v>482</v>
      </c>
      <c r="C289" s="1">
        <v>12.244444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2443777.4410000001</v>
      </c>
      <c r="B290" s="1" t="s">
        <v>483</v>
      </c>
      <c r="C290" s="1">
        <v>12.07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2443791.8363600001</v>
      </c>
      <c r="B291" s="1" t="s">
        <v>484</v>
      </c>
      <c r="C291" s="1">
        <v>12.163636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2443809.5356399999</v>
      </c>
      <c r="B292" s="1" t="s">
        <v>485</v>
      </c>
      <c r="C292" s="1">
        <v>12.22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2443825.5249999999</v>
      </c>
      <c r="B293" s="1" t="s">
        <v>486</v>
      </c>
      <c r="C293" s="1">
        <v>12.35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2443854.4</v>
      </c>
      <c r="B294" s="1" t="s">
        <v>487</v>
      </c>
      <c r="C294" s="1">
        <v>12.35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2443877.1</v>
      </c>
      <c r="B295" s="1" t="s">
        <v>488</v>
      </c>
      <c r="C295" s="1">
        <v>12.4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2443954.9</v>
      </c>
      <c r="B296" s="1" t="s">
        <v>489</v>
      </c>
      <c r="C296" s="1">
        <v>12.6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2443988.7333300002</v>
      </c>
      <c r="B297" s="1" t="s">
        <v>490</v>
      </c>
      <c r="C297" s="1">
        <v>12.366667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2444003.9500000002</v>
      </c>
      <c r="B298" s="1" t="s">
        <v>491</v>
      </c>
      <c r="C298" s="1">
        <v>11.824999999999999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2444017.6888899999</v>
      </c>
      <c r="B299" s="1" t="s">
        <v>492</v>
      </c>
      <c r="C299" s="1">
        <v>11.955556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2444038.8311999999</v>
      </c>
      <c r="B300" s="1" t="s">
        <v>493</v>
      </c>
      <c r="C300" s="1">
        <v>11.82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2444056.9750000001</v>
      </c>
      <c r="B301" s="1" t="s">
        <v>494</v>
      </c>
      <c r="C301" s="1">
        <v>11.75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2444076.5750000002</v>
      </c>
      <c r="B302" s="1" t="s">
        <v>495</v>
      </c>
      <c r="C302" s="1">
        <v>11.775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2444087.52</v>
      </c>
      <c r="B303" s="1" t="s">
        <v>496</v>
      </c>
      <c r="C303" s="1">
        <v>11.77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2444102.3281700001</v>
      </c>
      <c r="B304" s="1" t="s">
        <v>497</v>
      </c>
      <c r="C304" s="1">
        <v>11.833333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2444120.5636399998</v>
      </c>
      <c r="B305" s="1" t="s">
        <v>498</v>
      </c>
      <c r="C305" s="1">
        <v>11.909091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2444135.4571400001</v>
      </c>
      <c r="B306" s="1" t="s">
        <v>499</v>
      </c>
      <c r="C306" s="1">
        <v>11.878571000000001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2444149.4857100002</v>
      </c>
      <c r="B307" s="1" t="s">
        <v>500</v>
      </c>
      <c r="C307" s="1">
        <v>11.971429000000001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2444166.1595000001</v>
      </c>
      <c r="B308" s="1" t="s">
        <v>501</v>
      </c>
      <c r="C308" s="1">
        <v>11.842857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2444183.2000000002</v>
      </c>
      <c r="B309" s="1" t="s">
        <v>502</v>
      </c>
      <c r="C309" s="1">
        <v>11.94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2444196.6005000002</v>
      </c>
      <c r="B310" s="1" t="s">
        <v>503</v>
      </c>
      <c r="C310" s="1">
        <v>11.894444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2444212.9925600002</v>
      </c>
      <c r="B311" s="1" t="s">
        <v>504</v>
      </c>
      <c r="C311" s="1">
        <v>11.8375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2444235.9</v>
      </c>
      <c r="B312" s="1" t="s">
        <v>505</v>
      </c>
      <c r="C312" s="1">
        <v>12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2444313.9</v>
      </c>
      <c r="B313" s="1" t="s">
        <v>506</v>
      </c>
      <c r="C313" s="1">
        <v>11.7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2444371.875</v>
      </c>
      <c r="B314" s="1" t="s">
        <v>507</v>
      </c>
      <c r="C314" s="1">
        <v>12.05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2444392.64</v>
      </c>
      <c r="B315" s="1" t="s">
        <v>508</v>
      </c>
      <c r="C315" s="1">
        <v>11.76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2444407.85</v>
      </c>
      <c r="B316" s="1" t="s">
        <v>509</v>
      </c>
      <c r="C316" s="1">
        <v>11.666667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2444425.7476499998</v>
      </c>
      <c r="B317" s="1" t="s">
        <v>510</v>
      </c>
      <c r="C317" s="1">
        <v>11.770588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2444439.5277800001</v>
      </c>
      <c r="B318" s="1" t="s">
        <v>511</v>
      </c>
      <c r="C318" s="1">
        <v>11.705556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2444454.0586199998</v>
      </c>
      <c r="B319" s="1" t="s">
        <v>512</v>
      </c>
      <c r="C319" s="1">
        <v>11.793103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2444470.82375</v>
      </c>
      <c r="B320" s="1" t="s">
        <v>513</v>
      </c>
      <c r="C320" s="1">
        <v>11.804167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2444486.46276</v>
      </c>
      <c r="B321" s="1" t="s">
        <v>514</v>
      </c>
      <c r="C321" s="1">
        <v>11.848276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2444501.2733300002</v>
      </c>
      <c r="B322" s="1" t="s">
        <v>515</v>
      </c>
      <c r="C322" s="1">
        <v>11.926667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2444517.1636399999</v>
      </c>
      <c r="B323" s="1" t="s">
        <v>516</v>
      </c>
      <c r="C323" s="1">
        <v>11.818182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2444530.9029399999</v>
      </c>
      <c r="B324" s="1" t="s">
        <v>517</v>
      </c>
      <c r="C324" s="1">
        <v>11.888235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2444551.0416700002</v>
      </c>
      <c r="B325" s="1" t="s">
        <v>518</v>
      </c>
      <c r="C325" s="1">
        <v>11.9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2444565.2200000002</v>
      </c>
      <c r="B326" s="1" t="s">
        <v>519</v>
      </c>
      <c r="C326" s="1">
        <v>11.96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2444580.6</v>
      </c>
      <c r="B327" s="1" t="s">
        <v>520</v>
      </c>
      <c r="C327" s="1">
        <v>12.012499999999999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2444606.0720000002</v>
      </c>
      <c r="B328" s="1" t="s">
        <v>521</v>
      </c>
      <c r="C328" s="1">
        <v>12.1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2444628.9</v>
      </c>
      <c r="B329" s="1" t="s">
        <v>522</v>
      </c>
      <c r="C329" s="1">
        <v>12.35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2444725.4</v>
      </c>
      <c r="B330" s="1" t="s">
        <v>523</v>
      </c>
      <c r="C330" s="1">
        <v>11.6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2444755.4</v>
      </c>
      <c r="B331" s="1" t="s">
        <v>524</v>
      </c>
      <c r="C331" s="1">
        <v>11.8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2444766.35</v>
      </c>
      <c r="B332" s="1" t="s">
        <v>525</v>
      </c>
      <c r="C332" s="1">
        <v>11.5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2444784.6857099999</v>
      </c>
      <c r="B333" s="1" t="s">
        <v>526</v>
      </c>
      <c r="C333" s="1">
        <v>11.714286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2444799.4807099998</v>
      </c>
      <c r="B334" s="1" t="s">
        <v>527</v>
      </c>
      <c r="C334" s="1">
        <v>11.621428999999999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2444814.0305900001</v>
      </c>
      <c r="B335" s="1" t="s">
        <v>528</v>
      </c>
      <c r="C335" s="1">
        <v>11.694118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2444831.4916699999</v>
      </c>
      <c r="B336" s="1" t="s">
        <v>529</v>
      </c>
      <c r="C336" s="1">
        <v>11.658333000000001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2444843.2250000001</v>
      </c>
      <c r="B337" s="1" t="s">
        <v>530</v>
      </c>
      <c r="C337" s="1">
        <v>11.574999999999999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2444861.1</v>
      </c>
      <c r="B338" s="1" t="s">
        <v>531</v>
      </c>
      <c r="C338" s="1">
        <v>11.806666999999999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2444877.7957100002</v>
      </c>
      <c r="B339" s="1" t="s">
        <v>532</v>
      </c>
      <c r="C339" s="1">
        <v>11.7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2444900.5589999999</v>
      </c>
      <c r="B340" s="1" t="s">
        <v>533</v>
      </c>
      <c r="C340" s="1">
        <v>11.69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2444918.7124999999</v>
      </c>
      <c r="B341" s="1" t="s">
        <v>534</v>
      </c>
      <c r="C341" s="1">
        <v>11.8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2444936.9072199999</v>
      </c>
      <c r="B342" s="1" t="s">
        <v>535</v>
      </c>
      <c r="C342" s="1">
        <v>11.688889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2444953.6749999998</v>
      </c>
      <c r="B343" s="1" t="s">
        <v>536</v>
      </c>
      <c r="C343" s="1">
        <v>11.75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2444996.9</v>
      </c>
      <c r="B344" s="1" t="s">
        <v>537</v>
      </c>
      <c r="C344" s="1">
        <v>11.7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2445032.9</v>
      </c>
      <c r="B345" s="1" t="s">
        <v>538</v>
      </c>
      <c r="C345" s="1">
        <v>12.2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2445110.6</v>
      </c>
      <c r="B346" s="1" t="s">
        <v>539</v>
      </c>
      <c r="C346" s="1">
        <v>12.35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2445135.1749999998</v>
      </c>
      <c r="B347" s="1" t="s">
        <v>540</v>
      </c>
      <c r="C347" s="1">
        <v>12.05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2445151.66</v>
      </c>
      <c r="B348" s="1" t="s">
        <v>541</v>
      </c>
      <c r="C348" s="1">
        <v>11.82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2445167.1042900002</v>
      </c>
      <c r="B349" s="1" t="s">
        <v>542</v>
      </c>
      <c r="C349" s="1">
        <v>11.807143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2445180.0076899999</v>
      </c>
      <c r="B350" s="1" t="s">
        <v>543</v>
      </c>
      <c r="C350" s="1">
        <v>11.769231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2445199.1529999999</v>
      </c>
      <c r="B351" s="1" t="s">
        <v>544</v>
      </c>
      <c r="C351" s="1">
        <v>12.117391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2445216.7745500002</v>
      </c>
      <c r="B352" s="1" t="s">
        <v>545</v>
      </c>
      <c r="C352" s="1">
        <v>11.972727000000001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2445230.3453500001</v>
      </c>
      <c r="B353" s="1" t="s">
        <v>546</v>
      </c>
      <c r="C353" s="1">
        <v>12.22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2445245.4191700001</v>
      </c>
      <c r="B354" s="1" t="s">
        <v>547</v>
      </c>
      <c r="C354" s="1">
        <v>12.258333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2445262.4096400002</v>
      </c>
      <c r="B355" s="1" t="s">
        <v>548</v>
      </c>
      <c r="C355" s="1">
        <v>12.278570999999999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2445283.0699999998</v>
      </c>
      <c r="B356" s="1" t="s">
        <v>549</v>
      </c>
      <c r="C356" s="1">
        <v>12.37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2445295.7454499998</v>
      </c>
      <c r="B357" s="1" t="s">
        <v>550</v>
      </c>
      <c r="C357" s="1">
        <v>12.354545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2445316.0469999998</v>
      </c>
      <c r="B358" s="1" t="s">
        <v>551</v>
      </c>
      <c r="C358" s="1">
        <v>12.46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2445340.4033300001</v>
      </c>
      <c r="B359" s="1" t="s">
        <v>552</v>
      </c>
      <c r="C359" s="1">
        <v>12.366667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2445409.9</v>
      </c>
      <c r="B360" s="1" t="s">
        <v>553</v>
      </c>
      <c r="C360" s="1">
        <v>12.5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2445437.9</v>
      </c>
      <c r="B361" s="1" t="s">
        <v>554</v>
      </c>
      <c r="C361" s="1">
        <v>12.4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2445464.7250000001</v>
      </c>
      <c r="B362" s="1" t="s">
        <v>555</v>
      </c>
      <c r="C362" s="1">
        <v>11.9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2445477.98</v>
      </c>
      <c r="B363" s="1" t="s">
        <v>556</v>
      </c>
      <c r="C363" s="1">
        <v>12.14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2445496.9192300001</v>
      </c>
      <c r="B364" s="1" t="s">
        <v>557</v>
      </c>
      <c r="C364" s="1">
        <v>12.223077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2445514.2327000001</v>
      </c>
      <c r="B365" s="1" t="s">
        <v>558</v>
      </c>
      <c r="C365" s="1">
        <v>11.9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2445527.4165699999</v>
      </c>
      <c r="B366" s="1" t="s">
        <v>559</v>
      </c>
      <c r="C366" s="1">
        <v>11.856757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2445544.1293500001</v>
      </c>
      <c r="B367" s="1" t="s">
        <v>560</v>
      </c>
      <c r="C367" s="1">
        <v>11.815384999999999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2445560.8088099998</v>
      </c>
      <c r="B368" s="1" t="s">
        <v>561</v>
      </c>
      <c r="C368" s="1">
        <v>11.746874999999999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2445577.4770999998</v>
      </c>
      <c r="B369" s="1" t="s">
        <v>562</v>
      </c>
      <c r="C369" s="1">
        <v>11.437931000000001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2445589.7027099999</v>
      </c>
      <c r="B370" s="1" t="s">
        <v>563</v>
      </c>
      <c r="C370" s="1">
        <v>11.6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2445607.2399300002</v>
      </c>
      <c r="B371" s="1" t="s">
        <v>564</v>
      </c>
      <c r="C371" s="1">
        <v>11.513953000000001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2445619.4510499998</v>
      </c>
      <c r="B372" s="1" t="s">
        <v>565</v>
      </c>
      <c r="C372" s="1">
        <v>11.565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2445637.2003899999</v>
      </c>
      <c r="B373" s="1" t="s">
        <v>566</v>
      </c>
      <c r="C373" s="1">
        <v>11.675000000000001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2445653.5345000001</v>
      </c>
      <c r="B374" s="1" t="s">
        <v>567</v>
      </c>
      <c r="C374" s="1">
        <v>11.822222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2445667.71227</v>
      </c>
      <c r="B375" s="1" t="s">
        <v>568</v>
      </c>
      <c r="C375" s="1">
        <v>11.807691999999999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2445682.1940000001</v>
      </c>
      <c r="B376" s="1" t="s">
        <v>569</v>
      </c>
      <c r="C376" s="1">
        <v>11.88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2445702.0685999999</v>
      </c>
      <c r="B377" s="1" t="s">
        <v>570</v>
      </c>
      <c r="C377" s="1">
        <v>11.7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2445753.9</v>
      </c>
      <c r="B378" s="1" t="s">
        <v>571</v>
      </c>
      <c r="C378" s="1">
        <v>12.2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2445788.5589999999</v>
      </c>
      <c r="B379" s="1" t="s">
        <v>572</v>
      </c>
      <c r="C379" s="1">
        <v>11.533333000000001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2445821.6888000001</v>
      </c>
      <c r="B380" s="1" t="s">
        <v>573</v>
      </c>
      <c r="C380" s="1">
        <v>11.9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2445841.0687099998</v>
      </c>
      <c r="B381" s="1" t="s">
        <v>574</v>
      </c>
      <c r="C381" s="1">
        <v>12.028570999999999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2445853.38857</v>
      </c>
      <c r="B382" s="1" t="s">
        <v>575</v>
      </c>
      <c r="C382" s="1">
        <v>12.05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2445870.1034599999</v>
      </c>
      <c r="B383" s="1" t="s">
        <v>576</v>
      </c>
      <c r="C383" s="1">
        <v>11.938461999999999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2445882.6743899998</v>
      </c>
      <c r="B384" s="1" t="s">
        <v>577</v>
      </c>
      <c r="C384" s="1">
        <v>12.057143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2445899.3261899999</v>
      </c>
      <c r="B385" s="1" t="s">
        <v>578</v>
      </c>
      <c r="C385" s="1">
        <v>12.022221999999999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2445914.1523500001</v>
      </c>
      <c r="B386" s="1" t="s">
        <v>579</v>
      </c>
      <c r="C386" s="1">
        <v>12.084614999999999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2445930.6296199998</v>
      </c>
      <c r="B387" s="1" t="s">
        <v>580</v>
      </c>
      <c r="C387" s="1">
        <v>12.237931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2445943.6708900002</v>
      </c>
      <c r="B388" s="1" t="s">
        <v>581</v>
      </c>
      <c r="C388" s="1">
        <v>12.148649000000001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2445960.4396799998</v>
      </c>
      <c r="B389" s="1" t="s">
        <v>582</v>
      </c>
      <c r="C389" s="1">
        <v>12.047368000000001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2445975.3950999998</v>
      </c>
      <c r="B390" s="1" t="s">
        <v>583</v>
      </c>
      <c r="C390" s="1">
        <v>12.179309999999999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2445990.4882100001</v>
      </c>
      <c r="B391" s="1" t="s">
        <v>584</v>
      </c>
      <c r="C391" s="1">
        <v>12.279310000000001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2446005.73019</v>
      </c>
      <c r="B392" s="1" t="s">
        <v>585</v>
      </c>
      <c r="C392" s="1">
        <v>12.261905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2446023.1077399999</v>
      </c>
      <c r="B393" s="1" t="s">
        <v>586</v>
      </c>
      <c r="C393" s="1">
        <v>12.256522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2446037.3500799998</v>
      </c>
      <c r="B394" s="1" t="s">
        <v>587</v>
      </c>
      <c r="C394" s="1">
        <v>12.341666999999999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2446055.0675599999</v>
      </c>
      <c r="B395" s="1" t="s">
        <v>588</v>
      </c>
      <c r="C395" s="1">
        <v>12.411111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2446088</v>
      </c>
      <c r="B396" s="1" t="s">
        <v>589</v>
      </c>
      <c r="C396" s="1">
        <v>12.15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2446104.9500000002</v>
      </c>
      <c r="B397" s="1" t="s">
        <v>590</v>
      </c>
      <c r="C397" s="1">
        <v>12.475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2446117.7544999998</v>
      </c>
      <c r="B398" s="1" t="s">
        <v>591</v>
      </c>
      <c r="C398" s="1">
        <v>12.45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2446137.2662499999</v>
      </c>
      <c r="B399" s="1" t="s">
        <v>592</v>
      </c>
      <c r="C399" s="1">
        <v>12.324999999999999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2446153.5184300002</v>
      </c>
      <c r="B400" s="1" t="s">
        <v>593</v>
      </c>
      <c r="C400" s="1">
        <v>12.157143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2446170.0095500001</v>
      </c>
      <c r="B401" s="1" t="s">
        <v>594</v>
      </c>
      <c r="C401" s="1">
        <v>12.263636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2446180.6124999998</v>
      </c>
      <c r="B402" s="1" t="s">
        <v>595</v>
      </c>
      <c r="C402" s="1">
        <v>12.175000000000001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2446199.68707</v>
      </c>
      <c r="B403" s="1" t="s">
        <v>596</v>
      </c>
      <c r="C403" s="1">
        <v>12.233333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2446214.9213700001</v>
      </c>
      <c r="B404" s="1" t="s">
        <v>597</v>
      </c>
      <c r="C404" s="1">
        <v>11.984211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2446229.0318499999</v>
      </c>
      <c r="B405" s="1" t="s">
        <v>598</v>
      </c>
      <c r="C405" s="1">
        <v>12.073077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2446243.8641900001</v>
      </c>
      <c r="B406" s="1" t="s">
        <v>599</v>
      </c>
      <c r="C406" s="1">
        <v>12.008108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2446259.3394599999</v>
      </c>
      <c r="B407" s="1" t="s">
        <v>600</v>
      </c>
      <c r="C407" s="1">
        <v>12.05625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2446274.4361299998</v>
      </c>
      <c r="B408" s="1" t="s">
        <v>601</v>
      </c>
      <c r="C408" s="1">
        <v>12.025641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2446290.1643500002</v>
      </c>
      <c r="B409" s="1" t="s">
        <v>602</v>
      </c>
      <c r="C409" s="1">
        <v>12.030435000000001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2446303.4449</v>
      </c>
      <c r="B410" s="1" t="s">
        <v>603</v>
      </c>
      <c r="C410" s="1">
        <v>12.043333000000001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2446319.96478</v>
      </c>
      <c r="B411" s="1" t="s">
        <v>604</v>
      </c>
      <c r="C411" s="1">
        <v>12.019444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2446336.8761900002</v>
      </c>
      <c r="B412" s="1" t="s">
        <v>605</v>
      </c>
      <c r="C412" s="1">
        <v>11.99375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2446350.4135099999</v>
      </c>
      <c r="B413" s="1" t="s">
        <v>606</v>
      </c>
      <c r="C413" s="1">
        <v>11.877357999999999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2446364.5932399998</v>
      </c>
      <c r="B414" s="1" t="s">
        <v>607</v>
      </c>
      <c r="C414" s="1">
        <v>11.841176000000001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2446382.8105199998</v>
      </c>
      <c r="B415" s="1" t="s">
        <v>608</v>
      </c>
      <c r="C415" s="1">
        <v>11.804762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2446403.2837999999</v>
      </c>
      <c r="B416" s="1" t="s">
        <v>609</v>
      </c>
      <c r="C416" s="1">
        <v>11.8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2446420.6833299999</v>
      </c>
      <c r="B417" s="1" t="s">
        <v>610</v>
      </c>
      <c r="C417" s="1">
        <v>11.85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2446435.59</v>
      </c>
      <c r="B418" s="1" t="s">
        <v>611</v>
      </c>
      <c r="C418" s="1">
        <v>11.9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2446509.4649999999</v>
      </c>
      <c r="B419" s="1" t="s">
        <v>612</v>
      </c>
      <c r="C419" s="1">
        <v>11.7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2446523.7659999998</v>
      </c>
      <c r="B420" s="1" t="s">
        <v>613</v>
      </c>
      <c r="C420" s="1">
        <v>11.64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2446539.54</v>
      </c>
      <c r="B421" s="1" t="s">
        <v>614</v>
      </c>
      <c r="C421" s="1">
        <v>11.8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2446560.6981799998</v>
      </c>
      <c r="B422" s="1" t="s">
        <v>615</v>
      </c>
      <c r="C422" s="1">
        <v>11.418182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2446583.2021699999</v>
      </c>
      <c r="B423" s="1" t="s">
        <v>616</v>
      </c>
      <c r="C423" s="1">
        <v>11.533333000000001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2446594.27287</v>
      </c>
      <c r="B424" s="1" t="s">
        <v>617</v>
      </c>
      <c r="C424" s="1">
        <v>11.56875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2446613.4698100002</v>
      </c>
      <c r="B425" s="1" t="s">
        <v>618</v>
      </c>
      <c r="C425" s="1">
        <v>11.696875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2446625.8002499999</v>
      </c>
      <c r="B426" s="1" t="s">
        <v>619</v>
      </c>
      <c r="C426" s="1">
        <v>11.775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2446642.7724899999</v>
      </c>
      <c r="B427" s="1" t="s">
        <v>620</v>
      </c>
      <c r="C427" s="1">
        <v>11.817143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2446656.9840500001</v>
      </c>
      <c r="B428" s="1" t="s">
        <v>621</v>
      </c>
      <c r="C428" s="1">
        <v>11.865854000000001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2446674.6663799998</v>
      </c>
      <c r="B429" s="1" t="s">
        <v>622</v>
      </c>
      <c r="C429" s="1">
        <v>11.895745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2446687.8045800002</v>
      </c>
      <c r="B430" s="1" t="s">
        <v>623</v>
      </c>
      <c r="C430" s="1">
        <v>11.804167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2446705.21777</v>
      </c>
      <c r="B431" s="1" t="s">
        <v>624</v>
      </c>
      <c r="C431" s="1">
        <v>11.802856999999999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2446717.5603</v>
      </c>
      <c r="B432" s="1" t="s">
        <v>625</v>
      </c>
      <c r="C432" s="1">
        <v>11.853846000000001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2446733.9328200002</v>
      </c>
      <c r="B433" s="1" t="s">
        <v>626</v>
      </c>
      <c r="C433" s="1">
        <v>12.002777999999999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2446748.2735100002</v>
      </c>
      <c r="B434" s="1" t="s">
        <v>627</v>
      </c>
      <c r="C434" s="1">
        <v>12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2446766.2649900001</v>
      </c>
      <c r="B435" s="1" t="s">
        <v>628</v>
      </c>
      <c r="C435" s="1">
        <v>12.135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2446784.7000000002</v>
      </c>
      <c r="B436" s="1" t="s">
        <v>629</v>
      </c>
      <c r="C436" s="1">
        <v>11.987500000000001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2446797.2012499999</v>
      </c>
      <c r="B437" s="1" t="s">
        <v>630</v>
      </c>
      <c r="C437" s="1">
        <v>11.85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2446827.2000000002</v>
      </c>
      <c r="B438" s="1" t="s">
        <v>631</v>
      </c>
      <c r="C438" s="1">
        <v>11.6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2446851.1</v>
      </c>
      <c r="B439" s="1" t="s">
        <v>632</v>
      </c>
      <c r="C439" s="1">
        <v>12.4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2446870.7452500002</v>
      </c>
      <c r="B440" s="1" t="s">
        <v>633</v>
      </c>
      <c r="C440" s="1">
        <v>11.675000000000001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2446888.6</v>
      </c>
      <c r="B441" s="1" t="s">
        <v>634</v>
      </c>
      <c r="C441" s="1">
        <v>11.95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2446908.2813300001</v>
      </c>
      <c r="B442" s="1" t="s">
        <v>635</v>
      </c>
      <c r="C442" s="1">
        <v>11.733333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2446918.85182</v>
      </c>
      <c r="B443" s="1" t="s">
        <v>636</v>
      </c>
      <c r="C443" s="1">
        <v>11.336364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2446938.7370000002</v>
      </c>
      <c r="B444" s="1" t="s">
        <v>637</v>
      </c>
      <c r="C444" s="1">
        <v>11.4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2446949.97138</v>
      </c>
      <c r="B445" s="1" t="s">
        <v>638</v>
      </c>
      <c r="C445" s="1">
        <v>11.45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2446966.98863</v>
      </c>
      <c r="B446" s="1" t="s">
        <v>639</v>
      </c>
      <c r="C446" s="1">
        <v>11.407143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2446981.4875599998</v>
      </c>
      <c r="B447" s="1" t="s">
        <v>640</v>
      </c>
      <c r="C447" s="1">
        <v>11.295833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2446996.57436</v>
      </c>
      <c r="B448" s="1" t="s">
        <v>641</v>
      </c>
      <c r="C448" s="1">
        <v>11.308695999999999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2447010.4352799999</v>
      </c>
      <c r="B449" s="1" t="s">
        <v>642</v>
      </c>
      <c r="C449" s="1">
        <v>11.119230999999999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2447027.4704999998</v>
      </c>
      <c r="B450" s="1" t="s">
        <v>643</v>
      </c>
      <c r="C450" s="1">
        <v>11.115556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2447042.6860000002</v>
      </c>
      <c r="B451" s="1" t="s">
        <v>644</v>
      </c>
      <c r="C451" s="1">
        <v>11.115909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2447058.55339</v>
      </c>
      <c r="B452" s="1" t="s">
        <v>645</v>
      </c>
      <c r="C452" s="1">
        <v>11.010417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2447072.4945800002</v>
      </c>
      <c r="B453" s="1" t="s">
        <v>646</v>
      </c>
      <c r="C453" s="1">
        <v>10.987500000000001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2447087.00685</v>
      </c>
      <c r="B454" s="1" t="s">
        <v>647</v>
      </c>
      <c r="C454" s="1">
        <v>11.072414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2447103.9004899999</v>
      </c>
      <c r="B455" s="1" t="s">
        <v>648</v>
      </c>
      <c r="C455" s="1">
        <v>10.866667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2447118.6408000002</v>
      </c>
      <c r="B456" s="1" t="s">
        <v>649</v>
      </c>
      <c r="C456" s="1">
        <v>11.124000000000001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2447137.2074199999</v>
      </c>
      <c r="B457" s="1" t="s">
        <v>650</v>
      </c>
      <c r="C457" s="1">
        <v>11.215788999999999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2447152.1038799998</v>
      </c>
      <c r="B458" s="1" t="s">
        <v>651</v>
      </c>
      <c r="C458" s="1">
        <v>11.15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2447166.165</v>
      </c>
      <c r="B459" s="1" t="s">
        <v>652</v>
      </c>
      <c r="C459" s="1">
        <v>11.333333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2447184.6</v>
      </c>
      <c r="B460" s="1" t="s">
        <v>653</v>
      </c>
      <c r="C460" s="1">
        <v>11.45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2447208.8034999999</v>
      </c>
      <c r="B461" s="1" t="s">
        <v>654</v>
      </c>
      <c r="C461" s="1">
        <v>11.45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2447220.3985700002</v>
      </c>
      <c r="B462" s="1" t="s">
        <v>655</v>
      </c>
      <c r="C462" s="1">
        <v>11.414286000000001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2447237.82064</v>
      </c>
      <c r="B463" s="1" t="s">
        <v>656</v>
      </c>
      <c r="C463" s="1">
        <v>11.354545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2447258.6274999999</v>
      </c>
      <c r="B464" s="1" t="s">
        <v>657</v>
      </c>
      <c r="C464" s="1">
        <v>11.383333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2447272.7388900002</v>
      </c>
      <c r="B465" s="1" t="s">
        <v>658</v>
      </c>
      <c r="C465" s="1">
        <v>11.415789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2447293.35152</v>
      </c>
      <c r="B466" s="1" t="s">
        <v>659</v>
      </c>
      <c r="C466" s="1">
        <v>11.458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2447304.9302300001</v>
      </c>
      <c r="B467" s="1" t="s">
        <v>660</v>
      </c>
      <c r="C467" s="1">
        <v>11.509444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2447323.4276100001</v>
      </c>
      <c r="B468" s="1" t="s">
        <v>661</v>
      </c>
      <c r="C468" s="1">
        <v>11.54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2447337.55112</v>
      </c>
      <c r="B469" s="1" t="s">
        <v>662</v>
      </c>
      <c r="C469" s="1">
        <v>11.6625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2447352.9955000002</v>
      </c>
      <c r="B470" s="1" t="s">
        <v>663</v>
      </c>
      <c r="C470" s="1">
        <v>11.5906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2447368.4049900002</v>
      </c>
      <c r="B471" s="1" t="s">
        <v>664</v>
      </c>
      <c r="C471" s="1">
        <v>11.516852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2447383.3544999999</v>
      </c>
      <c r="B472" s="1" t="s">
        <v>665</v>
      </c>
      <c r="C472" s="1">
        <v>11.370926000000001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2447397.6494700001</v>
      </c>
      <c r="B473" s="1" t="s">
        <v>666</v>
      </c>
      <c r="C473" s="1">
        <v>11.375769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2447412.9724300001</v>
      </c>
      <c r="B474" s="1" t="s">
        <v>667</v>
      </c>
      <c r="C474" s="1">
        <v>11.512544999999999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2447429.4274800001</v>
      </c>
      <c r="B475" s="1" t="s">
        <v>668</v>
      </c>
      <c r="C475" s="1">
        <v>11.492093000000001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2447443.8447400001</v>
      </c>
      <c r="B476" s="1" t="s">
        <v>669</v>
      </c>
      <c r="C476" s="1">
        <v>11.514250000000001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2447463.1055200002</v>
      </c>
      <c r="B477" s="1" t="s">
        <v>670</v>
      </c>
      <c r="C477" s="1">
        <v>11.602683000000001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2447475.4399899999</v>
      </c>
      <c r="B478" s="1" t="s">
        <v>671</v>
      </c>
      <c r="C478" s="1">
        <v>11.653714000000001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2447491.9174299999</v>
      </c>
      <c r="B479" s="1" t="s">
        <v>672</v>
      </c>
      <c r="C479" s="1">
        <v>11.871923000000001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2447507.9922699998</v>
      </c>
      <c r="B480" s="1" t="s">
        <v>673</v>
      </c>
      <c r="C480" s="1">
        <v>11.921923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2447527.1397099998</v>
      </c>
      <c r="B481" s="1" t="s">
        <v>674</v>
      </c>
      <c r="C481" s="1">
        <v>11.957143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2447541.8833300001</v>
      </c>
      <c r="B482" s="1" t="s">
        <v>675</v>
      </c>
      <c r="C482" s="1">
        <v>12.1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2447592.7000000002</v>
      </c>
      <c r="B483" s="1" t="s">
        <v>676</v>
      </c>
      <c r="C483" s="1">
        <v>12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2447619.2000000002</v>
      </c>
      <c r="B484" s="1" t="s">
        <v>677</v>
      </c>
      <c r="C484" s="1">
        <v>11.9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2447635.7209999999</v>
      </c>
      <c r="B485" s="1" t="s">
        <v>678</v>
      </c>
      <c r="C485" s="1">
        <v>11.333333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2447651.5382699999</v>
      </c>
      <c r="B486" s="1" t="s">
        <v>679</v>
      </c>
      <c r="C486" s="1">
        <v>11.072727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2447671.0123700001</v>
      </c>
      <c r="B487" s="1" t="s">
        <v>680</v>
      </c>
      <c r="C487" s="1">
        <v>10.889474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2447687.9500600002</v>
      </c>
      <c r="B488" s="1" t="s">
        <v>681</v>
      </c>
      <c r="C488" s="1">
        <v>10.584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2447702.2634100001</v>
      </c>
      <c r="B489" s="1" t="s">
        <v>682</v>
      </c>
      <c r="C489" s="1">
        <v>10.577778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2447715.8510199999</v>
      </c>
      <c r="B490" s="1" t="s">
        <v>683</v>
      </c>
      <c r="C490" s="1">
        <v>10.554285999999999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2447732.79183</v>
      </c>
      <c r="B491" s="1" t="s">
        <v>684</v>
      </c>
      <c r="C491" s="1">
        <v>10.47931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2447747.7379299998</v>
      </c>
      <c r="B492" s="1" t="s">
        <v>685</v>
      </c>
      <c r="C492" s="1">
        <v>10.432499999999999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2447763.3860499999</v>
      </c>
      <c r="B493" s="1" t="s">
        <v>686</v>
      </c>
      <c r="C493" s="1">
        <v>10.368518999999999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2447777.6171800001</v>
      </c>
      <c r="B494" s="1" t="s">
        <v>687</v>
      </c>
      <c r="C494" s="1">
        <v>10.397436000000001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2447794.7551199999</v>
      </c>
      <c r="B495" s="1" t="s">
        <v>688</v>
      </c>
      <c r="C495" s="1">
        <v>10.338635999999999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2447808.61148</v>
      </c>
      <c r="B496" s="1" t="s">
        <v>689</v>
      </c>
      <c r="C496" s="1">
        <v>10.276923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2447824.61992</v>
      </c>
      <c r="B497" s="1" t="s">
        <v>690</v>
      </c>
      <c r="C497" s="1">
        <v>10.243137000000001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2447841.2370600002</v>
      </c>
      <c r="B498" s="1" t="s">
        <v>691</v>
      </c>
      <c r="C498" s="1">
        <v>10.158333000000001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2447855.6816500002</v>
      </c>
      <c r="B499" s="1" t="s">
        <v>692</v>
      </c>
      <c r="C499" s="1">
        <v>10.169110999999999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2447870.895</v>
      </c>
      <c r="B500" s="1" t="s">
        <v>693</v>
      </c>
      <c r="C500" s="1">
        <v>10.171429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2447887.298</v>
      </c>
      <c r="B501" s="1" t="s">
        <v>694</v>
      </c>
      <c r="C501" s="1">
        <v>10.119999999999999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2447899.8360000001</v>
      </c>
      <c r="B502" s="1" t="s">
        <v>695</v>
      </c>
      <c r="C502" s="1">
        <v>10.06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2447925.7267999998</v>
      </c>
      <c r="B503" s="1" t="s">
        <v>696</v>
      </c>
      <c r="C503" s="1">
        <v>10.16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2447951.71514</v>
      </c>
      <c r="B504" s="1" t="s">
        <v>697</v>
      </c>
      <c r="C504" s="1">
        <v>10.014286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2447966.64</v>
      </c>
      <c r="B505" s="1" t="s">
        <v>698</v>
      </c>
      <c r="C505" s="1">
        <v>9.9499999999999993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2447982.21</v>
      </c>
      <c r="B506" s="1" t="s">
        <v>699</v>
      </c>
      <c r="C506" s="1">
        <v>10.057143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2447998.1775000002</v>
      </c>
      <c r="B507" s="1" t="s">
        <v>700</v>
      </c>
      <c r="C507" s="1">
        <v>9.9250000000000007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2448014.2447600001</v>
      </c>
      <c r="B508" s="1" t="s">
        <v>701</v>
      </c>
      <c r="C508" s="1">
        <v>10.023529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2448031.80595</v>
      </c>
      <c r="B509" s="1" t="s">
        <v>702</v>
      </c>
      <c r="C509" s="1">
        <v>10.057143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2448043.7050999999</v>
      </c>
      <c r="B510" s="1" t="s">
        <v>703</v>
      </c>
      <c r="C510" s="1">
        <v>10.185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2448062.9652100001</v>
      </c>
      <c r="B511" s="1" t="s">
        <v>704</v>
      </c>
      <c r="C511" s="1">
        <v>10.199999999999999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2448076.6603600001</v>
      </c>
      <c r="B512" s="1" t="s">
        <v>705</v>
      </c>
      <c r="C512" s="1">
        <v>10.15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2448092.9058400001</v>
      </c>
      <c r="B513" s="1" t="s">
        <v>706</v>
      </c>
      <c r="C513" s="1">
        <v>10.172000000000001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2448106.5211</v>
      </c>
      <c r="B514" s="1" t="s">
        <v>707</v>
      </c>
      <c r="C514" s="1">
        <v>10.218420999999999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2448123.9861300001</v>
      </c>
      <c r="B515" s="1" t="s">
        <v>708</v>
      </c>
      <c r="C515" s="1">
        <v>10.286047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2448137.6769599998</v>
      </c>
      <c r="B516" s="1" t="s">
        <v>709</v>
      </c>
      <c r="C516" s="1">
        <v>10.262045000000001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2448153.2678899998</v>
      </c>
      <c r="B517" s="1" t="s">
        <v>710</v>
      </c>
      <c r="C517" s="1">
        <v>10.242292000000001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2448170.1804800001</v>
      </c>
      <c r="B518" s="1" t="s">
        <v>711</v>
      </c>
      <c r="C518" s="1">
        <v>10.258824000000001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2448184.8725899998</v>
      </c>
      <c r="B519" s="1" t="s">
        <v>712</v>
      </c>
      <c r="C519" s="1">
        <v>10.275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2448201.5205199998</v>
      </c>
      <c r="B520" s="1" t="s">
        <v>713</v>
      </c>
      <c r="C520" s="1">
        <v>10.2576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2448214.17508</v>
      </c>
      <c r="B521" s="1" t="s">
        <v>714</v>
      </c>
      <c r="C521" s="1">
        <v>10.231999999999999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2448230.6382200001</v>
      </c>
      <c r="B522" s="1" t="s">
        <v>715</v>
      </c>
      <c r="C522" s="1">
        <v>10.255599999999999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2448244.52936</v>
      </c>
      <c r="B523" s="1" t="s">
        <v>716</v>
      </c>
      <c r="C523" s="1">
        <v>10.307143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2448261.2957100002</v>
      </c>
      <c r="B524" s="1" t="s">
        <v>717</v>
      </c>
      <c r="C524" s="1">
        <v>10.271428999999999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2448276.54</v>
      </c>
      <c r="B525" s="1" t="s">
        <v>718</v>
      </c>
      <c r="C525" s="1">
        <v>10.5625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2448309.12</v>
      </c>
      <c r="B526" s="1" t="s">
        <v>719</v>
      </c>
      <c r="C526" s="1">
        <v>10.76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2448329.2250000001</v>
      </c>
      <c r="B527" s="1" t="s">
        <v>720</v>
      </c>
      <c r="C527" s="1">
        <v>10.625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2448345.0942899999</v>
      </c>
      <c r="B528" s="1" t="s">
        <v>721</v>
      </c>
      <c r="C528" s="1">
        <v>10.4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2448359.7024699999</v>
      </c>
      <c r="B529" s="1" t="s">
        <v>722</v>
      </c>
      <c r="C529" s="1">
        <v>10.476471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2448379.355</v>
      </c>
      <c r="B530" s="1" t="s">
        <v>723</v>
      </c>
      <c r="C530" s="1">
        <v>11.266667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2448391.9884199998</v>
      </c>
      <c r="B531" s="1" t="s">
        <v>724</v>
      </c>
      <c r="C531" s="1">
        <v>11.531579000000001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2448407.5888100001</v>
      </c>
      <c r="B532" s="1" t="s">
        <v>725</v>
      </c>
      <c r="C532" s="1">
        <v>11.633333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2448422.8583800001</v>
      </c>
      <c r="B533" s="1" t="s">
        <v>726</v>
      </c>
      <c r="C533" s="1">
        <v>11.785714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2448439.3848899999</v>
      </c>
      <c r="B534" s="1" t="s">
        <v>727</v>
      </c>
      <c r="C534" s="1">
        <v>11.751666999999999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2448452.9508500001</v>
      </c>
      <c r="B535" s="1" t="s">
        <v>728</v>
      </c>
      <c r="C535" s="1">
        <v>11.734883999999999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2448469.1327599999</v>
      </c>
      <c r="B536" s="1" t="s">
        <v>729</v>
      </c>
      <c r="C536" s="1">
        <v>11.729167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2448482.9441900002</v>
      </c>
      <c r="B537" s="1" t="s">
        <v>730</v>
      </c>
      <c r="C537" s="1">
        <v>11.669193999999999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2448500.0471700002</v>
      </c>
      <c r="B538" s="1" t="s">
        <v>731</v>
      </c>
      <c r="C538" s="1">
        <v>11.641802999999999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2448513.0290799998</v>
      </c>
      <c r="B539" s="1" t="s">
        <v>732</v>
      </c>
      <c r="C539" s="1">
        <v>11.023913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2448531.2960600001</v>
      </c>
      <c r="B540" s="1" t="s">
        <v>733</v>
      </c>
      <c r="C540" s="1">
        <v>10.911296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2448543.7263400001</v>
      </c>
      <c r="B541" s="1" t="s">
        <v>734</v>
      </c>
      <c r="C541" s="1">
        <v>10.983276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2448558.62586</v>
      </c>
      <c r="B542" s="1" t="s">
        <v>735</v>
      </c>
      <c r="C542" s="1">
        <v>11.091136000000001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2448573.8362199999</v>
      </c>
      <c r="B543" s="1" t="s">
        <v>736</v>
      </c>
      <c r="C543" s="1">
        <v>10.916176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2448591.6150600002</v>
      </c>
      <c r="B544" s="1" t="s">
        <v>737</v>
      </c>
      <c r="C544" s="1">
        <v>10.842646999999999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2448604.5782699999</v>
      </c>
      <c r="B545" s="1" t="s">
        <v>738</v>
      </c>
      <c r="C545" s="1">
        <v>10.797586000000001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2448620.01333</v>
      </c>
      <c r="B546" s="1" t="s">
        <v>739</v>
      </c>
      <c r="C546" s="1">
        <v>10.827999999999999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2448637.1</v>
      </c>
      <c r="B547" s="1" t="s">
        <v>740</v>
      </c>
      <c r="C547" s="1">
        <v>10.987500000000001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2448657.27</v>
      </c>
      <c r="B548" s="1" t="s">
        <v>741</v>
      </c>
      <c r="C548" s="1">
        <v>11.033333000000001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2448687.7742900001</v>
      </c>
      <c r="B549" s="1" t="s">
        <v>742</v>
      </c>
      <c r="C549" s="1">
        <v>11.142856999999999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2448709.6033299998</v>
      </c>
      <c r="B550" s="1" t="s">
        <v>743</v>
      </c>
      <c r="C550" s="1">
        <v>11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2448721.2377999998</v>
      </c>
      <c r="B551" s="1" t="s">
        <v>744</v>
      </c>
      <c r="C551" s="1">
        <v>11.1525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2448739.9575</v>
      </c>
      <c r="B552" s="1" t="s">
        <v>745</v>
      </c>
      <c r="C552" s="1">
        <v>11.18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2448753.33103</v>
      </c>
      <c r="B553" s="1" t="s">
        <v>746</v>
      </c>
      <c r="C553" s="1">
        <v>11.083226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2448767.49382</v>
      </c>
      <c r="B554" s="1" t="s">
        <v>747</v>
      </c>
      <c r="C554" s="1">
        <v>10.923913000000001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2448785.0200800002</v>
      </c>
      <c r="B555" s="1" t="s">
        <v>748</v>
      </c>
      <c r="C555" s="1">
        <v>10.896070999999999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2448801.41664</v>
      </c>
      <c r="B556" s="1" t="s">
        <v>749</v>
      </c>
      <c r="C556" s="1">
        <v>10.923793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2448815.8348500002</v>
      </c>
      <c r="B557" s="1" t="s">
        <v>750</v>
      </c>
      <c r="C557" s="1">
        <v>10.980816000000001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2448831.4000200001</v>
      </c>
      <c r="B558" s="1" t="s">
        <v>751</v>
      </c>
      <c r="C558" s="1">
        <v>11.056207000000001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2448846.1142000002</v>
      </c>
      <c r="B559" s="1" t="s">
        <v>752</v>
      </c>
      <c r="C559" s="1">
        <v>11.016406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2448861.8166299998</v>
      </c>
      <c r="B560" s="1" t="s">
        <v>753</v>
      </c>
      <c r="C560" s="1">
        <v>10.776471000000001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2448876.8989300001</v>
      </c>
      <c r="B561" s="1" t="s">
        <v>754</v>
      </c>
      <c r="C561" s="1">
        <v>10.989305999999999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2448891.72848</v>
      </c>
      <c r="B562" s="1" t="s">
        <v>755</v>
      </c>
      <c r="C562" s="1">
        <v>11.042536999999999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2448907.7601200002</v>
      </c>
      <c r="B563" s="1" t="s">
        <v>756</v>
      </c>
      <c r="C563" s="1">
        <v>11.231999999999999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2448921.7156000002</v>
      </c>
      <c r="B564" s="1" t="s">
        <v>757</v>
      </c>
      <c r="C564" s="1">
        <v>11.257679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2448937.40546</v>
      </c>
      <c r="B565" s="1" t="s">
        <v>758</v>
      </c>
      <c r="C565" s="1">
        <v>11.295405000000001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2448952.4619</v>
      </c>
      <c r="B566" s="1" t="s">
        <v>759</v>
      </c>
      <c r="C566" s="1">
        <v>11.428571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2448967.8052300001</v>
      </c>
      <c r="B567" s="1" t="s">
        <v>760</v>
      </c>
      <c r="C567" s="1">
        <v>11.6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2448982.5998999998</v>
      </c>
      <c r="B568" s="1" t="s">
        <v>761</v>
      </c>
      <c r="C568" s="1">
        <v>11.503939000000001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2448999.0837500002</v>
      </c>
      <c r="B569" s="1" t="s">
        <v>762</v>
      </c>
      <c r="C569" s="1">
        <v>11.6625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2449022.67</v>
      </c>
      <c r="B570" s="1" t="s">
        <v>763</v>
      </c>
      <c r="C570" s="1">
        <v>11.8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2449041.1025</v>
      </c>
      <c r="B571" s="1" t="s">
        <v>764</v>
      </c>
      <c r="C571" s="1">
        <v>11.65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2449066.9759999998</v>
      </c>
      <c r="B572" s="1" t="s">
        <v>765</v>
      </c>
      <c r="C572" s="1">
        <v>11.98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2449074.10109</v>
      </c>
      <c r="B573" s="1" t="s">
        <v>766</v>
      </c>
      <c r="C573" s="1">
        <v>11.918182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2449094.6640599999</v>
      </c>
      <c r="B574" s="1" t="s">
        <v>767</v>
      </c>
      <c r="C574" s="1">
        <v>12.043749999999999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2449108.8076499999</v>
      </c>
      <c r="B575" s="1" t="s">
        <v>768</v>
      </c>
      <c r="C575" s="1">
        <v>12.1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2449124.3794800001</v>
      </c>
      <c r="B576" s="1" t="s">
        <v>769</v>
      </c>
      <c r="C576" s="1">
        <v>12.171429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2449139.1737500001</v>
      </c>
      <c r="B577" s="1" t="s">
        <v>770</v>
      </c>
      <c r="C577" s="1">
        <v>12.286364000000001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2449154.7534699999</v>
      </c>
      <c r="B578" s="1" t="s">
        <v>771</v>
      </c>
      <c r="C578" s="1">
        <v>12.313207999999999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2449169.1730499999</v>
      </c>
      <c r="B579" s="1" t="s">
        <v>772</v>
      </c>
      <c r="C579" s="1">
        <v>12.269643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2449183.5382099999</v>
      </c>
      <c r="B580" s="1" t="s">
        <v>773</v>
      </c>
      <c r="C580" s="1">
        <v>12.386066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2449199.2670300002</v>
      </c>
      <c r="B581" s="1" t="s">
        <v>774</v>
      </c>
      <c r="C581" s="1">
        <v>12.322464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2449214.72187</v>
      </c>
      <c r="B582" s="1" t="s">
        <v>775</v>
      </c>
      <c r="C582" s="1">
        <v>12.294521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2449229.19631</v>
      </c>
      <c r="B583" s="1" t="s">
        <v>776</v>
      </c>
      <c r="C583" s="1">
        <v>12.171697999999999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2449246.1031499999</v>
      </c>
      <c r="B584" s="1" t="s">
        <v>777</v>
      </c>
      <c r="C584" s="1">
        <v>12.254716999999999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2449260.2609000001</v>
      </c>
      <c r="B585" s="1" t="s">
        <v>778</v>
      </c>
      <c r="C585" s="1">
        <v>12.228889000000001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2449275.3140699998</v>
      </c>
      <c r="B586" s="1" t="s">
        <v>779</v>
      </c>
      <c r="C586" s="1">
        <v>12.166364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2449289.6235500001</v>
      </c>
      <c r="B587" s="1" t="s">
        <v>780</v>
      </c>
      <c r="C587" s="1">
        <v>12.119355000000001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2449305.9723</v>
      </c>
      <c r="B588" s="1" t="s">
        <v>781</v>
      </c>
      <c r="C588" s="1">
        <v>12.137499999999999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2449323.3176000002</v>
      </c>
      <c r="B589" s="1" t="s">
        <v>782</v>
      </c>
      <c r="C589" s="1">
        <v>12.111110999999999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2449335.0209499998</v>
      </c>
      <c r="B590" s="1" t="s">
        <v>783</v>
      </c>
      <c r="C590" s="1">
        <v>12.146667000000001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2449353.5645699999</v>
      </c>
      <c r="B591" s="1" t="s">
        <v>784</v>
      </c>
      <c r="C591" s="1">
        <v>11.942857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2449366.1355699999</v>
      </c>
      <c r="B592" s="1" t="s">
        <v>785</v>
      </c>
      <c r="C592" s="1">
        <v>11.771428999999999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2449403.9923299998</v>
      </c>
      <c r="B593" s="1" t="s">
        <v>786</v>
      </c>
      <c r="C593" s="1">
        <v>11.9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2449423.43829</v>
      </c>
      <c r="B594" s="1" t="s">
        <v>787</v>
      </c>
      <c r="C594" s="1">
        <v>11.957143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2449442.2430400001</v>
      </c>
      <c r="B595" s="1" t="s">
        <v>788</v>
      </c>
      <c r="C595" s="1">
        <v>11.785714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2449458.3273399998</v>
      </c>
      <c r="B596" s="1" t="s">
        <v>789</v>
      </c>
      <c r="C596" s="1">
        <v>11.975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2449477.3786300002</v>
      </c>
      <c r="B597" s="1" t="s">
        <v>790</v>
      </c>
      <c r="C597" s="1">
        <v>11.890909000000001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2449489.5487700002</v>
      </c>
      <c r="B598" s="1" t="s">
        <v>791</v>
      </c>
      <c r="C598" s="1">
        <v>11.7468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2449506.2720699999</v>
      </c>
      <c r="B599" s="1" t="s">
        <v>792</v>
      </c>
      <c r="C599" s="1">
        <v>11.712726999999999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2449520.5407400001</v>
      </c>
      <c r="B600" s="1" t="s">
        <v>793</v>
      </c>
      <c r="C600" s="1">
        <v>11.783607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2449537.2823999999</v>
      </c>
      <c r="B601" s="1" t="s">
        <v>794</v>
      </c>
      <c r="C601" s="1">
        <v>11.761486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2449550.1889499999</v>
      </c>
      <c r="B602" s="1" t="s">
        <v>795</v>
      </c>
      <c r="C602" s="1">
        <v>11.782278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2449568.2091199998</v>
      </c>
      <c r="B603" s="1" t="s">
        <v>796</v>
      </c>
      <c r="C603" s="1">
        <v>11.846104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2449581.5734199998</v>
      </c>
      <c r="B604" s="1" t="s">
        <v>797</v>
      </c>
      <c r="C604" s="1">
        <v>11.826415000000001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2449597.4220500002</v>
      </c>
      <c r="B605" s="1" t="s">
        <v>798</v>
      </c>
      <c r="C605" s="1">
        <v>11.834058000000001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2449611.6101099998</v>
      </c>
      <c r="B606" s="1" t="s">
        <v>799</v>
      </c>
      <c r="C606" s="1">
        <v>11.928409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2449627.9996799999</v>
      </c>
      <c r="B607" s="1" t="s">
        <v>800</v>
      </c>
      <c r="C607" s="1">
        <v>11.924576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2449641.7134699998</v>
      </c>
      <c r="B608" s="1" t="s">
        <v>801</v>
      </c>
      <c r="C608" s="1">
        <v>11.95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2449658.2770099998</v>
      </c>
      <c r="B609" s="1" t="s">
        <v>802</v>
      </c>
      <c r="C609" s="1">
        <v>11.963542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2449675.23349</v>
      </c>
      <c r="B610" s="1" t="s">
        <v>803</v>
      </c>
      <c r="C610" s="1">
        <v>12.074074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2449688.7028800002</v>
      </c>
      <c r="B611" s="1" t="s">
        <v>804</v>
      </c>
      <c r="C611" s="1">
        <v>12.053571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2449705.5414100001</v>
      </c>
      <c r="B612" s="1" t="s">
        <v>805</v>
      </c>
      <c r="C612" s="1">
        <v>12.023683999999999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2449719.8467000001</v>
      </c>
      <c r="B613" s="1" t="s">
        <v>806</v>
      </c>
      <c r="C613" s="1">
        <v>12.09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2449734.3836300001</v>
      </c>
      <c r="B614" s="1" t="s">
        <v>807</v>
      </c>
      <c r="C614" s="1">
        <v>11.914286000000001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2449755.2498400002</v>
      </c>
      <c r="B615" s="1" t="s">
        <v>808</v>
      </c>
      <c r="C615" s="1">
        <v>12.14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2449781.5951899998</v>
      </c>
      <c r="B616" s="1" t="s">
        <v>809</v>
      </c>
      <c r="C616" s="1">
        <v>12.25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2449794.2104000002</v>
      </c>
      <c r="B617" s="1" t="s">
        <v>810</v>
      </c>
      <c r="C617" s="1">
        <v>12.1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2449810.7296099998</v>
      </c>
      <c r="B618" s="1" t="s">
        <v>811</v>
      </c>
      <c r="C618" s="1">
        <v>12.353332999999999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2449828.66836</v>
      </c>
      <c r="B619" s="1" t="s">
        <v>812</v>
      </c>
      <c r="C619" s="1">
        <v>12.375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2449842.0703500002</v>
      </c>
      <c r="B620" s="1" t="s">
        <v>813</v>
      </c>
      <c r="C620" s="1">
        <v>12.33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2449861.2294899998</v>
      </c>
      <c r="B621" s="1" t="s">
        <v>814</v>
      </c>
      <c r="C621" s="1">
        <v>12.372059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2449873.1842800002</v>
      </c>
      <c r="B622" s="1" t="s">
        <v>815</v>
      </c>
      <c r="C622" s="1">
        <v>12.669354999999999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2449891.6461200002</v>
      </c>
      <c r="B623" s="1" t="s">
        <v>816</v>
      </c>
      <c r="C623" s="1">
        <v>12.681578999999999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2449903.7082000002</v>
      </c>
      <c r="B624" s="1" t="s">
        <v>817</v>
      </c>
      <c r="C624" s="1">
        <v>12.681666999999999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2449922.2680700002</v>
      </c>
      <c r="B625" s="1" t="s">
        <v>818</v>
      </c>
      <c r="C625" s="1">
        <v>12.614545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2449934.7821300002</v>
      </c>
      <c r="B626" s="1" t="s">
        <v>819</v>
      </c>
      <c r="C626" s="1">
        <v>12.703191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2449952.2740099998</v>
      </c>
      <c r="B627" s="1" t="s">
        <v>820</v>
      </c>
      <c r="C627" s="1">
        <v>12.786885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2449967.2522</v>
      </c>
      <c r="B628" s="1" t="s">
        <v>821</v>
      </c>
      <c r="C628" s="1">
        <v>12.588234999999999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2449984.6475800001</v>
      </c>
      <c r="B629" s="1" t="s">
        <v>822</v>
      </c>
      <c r="C629" s="1">
        <v>12.554309999999999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2449998.80235</v>
      </c>
      <c r="B630" s="1" t="s">
        <v>823</v>
      </c>
      <c r="C630" s="1">
        <v>12.506061000000001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2450013.7301099999</v>
      </c>
      <c r="B631" s="1" t="s">
        <v>824</v>
      </c>
      <c r="C631" s="1">
        <v>12.454717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2450030.31904</v>
      </c>
      <c r="B632" s="1" t="s">
        <v>825</v>
      </c>
      <c r="C632" s="1">
        <v>12.58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2450042.4405700001</v>
      </c>
      <c r="B633" s="1" t="s">
        <v>826</v>
      </c>
      <c r="C633" s="1">
        <v>12.459258999999999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2450059.8766800002</v>
      </c>
      <c r="B634" s="1" t="s">
        <v>827</v>
      </c>
      <c r="C634" s="1">
        <v>12.33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2450075.5992000001</v>
      </c>
      <c r="B635" s="1" t="s">
        <v>828</v>
      </c>
      <c r="C635" s="1">
        <v>12.285216999999999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2450093.63191</v>
      </c>
      <c r="B636" s="1" t="s">
        <v>829</v>
      </c>
      <c r="C636" s="1">
        <v>12.242857000000001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2450111.59405</v>
      </c>
      <c r="B637" s="1" t="s">
        <v>830</v>
      </c>
      <c r="C637" s="1">
        <v>12.35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2450136.6825999999</v>
      </c>
      <c r="B638" s="1" t="s">
        <v>831</v>
      </c>
      <c r="C638" s="1">
        <v>12.3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2450144.31702</v>
      </c>
      <c r="B639" s="1" t="s">
        <v>832</v>
      </c>
      <c r="C639" s="1">
        <v>12.04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2450165.1483999998</v>
      </c>
      <c r="B640" s="1" t="s">
        <v>833</v>
      </c>
      <c r="C640" s="1">
        <v>12.085713999999999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2450180.9914799999</v>
      </c>
      <c r="B641" s="1" t="s">
        <v>834</v>
      </c>
      <c r="C641" s="1">
        <v>12.1175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2450194.5129200001</v>
      </c>
      <c r="B642" s="1" t="s">
        <v>835</v>
      </c>
      <c r="C642" s="1">
        <v>12.13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2450213.6255800002</v>
      </c>
      <c r="B643" s="1" t="s">
        <v>836</v>
      </c>
      <c r="C643" s="1">
        <v>11.837647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2450229.09326</v>
      </c>
      <c r="B644" s="1" t="s">
        <v>837</v>
      </c>
      <c r="C644" s="1">
        <v>12.050689999999999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2450245.8015800002</v>
      </c>
      <c r="B645" s="1" t="s">
        <v>838</v>
      </c>
      <c r="C645" s="1">
        <v>11.91122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2450259.0166500001</v>
      </c>
      <c r="B646" s="1" t="s">
        <v>839</v>
      </c>
      <c r="C646" s="1">
        <v>11.925946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2450274.9704900002</v>
      </c>
      <c r="B647" s="1" t="s">
        <v>840</v>
      </c>
      <c r="C647" s="1">
        <v>11.878500000000001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2450287.8790099998</v>
      </c>
      <c r="B648" s="1" t="s">
        <v>841</v>
      </c>
      <c r="C648" s="1">
        <v>11.827619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2450304.0965499999</v>
      </c>
      <c r="B649" s="1" t="s">
        <v>842</v>
      </c>
      <c r="C649" s="1">
        <v>11.858596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2450318.1716700001</v>
      </c>
      <c r="B650" s="1" t="s">
        <v>843</v>
      </c>
      <c r="C650" s="1">
        <v>11.859643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2450336.8813399998</v>
      </c>
      <c r="B651" s="1" t="s">
        <v>844</v>
      </c>
      <c r="C651" s="1">
        <v>11.848599999999999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2450349.8284100001</v>
      </c>
      <c r="B652" s="1" t="s">
        <v>845</v>
      </c>
      <c r="C652" s="1">
        <v>11.872339999999999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2450365.3357899999</v>
      </c>
      <c r="B653" s="1" t="s">
        <v>846</v>
      </c>
      <c r="C653" s="1">
        <v>11.901864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2450379.3563700002</v>
      </c>
      <c r="B654" s="1" t="s">
        <v>847</v>
      </c>
      <c r="C654" s="1">
        <v>11.874375000000001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2450397.3876800002</v>
      </c>
      <c r="B655" s="1" t="s">
        <v>848</v>
      </c>
      <c r="C655" s="1">
        <v>11.993273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2450411.0213000001</v>
      </c>
      <c r="B656" s="1" t="s">
        <v>849</v>
      </c>
      <c r="C656" s="1">
        <v>11.903333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2450427.1245300001</v>
      </c>
      <c r="B657" s="1" t="s">
        <v>850</v>
      </c>
      <c r="C657" s="1">
        <v>11.9168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2450443.4482300002</v>
      </c>
      <c r="B658" s="1" t="s">
        <v>851</v>
      </c>
      <c r="C658" s="1">
        <v>11.791765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2450459.66335</v>
      </c>
      <c r="B659" s="1" t="s">
        <v>852</v>
      </c>
      <c r="C659" s="1">
        <v>11.888182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2450479.5314600002</v>
      </c>
      <c r="B660" s="1" t="s">
        <v>853</v>
      </c>
      <c r="C660" s="1">
        <v>11.76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2450491.3386599999</v>
      </c>
      <c r="B661" s="1" t="s">
        <v>854</v>
      </c>
      <c r="C661" s="1">
        <v>11.94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2450512.4504800001</v>
      </c>
      <c r="B662" s="1" t="s">
        <v>855</v>
      </c>
      <c r="C662" s="1">
        <v>12.086667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2450528.4056699998</v>
      </c>
      <c r="B663" s="1" t="s">
        <v>856</v>
      </c>
      <c r="C663" s="1">
        <v>12.016667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2450546.71</v>
      </c>
      <c r="B664" s="1" t="s">
        <v>857</v>
      </c>
      <c r="C664" s="1">
        <v>12.237500000000001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2450566.0510300002</v>
      </c>
      <c r="B665" s="1" t="s">
        <v>858</v>
      </c>
      <c r="C665" s="1">
        <v>12.344286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2450577.5242300001</v>
      </c>
      <c r="B666" s="1" t="s">
        <v>859</v>
      </c>
      <c r="C666" s="1">
        <v>12.387143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2450595.59008</v>
      </c>
      <c r="B667" s="1" t="s">
        <v>860</v>
      </c>
      <c r="C667" s="1">
        <v>12.441852000000001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2450609.65044</v>
      </c>
      <c r="B668" s="1" t="s">
        <v>861</v>
      </c>
      <c r="C668" s="1">
        <v>12.557368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2450628.4465899998</v>
      </c>
      <c r="B669" s="1" t="s">
        <v>862</v>
      </c>
      <c r="C669" s="1">
        <v>12.733333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2450641.4442199999</v>
      </c>
      <c r="B670" s="1" t="s">
        <v>863</v>
      </c>
      <c r="C670" s="1">
        <v>12.691143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2450658.5336099998</v>
      </c>
      <c r="B671" s="1" t="s">
        <v>864</v>
      </c>
      <c r="C671" s="1">
        <v>12.751714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2450672.5668500001</v>
      </c>
      <c r="B672" s="1" t="s">
        <v>865</v>
      </c>
      <c r="C672" s="1">
        <v>12.640476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2450688.8569100001</v>
      </c>
      <c r="B673" s="1" t="s">
        <v>866</v>
      </c>
      <c r="C673" s="1">
        <v>12.684374999999999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2450702.2834800002</v>
      </c>
      <c r="B674" s="1" t="s">
        <v>867</v>
      </c>
      <c r="C674" s="1">
        <v>12.551304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2450718.1326799998</v>
      </c>
      <c r="B675" s="1" t="s">
        <v>868</v>
      </c>
      <c r="C675" s="1">
        <v>12.529783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2450732.3862299998</v>
      </c>
      <c r="B676" s="1" t="s">
        <v>869</v>
      </c>
      <c r="C676" s="1">
        <v>12.5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2450749.0444899998</v>
      </c>
      <c r="B677" s="1" t="s">
        <v>870</v>
      </c>
      <c r="C677" s="1">
        <v>12.407273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2450766.8348500002</v>
      </c>
      <c r="B678" s="1" t="s">
        <v>871</v>
      </c>
      <c r="C678" s="1">
        <v>12.302631999999999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2450781.0749900001</v>
      </c>
      <c r="B679" s="1" t="s">
        <v>872</v>
      </c>
      <c r="C679" s="1">
        <v>12.356249999999999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2450796.9660800002</v>
      </c>
      <c r="B680" s="1" t="s">
        <v>873</v>
      </c>
      <c r="C680" s="1">
        <v>12.346667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2450818.60409</v>
      </c>
      <c r="B681" s="1" t="s">
        <v>874</v>
      </c>
      <c r="C681" s="1">
        <v>12.371428999999999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2450840.5273799999</v>
      </c>
      <c r="B682" s="1" t="s">
        <v>875</v>
      </c>
      <c r="C682" s="1">
        <v>12.3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2450866.7069999999</v>
      </c>
      <c r="B683" s="1" t="s">
        <v>876</v>
      </c>
      <c r="C683" s="1">
        <v>12.15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2450876.2838300001</v>
      </c>
      <c r="B684" s="1" t="s">
        <v>877</v>
      </c>
      <c r="C684" s="1">
        <v>12.2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2450899.47762</v>
      </c>
      <c r="B685" s="1" t="s">
        <v>878</v>
      </c>
      <c r="C685" s="1">
        <v>12.0875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2450915.2410200001</v>
      </c>
      <c r="B686" s="1" t="s">
        <v>879</v>
      </c>
      <c r="C686" s="1">
        <v>12.06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2450932.39751</v>
      </c>
      <c r="B687" s="1" t="s">
        <v>880</v>
      </c>
      <c r="C687" s="1">
        <v>11.949332999999999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2450949.15038</v>
      </c>
      <c r="B688" s="1" t="s">
        <v>881</v>
      </c>
      <c r="C688" s="1">
        <v>11.985455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2450962.77311</v>
      </c>
      <c r="B689" s="1" t="s">
        <v>882</v>
      </c>
      <c r="C689" s="1">
        <v>11.961379000000001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2450978.0894300002</v>
      </c>
      <c r="B690" s="1" t="s">
        <v>883</v>
      </c>
      <c r="C690" s="1">
        <v>11.987083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2450992.54018</v>
      </c>
      <c r="B691" s="1" t="s">
        <v>884</v>
      </c>
      <c r="C691" s="1">
        <v>11.941034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2451010.0780000002</v>
      </c>
      <c r="B692" s="1" t="s">
        <v>885</v>
      </c>
      <c r="C692" s="1">
        <v>11.964839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2451023.5837099999</v>
      </c>
      <c r="B693" s="1" t="s">
        <v>886</v>
      </c>
      <c r="C693" s="1">
        <v>12.032444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2451039.8220199998</v>
      </c>
      <c r="B694" s="1" t="s">
        <v>887</v>
      </c>
      <c r="C694" s="1">
        <v>11.873396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2451052.1446500001</v>
      </c>
      <c r="B695" s="1" t="s">
        <v>888</v>
      </c>
      <c r="C695" s="1">
        <v>11.9024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2451070.2963800002</v>
      </c>
      <c r="B696" s="1" t="s">
        <v>889</v>
      </c>
      <c r="C696" s="1">
        <v>12.002889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2451082.6543000001</v>
      </c>
      <c r="B697" s="1" t="s">
        <v>890</v>
      </c>
      <c r="C697" s="1">
        <v>11.962051000000001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2451103.0814499999</v>
      </c>
      <c r="B698" s="1" t="s">
        <v>891</v>
      </c>
      <c r="C698" s="1">
        <v>11.9795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2451117.2071400001</v>
      </c>
      <c r="B699" s="1" t="s">
        <v>892</v>
      </c>
      <c r="C699" s="1">
        <v>11.945556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2451133.3561100001</v>
      </c>
      <c r="B700" s="1" t="s">
        <v>893</v>
      </c>
      <c r="C700" s="1">
        <v>11.937856999999999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2451149.13986</v>
      </c>
      <c r="B701" s="1" t="s">
        <v>894</v>
      </c>
      <c r="C701" s="1">
        <v>11.9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2451163.0123200002</v>
      </c>
      <c r="B702" s="1" t="s">
        <v>895</v>
      </c>
      <c r="C702" s="1">
        <v>12.103125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2451179.4387699999</v>
      </c>
      <c r="B703" s="1" t="s">
        <v>896</v>
      </c>
      <c r="C703" s="1">
        <v>11.823333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2451196.22743</v>
      </c>
      <c r="B704" s="1" t="s">
        <v>897</v>
      </c>
      <c r="C704" s="1">
        <v>11.975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2451220.7340699998</v>
      </c>
      <c r="B705" s="1" t="s">
        <v>898</v>
      </c>
      <c r="C705" s="1">
        <v>12.213333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2451244.9512299998</v>
      </c>
      <c r="B706" s="1" t="s">
        <v>899</v>
      </c>
      <c r="C706" s="1">
        <v>12.383333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2451259.1460500001</v>
      </c>
      <c r="B707" s="1" t="s">
        <v>900</v>
      </c>
      <c r="C707" s="1">
        <v>12.4125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2451278.4495700002</v>
      </c>
      <c r="B708" s="1" t="s">
        <v>901</v>
      </c>
      <c r="C708" s="1">
        <v>12.505556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2451289.79642</v>
      </c>
      <c r="B709" s="1" t="s">
        <v>902</v>
      </c>
      <c r="C709" s="1">
        <v>12.637143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2451305.9925600002</v>
      </c>
      <c r="B710" s="1" t="s">
        <v>903</v>
      </c>
      <c r="C710" s="1">
        <v>12.5425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2451320.6492499998</v>
      </c>
      <c r="B711" s="1" t="s">
        <v>904</v>
      </c>
      <c r="C711" s="1">
        <v>12.471923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2451338.6484699999</v>
      </c>
      <c r="B712" s="1" t="s">
        <v>905</v>
      </c>
      <c r="C712" s="1">
        <v>12.5375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2451349.9745700001</v>
      </c>
      <c r="B713" s="1" t="s">
        <v>906</v>
      </c>
      <c r="C713" s="1">
        <v>12.499231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2451369.7978599998</v>
      </c>
      <c r="B714" s="1" t="s">
        <v>907</v>
      </c>
      <c r="C714" s="1">
        <v>12.554773000000001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2451382.86815</v>
      </c>
      <c r="B715" s="1" t="s">
        <v>908</v>
      </c>
      <c r="C715" s="1">
        <v>12.549524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2451398.452</v>
      </c>
      <c r="B716" s="1" t="s">
        <v>909</v>
      </c>
      <c r="C716" s="1">
        <v>12.732778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2451414.1017</v>
      </c>
      <c r="B717" s="1" t="s">
        <v>910</v>
      </c>
      <c r="C717" s="1">
        <v>12.796250000000001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2451430.44264</v>
      </c>
      <c r="B718" s="1" t="s">
        <v>911</v>
      </c>
      <c r="C718" s="1">
        <v>12.818947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2451445.3774999999</v>
      </c>
      <c r="B719" s="1" t="s">
        <v>912</v>
      </c>
      <c r="C719" s="1">
        <v>12.744999999999999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2451460.6256900001</v>
      </c>
      <c r="B720" s="1" t="s">
        <v>913</v>
      </c>
      <c r="C720" s="1">
        <v>12.711429000000001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2451474.8737900001</v>
      </c>
      <c r="B721" s="1" t="s">
        <v>914</v>
      </c>
      <c r="C721" s="1">
        <v>12.652414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2451490.1030799998</v>
      </c>
      <c r="B722" s="1" t="s">
        <v>915</v>
      </c>
      <c r="C722" s="1">
        <v>12.468332999999999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2451508.5364899999</v>
      </c>
      <c r="B723" s="1" t="s">
        <v>916</v>
      </c>
      <c r="C723" s="1">
        <v>12.387499999999999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2451520.5547699998</v>
      </c>
      <c r="B724" s="1" t="s">
        <v>917</v>
      </c>
      <c r="C724" s="1">
        <v>12.358461999999999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2451537.2291199998</v>
      </c>
      <c r="B725" s="1" t="s">
        <v>918</v>
      </c>
      <c r="C725" s="1">
        <v>12.26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2451551.9428599998</v>
      </c>
      <c r="B726" s="1" t="s">
        <v>919</v>
      </c>
      <c r="C726" s="1">
        <v>12.3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2451580.3969999999</v>
      </c>
      <c r="B727" s="1" t="s">
        <v>920</v>
      </c>
      <c r="C727" s="1">
        <v>12.4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2451607.7749999999</v>
      </c>
      <c r="B728" s="1" t="s">
        <v>921</v>
      </c>
      <c r="C728" s="1">
        <v>12.55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2451624.1647999999</v>
      </c>
      <c r="B729" s="1" t="s">
        <v>922</v>
      </c>
      <c r="C729" s="1">
        <v>12.14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2451637.3338000001</v>
      </c>
      <c r="B730" s="1" t="s">
        <v>923</v>
      </c>
      <c r="C730" s="1">
        <v>12.16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2451657.9840000002</v>
      </c>
      <c r="B731" s="1" t="s">
        <v>924</v>
      </c>
      <c r="C731" s="1">
        <v>12.128571000000001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2451669.9046800002</v>
      </c>
      <c r="B732" s="1" t="s">
        <v>925</v>
      </c>
      <c r="C732" s="1">
        <v>12.153333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2451688.3400099999</v>
      </c>
      <c r="B733" s="1" t="s">
        <v>926</v>
      </c>
      <c r="C733" s="1">
        <v>12.066000000000001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2451703.39078</v>
      </c>
      <c r="B734" s="1" t="s">
        <v>927</v>
      </c>
      <c r="C734" s="1">
        <v>12.02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2451718.3442099998</v>
      </c>
      <c r="B735" s="1" t="s">
        <v>928</v>
      </c>
      <c r="C735" s="1">
        <v>11.999231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2451733.9389300002</v>
      </c>
      <c r="B736" s="1" t="s">
        <v>929</v>
      </c>
      <c r="C736" s="1">
        <v>12.111480999999999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2451749.0812599999</v>
      </c>
      <c r="B737" s="1" t="s">
        <v>930</v>
      </c>
      <c r="C737" s="1">
        <v>11.942273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2451763.1528500002</v>
      </c>
      <c r="B738" s="1" t="s">
        <v>931</v>
      </c>
      <c r="C738" s="1">
        <v>11.998293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2451781.0414999998</v>
      </c>
      <c r="B739" s="1" t="s">
        <v>932</v>
      </c>
      <c r="C739" s="1">
        <v>11.968235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2451794.4839699999</v>
      </c>
      <c r="B740" s="1" t="s">
        <v>933</v>
      </c>
      <c r="C740" s="1">
        <v>11.941713999999999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2451811.9024800002</v>
      </c>
      <c r="B741" s="1" t="s">
        <v>934</v>
      </c>
      <c r="C741" s="1">
        <v>11.953846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2451827.81849</v>
      </c>
      <c r="B742" s="1" t="s">
        <v>935</v>
      </c>
      <c r="C742" s="1">
        <v>11.892187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2451842.8584599998</v>
      </c>
      <c r="B743" s="1" t="s">
        <v>936</v>
      </c>
      <c r="C743" s="1">
        <v>11.893784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2451859.0734799998</v>
      </c>
      <c r="B744" s="1" t="s">
        <v>937</v>
      </c>
      <c r="C744" s="1">
        <v>11.8208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2451875.4928899999</v>
      </c>
      <c r="B745" s="1" t="s">
        <v>938</v>
      </c>
      <c r="C745" s="1">
        <v>11.798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2451888.4200200001</v>
      </c>
      <c r="B746" s="1" t="s">
        <v>939</v>
      </c>
      <c r="C746" s="1">
        <v>11.734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2451907.0313200001</v>
      </c>
      <c r="B747" s="1" t="s">
        <v>940</v>
      </c>
      <c r="C747" s="1">
        <v>11.651111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2451919.0685800002</v>
      </c>
      <c r="B748" s="1" t="s">
        <v>941</v>
      </c>
      <c r="C748" s="1">
        <v>11.7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2451933.1979999999</v>
      </c>
      <c r="B749" s="1" t="s">
        <v>942</v>
      </c>
      <c r="C749" s="1">
        <v>12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2451959.4197800001</v>
      </c>
      <c r="B750" s="1" t="s">
        <v>943</v>
      </c>
      <c r="C750" s="1">
        <v>11.8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2451970.5887699998</v>
      </c>
      <c r="B751" s="1" t="s">
        <v>944</v>
      </c>
      <c r="C751" s="1">
        <v>11.966666999999999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2451991.5449999999</v>
      </c>
      <c r="B752" s="1" t="s">
        <v>945</v>
      </c>
      <c r="C752" s="1">
        <v>12.25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2452009.4294500002</v>
      </c>
      <c r="B753" s="1" t="s">
        <v>946</v>
      </c>
      <c r="C753" s="1">
        <v>11.875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2452026.6885799998</v>
      </c>
      <c r="B754" s="1" t="s">
        <v>947</v>
      </c>
      <c r="C754" s="1">
        <v>11.961537999999999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2452043.8798000002</v>
      </c>
      <c r="B755" s="1" t="s">
        <v>948</v>
      </c>
      <c r="C755" s="1">
        <v>12.071429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2452054.8543400001</v>
      </c>
      <c r="B756" s="1" t="s">
        <v>949</v>
      </c>
      <c r="C756" s="1">
        <v>12.234999999999999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2452071.9938400001</v>
      </c>
      <c r="B757" s="1" t="s">
        <v>950</v>
      </c>
      <c r="C757" s="1">
        <v>12.257142999999999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2452087.5913399998</v>
      </c>
      <c r="B758" s="1" t="s">
        <v>951</v>
      </c>
      <c r="C758" s="1">
        <v>12.284848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2452106.7036799998</v>
      </c>
      <c r="B759" s="1" t="s">
        <v>952</v>
      </c>
      <c r="C759" s="1">
        <v>12.411538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2452122.3066699998</v>
      </c>
      <c r="B760" s="1" t="s">
        <v>953</v>
      </c>
      <c r="C760" s="1">
        <v>12.407143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2452138.3072700002</v>
      </c>
      <c r="B761" s="1" t="s">
        <v>954</v>
      </c>
      <c r="C761" s="1">
        <v>12.478125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2452153.0452299998</v>
      </c>
      <c r="B762" s="1" t="s">
        <v>955</v>
      </c>
      <c r="C762" s="1">
        <v>12.615152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2452169.0661800001</v>
      </c>
      <c r="B763" s="1" t="s">
        <v>956</v>
      </c>
      <c r="C763" s="1">
        <v>12.436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2452185.2750200001</v>
      </c>
      <c r="B764" s="1" t="s">
        <v>957</v>
      </c>
      <c r="C764" s="1">
        <v>12.454167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2452199.04054</v>
      </c>
      <c r="B765" s="1" t="s">
        <v>958</v>
      </c>
      <c r="C765" s="1">
        <v>12.474194000000001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2452215.9877900002</v>
      </c>
      <c r="B766" s="1" t="s">
        <v>959</v>
      </c>
      <c r="C766" s="1">
        <v>12.544117999999999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2452228.2898200001</v>
      </c>
      <c r="B767" s="1" t="s">
        <v>960</v>
      </c>
      <c r="C767" s="1">
        <v>12.555555999999999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2452248.4158200002</v>
      </c>
      <c r="B768" s="1" t="s">
        <v>961</v>
      </c>
      <c r="C768" s="1">
        <v>12.609090999999999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2452261.7988800001</v>
      </c>
      <c r="B769" s="1" t="s">
        <v>962</v>
      </c>
      <c r="C769" s="1">
        <v>12.554167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2452277.8159400001</v>
      </c>
      <c r="B770" s="1" t="s">
        <v>963</v>
      </c>
      <c r="C770" s="1">
        <v>12.375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2452321.4131200002</v>
      </c>
      <c r="B771" s="1" t="s">
        <v>964</v>
      </c>
      <c r="C771" s="1">
        <v>12.15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2452344.5667699999</v>
      </c>
      <c r="B772" s="1" t="s">
        <v>965</v>
      </c>
      <c r="C772" s="1">
        <v>12.425000000000001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2452372.15668</v>
      </c>
      <c r="B773" s="1" t="s">
        <v>966</v>
      </c>
      <c r="C773" s="1">
        <v>12.225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2452399.1039999998</v>
      </c>
      <c r="B774" s="1" t="s">
        <v>967</v>
      </c>
      <c r="C774" s="1">
        <v>12.26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2452413.3272899999</v>
      </c>
      <c r="B775" s="1" t="s">
        <v>968</v>
      </c>
      <c r="C775" s="1">
        <v>12.028570999999999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2452431.4128399999</v>
      </c>
      <c r="B776" s="1" t="s">
        <v>969</v>
      </c>
      <c r="C776" s="1">
        <v>12.042857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2452449.8185399999</v>
      </c>
      <c r="B777" s="1" t="s">
        <v>970</v>
      </c>
      <c r="C777" s="1">
        <v>12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2452466.5808299999</v>
      </c>
      <c r="B778" s="1" t="s">
        <v>971</v>
      </c>
      <c r="C778" s="1">
        <v>12.025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2452481.72542</v>
      </c>
      <c r="B779" s="1" t="s">
        <v>972</v>
      </c>
      <c r="C779" s="1">
        <v>12.028570999999999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2452497.4808100001</v>
      </c>
      <c r="B780" s="1" t="s">
        <v>973</v>
      </c>
      <c r="C780" s="1">
        <v>11.982609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2452514.2829</v>
      </c>
      <c r="B781" s="1" t="s">
        <v>974</v>
      </c>
      <c r="C781" s="1">
        <v>11.854286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2452528.2424499998</v>
      </c>
      <c r="B782" s="1" t="s">
        <v>975</v>
      </c>
      <c r="C782" s="1">
        <v>11.845238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2452547.01406</v>
      </c>
      <c r="B783" s="1" t="s">
        <v>976</v>
      </c>
      <c r="C783" s="1">
        <v>11.827500000000001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2452561.2104500001</v>
      </c>
      <c r="B784" s="1" t="s">
        <v>977</v>
      </c>
      <c r="C784" s="1">
        <v>11.875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2452577.8219599999</v>
      </c>
      <c r="B785" s="1" t="s">
        <v>978</v>
      </c>
      <c r="C785" s="1">
        <v>11.830303000000001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2452591.2505800002</v>
      </c>
      <c r="B786" s="1" t="s">
        <v>979</v>
      </c>
      <c r="C786" s="1">
        <v>11.75625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2452606.4421399999</v>
      </c>
      <c r="B787" s="1" t="s">
        <v>980</v>
      </c>
      <c r="C787" s="1">
        <v>11.8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2452620.2954799999</v>
      </c>
      <c r="B788" s="1" t="s">
        <v>981</v>
      </c>
      <c r="C788" s="1">
        <v>11.836364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2452641.4561200002</v>
      </c>
      <c r="B789" s="1" t="s">
        <v>982</v>
      </c>
      <c r="C789" s="1">
        <v>11.838462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2452650.2249799999</v>
      </c>
      <c r="B790" s="1" t="s">
        <v>983</v>
      </c>
      <c r="C790" s="1">
        <v>11.65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2452696.3896699999</v>
      </c>
      <c r="B791" s="1" t="s">
        <v>984</v>
      </c>
      <c r="C791" s="1">
        <v>11.9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2452714.0019999999</v>
      </c>
      <c r="B792" s="1" t="s">
        <v>985</v>
      </c>
      <c r="C792" s="1">
        <v>11.9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2452735.3870000001</v>
      </c>
      <c r="B793" s="1" t="s">
        <v>986</v>
      </c>
      <c r="C793" s="1">
        <v>12.05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2452758</v>
      </c>
      <c r="B794" s="1" t="s">
        <v>987</v>
      </c>
      <c r="C794" s="1">
        <v>12.2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2452777.3121799999</v>
      </c>
      <c r="B795" s="1" t="s">
        <v>988</v>
      </c>
      <c r="C795" s="1">
        <v>12.2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2452793.3920800001</v>
      </c>
      <c r="B796" s="1" t="s">
        <v>989</v>
      </c>
      <c r="C796" s="1">
        <v>12.185714000000001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2452811.6032199999</v>
      </c>
      <c r="B797" s="1" t="s">
        <v>990</v>
      </c>
      <c r="C797" s="1">
        <v>12.229167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2452827.1445399998</v>
      </c>
      <c r="B798" s="1" t="s">
        <v>991</v>
      </c>
      <c r="C798" s="1">
        <v>12.335293999999999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2452840.52385</v>
      </c>
      <c r="B799" s="1" t="s">
        <v>992</v>
      </c>
      <c r="C799" s="1">
        <v>12.431034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2452855.1989199999</v>
      </c>
      <c r="B800" s="1" t="s">
        <v>993</v>
      </c>
      <c r="C800" s="1">
        <v>12.478947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2452873.2204100001</v>
      </c>
      <c r="B801" s="1" t="s">
        <v>994</v>
      </c>
      <c r="C801" s="1">
        <v>12.552631999999999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2452886.1537899999</v>
      </c>
      <c r="B802" s="1" t="s">
        <v>995</v>
      </c>
      <c r="C802" s="1">
        <v>12.667647000000001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2452903.14983</v>
      </c>
      <c r="B803" s="1" t="s">
        <v>996</v>
      </c>
      <c r="C803" s="1">
        <v>12.715384999999999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2452917.81311</v>
      </c>
      <c r="B804" s="1" t="s">
        <v>997</v>
      </c>
      <c r="C804" s="1">
        <v>12.842307999999999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2452933.6045400002</v>
      </c>
      <c r="B805" s="1" t="s">
        <v>998</v>
      </c>
      <c r="C805" s="1">
        <v>12.651515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2452951.14274</v>
      </c>
      <c r="B806" s="1" t="s">
        <v>999</v>
      </c>
      <c r="C806" s="1">
        <v>12.72381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2452965.8230599998</v>
      </c>
      <c r="B807" s="1" t="s">
        <v>1000</v>
      </c>
      <c r="C807" s="1">
        <v>12.7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2452982.7283600001</v>
      </c>
      <c r="B808" s="1" t="s">
        <v>1001</v>
      </c>
      <c r="C808" s="1">
        <v>12.475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2452996.5679899999</v>
      </c>
      <c r="B809" s="1" t="s">
        <v>1002</v>
      </c>
      <c r="C809" s="1">
        <v>12.49375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2453020.9733799999</v>
      </c>
      <c r="B810" s="1" t="s">
        <v>1003</v>
      </c>
      <c r="C810" s="1">
        <v>12.4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2453061.3366700001</v>
      </c>
      <c r="B811" s="1" t="s">
        <v>1004</v>
      </c>
      <c r="C811" s="1">
        <v>12.433332999999999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2453083.6214999999</v>
      </c>
      <c r="B812" s="1" t="s">
        <v>1005</v>
      </c>
      <c r="C812" s="1">
        <v>12.45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2453100.64267</v>
      </c>
      <c r="B813" s="1" t="s">
        <v>1006</v>
      </c>
      <c r="C813" s="1">
        <v>12.333333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2453120.7447500001</v>
      </c>
      <c r="B814" s="1" t="s">
        <v>1007</v>
      </c>
      <c r="C814" s="1">
        <v>12.4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2453142.45597</v>
      </c>
      <c r="B815" s="1" t="s">
        <v>1008</v>
      </c>
      <c r="C815" s="1">
        <v>12.207692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2453151.6960999998</v>
      </c>
      <c r="B816" s="1" t="s">
        <v>1009</v>
      </c>
      <c r="C816" s="1">
        <v>12.137499999999999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2453170.1431499999</v>
      </c>
      <c r="B817" s="1" t="s">
        <v>1010</v>
      </c>
      <c r="C817" s="1">
        <v>12.144444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2453183.7551500001</v>
      </c>
      <c r="B818" s="1" t="s">
        <v>1011</v>
      </c>
      <c r="C818" s="1">
        <v>11.966666999999999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2453201.26559</v>
      </c>
      <c r="B819" s="1" t="s">
        <v>1012</v>
      </c>
      <c r="C819" s="1">
        <v>11.972222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2453217.9608900002</v>
      </c>
      <c r="B820" s="1" t="s">
        <v>1013</v>
      </c>
      <c r="C820" s="1">
        <v>11.9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2453235.0521499999</v>
      </c>
      <c r="B821" s="1" t="s">
        <v>1014</v>
      </c>
      <c r="C821" s="1">
        <v>11.853571000000001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2453250.2059499999</v>
      </c>
      <c r="B822" s="1" t="s">
        <v>1015</v>
      </c>
      <c r="C822" s="1">
        <v>11.760526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2453263.8103999998</v>
      </c>
      <c r="B823" s="1" t="s">
        <v>1016</v>
      </c>
      <c r="C823" s="1">
        <v>11.811363999999999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2453280.7279500002</v>
      </c>
      <c r="B824" s="1" t="s">
        <v>1017</v>
      </c>
      <c r="C824" s="1">
        <v>11.691667000000001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2453293.7853600001</v>
      </c>
      <c r="B825" s="1" t="s">
        <v>1018</v>
      </c>
      <c r="C825" s="1">
        <v>11.718182000000001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2453309.6761400001</v>
      </c>
      <c r="B826" s="1" t="s">
        <v>1019</v>
      </c>
      <c r="C826" s="1">
        <v>11.584211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2453322.9751499998</v>
      </c>
      <c r="B827" s="1" t="s">
        <v>1020</v>
      </c>
      <c r="C827" s="1">
        <v>11.569231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2453341.5422800002</v>
      </c>
      <c r="B828" s="1" t="s">
        <v>1021</v>
      </c>
      <c r="C828" s="1">
        <v>11.533333000000001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2453355.58366</v>
      </c>
      <c r="B829" s="1" t="s">
        <v>1022</v>
      </c>
      <c r="C829" s="1">
        <v>11.4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2453375.0376200001</v>
      </c>
      <c r="B830" s="1" t="s">
        <v>1023</v>
      </c>
      <c r="C830" s="1">
        <v>11.4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2453385.2579999999</v>
      </c>
      <c r="B831" s="1" t="s">
        <v>1024</v>
      </c>
      <c r="C831" s="1">
        <v>11.65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2453412.6735</v>
      </c>
      <c r="B832" s="1" t="s">
        <v>1025</v>
      </c>
      <c r="C832" s="1">
        <v>11.45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2453451.9638</v>
      </c>
      <c r="B833" s="1" t="s">
        <v>1026</v>
      </c>
      <c r="C833" s="1">
        <v>11.56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2453469.29868</v>
      </c>
      <c r="B834" s="1" t="s">
        <v>1027</v>
      </c>
      <c r="C834" s="1">
        <v>11.475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2453485.8709999998</v>
      </c>
      <c r="B835" s="1" t="s">
        <v>1028</v>
      </c>
      <c r="C835" s="1">
        <v>11.228571000000001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2453504.8844300001</v>
      </c>
      <c r="B836" s="1" t="s">
        <v>1029</v>
      </c>
      <c r="C836" s="1">
        <v>11.55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2453522.5062299999</v>
      </c>
      <c r="B837" s="1" t="s">
        <v>1030</v>
      </c>
      <c r="C837" s="1">
        <v>11.642105000000001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2453537.2367699998</v>
      </c>
      <c r="B838" s="1" t="s">
        <v>1031</v>
      </c>
      <c r="C838" s="1">
        <v>11.8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2453554.0328799998</v>
      </c>
      <c r="B839" s="1" t="s">
        <v>1032</v>
      </c>
      <c r="C839" s="1">
        <v>12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2453568.8677400001</v>
      </c>
      <c r="B840" s="1" t="s">
        <v>1033</v>
      </c>
      <c r="C840" s="1">
        <v>12.017391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2453586.5506699998</v>
      </c>
      <c r="B841" s="1" t="s">
        <v>1034</v>
      </c>
      <c r="C841" s="1">
        <v>11.996295999999999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2453600.7679400002</v>
      </c>
      <c r="B842" s="1" t="s">
        <v>1035</v>
      </c>
      <c r="C842" s="1">
        <v>11.996295999999999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2453616.5036200001</v>
      </c>
      <c r="B843" s="1" t="s">
        <v>1036</v>
      </c>
      <c r="C843" s="1">
        <v>12.025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2453632.3458599998</v>
      </c>
      <c r="B844" s="1" t="s">
        <v>1037</v>
      </c>
      <c r="C844" s="1">
        <v>12.137143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2453646.318</v>
      </c>
      <c r="B845" s="1" t="s">
        <v>1038</v>
      </c>
      <c r="C845" s="1">
        <v>12.291176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2453661.2409999999</v>
      </c>
      <c r="B846" s="1" t="s">
        <v>1039</v>
      </c>
      <c r="C846" s="1">
        <v>12.39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2453677.0916599999</v>
      </c>
      <c r="B847" s="1" t="s">
        <v>1040</v>
      </c>
      <c r="C847" s="1">
        <v>12.397500000000001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2453694.59002</v>
      </c>
      <c r="B848" s="1" t="s">
        <v>1041</v>
      </c>
      <c r="C848" s="1">
        <v>12.392856999999999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2453712.1412900002</v>
      </c>
      <c r="B849" s="1" t="s">
        <v>1042</v>
      </c>
      <c r="C849" s="1">
        <v>12.366667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2453726.4459799998</v>
      </c>
      <c r="B850" s="1" t="s">
        <v>1043</v>
      </c>
      <c r="C850" s="1">
        <v>12.45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2453744.9013999999</v>
      </c>
      <c r="B851" s="1" t="s">
        <v>1044</v>
      </c>
      <c r="C851" s="1">
        <v>12.7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2453767.6940000001</v>
      </c>
      <c r="B852" s="1" t="s">
        <v>1045</v>
      </c>
      <c r="C852" s="1">
        <v>12.5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2453804.3771500001</v>
      </c>
      <c r="B853" s="1" t="s">
        <v>1046</v>
      </c>
      <c r="C853" s="1">
        <v>12.2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2453822.1285399999</v>
      </c>
      <c r="B854" s="1" t="s">
        <v>1047</v>
      </c>
      <c r="C854" s="1">
        <v>12.44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2453836.60507</v>
      </c>
      <c r="B855" s="1" t="s">
        <v>1048</v>
      </c>
      <c r="C855" s="1">
        <v>12.283333000000001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2453854.7597699999</v>
      </c>
      <c r="B856" s="1" t="s">
        <v>1049</v>
      </c>
      <c r="C856" s="1">
        <v>12.428571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2453869.93848</v>
      </c>
      <c r="B857" s="1" t="s">
        <v>1050</v>
      </c>
      <c r="C857" s="1">
        <v>12.35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2453886.1956199999</v>
      </c>
      <c r="B858" s="1" t="s">
        <v>1051</v>
      </c>
      <c r="C858" s="1">
        <v>12.173684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2453901.2864199998</v>
      </c>
      <c r="B859" s="1" t="s">
        <v>1052</v>
      </c>
      <c r="C859" s="1">
        <v>11.963158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2453915.5515700001</v>
      </c>
      <c r="B860" s="1" t="s">
        <v>1053</v>
      </c>
      <c r="C860" s="1">
        <v>11.885294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2453932.1895400002</v>
      </c>
      <c r="B861" s="1" t="s">
        <v>1054</v>
      </c>
      <c r="C861" s="1">
        <v>11.826316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2453946.4554099999</v>
      </c>
      <c r="B862" s="1" t="s">
        <v>1055</v>
      </c>
      <c r="C862" s="1">
        <v>11.760465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2453965.1393599999</v>
      </c>
      <c r="B863" s="1" t="s">
        <v>1056</v>
      </c>
      <c r="C863" s="1">
        <v>10.38125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2453976.4146599998</v>
      </c>
      <c r="B864" s="1" t="s">
        <v>1057</v>
      </c>
      <c r="C864" s="1">
        <v>10.284302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2453992.4293</v>
      </c>
      <c r="B865" s="1" t="s">
        <v>1058</v>
      </c>
      <c r="C865" s="1">
        <v>10.251905000000001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2454006.41873</v>
      </c>
      <c r="B866" s="1" t="s">
        <v>1059</v>
      </c>
      <c r="C866" s="1">
        <v>10.302809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2454021.42221</v>
      </c>
      <c r="B867" s="1" t="s">
        <v>1060</v>
      </c>
      <c r="C867" s="1">
        <v>10.239474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2454036.7225100002</v>
      </c>
      <c r="B868" s="1" t="s">
        <v>1061</v>
      </c>
      <c r="C868" s="1">
        <v>10.276471000000001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2454053.2382899998</v>
      </c>
      <c r="B869" s="1" t="s">
        <v>1062</v>
      </c>
      <c r="C869" s="1">
        <v>10.326530999999999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2454068.0569799999</v>
      </c>
      <c r="B870" s="1" t="s">
        <v>1063</v>
      </c>
      <c r="C870" s="1">
        <v>10.260870000000001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2454083.0485800002</v>
      </c>
      <c r="B871" s="1" t="s">
        <v>1064</v>
      </c>
      <c r="C871" s="1">
        <v>10.341025999999999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2454096.92876</v>
      </c>
      <c r="B872" s="1" t="s">
        <v>1065</v>
      </c>
      <c r="C872" s="1">
        <v>10.333333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2454112.1368</v>
      </c>
      <c r="B873" s="1" t="s">
        <v>1066</v>
      </c>
      <c r="C873" s="1">
        <v>10.166667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2454134.2744999998</v>
      </c>
      <c r="B874" s="1" t="s">
        <v>1067</v>
      </c>
      <c r="C874" s="1">
        <v>10.3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2454172.8026399999</v>
      </c>
      <c r="B875" s="1" t="s">
        <v>1068</v>
      </c>
      <c r="C875" s="1">
        <v>10.266667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2454186.2058799998</v>
      </c>
      <c r="B876" s="1" t="s">
        <v>1069</v>
      </c>
      <c r="C876" s="1">
        <v>10.31875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2454204.1391099999</v>
      </c>
      <c r="B877" s="1" t="s">
        <v>1070</v>
      </c>
      <c r="C877" s="1">
        <v>10.240909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2454220.9017599998</v>
      </c>
      <c r="B878" s="1" t="s">
        <v>1071</v>
      </c>
      <c r="C878" s="1">
        <v>10.333333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2454236.9563500001</v>
      </c>
      <c r="B879" s="1" t="s">
        <v>1072</v>
      </c>
      <c r="C879" s="1">
        <v>10.345454999999999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2454252.06225</v>
      </c>
      <c r="B880" s="1" t="s">
        <v>1073</v>
      </c>
      <c r="C880" s="1">
        <v>10.336667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2454268.1052199998</v>
      </c>
      <c r="B881" s="1" t="s">
        <v>1074</v>
      </c>
      <c r="C881" s="1">
        <v>10.422826000000001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2454284.8284100001</v>
      </c>
      <c r="B882" s="1" t="s">
        <v>1075</v>
      </c>
      <c r="C882" s="1">
        <v>10.471052999999999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2454298.5313800001</v>
      </c>
      <c r="B883" s="1" t="s">
        <v>1076</v>
      </c>
      <c r="C883" s="1">
        <v>10.509677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2454313.8086899999</v>
      </c>
      <c r="B884" s="1" t="s">
        <v>1077</v>
      </c>
      <c r="C884" s="1">
        <v>10.584375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2454327.93358</v>
      </c>
      <c r="B885" s="1" t="s">
        <v>1078</v>
      </c>
      <c r="C885" s="1">
        <v>10.627535999999999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2454343.8999200002</v>
      </c>
      <c r="B886" s="1" t="s">
        <v>1079</v>
      </c>
      <c r="C886" s="1">
        <v>10.660494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2454359.4171000002</v>
      </c>
      <c r="B887" s="1" t="s">
        <v>1080</v>
      </c>
      <c r="C887" s="1">
        <v>10.74878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2454373.9683900001</v>
      </c>
      <c r="B888" s="1" t="s">
        <v>1081</v>
      </c>
      <c r="C888" s="1">
        <v>10.808197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2454389.2532799998</v>
      </c>
      <c r="B889" s="1" t="s">
        <v>1082</v>
      </c>
      <c r="C889" s="1">
        <v>10.837857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2454405.7453399999</v>
      </c>
      <c r="B890" s="1" t="s">
        <v>1083</v>
      </c>
      <c r="C890" s="1">
        <v>10.819048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2454419.9324599998</v>
      </c>
      <c r="B891" s="1" t="s">
        <v>1084</v>
      </c>
      <c r="C891" s="1">
        <v>10.875806000000001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2454435.55498</v>
      </c>
      <c r="B892" s="1" t="s">
        <v>1085</v>
      </c>
      <c r="C892" s="1">
        <v>10.891304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2454449.09705</v>
      </c>
      <c r="B893" s="1" t="s">
        <v>1086</v>
      </c>
      <c r="C893" s="1">
        <v>10.952631999999999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2454468.0309700002</v>
      </c>
      <c r="B894" s="1" t="s">
        <v>1087</v>
      </c>
      <c r="C894" s="1">
        <v>10.88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2454500.9300000002</v>
      </c>
      <c r="B895" s="1" t="s">
        <v>1088</v>
      </c>
      <c r="C895" s="1">
        <v>10.75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2454519.49346</v>
      </c>
      <c r="B896" s="1" t="s">
        <v>1089</v>
      </c>
      <c r="C896" s="1">
        <v>10.42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2454534.7295599999</v>
      </c>
      <c r="B897" s="1" t="s">
        <v>1090</v>
      </c>
      <c r="C897" s="1">
        <v>10.376923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2454555.2969599999</v>
      </c>
      <c r="B898" s="1" t="s">
        <v>1091</v>
      </c>
      <c r="C898" s="1">
        <v>10.35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2454567.3424900002</v>
      </c>
      <c r="B899" s="1" t="s">
        <v>1092</v>
      </c>
      <c r="C899" s="1">
        <v>10.246667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2454586.7478399999</v>
      </c>
      <c r="B900" s="1" t="s">
        <v>1093</v>
      </c>
      <c r="C900" s="1">
        <v>10.081481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2454598.7483000001</v>
      </c>
      <c r="B901" s="1" t="s">
        <v>1094</v>
      </c>
      <c r="C901" s="1">
        <v>9.9604169999999996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2454617.07118</v>
      </c>
      <c r="B902" s="1" t="s">
        <v>1095</v>
      </c>
      <c r="C902" s="1">
        <v>9.9574999999999996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2454631.412</v>
      </c>
      <c r="B903" s="1" t="s">
        <v>1096</v>
      </c>
      <c r="C903" s="1">
        <v>9.8371429999999993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2454647.7906599999</v>
      </c>
      <c r="B904" s="1" t="s">
        <v>1097</v>
      </c>
      <c r="C904" s="1">
        <v>9.8704920000000005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2454662.7634700001</v>
      </c>
      <c r="B905" s="1" t="s">
        <v>1098</v>
      </c>
      <c r="C905" s="1">
        <v>9.8133330000000001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2454679.15496</v>
      </c>
      <c r="B906" s="1" t="s">
        <v>1099</v>
      </c>
      <c r="C906" s="1">
        <v>9.8123079999999998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2454693.3642099998</v>
      </c>
      <c r="B907" s="1" t="s">
        <v>1100</v>
      </c>
      <c r="C907" s="1">
        <v>9.7674420000000008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2454709.0624000002</v>
      </c>
      <c r="B908" s="1" t="s">
        <v>1101</v>
      </c>
      <c r="C908" s="1">
        <v>9.7289469999999998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2454724.3575400002</v>
      </c>
      <c r="B909" s="1" t="s">
        <v>1102</v>
      </c>
      <c r="C909" s="1">
        <v>9.6707319999999992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2454740.1567600002</v>
      </c>
      <c r="B910" s="1" t="s">
        <v>1103</v>
      </c>
      <c r="C910" s="1">
        <v>9.7192980000000002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2454756.18328</v>
      </c>
      <c r="B911" s="1" t="s">
        <v>1104</v>
      </c>
      <c r="C911" s="1">
        <v>9.6288459999999993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2454769.4620099999</v>
      </c>
      <c r="B912" s="1" t="s">
        <v>1105</v>
      </c>
      <c r="C912" s="1">
        <v>9.6146340000000006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2454785.8112300001</v>
      </c>
      <c r="B913" s="1" t="s">
        <v>1106</v>
      </c>
      <c r="C913" s="1">
        <v>9.64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2454799.1952800001</v>
      </c>
      <c r="B914" s="1" t="s">
        <v>1107</v>
      </c>
      <c r="C914" s="1">
        <v>9.7249999999999996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2454814.42753</v>
      </c>
      <c r="B915" s="1" t="s">
        <v>1108</v>
      </c>
      <c r="C915" s="1">
        <v>9.6833329999999993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2454832.3855699999</v>
      </c>
      <c r="B916" s="1" t="s">
        <v>1109</v>
      </c>
      <c r="C916" s="1">
        <v>9.6999999999999993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2454848.24657</v>
      </c>
      <c r="B917" s="1" t="s">
        <v>1110</v>
      </c>
      <c r="C917" s="1">
        <v>9.4250000000000007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2454861.5888999999</v>
      </c>
      <c r="B918" s="1" t="s">
        <v>1111</v>
      </c>
      <c r="C918" s="1">
        <v>9.6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2454889.1733800001</v>
      </c>
      <c r="B919" s="1" t="s">
        <v>1112</v>
      </c>
      <c r="C919" s="1">
        <v>9.85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2454909.4512399998</v>
      </c>
      <c r="B920" s="1" t="s">
        <v>1113</v>
      </c>
      <c r="C920" s="1">
        <v>9.66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2454925.6091399998</v>
      </c>
      <c r="B921" s="1" t="s">
        <v>1114</v>
      </c>
      <c r="C921" s="1">
        <v>9.7083329999999997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2454944.0061499998</v>
      </c>
      <c r="B922" s="1" t="s">
        <v>1115</v>
      </c>
      <c r="C922" s="1">
        <v>9.6826089999999994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2454957.37524</v>
      </c>
      <c r="B923" s="1" t="s">
        <v>1116</v>
      </c>
      <c r="C923" s="1">
        <v>9.6653850000000006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2454975.27318</v>
      </c>
      <c r="B924" s="1" t="s">
        <v>1117</v>
      </c>
      <c r="C924" s="1">
        <v>9.7418180000000003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2454989.5053400001</v>
      </c>
      <c r="B925" s="1" t="s">
        <v>1118</v>
      </c>
      <c r="C925" s="1">
        <v>9.6742860000000004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2455005.0374500002</v>
      </c>
      <c r="B926" s="1" t="s">
        <v>1119</v>
      </c>
      <c r="C926" s="1">
        <v>9.7309520000000003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2455021.2045399998</v>
      </c>
      <c r="B927" s="1" t="s">
        <v>1120</v>
      </c>
      <c r="C927" s="1">
        <v>9.7409090000000003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2455036.75716</v>
      </c>
      <c r="B928" s="1" t="s">
        <v>1121</v>
      </c>
      <c r="C928" s="1">
        <v>9.8147540000000006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2455051.8355700001</v>
      </c>
      <c r="B929" s="1" t="s">
        <v>1122</v>
      </c>
      <c r="C929" s="1">
        <v>9.8447370000000003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2455065.4734800002</v>
      </c>
      <c r="B930" s="1" t="s">
        <v>1123</v>
      </c>
      <c r="C930" s="1">
        <v>9.8866669999999992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2455081.7590700001</v>
      </c>
      <c r="B931" s="1" t="s">
        <v>1124</v>
      </c>
      <c r="C931" s="1">
        <v>9.9255809999999993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2455096.4168600002</v>
      </c>
      <c r="B932" s="1" t="s">
        <v>1125</v>
      </c>
      <c r="C932" s="1">
        <v>9.9406780000000001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2455113.0700900001</v>
      </c>
      <c r="B933" s="1" t="s">
        <v>1126</v>
      </c>
      <c r="C933" s="1">
        <v>9.8468750000000007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2455127.4731299998</v>
      </c>
      <c r="B934" s="1" t="s">
        <v>1127</v>
      </c>
      <c r="C934" s="1">
        <v>10.028570999999999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2455145.28315</v>
      </c>
      <c r="B935" s="1" t="s">
        <v>1128</v>
      </c>
      <c r="C935" s="1">
        <v>10.02069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2455159.7071000002</v>
      </c>
      <c r="B936" s="1" t="s">
        <v>1129</v>
      </c>
      <c r="C936" s="1">
        <v>10.075676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2455173.62549</v>
      </c>
      <c r="B937" s="1" t="s">
        <v>1130</v>
      </c>
      <c r="C937" s="1">
        <v>10.199999999999999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2455189.52153</v>
      </c>
      <c r="B938" s="1" t="s">
        <v>1131</v>
      </c>
      <c r="C938" s="1">
        <v>10.123077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2455204.9163000002</v>
      </c>
      <c r="B939" s="1" t="s">
        <v>1132</v>
      </c>
      <c r="C939" s="1">
        <v>10.238462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2455220.2316000001</v>
      </c>
      <c r="B940" s="1" t="s">
        <v>1133</v>
      </c>
      <c r="C940" s="1">
        <v>10.35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2455246.2004200001</v>
      </c>
      <c r="B941" s="1" t="s">
        <v>1134</v>
      </c>
      <c r="C941" s="1">
        <v>10.1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2455262.2675100002</v>
      </c>
      <c r="B942" s="1" t="s">
        <v>1135</v>
      </c>
      <c r="C942" s="1">
        <v>10.18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2455281.4588700002</v>
      </c>
      <c r="B943" s="1" t="s">
        <v>1136</v>
      </c>
      <c r="C943" s="1">
        <v>10.057143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2455300.5165300001</v>
      </c>
      <c r="B944" s="1" t="s">
        <v>1137</v>
      </c>
      <c r="C944" s="1">
        <v>9.9933329999999998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2455315.38754</v>
      </c>
      <c r="B945" s="1" t="s">
        <v>1138</v>
      </c>
      <c r="C945" s="1">
        <v>9.9222219999999997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2455335.01878</v>
      </c>
      <c r="B946" s="1" t="s">
        <v>1139</v>
      </c>
      <c r="C946" s="1">
        <v>9.8000000000000007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2455349.2148199999</v>
      </c>
      <c r="B947" s="1" t="s">
        <v>1140</v>
      </c>
      <c r="C947" s="1">
        <v>9.8444439999999993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2455361.4402000001</v>
      </c>
      <c r="B948" s="1" t="s">
        <v>1141</v>
      </c>
      <c r="C948" s="1">
        <v>9.85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2455380.2801799998</v>
      </c>
      <c r="B949" s="1" t="s">
        <v>1142</v>
      </c>
      <c r="C949" s="1">
        <v>9.8142859999999992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2455392.9858400002</v>
      </c>
      <c r="B950" s="1" t="s">
        <v>1143</v>
      </c>
      <c r="C950" s="1">
        <v>9.84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2455411.8992599999</v>
      </c>
      <c r="B951" s="1" t="s">
        <v>1144</v>
      </c>
      <c r="C951" s="1">
        <v>9.8172409999999992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2455424.0665099998</v>
      </c>
      <c r="B952" s="1" t="s">
        <v>1145</v>
      </c>
      <c r="C952" s="1">
        <v>9.8260869999999993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2455440.5510499999</v>
      </c>
      <c r="B953" s="1" t="s">
        <v>1146</v>
      </c>
      <c r="C953" s="1">
        <v>9.7901959999999999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2455454.2895900002</v>
      </c>
      <c r="B954" s="1" t="s">
        <v>1147</v>
      </c>
      <c r="C954" s="1">
        <v>9.7063830000000006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2455472.3958299998</v>
      </c>
      <c r="B955" s="1" t="s">
        <v>1148</v>
      </c>
      <c r="C955" s="1">
        <v>9.6483869999999996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2455484.13423</v>
      </c>
      <c r="B956" s="1" t="s">
        <v>1149</v>
      </c>
      <c r="C956" s="1">
        <v>9.6530609999999992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2455500.3221900002</v>
      </c>
      <c r="B957" s="1" t="s">
        <v>1150</v>
      </c>
      <c r="C957" s="1">
        <v>9.651923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2455514.9268200002</v>
      </c>
      <c r="B958" s="1" t="s">
        <v>1151</v>
      </c>
      <c r="C958" s="1">
        <v>9.6833329999999993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2455531.1512600002</v>
      </c>
      <c r="B959" s="1" t="s">
        <v>1152</v>
      </c>
      <c r="C959" s="1">
        <v>9.6807689999999997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2455543.4725600001</v>
      </c>
      <c r="B960" s="1" t="s">
        <v>1153</v>
      </c>
      <c r="C960" s="1">
        <v>9.7214290000000005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2455563.64059</v>
      </c>
      <c r="B961" s="1" t="s">
        <v>1154</v>
      </c>
      <c r="C961" s="1">
        <v>9.7090910000000008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2455578.3652900001</v>
      </c>
      <c r="B962" s="1" t="s">
        <v>1155</v>
      </c>
      <c r="C962" s="1">
        <v>9.5555559999999993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2455595.9568099999</v>
      </c>
      <c r="B963" s="1" t="s">
        <v>1156</v>
      </c>
      <c r="C963" s="1">
        <v>9.58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2455623.2516100002</v>
      </c>
      <c r="B964" s="1" t="s">
        <v>1157</v>
      </c>
      <c r="C964" s="1">
        <v>9.61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2455645.1258999999</v>
      </c>
      <c r="B965" s="1" t="s">
        <v>1158</v>
      </c>
      <c r="C965" s="1">
        <v>9.65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2455659.9397999998</v>
      </c>
      <c r="B966" s="1" t="s">
        <v>1159</v>
      </c>
      <c r="C966" s="1">
        <v>9.6750000000000007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2455682.8926499998</v>
      </c>
      <c r="B967" s="1" t="s">
        <v>1160</v>
      </c>
      <c r="C967" s="1">
        <v>9.6916670000000007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2455695.3859100002</v>
      </c>
      <c r="B968" s="1" t="s">
        <v>1161</v>
      </c>
      <c r="C968" s="1">
        <v>9.8357139999999994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2455710.2713299999</v>
      </c>
      <c r="B969" s="1" t="s">
        <v>1162</v>
      </c>
      <c r="C969" s="1">
        <v>9.8633330000000008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2455726.8487399998</v>
      </c>
      <c r="B970" s="1" t="s">
        <v>1163</v>
      </c>
      <c r="C970" s="1">
        <v>9.8461540000000003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2455743.0993300001</v>
      </c>
      <c r="B971" s="1" t="s">
        <v>1164</v>
      </c>
      <c r="C971" s="1">
        <v>9.8370370000000005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2455757.89964</v>
      </c>
      <c r="B972" s="1" t="s">
        <v>1165</v>
      </c>
      <c r="C972" s="1">
        <v>9.9700000000000006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2455773.7471400001</v>
      </c>
      <c r="B973" s="1" t="s">
        <v>1166</v>
      </c>
      <c r="C973" s="1">
        <v>9.9645829999999993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2455790.0605799998</v>
      </c>
      <c r="B974" s="1" t="s">
        <v>1167</v>
      </c>
      <c r="C974" s="1">
        <v>9.9369569999999996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2455803.0407199999</v>
      </c>
      <c r="B975" s="1" t="s">
        <v>1168</v>
      </c>
      <c r="C975" s="1">
        <v>10.005357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2455819.1494700001</v>
      </c>
      <c r="B976" s="1" t="s">
        <v>1169</v>
      </c>
      <c r="C976" s="1">
        <v>9.9895829999999997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2455833.4903199999</v>
      </c>
      <c r="B977" s="1" t="s">
        <v>1170</v>
      </c>
      <c r="C977" s="1">
        <v>9.9357140000000008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2455849.9316699998</v>
      </c>
      <c r="B978" s="1" t="s">
        <v>1171</v>
      </c>
      <c r="C978" s="1">
        <v>9.9279069999999994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2455864.2726599998</v>
      </c>
      <c r="B979" s="1" t="s">
        <v>1172</v>
      </c>
      <c r="C979" s="1">
        <v>9.9875000000000007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2455879.4936099998</v>
      </c>
      <c r="B980" s="1" t="s">
        <v>1173</v>
      </c>
      <c r="C980" s="1">
        <v>10.036364000000001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2455896.3427800001</v>
      </c>
      <c r="B981" s="1" t="s">
        <v>1174</v>
      </c>
      <c r="C981" s="1">
        <v>10.128571000000001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2455910.3667899999</v>
      </c>
      <c r="B982" s="1" t="s">
        <v>1175</v>
      </c>
      <c r="C982" s="1">
        <v>10.142856999999999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2455926.86821</v>
      </c>
      <c r="B983" s="1" t="s">
        <v>1176</v>
      </c>
      <c r="C983" s="1">
        <v>10.158823999999999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2455943.9874</v>
      </c>
      <c r="B984" s="1" t="s">
        <v>1177</v>
      </c>
      <c r="C984" s="1">
        <v>10.3375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2455966.7999999998</v>
      </c>
      <c r="B985" s="1" t="s">
        <v>1178</v>
      </c>
      <c r="C985" s="1">
        <v>10.4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2455988.8720900002</v>
      </c>
      <c r="B986" s="1" t="s">
        <v>1179</v>
      </c>
      <c r="C986" s="1">
        <v>10.4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2456009.2950499998</v>
      </c>
      <c r="B987" s="1" t="s">
        <v>1180</v>
      </c>
      <c r="C987" s="1">
        <v>10.138462000000001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2456025.2456999999</v>
      </c>
      <c r="B988" s="1" t="s">
        <v>1181</v>
      </c>
      <c r="C988" s="1">
        <v>10.042857</v>
      </c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2456045.1546200002</v>
      </c>
      <c r="B989" s="1" t="s">
        <v>1182</v>
      </c>
      <c r="C989" s="1">
        <v>10.057143</v>
      </c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2456060.3394800001</v>
      </c>
      <c r="B990" s="1" t="s">
        <v>1183</v>
      </c>
      <c r="C990" s="1">
        <v>10.109524</v>
      </c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2456072.4617699999</v>
      </c>
      <c r="B991" s="1" t="s">
        <v>1184</v>
      </c>
      <c r="C991" s="1">
        <v>10.109090999999999</v>
      </c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2456092.1993200001</v>
      </c>
      <c r="B992" s="1" t="s">
        <v>1185</v>
      </c>
      <c r="C992" s="1">
        <v>10.173333</v>
      </c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2456105.2757700002</v>
      </c>
      <c r="B993" s="1" t="s">
        <v>1186</v>
      </c>
      <c r="C993" s="1">
        <v>10.192105</v>
      </c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2456122.7570000002</v>
      </c>
      <c r="B994" s="1" t="s">
        <v>1187</v>
      </c>
      <c r="C994" s="1">
        <v>10.178378</v>
      </c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2456136.1661899998</v>
      </c>
      <c r="B995" s="1" t="s">
        <v>1188</v>
      </c>
      <c r="C995" s="1">
        <v>10.215152</v>
      </c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2456154.0133699998</v>
      </c>
      <c r="B996" s="1" t="s">
        <v>1189</v>
      </c>
      <c r="C996" s="1">
        <v>10.263514000000001</v>
      </c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2456167.8509200001</v>
      </c>
      <c r="B997" s="1" t="s">
        <v>1190</v>
      </c>
      <c r="C997" s="1">
        <v>10.206122000000001</v>
      </c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2456183.5692799999</v>
      </c>
      <c r="B998" s="1" t="s">
        <v>1191</v>
      </c>
      <c r="C998" s="1">
        <v>10.182051</v>
      </c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2456197.8769399999</v>
      </c>
      <c r="B999" s="1" t="s">
        <v>1192</v>
      </c>
      <c r="C999" s="1">
        <v>10.121622</v>
      </c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2456214.7283999999</v>
      </c>
      <c r="B1000" s="1" t="s">
        <v>1193</v>
      </c>
      <c r="C1000" s="1">
        <v>10.072642</v>
      </c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2456230.2695399998</v>
      </c>
      <c r="B1001" s="1" t="s">
        <v>1194</v>
      </c>
      <c r="C1001" s="1">
        <v>10.016</v>
      </c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2456243.8137099999</v>
      </c>
      <c r="B1002" s="1" t="s">
        <v>1195</v>
      </c>
      <c r="C1002" s="1">
        <v>10.045946000000001</v>
      </c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2456260.4835799998</v>
      </c>
      <c r="B1003" s="1" t="s">
        <v>1196</v>
      </c>
      <c r="C1003" s="1">
        <v>9.9318179999999998</v>
      </c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2456273.53027</v>
      </c>
      <c r="B1004" s="1" t="s">
        <v>1197</v>
      </c>
      <c r="C1004" s="1">
        <v>10.021053</v>
      </c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2456293.6325699999</v>
      </c>
      <c r="B1005" s="1" t="s">
        <v>1198</v>
      </c>
      <c r="C1005" s="1">
        <v>9.9105260000000008</v>
      </c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2456303.2705600001</v>
      </c>
      <c r="B1006" s="1" t="s">
        <v>1199</v>
      </c>
      <c r="C1006" s="1">
        <v>9.9</v>
      </c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2456323.4690999999</v>
      </c>
      <c r="B1007" s="1" t="s">
        <v>1200</v>
      </c>
      <c r="C1007" s="1">
        <v>9.9</v>
      </c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2456358.6482299999</v>
      </c>
      <c r="B1008" s="1" t="s">
        <v>1201</v>
      </c>
      <c r="C1008" s="1">
        <v>9.9375</v>
      </c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2456389.7136900001</v>
      </c>
      <c r="B1009" s="1" t="s">
        <v>1202</v>
      </c>
      <c r="C1009" s="1">
        <v>9.92</v>
      </c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2456404.4932599999</v>
      </c>
      <c r="B1010" s="1" t="s">
        <v>1203</v>
      </c>
      <c r="C1010" s="1">
        <v>10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2456422.6549300002</v>
      </c>
      <c r="B1011" s="1" t="s">
        <v>1204</v>
      </c>
      <c r="C1011" s="1">
        <v>10.070588000000001</v>
      </c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2456438.45609</v>
      </c>
      <c r="B1012" s="1" t="s">
        <v>1205</v>
      </c>
      <c r="C1012" s="1">
        <v>10.119999999999999</v>
      </c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2456454.8801000002</v>
      </c>
      <c r="B1013" s="1" t="s">
        <v>1206</v>
      </c>
      <c r="C1013" s="1">
        <v>10.121874999999999</v>
      </c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2456470.9873899999</v>
      </c>
      <c r="B1014" s="1" t="s">
        <v>1207</v>
      </c>
      <c r="C1014" s="1">
        <v>10.174194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2456484.4994299999</v>
      </c>
      <c r="B1015" s="1" t="s">
        <v>1208</v>
      </c>
      <c r="C1015" s="1">
        <v>10.204000000000001</v>
      </c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2456500.7596800001</v>
      </c>
      <c r="B1016" s="1" t="s">
        <v>1209</v>
      </c>
      <c r="C1016" s="1">
        <v>10.252632</v>
      </c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2456515.6797099998</v>
      </c>
      <c r="B1017" s="1" t="s">
        <v>1210</v>
      </c>
      <c r="C1017" s="1">
        <v>10.201537999999999</v>
      </c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2456532.55375</v>
      </c>
      <c r="B1018" s="1" t="s">
        <v>1211</v>
      </c>
      <c r="C1018" s="1">
        <v>10.218182000000001</v>
      </c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2456545.1162999999</v>
      </c>
      <c r="B1019" s="1" t="s">
        <v>1212</v>
      </c>
      <c r="C1019" s="1">
        <v>10.232143000000001</v>
      </c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2456562.2782800002</v>
      </c>
      <c r="B1020" s="1" t="s">
        <v>1213</v>
      </c>
      <c r="C1020" s="1">
        <v>10.295745</v>
      </c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2456575.1310299998</v>
      </c>
      <c r="B1021" s="1" t="s">
        <v>1214</v>
      </c>
      <c r="C1021" s="1">
        <v>10.317073000000001</v>
      </c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2456592.54684</v>
      </c>
      <c r="B1022" s="1" t="s">
        <v>1215</v>
      </c>
      <c r="C1022" s="1">
        <v>10.311628000000001</v>
      </c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2456605.38062</v>
      </c>
      <c r="B1023" s="1" t="s">
        <v>1216</v>
      </c>
      <c r="C1023" s="1">
        <v>10.373333000000001</v>
      </c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2456624.6766400002</v>
      </c>
      <c r="B1024" s="1" t="s">
        <v>1217</v>
      </c>
      <c r="C1024" s="1">
        <v>10.487500000000001</v>
      </c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2456634.7096199999</v>
      </c>
      <c r="B1025" s="1" t="s">
        <v>1218</v>
      </c>
      <c r="C1025" s="1">
        <v>10.45</v>
      </c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2456654.7276400002</v>
      </c>
      <c r="B1026" s="1" t="s">
        <v>1219</v>
      </c>
      <c r="C1026" s="1">
        <v>10.63913</v>
      </c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2456667.4213700001</v>
      </c>
      <c r="B1027" s="1" t="s">
        <v>1220</v>
      </c>
      <c r="C1027" s="1">
        <v>10.7</v>
      </c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2456690.3392400001</v>
      </c>
      <c r="B1028" s="1" t="s">
        <v>1221</v>
      </c>
      <c r="C1028" s="1">
        <v>10.75</v>
      </c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2456714.2551000002</v>
      </c>
      <c r="B1029" s="1" t="s">
        <v>1222</v>
      </c>
      <c r="C1029" s="1">
        <v>10.72</v>
      </c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2456726.6280899998</v>
      </c>
      <c r="B1030" s="1" t="s">
        <v>1223</v>
      </c>
      <c r="C1030" s="1">
        <v>10.86</v>
      </c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2456750.6126999999</v>
      </c>
      <c r="B1031" s="1" t="s">
        <v>1224</v>
      </c>
      <c r="C1031" s="1">
        <v>10.454545</v>
      </c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2456770.8741700002</v>
      </c>
      <c r="B1032" s="1" t="s">
        <v>1225</v>
      </c>
      <c r="C1032" s="1">
        <v>10.933332999999999</v>
      </c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2456791.8651999999</v>
      </c>
      <c r="B1033" s="1" t="s">
        <v>1226</v>
      </c>
      <c r="C1033" s="1">
        <v>10.781817999999999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2456803.1860199999</v>
      </c>
      <c r="B1034" s="1" t="s">
        <v>1227</v>
      </c>
      <c r="C1034" s="1">
        <v>10.958824</v>
      </c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2456817.6307700002</v>
      </c>
      <c r="B1035" s="1" t="s">
        <v>1228</v>
      </c>
      <c r="C1035" s="1">
        <v>10.95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2456835.3017299999</v>
      </c>
      <c r="B1036" s="1" t="s">
        <v>1229</v>
      </c>
      <c r="C1036" s="1">
        <v>10.803704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2456849.4912800002</v>
      </c>
      <c r="B1037" s="1" t="s">
        <v>1230</v>
      </c>
      <c r="C1037" s="1">
        <v>10.8</v>
      </c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2456865.4020500001</v>
      </c>
      <c r="B1038" s="1" t="s">
        <v>1231</v>
      </c>
      <c r="C1038" s="1">
        <v>10.829762000000001</v>
      </c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2456883.2617199998</v>
      </c>
      <c r="B1039" s="1" t="s">
        <v>1232</v>
      </c>
      <c r="C1039" s="1">
        <v>10.715999999999999</v>
      </c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2456895.44404</v>
      </c>
      <c r="B1040" s="1" t="s">
        <v>1233</v>
      </c>
      <c r="C1040" s="1">
        <v>10.741667</v>
      </c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2456911.3373699998</v>
      </c>
      <c r="B1041" s="1" t="s">
        <v>1234</v>
      </c>
      <c r="C1041" s="1">
        <v>10.828749999999999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2456926.0024100002</v>
      </c>
      <c r="B1042" s="1" t="s">
        <v>1235</v>
      </c>
      <c r="C1042" s="1">
        <v>10.840566000000001</v>
      </c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2456941.57822</v>
      </c>
      <c r="B1043" s="1" t="s">
        <v>60</v>
      </c>
      <c r="C1043" s="1">
        <v>10.8</v>
      </c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2456955.5748200002</v>
      </c>
      <c r="B1044" s="1" t="s">
        <v>1236</v>
      </c>
      <c r="C1044" s="1">
        <v>10.771428999999999</v>
      </c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2456970.7770400001</v>
      </c>
      <c r="B1045" s="1" t="s">
        <v>55</v>
      </c>
      <c r="C1045" s="1">
        <v>10.71</v>
      </c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2456984.5900099999</v>
      </c>
      <c r="B1046" s="1" t="s">
        <v>1237</v>
      </c>
      <c r="C1046" s="1">
        <v>10.744999999999999</v>
      </c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2457002.19826</v>
      </c>
      <c r="B1047" s="1" t="s">
        <v>1238</v>
      </c>
      <c r="C1047" s="1">
        <v>10.5</v>
      </c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2457017.7109599998</v>
      </c>
      <c r="B1048" s="1" t="s">
        <v>18</v>
      </c>
      <c r="C1048" s="1">
        <v>10.324999999999999</v>
      </c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2457030.5014599999</v>
      </c>
      <c r="B1049" s="1" t="s">
        <v>1239</v>
      </c>
      <c r="C1049" s="1">
        <v>9.9571430000000003</v>
      </c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2457053.9668999999</v>
      </c>
      <c r="B1050" s="1" t="s">
        <v>1240</v>
      </c>
      <c r="C1050" s="1">
        <v>9.65</v>
      </c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2457075.1971200001</v>
      </c>
      <c r="B1051" s="1" t="s">
        <v>1241</v>
      </c>
      <c r="C1051" s="1">
        <v>9.625</v>
      </c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2457099.5427399999</v>
      </c>
      <c r="B1052" s="1" t="s">
        <v>156</v>
      </c>
      <c r="C1052" s="1">
        <v>9.5783330000000007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2457114.4830900002</v>
      </c>
      <c r="B1053" s="1" t="s">
        <v>0</v>
      </c>
      <c r="C1053" s="1">
        <v>9.5573680000000003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2457130.9018000001</v>
      </c>
      <c r="B1054" s="1" t="s">
        <v>6</v>
      </c>
      <c r="C1054" s="1">
        <v>9.5754549999999998</v>
      </c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2457145.78835</v>
      </c>
      <c r="B1055" s="1" t="s">
        <v>34</v>
      </c>
      <c r="C1055" s="1">
        <v>9.5894739999999992</v>
      </c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2457162.2392600002</v>
      </c>
      <c r="B1056" s="1" t="s">
        <v>1242</v>
      </c>
      <c r="C1056" s="1">
        <v>9.8279069999999997</v>
      </c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2457178.7904400001</v>
      </c>
      <c r="B1057" s="1" t="s">
        <v>1243</v>
      </c>
      <c r="C1057" s="1">
        <v>9.8024389999999997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2457192.9783299998</v>
      </c>
      <c r="B1058" s="1" t="s">
        <v>1244</v>
      </c>
      <c r="C1058" s="1">
        <v>9.9704549999999994</v>
      </c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2457209.2427500002</v>
      </c>
      <c r="B1059" s="1" t="s">
        <v>1245</v>
      </c>
      <c r="C1059" s="1">
        <v>9.9137249999999995</v>
      </c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2457223.67949</v>
      </c>
      <c r="B1060" s="1" t="s">
        <v>1246</v>
      </c>
      <c r="C1060" s="1">
        <v>9.9878049999999998</v>
      </c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2457240.5509199998</v>
      </c>
      <c r="B1061" s="1" t="s">
        <v>1247</v>
      </c>
      <c r="C1061" s="1">
        <v>10.095000000000001</v>
      </c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2457255.2679400002</v>
      </c>
      <c r="B1062" s="1" t="s">
        <v>1248</v>
      </c>
      <c r="C1062" s="1">
        <v>10.129761999999999</v>
      </c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2457271.9724099999</v>
      </c>
      <c r="B1063" s="1" t="s">
        <v>1249</v>
      </c>
      <c r="C1063" s="1">
        <v>10.119999999999999</v>
      </c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2457285.6129700001</v>
      </c>
      <c r="B1064" s="1" t="s">
        <v>1250</v>
      </c>
      <c r="C1064" s="1">
        <v>10.119149</v>
      </c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2457302.0608799998</v>
      </c>
      <c r="B1065" s="1" t="s">
        <v>1251</v>
      </c>
      <c r="C1065" s="1">
        <v>10.17193</v>
      </c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2457316.4018799998</v>
      </c>
      <c r="B1066" s="1" t="s">
        <v>1252</v>
      </c>
      <c r="C1066" s="1">
        <v>10.195556</v>
      </c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2457330.8891799999</v>
      </c>
      <c r="B1067" s="1" t="s">
        <v>1253</v>
      </c>
      <c r="C1067" s="1">
        <v>10.219048000000001</v>
      </c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2457345.9759300002</v>
      </c>
      <c r="B1068" s="1" t="s">
        <v>1254</v>
      </c>
      <c r="C1068" s="1">
        <v>10.222727000000001</v>
      </c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2457362.0980600002</v>
      </c>
      <c r="B1069" s="1" t="s">
        <v>1255</v>
      </c>
      <c r="C1069" s="1">
        <v>10.280951999999999</v>
      </c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2457378.78431</v>
      </c>
      <c r="B1070" s="1" t="s">
        <v>1256</v>
      </c>
      <c r="C1070" s="1">
        <v>10.130000000000001</v>
      </c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2457389.1233899998</v>
      </c>
      <c r="B1071" s="1" t="s">
        <v>1257</v>
      </c>
      <c r="C1071" s="1">
        <v>10.128571000000001</v>
      </c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2457411.1333300001</v>
      </c>
      <c r="B1072" s="1" t="s">
        <v>1258</v>
      </c>
      <c r="C1072" s="1">
        <v>10.34</v>
      </c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2457430.6814700002</v>
      </c>
      <c r="B1073" s="1" t="s">
        <v>1259</v>
      </c>
      <c r="C1073" s="1">
        <v>10.3</v>
      </c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2457447.9101200001</v>
      </c>
      <c r="B1074" s="1" t="s">
        <v>1260</v>
      </c>
      <c r="C1074" s="1">
        <v>10.371428999999999</v>
      </c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2457466.5535900001</v>
      </c>
      <c r="B1075" s="1" t="s">
        <v>1261</v>
      </c>
      <c r="C1075" s="1">
        <v>10.45</v>
      </c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2457484.1527</v>
      </c>
      <c r="B1076" s="1" t="s">
        <v>1262</v>
      </c>
      <c r="C1076" s="1">
        <v>10.55</v>
      </c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2457503.6184399999</v>
      </c>
      <c r="B1077" s="1" t="s">
        <v>1263</v>
      </c>
      <c r="C1077" s="1">
        <v>10.552174000000001</v>
      </c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2457516.8761399998</v>
      </c>
      <c r="B1078" s="1" t="s">
        <v>1264</v>
      </c>
      <c r="C1078" s="1">
        <v>10.609524</v>
      </c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2457537.2932500001</v>
      </c>
      <c r="B1079" s="1" t="s">
        <v>1265</v>
      </c>
      <c r="C1079" s="1">
        <v>10.546429</v>
      </c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2457550.5789000001</v>
      </c>
      <c r="B1080" s="1" t="s">
        <v>1266</v>
      </c>
      <c r="C1080" s="1">
        <v>10.596774</v>
      </c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2457568.0109100002</v>
      </c>
      <c r="B1081" s="1" t="s">
        <v>1267</v>
      </c>
      <c r="C1081" s="1">
        <v>10.651282</v>
      </c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2457581.7038400001</v>
      </c>
      <c r="B1082" s="1" t="s">
        <v>1268</v>
      </c>
      <c r="C1082" s="1">
        <v>10.562856999999999</v>
      </c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2457598.6096100002</v>
      </c>
      <c r="B1083" s="1" t="s">
        <v>1269</v>
      </c>
      <c r="C1083" s="1">
        <v>10.535556</v>
      </c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2457611.3901200001</v>
      </c>
      <c r="B1084" s="1" t="s">
        <v>1270</v>
      </c>
      <c r="C1084" s="1">
        <v>10.545676</v>
      </c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2457628.7760700001</v>
      </c>
      <c r="B1085" s="1" t="s">
        <v>1271</v>
      </c>
      <c r="C1085" s="1">
        <v>10.520725000000001</v>
      </c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2457641.7537600002</v>
      </c>
      <c r="B1086" s="1" t="s">
        <v>1272</v>
      </c>
      <c r="C1086" s="1">
        <v>10.564515999999999</v>
      </c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2457659.4371600002</v>
      </c>
      <c r="B1087" s="1" t="s">
        <v>1273</v>
      </c>
      <c r="C1087" s="1">
        <v>10.5326</v>
      </c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2457674.0677499999</v>
      </c>
      <c r="B1088" s="1" t="s">
        <v>1274</v>
      </c>
      <c r="C1088" s="1">
        <v>10.503448000000001</v>
      </c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2457688.4995499998</v>
      </c>
      <c r="B1089" s="1" t="s">
        <v>1275</v>
      </c>
      <c r="C1089" s="1">
        <v>10.430332999999999</v>
      </c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2457704.4001500001</v>
      </c>
      <c r="B1090" s="1" t="s">
        <v>1276</v>
      </c>
      <c r="C1090" s="1">
        <v>10.524782999999999</v>
      </c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2457720.7566999998</v>
      </c>
      <c r="B1091" s="1" t="s">
        <v>1277</v>
      </c>
      <c r="C1091" s="1">
        <v>10.466786000000001</v>
      </c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2457736.3784500002</v>
      </c>
      <c r="B1092" s="1" t="s">
        <v>1278</v>
      </c>
      <c r="C1092" s="1">
        <v>10.413333</v>
      </c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2457747.2732600002</v>
      </c>
      <c r="B1093" s="1" t="s">
        <v>1279</v>
      </c>
      <c r="C1093" s="1">
        <v>10.35</v>
      </c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2457756.7255000002</v>
      </c>
      <c r="B1094" s="1" t="s">
        <v>1949</v>
      </c>
      <c r="C1094" s="1">
        <v>10.18</v>
      </c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2457776.8355</v>
      </c>
      <c r="B1095" s="1" t="s">
        <v>1950</v>
      </c>
      <c r="C1095" s="1">
        <v>9.7874999999999996</v>
      </c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2457798.22108</v>
      </c>
      <c r="B1096" s="1" t="s">
        <v>1951</v>
      </c>
      <c r="C1096" s="1">
        <v>9.6716669999999993</v>
      </c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2457822.8177</v>
      </c>
      <c r="B1097" s="1" t="s">
        <v>1952</v>
      </c>
      <c r="C1097" s="1">
        <v>9.5</v>
      </c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2457840.5253400002</v>
      </c>
      <c r="B1098" s="1" t="s">
        <v>1953</v>
      </c>
      <c r="C1098" s="1">
        <v>9.5250000000000004</v>
      </c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2457862.79837</v>
      </c>
      <c r="B1099" s="1" t="s">
        <v>1954</v>
      </c>
      <c r="C1099" s="1">
        <v>9.4</v>
      </c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ht="30" x14ac:dyDescent="0.25">
      <c r="A1100" s="1">
        <v>2457872.40258</v>
      </c>
      <c r="B1100" s="1" t="s">
        <v>2042</v>
      </c>
      <c r="C1100" s="1">
        <v>9.5453329999999994</v>
      </c>
      <c r="D1100" s="1">
        <v>4.3619999999999999E-2</v>
      </c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ht="30" x14ac:dyDescent="0.25">
      <c r="A1101" s="1">
        <v>2457887.18952</v>
      </c>
      <c r="B1101" s="1" t="s">
        <v>2043</v>
      </c>
      <c r="C1101" s="1">
        <v>9.4934999999999992</v>
      </c>
      <c r="D1101" s="1">
        <v>3.5171000000000001E-2</v>
      </c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ht="30" x14ac:dyDescent="0.25">
      <c r="A1102" s="1">
        <v>2457901.41927</v>
      </c>
      <c r="B1102" s="1" t="s">
        <v>2044</v>
      </c>
      <c r="C1102" s="1">
        <v>9.647907</v>
      </c>
      <c r="D1102" s="1">
        <v>3.5841999999999999E-2</v>
      </c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ht="30" x14ac:dyDescent="0.25">
      <c r="A1103" s="1">
        <v>2457917.9572700001</v>
      </c>
      <c r="B1103" s="1" t="s">
        <v>2045</v>
      </c>
      <c r="C1103" s="1">
        <v>9.6057889999999997</v>
      </c>
      <c r="D1103" s="1">
        <v>3.9800000000000002E-2</v>
      </c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ht="30" x14ac:dyDescent="0.25">
      <c r="A1104" s="1">
        <v>2457931.42466</v>
      </c>
      <c r="B1104" s="1" t="s">
        <v>2046</v>
      </c>
      <c r="C1104" s="1">
        <v>9.5987799999999996</v>
      </c>
      <c r="D1104" s="1">
        <v>3.4845000000000001E-2</v>
      </c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2457947.0038000001</v>
      </c>
      <c r="B1105" s="1" t="s">
        <v>2047</v>
      </c>
      <c r="C1105" s="1">
        <v>9.5942310000000006</v>
      </c>
      <c r="D1105" s="1">
        <v>4.7419999999999997E-2</v>
      </c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2457961.3936100001</v>
      </c>
      <c r="B1106" s="1" t="s">
        <v>2048</v>
      </c>
      <c r="C1106" s="1">
        <v>9.6404650000000007</v>
      </c>
      <c r="D1106" s="1">
        <v>3.703E-2</v>
      </c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2457977.5441899998</v>
      </c>
      <c r="B1107" s="1" t="s">
        <v>2049</v>
      </c>
      <c r="C1107" s="1">
        <v>9.649756</v>
      </c>
      <c r="D1107" s="1">
        <v>3.0485000000000002E-2</v>
      </c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2457992.4228500002</v>
      </c>
      <c r="B1108" s="1" t="s">
        <v>2050</v>
      </c>
      <c r="C1108" s="1">
        <v>9.6782050000000002</v>
      </c>
      <c r="D1108" s="1">
        <v>2.4969000000000002E-2</v>
      </c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2458007.9949400001</v>
      </c>
      <c r="B1109" s="1" t="s">
        <v>1968</v>
      </c>
      <c r="C1109" s="1">
        <v>9.6602700000000006</v>
      </c>
      <c r="D1109" s="1">
        <v>3.4381000000000002E-2</v>
      </c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2458022.0805600001</v>
      </c>
      <c r="B1110" s="1" t="s">
        <v>2051</v>
      </c>
      <c r="C1110" s="1">
        <v>9.6754759999999997</v>
      </c>
      <c r="D1110" s="1">
        <v>3.7080000000000002E-2</v>
      </c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2458039.08641</v>
      </c>
      <c r="B1111" s="1" t="s">
        <v>1974</v>
      </c>
      <c r="C1111" s="1">
        <v>9.6607690000000002</v>
      </c>
      <c r="D1111" s="1">
        <v>2.7477000000000001E-2</v>
      </c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2458053.0110499999</v>
      </c>
      <c r="B1112" s="1" t="s">
        <v>2052</v>
      </c>
      <c r="C1112" s="1">
        <v>9.6551720000000003</v>
      </c>
      <c r="D1112" s="1">
        <v>3.3139000000000002E-2</v>
      </c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2458069.9362599999</v>
      </c>
      <c r="B1113" s="1" t="s">
        <v>2053</v>
      </c>
      <c r="C1113" s="1">
        <v>9.7799999999999994</v>
      </c>
      <c r="D1113" s="1">
        <v>3.8254999999999997E-2</v>
      </c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2458083.50771</v>
      </c>
      <c r="B1114" s="1" t="s">
        <v>1984</v>
      </c>
      <c r="C1114" s="1">
        <v>9.7136359999999993</v>
      </c>
      <c r="D1114" s="1">
        <v>4.8481000000000003E-2</v>
      </c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2458100.3730000001</v>
      </c>
      <c r="B1115" s="1" t="s">
        <v>2054</v>
      </c>
      <c r="C1115" s="1">
        <v>9.7015379999999993</v>
      </c>
      <c r="D1115" s="1">
        <v>4.7870999999999997E-2</v>
      </c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2458111.10831</v>
      </c>
      <c r="B1116" s="1" t="s">
        <v>2055</v>
      </c>
      <c r="C1116" s="1">
        <v>9.6608330000000002</v>
      </c>
      <c r="D1116" s="1">
        <v>4.1786999999999998E-2</v>
      </c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2458128.5695799999</v>
      </c>
      <c r="B1117" s="1" t="s">
        <v>2056</v>
      </c>
      <c r="C1117" s="1">
        <v>9.8666669999999996</v>
      </c>
      <c r="D1117" s="1">
        <v>5.2705000000000002E-2</v>
      </c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2458148.17717</v>
      </c>
      <c r="B1118" s="1" t="s">
        <v>2057</v>
      </c>
      <c r="C1118" s="1">
        <v>9.733333</v>
      </c>
      <c r="D1118" s="1">
        <v>4.9440999999999999E-2</v>
      </c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2458169.7048499999</v>
      </c>
      <c r="B1119" s="1" t="s">
        <v>2058</v>
      </c>
      <c r="C1119" s="1">
        <v>9.8937500000000007</v>
      </c>
      <c r="D1119" s="1">
        <v>8.9859999999999995E-2</v>
      </c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2458185.6085000001</v>
      </c>
      <c r="B1120" s="1" t="s">
        <v>2059</v>
      </c>
      <c r="C1120" s="1">
        <v>9.875</v>
      </c>
      <c r="D1120" s="1">
        <v>4.7870999999999997E-2</v>
      </c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2458198.5350799998</v>
      </c>
      <c r="B1121" s="1" t="s">
        <v>2060</v>
      </c>
      <c r="C1121" s="1">
        <v>9.8625000000000007</v>
      </c>
      <c r="D1121" s="1">
        <v>3.0981000000000002E-2</v>
      </c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2458217.7927700002</v>
      </c>
      <c r="B1122" s="1" t="s">
        <v>2061</v>
      </c>
      <c r="C1122" s="1">
        <v>10.050000000000001</v>
      </c>
      <c r="D1122" s="1">
        <v>3.7268000000000003E-2</v>
      </c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2458228.6811700002</v>
      </c>
      <c r="B1123" s="1" t="s">
        <v>2062</v>
      </c>
      <c r="C1123" s="1">
        <v>10.068</v>
      </c>
      <c r="D1123" s="1">
        <v>2.0358999999999999E-2</v>
      </c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2458248.8565799999</v>
      </c>
      <c r="B1124" s="1" t="s">
        <v>2063</v>
      </c>
      <c r="C1124" s="1">
        <v>10.092727</v>
      </c>
      <c r="D1124" s="1">
        <v>4.3167999999999998E-2</v>
      </c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2458263.3491699998</v>
      </c>
      <c r="B1125" s="1" t="s">
        <v>2064</v>
      </c>
      <c r="C1125" s="1">
        <v>9.9458330000000004</v>
      </c>
      <c r="D1125" s="1">
        <v>5.4167E-2</v>
      </c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2458279.28235</v>
      </c>
      <c r="B1126" s="1" t="s">
        <v>2065</v>
      </c>
      <c r="C1126" s="1">
        <v>9.8762500000000006</v>
      </c>
      <c r="D1126" s="1">
        <v>2.7421999999999998E-2</v>
      </c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2458296.8297799998</v>
      </c>
      <c r="B1127" s="1" t="s">
        <v>2066</v>
      </c>
      <c r="C1127" s="1">
        <v>9.9321870000000008</v>
      </c>
      <c r="D1127" s="1">
        <v>2.8570999999999999E-2</v>
      </c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2458311.7458700002</v>
      </c>
      <c r="B1128" s="1" t="s">
        <v>2067</v>
      </c>
      <c r="C1128" s="1">
        <v>9.9216219999999993</v>
      </c>
      <c r="D1128" s="1">
        <v>3.3138000000000001E-2</v>
      </c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2458326.77275</v>
      </c>
      <c r="B1129" s="1" t="s">
        <v>2068</v>
      </c>
      <c r="C1129" s="1">
        <v>9.8863640000000004</v>
      </c>
      <c r="D1129" s="1">
        <v>4.1586999999999999E-2</v>
      </c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2458340.9308199999</v>
      </c>
      <c r="B1130" s="1" t="s">
        <v>2069</v>
      </c>
      <c r="C1130" s="1">
        <v>9.8955359999999999</v>
      </c>
      <c r="D1130" s="1">
        <v>2.9669999999999998E-2</v>
      </c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2458356.43255</v>
      </c>
      <c r="B1131" s="1" t="s">
        <v>2070</v>
      </c>
      <c r="C1131" s="1">
        <v>9.7899999999999991</v>
      </c>
      <c r="D1131" s="1">
        <v>3.5020999999999997E-2</v>
      </c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2458372.44154</v>
      </c>
      <c r="B1132" s="1" t="s">
        <v>2071</v>
      </c>
      <c r="C1132" s="1">
        <v>9.8117649999999994</v>
      </c>
      <c r="D1132" s="1">
        <v>4.1099999999999998E-2</v>
      </c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2458388.3236600002</v>
      </c>
      <c r="B1133" s="1" t="s">
        <v>2072</v>
      </c>
      <c r="C1133" s="1">
        <v>9.7736839999999994</v>
      </c>
      <c r="D1133" s="1">
        <v>3.3877999999999998E-2</v>
      </c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2458401.52776</v>
      </c>
      <c r="B1134" s="1" t="s">
        <v>2073</v>
      </c>
      <c r="C1134" s="1">
        <v>9.8251059999999999</v>
      </c>
      <c r="D1134" s="1">
        <v>2.9853000000000001E-2</v>
      </c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2458418.8375800001</v>
      </c>
      <c r="B1135" s="1" t="s">
        <v>2074</v>
      </c>
      <c r="C1135" s="1">
        <v>9.8051279999999998</v>
      </c>
      <c r="D1135" s="1">
        <v>4.4075000000000003E-2</v>
      </c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2458433.8611599999</v>
      </c>
      <c r="B1136" s="1" t="s">
        <v>2075</v>
      </c>
      <c r="C1136" s="1">
        <v>9.7941179999999992</v>
      </c>
      <c r="D1136" s="1">
        <v>3.4608E-2</v>
      </c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2458449.38802</v>
      </c>
      <c r="B1137" s="1" t="s">
        <v>2076</v>
      </c>
      <c r="C1137" s="1">
        <v>9.7449999999999992</v>
      </c>
      <c r="D1137" s="1">
        <v>6.6853999999999997E-2</v>
      </c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2458462.6699000001</v>
      </c>
      <c r="B1138" s="1" t="s">
        <v>2077</v>
      </c>
      <c r="C1138" s="1">
        <v>9.7521050000000002</v>
      </c>
      <c r="D1138" s="1">
        <v>5.6932000000000003E-2</v>
      </c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2458480.1447800002</v>
      </c>
      <c r="B1139" s="1" t="s">
        <v>2078</v>
      </c>
      <c r="C1139" s="1">
        <v>9.8742859999999997</v>
      </c>
      <c r="D1139" s="1">
        <v>0.137993</v>
      </c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2458494.9681000002</v>
      </c>
      <c r="B1140" s="1" t="s">
        <v>2079</v>
      </c>
      <c r="C1140" s="1">
        <v>9.3233329999999999</v>
      </c>
      <c r="D1140" s="1">
        <v>7.1259000000000003E-2</v>
      </c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2458507.0916900001</v>
      </c>
      <c r="B1141" s="1" t="s">
        <v>2080</v>
      </c>
      <c r="C1141" s="1">
        <v>9.5</v>
      </c>
      <c r="D1141" s="1">
        <v>0</v>
      </c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2458527.61234</v>
      </c>
      <c r="B1142" s="1" t="s">
        <v>2081</v>
      </c>
      <c r="C1142" s="1">
        <v>9.7375000000000007</v>
      </c>
      <c r="D1142" s="1">
        <v>5.9574000000000002E-2</v>
      </c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2458542.7652599998</v>
      </c>
      <c r="B1143" s="1" t="s">
        <v>2082</v>
      </c>
      <c r="C1143" s="1">
        <v>9.6666670000000003</v>
      </c>
      <c r="D1143" s="1">
        <v>3.7268000000000003E-2</v>
      </c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2458566.6612499999</v>
      </c>
      <c r="B1144" s="1" t="s">
        <v>2083</v>
      </c>
      <c r="C1144" s="1">
        <v>9.5692310000000003</v>
      </c>
      <c r="D1144" s="1">
        <v>1.7485000000000001E-2</v>
      </c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2458581.29844</v>
      </c>
      <c r="B1145" s="1" t="s">
        <v>2084</v>
      </c>
      <c r="C1145" s="1">
        <v>9.5785710000000002</v>
      </c>
      <c r="D1145" s="1">
        <v>3.1759000000000003E-2</v>
      </c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2458599.0052100001</v>
      </c>
      <c r="B1146" s="1" t="s">
        <v>2085</v>
      </c>
      <c r="C1146" s="1">
        <v>9.5500000000000007</v>
      </c>
      <c r="D1146" s="1">
        <v>4.8889000000000002E-2</v>
      </c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2458613.8849200001</v>
      </c>
      <c r="B1147" s="1" t="s">
        <v>2086</v>
      </c>
      <c r="C1147" s="1">
        <v>9.608333</v>
      </c>
      <c r="D1147" s="1">
        <v>4.5157000000000003E-2</v>
      </c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2458632.8995500002</v>
      </c>
      <c r="B1148" s="1" t="s">
        <v>2087</v>
      </c>
      <c r="C1148" s="1">
        <v>9.703125</v>
      </c>
      <c r="D1148" s="1">
        <v>3.0613000000000001E-2</v>
      </c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2458646.5422499999</v>
      </c>
      <c r="B1149" s="1" t="s">
        <v>2088</v>
      </c>
      <c r="C1149" s="1">
        <v>9.6722219999999997</v>
      </c>
      <c r="D1149" s="1">
        <v>5.3508E-2</v>
      </c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2458663.0509700002</v>
      </c>
      <c r="B1150" s="1" t="s">
        <v>2089</v>
      </c>
      <c r="C1150" s="1">
        <v>9.6868420000000004</v>
      </c>
      <c r="D1150" s="1">
        <v>3.2481999999999997E-2</v>
      </c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2458678.6039300002</v>
      </c>
      <c r="B1151" s="1" t="s">
        <v>2090</v>
      </c>
      <c r="C1151" s="1">
        <v>9.766667</v>
      </c>
      <c r="D1151" s="1">
        <v>5.7459000000000003E-2</v>
      </c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2458693.3846499999</v>
      </c>
      <c r="B1152" s="1" t="s">
        <v>2091</v>
      </c>
      <c r="C1152" s="1">
        <v>9.7949999999999999</v>
      </c>
      <c r="D1152" s="1">
        <v>4.0431000000000002E-2</v>
      </c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2458710.5763300001</v>
      </c>
      <c r="B1153" s="1" t="s">
        <v>2092</v>
      </c>
      <c r="C1153" s="1">
        <v>9.7460000000000004</v>
      </c>
      <c r="D1153" s="1">
        <v>4.2418999999999998E-2</v>
      </c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2458727.3103100001</v>
      </c>
      <c r="B1154" s="1" t="s">
        <v>2093</v>
      </c>
      <c r="C1154" s="1">
        <v>9.8230559999999993</v>
      </c>
      <c r="D1154" s="1">
        <v>3.5610000000000003E-2</v>
      </c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2458743.2729799999</v>
      </c>
      <c r="B1155" s="1" t="s">
        <v>2094</v>
      </c>
      <c r="C1155" s="1">
        <v>9.8208330000000004</v>
      </c>
      <c r="D1155" s="1">
        <v>4.7388E-2</v>
      </c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2458758.50092</v>
      </c>
      <c r="B1156" s="1" t="s">
        <v>2039</v>
      </c>
      <c r="C1156" s="1">
        <v>9.8175860000000004</v>
      </c>
      <c r="D1156" s="1">
        <v>3.8188E-2</v>
      </c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2458776.7343299999</v>
      </c>
      <c r="B1157" s="1" t="s">
        <v>2095</v>
      </c>
      <c r="C1157" s="1">
        <v>9.8907139999999991</v>
      </c>
      <c r="D1157" s="1">
        <v>3.9753999999999998E-2</v>
      </c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2458790.0694599999</v>
      </c>
      <c r="B1158" s="1" t="s">
        <v>2096</v>
      </c>
      <c r="C1158" s="1">
        <v>9.9039999999999999</v>
      </c>
      <c r="D1158" s="1">
        <v>5.5014E-2</v>
      </c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2458805.5793900001</v>
      </c>
      <c r="B1159" s="1" t="s">
        <v>2041</v>
      </c>
      <c r="C1159" s="1">
        <v>9.9092310000000001</v>
      </c>
      <c r="D1159" s="1">
        <v>5.3427000000000002E-2</v>
      </c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2458822.2099600001</v>
      </c>
      <c r="B1160" s="1" t="s">
        <v>2097</v>
      </c>
      <c r="C1160" s="1">
        <v>9.8576920000000001</v>
      </c>
      <c r="D1160" s="1">
        <v>5.4891000000000002E-2</v>
      </c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2458842.60751</v>
      </c>
      <c r="B1161" s="1" t="s">
        <v>2098</v>
      </c>
      <c r="C1161" s="1">
        <v>9.91</v>
      </c>
      <c r="D1161" s="1">
        <v>1.9306E-2</v>
      </c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2458853.3632</v>
      </c>
      <c r="B1162" s="1" t="s">
        <v>2099</v>
      </c>
      <c r="C1162" s="1">
        <v>9.85</v>
      </c>
      <c r="D1162" s="1">
        <v>0.15</v>
      </c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2458880.9819399999</v>
      </c>
      <c r="B1163" s="1" t="s">
        <v>2100</v>
      </c>
      <c r="C1163" s="1">
        <v>10</v>
      </c>
      <c r="D1163" s="1">
        <v>0</v>
      </c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3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1:27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1:27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1:27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1:27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1:27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1:27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A1494"/>
  <sheetViews>
    <sheetView topLeftCell="A168" workbookViewId="0">
      <selection activeCell="C188" sqref="C188"/>
    </sheetView>
  </sheetViews>
  <sheetFormatPr baseColWidth="10" defaultRowHeight="15" x14ac:dyDescent="0.25"/>
  <cols>
    <col min="1" max="1" width="15.28515625" customWidth="1"/>
    <col min="2" max="2" width="15.85546875" customWidth="1"/>
  </cols>
  <sheetData>
    <row r="1" spans="1:27" x14ac:dyDescent="0.25">
      <c r="A1" s="1">
        <v>2453805.6153799999</v>
      </c>
      <c r="B1" s="1" t="s">
        <v>1502</v>
      </c>
      <c r="C1" s="1">
        <v>0.67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2453823.5784499999</v>
      </c>
      <c r="B2" s="1" t="s">
        <v>1506</v>
      </c>
      <c r="C2" s="1">
        <v>0.61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2453848.5146499998</v>
      </c>
      <c r="B3" s="1" t="s">
        <v>1512</v>
      </c>
      <c r="C3" s="1">
        <v>0.72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2453849.5665500001</v>
      </c>
      <c r="B4" s="1" t="s">
        <v>1513</v>
      </c>
      <c r="C4" s="1">
        <v>0.78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2453867.4876000001</v>
      </c>
      <c r="B5" s="1" t="s">
        <v>1518</v>
      </c>
      <c r="C5" s="1">
        <v>0.8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2453883.51615</v>
      </c>
      <c r="B6" s="1" t="s">
        <v>1917</v>
      </c>
      <c r="C6" s="1">
        <v>0.73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2453890.5732</v>
      </c>
      <c r="B7" s="1" t="s">
        <v>1523</v>
      </c>
      <c r="C7" s="1">
        <v>0.75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2453899.52825</v>
      </c>
      <c r="B8" s="1" t="s">
        <v>1525</v>
      </c>
      <c r="C8" s="1">
        <v>0.72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2453979.7395500001</v>
      </c>
      <c r="B9" s="1" t="s">
        <v>1538</v>
      </c>
      <c r="C9" s="1">
        <v>0.313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2454652.6278900001</v>
      </c>
      <c r="B10" s="1" t="s">
        <v>1918</v>
      </c>
      <c r="C10" s="1">
        <v>0.436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2454663.6107700001</v>
      </c>
      <c r="B11" s="1" t="s">
        <v>1664</v>
      </c>
      <c r="C11" s="1">
        <v>0.98399999999999999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2454719.6329700002</v>
      </c>
      <c r="B12" s="1" t="s">
        <v>1677</v>
      </c>
      <c r="C12" s="1">
        <v>0.73899999999999999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2454719.6365200002</v>
      </c>
      <c r="B13" s="1" t="s">
        <v>1677</v>
      </c>
      <c r="C13" s="1">
        <v>0.72899999999999998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2454730.6275900002</v>
      </c>
      <c r="B14" s="1" t="s">
        <v>1681</v>
      </c>
      <c r="C14" s="1">
        <v>0.61699999999999999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2454730.6306099999</v>
      </c>
      <c r="B15" s="1" t="s">
        <v>1681</v>
      </c>
      <c r="C15" s="1">
        <v>0.221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2454731.62708</v>
      </c>
      <c r="B16" s="1" t="s">
        <v>1682</v>
      </c>
      <c r="C16" s="1">
        <v>0.54700000000000004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2454731.63063</v>
      </c>
      <c r="B17" s="1" t="s">
        <v>1682</v>
      </c>
      <c r="C17" s="1">
        <v>0.66300000000000003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2454731.6341800001</v>
      </c>
      <c r="B18" s="1" t="s">
        <v>1682</v>
      </c>
      <c r="C18" s="1">
        <v>0.35399999999999998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2454732.6471299999</v>
      </c>
      <c r="B19" s="1" t="s">
        <v>1683</v>
      </c>
      <c r="C19" s="1">
        <v>0.66800000000000004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2454732.6506699999</v>
      </c>
      <c r="B20" s="1" t="s">
        <v>1683</v>
      </c>
      <c r="C20" s="1">
        <v>0.67400000000000004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2454733.6185900001</v>
      </c>
      <c r="B21" s="1" t="s">
        <v>1919</v>
      </c>
      <c r="C21" s="1">
        <v>0.65300000000000002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2454733.6216099998</v>
      </c>
      <c r="B22" s="1" t="s">
        <v>1919</v>
      </c>
      <c r="C22" s="1">
        <v>0.61799999999999999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2454733.6246400001</v>
      </c>
      <c r="B23" s="1" t="s">
        <v>1919</v>
      </c>
      <c r="C23" s="1">
        <v>0.63100000000000001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2454735.6205799999</v>
      </c>
      <c r="B24" s="1" t="s">
        <v>1685</v>
      </c>
      <c r="C24" s="1">
        <v>0.47599999999999998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2454735.6241199998</v>
      </c>
      <c r="B25" s="1" t="s">
        <v>1685</v>
      </c>
      <c r="C25" s="1">
        <v>0.52700000000000002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2454735.6276699998</v>
      </c>
      <c r="B26" s="1" t="s">
        <v>1685</v>
      </c>
      <c r="C26" s="1">
        <v>0.59399999999999997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2454735.6312199999</v>
      </c>
      <c r="B27" s="1" t="s">
        <v>1685</v>
      </c>
      <c r="C27" s="1">
        <v>0.59299999999999997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2454737.6249000002</v>
      </c>
      <c r="B28" s="1" t="s">
        <v>1686</v>
      </c>
      <c r="C28" s="1">
        <v>1.159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2454737.6286800001</v>
      </c>
      <c r="B29" s="1" t="s">
        <v>1686</v>
      </c>
      <c r="C29" s="1">
        <v>1.1060000000000001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2454737.6324700001</v>
      </c>
      <c r="B30" s="1" t="s">
        <v>1686</v>
      </c>
      <c r="C30" s="1">
        <v>1.0349999999999999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2454737.63625</v>
      </c>
      <c r="B31" s="1" t="s">
        <v>1686</v>
      </c>
      <c r="C31" s="1">
        <v>1.0209999999999999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2454737.6400299999</v>
      </c>
      <c r="B32" s="1" t="s">
        <v>1686</v>
      </c>
      <c r="C32" s="1">
        <v>0.86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2454737.6438199999</v>
      </c>
      <c r="B33" s="1" t="s">
        <v>1686</v>
      </c>
      <c r="C33" s="1">
        <v>0.43099999999999999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2454748.5405299999</v>
      </c>
      <c r="B34" s="1" t="s">
        <v>1687</v>
      </c>
      <c r="C34" s="1">
        <v>0.48099999999999998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2454748.5439599999</v>
      </c>
      <c r="B35" s="1" t="s">
        <v>1687</v>
      </c>
      <c r="C35" s="1">
        <v>0.47099999999999997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2454749.5413500001</v>
      </c>
      <c r="B36" s="1" t="s">
        <v>1688</v>
      </c>
      <c r="C36" s="1">
        <v>0.55400000000000005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2454749.5449199998</v>
      </c>
      <c r="B37" s="1" t="s">
        <v>1688</v>
      </c>
      <c r="C37" s="1">
        <v>0.218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2454749.55388</v>
      </c>
      <c r="B38" s="1" t="s">
        <v>1688</v>
      </c>
      <c r="C38" s="1">
        <v>0.48799999999999999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2454749.5574500002</v>
      </c>
      <c r="B39" s="1" t="s">
        <v>1688</v>
      </c>
      <c r="C39" s="1">
        <v>0.46100000000000002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2454749.56103</v>
      </c>
      <c r="B40" s="1" t="s">
        <v>1688</v>
      </c>
      <c r="C40" s="1">
        <v>0.48299999999999998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2454749.5646199998</v>
      </c>
      <c r="B41" s="1" t="s">
        <v>1688</v>
      </c>
      <c r="C41" s="1">
        <v>0.46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2454749.5682000001</v>
      </c>
      <c r="B42" s="1" t="s">
        <v>1688</v>
      </c>
      <c r="C42" s="1">
        <v>0.40400000000000003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2454749.5717699998</v>
      </c>
      <c r="B43" s="1" t="s">
        <v>1688</v>
      </c>
      <c r="C43" s="1">
        <v>0.4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2454749.5753500001</v>
      </c>
      <c r="B44" s="1" t="s">
        <v>1688</v>
      </c>
      <c r="C44" s="1">
        <v>0.44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2454749.57914</v>
      </c>
      <c r="B45" s="1" t="s">
        <v>1688</v>
      </c>
      <c r="C45" s="1">
        <v>0.46100000000000002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2454749.5825</v>
      </c>
      <c r="B46" s="1" t="s">
        <v>1688</v>
      </c>
      <c r="C46" s="1">
        <v>0.432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2454749.5858399998</v>
      </c>
      <c r="B47" s="1" t="s">
        <v>1688</v>
      </c>
      <c r="C47" s="1">
        <v>0.47599999999999998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2454749.5891800001</v>
      </c>
      <c r="B48" s="1" t="s">
        <v>1688</v>
      </c>
      <c r="C48" s="1">
        <v>0.435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2454749.5925199999</v>
      </c>
      <c r="B49" s="1" t="s">
        <v>1688</v>
      </c>
      <c r="C49" s="1">
        <v>0.46899999999999997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2454758.6307799998</v>
      </c>
      <c r="B50" s="1" t="s">
        <v>1691</v>
      </c>
      <c r="C50" s="1">
        <v>0.56100000000000005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2454758.63436</v>
      </c>
      <c r="B51" s="1" t="s">
        <v>1691</v>
      </c>
      <c r="C51" s="1">
        <v>0.48799999999999999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2454759.6074600001</v>
      </c>
      <c r="B52" s="1" t="s">
        <v>1920</v>
      </c>
      <c r="C52" s="1">
        <v>0.52800000000000002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2454759.6115899999</v>
      </c>
      <c r="B53" s="1" t="s">
        <v>1920</v>
      </c>
      <c r="C53" s="1">
        <v>0.51700000000000002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2454768.5052800002</v>
      </c>
      <c r="B54" s="1" t="s">
        <v>1105</v>
      </c>
      <c r="C54" s="1">
        <v>0.53200000000000003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2454768.5088200001</v>
      </c>
      <c r="B55" s="1" t="s">
        <v>1105</v>
      </c>
      <c r="C55" s="1">
        <v>0.60299999999999998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2454769.6280700001</v>
      </c>
      <c r="B56" s="1" t="s">
        <v>1695</v>
      </c>
      <c r="C56" s="1">
        <v>0.56499999999999995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2454769.6316200001</v>
      </c>
      <c r="B57" s="1" t="s">
        <v>1695</v>
      </c>
      <c r="C57" s="1">
        <v>0.61699999999999999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2454769.6351700001</v>
      </c>
      <c r="B58" s="1" t="s">
        <v>1695</v>
      </c>
      <c r="C58" s="1">
        <v>0.64900000000000002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2454774.5586899999</v>
      </c>
      <c r="B59" s="1" t="s">
        <v>1697</v>
      </c>
      <c r="C59" s="1">
        <v>0.51900000000000002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2454774.56225</v>
      </c>
      <c r="B60" s="1" t="s">
        <v>1697</v>
      </c>
      <c r="C60" s="1">
        <v>0.47399999999999998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2454952.6107000001</v>
      </c>
      <c r="B61" s="1" t="s">
        <v>1707</v>
      </c>
      <c r="C61" s="1">
        <v>0.52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2454971.5700500002</v>
      </c>
      <c r="B62" s="1" t="s">
        <v>1708</v>
      </c>
      <c r="C62" s="1">
        <v>0.51700000000000002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2454977.5456500002</v>
      </c>
      <c r="B63" s="1" t="s">
        <v>1921</v>
      </c>
      <c r="C63" s="1">
        <v>0.49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2454981.5458</v>
      </c>
      <c r="B64" s="1" t="s">
        <v>1711</v>
      </c>
      <c r="C64" s="1">
        <v>0.53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2455011.69961</v>
      </c>
      <c r="B65" s="1" t="s">
        <v>1716</v>
      </c>
      <c r="C65" s="1">
        <v>0.375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2455019.6532399999</v>
      </c>
      <c r="B66" s="1" t="s">
        <v>1717</v>
      </c>
      <c r="C66" s="1">
        <v>0.44800000000000001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2455019.6559600001</v>
      </c>
      <c r="B67" s="1" t="s">
        <v>1717</v>
      </c>
      <c r="C67" s="1">
        <v>0.432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2455021.4396500001</v>
      </c>
      <c r="B68" s="1" t="s">
        <v>1120</v>
      </c>
      <c r="C68" s="1">
        <v>0.49199999999999999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2455023.6329000001</v>
      </c>
      <c r="B69" s="1" t="s">
        <v>1718</v>
      </c>
      <c r="C69" s="1">
        <v>0.46100000000000002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2455023.64384</v>
      </c>
      <c r="B70" s="1" t="s">
        <v>1718</v>
      </c>
      <c r="C70" s="1">
        <v>0.65200000000000002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2455023.6504600001</v>
      </c>
      <c r="B71" s="1" t="s">
        <v>1718</v>
      </c>
      <c r="C71" s="1">
        <v>0.63200000000000001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2455024.6133699999</v>
      </c>
      <c r="B72" s="1" t="s">
        <v>1922</v>
      </c>
      <c r="C72" s="1">
        <v>0.39900000000000002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2455024.6190599999</v>
      </c>
      <c r="B73" s="1" t="s">
        <v>1922</v>
      </c>
      <c r="C73" s="1">
        <v>0.41499999999999998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2455025.6147799999</v>
      </c>
      <c r="B74" s="1" t="s">
        <v>1719</v>
      </c>
      <c r="C74" s="1">
        <v>0.36299999999999999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2455026.6120099998</v>
      </c>
      <c r="B75" s="1" t="s">
        <v>1720</v>
      </c>
      <c r="C75" s="1">
        <v>0.27800000000000002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2455026.61674</v>
      </c>
      <c r="B76" s="1" t="s">
        <v>1720</v>
      </c>
      <c r="C76" s="1">
        <v>0.23200000000000001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2455028.4966000002</v>
      </c>
      <c r="B77" s="1" t="s">
        <v>1923</v>
      </c>
      <c r="C77" s="1">
        <v>0.47899999999999998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2455028.6060100002</v>
      </c>
      <c r="B78" s="1" t="s">
        <v>1721</v>
      </c>
      <c r="C78" s="1">
        <v>0.38400000000000001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2455035.5126999998</v>
      </c>
      <c r="B79" s="1" t="s">
        <v>1924</v>
      </c>
      <c r="C79" s="1">
        <v>0.46600000000000003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2455039.5857299999</v>
      </c>
      <c r="B80" s="1" t="s">
        <v>1724</v>
      </c>
      <c r="C80" s="1">
        <v>0.23699999999999999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2455043.6199099999</v>
      </c>
      <c r="B81" s="1" t="s">
        <v>1726</v>
      </c>
      <c r="C81" s="1">
        <v>0.20599999999999999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2455043.6390800001</v>
      </c>
      <c r="B82" s="1" t="s">
        <v>1726</v>
      </c>
      <c r="C82" s="1">
        <v>0.35599999999999998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2455044.6425000001</v>
      </c>
      <c r="B83" s="1" t="s">
        <v>1727</v>
      </c>
      <c r="C83" s="1">
        <v>0.316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2455049.43395</v>
      </c>
      <c r="B84" s="1" t="s">
        <v>1925</v>
      </c>
      <c r="C84" s="1">
        <v>0.48599999999999999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2455059.4334999998</v>
      </c>
      <c r="B85" s="1" t="s">
        <v>1926</v>
      </c>
      <c r="C85" s="1">
        <v>0.47899999999999998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2455067.6203600001</v>
      </c>
      <c r="B86" s="1" t="s">
        <v>1737</v>
      </c>
      <c r="C86" s="1">
        <v>0.38900000000000001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2455080.6466700002</v>
      </c>
      <c r="B87" s="1" t="s">
        <v>1927</v>
      </c>
      <c r="C87" s="1">
        <v>0.42799999999999999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2455086.6592299999</v>
      </c>
      <c r="B88" s="1" t="s">
        <v>1928</v>
      </c>
      <c r="C88" s="1">
        <v>0.40500000000000003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2455086.6686499999</v>
      </c>
      <c r="B89" s="1" t="s">
        <v>1928</v>
      </c>
      <c r="C89" s="1">
        <v>0.36699999999999999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2455094.6201599999</v>
      </c>
      <c r="B90" s="1" t="s">
        <v>1748</v>
      </c>
      <c r="C90" s="1">
        <v>0.48899999999999999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2455096.5934799998</v>
      </c>
      <c r="B91" s="1" t="s">
        <v>1749</v>
      </c>
      <c r="C91" s="1">
        <v>0.48599999999999999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2455096.6312600002</v>
      </c>
      <c r="B92" s="1" t="s">
        <v>1749</v>
      </c>
      <c r="C92" s="1">
        <v>0.378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2455096.6365800002</v>
      </c>
      <c r="B93" s="1" t="s">
        <v>1749</v>
      </c>
      <c r="C93" s="1">
        <v>0.442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2455096.64115</v>
      </c>
      <c r="B94" s="1" t="s">
        <v>1749</v>
      </c>
      <c r="C94" s="1">
        <v>0.40600000000000003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2455100.59295</v>
      </c>
      <c r="B95" s="1" t="s">
        <v>1750</v>
      </c>
      <c r="C95" s="1">
        <v>0.48499999999999999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2455122.2678</v>
      </c>
      <c r="B96" s="1" t="s">
        <v>1754</v>
      </c>
      <c r="C96" s="1">
        <v>0.52100000000000002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2455296.6329000001</v>
      </c>
      <c r="B97" s="1" t="s">
        <v>1765</v>
      </c>
      <c r="C97" s="1">
        <v>0.496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2455337.6058</v>
      </c>
      <c r="B98" s="1" t="s">
        <v>1766</v>
      </c>
      <c r="C98" s="1">
        <v>0.47399999999999998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2455412.4090499999</v>
      </c>
      <c r="B99" s="1" t="s">
        <v>1144</v>
      </c>
      <c r="C99" s="1">
        <v>0.51900000000000002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2455425.4088499998</v>
      </c>
      <c r="B100" s="1" t="s">
        <v>1771</v>
      </c>
      <c r="C100" s="1">
        <v>0.495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2455429.3558999998</v>
      </c>
      <c r="B101" s="1" t="s">
        <v>1772</v>
      </c>
      <c r="C101" s="1">
        <v>0.51100000000000001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2455468.3287599999</v>
      </c>
      <c r="B102" s="1" t="s">
        <v>1784</v>
      </c>
      <c r="C102" s="1">
        <v>0.44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2455480.2486200002</v>
      </c>
      <c r="B103" s="1" t="s">
        <v>1785</v>
      </c>
      <c r="C103" s="1">
        <v>0.433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2455499.2719000001</v>
      </c>
      <c r="B104" s="1" t="s">
        <v>1787</v>
      </c>
      <c r="C104" s="1">
        <v>0.40699999999999997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2455689.6082700002</v>
      </c>
      <c r="B105" s="1" t="s">
        <v>1789</v>
      </c>
      <c r="C105" s="1">
        <v>0.443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2455731.5358000002</v>
      </c>
      <c r="B106" s="1" t="s">
        <v>1790</v>
      </c>
      <c r="C106" s="1">
        <v>0.48899999999999999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2455763.4526499999</v>
      </c>
      <c r="B107" s="1" t="s">
        <v>1793</v>
      </c>
      <c r="C107" s="1">
        <v>0.42499999999999999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2455776.4417500002</v>
      </c>
      <c r="B108" s="1" t="s">
        <v>1797</v>
      </c>
      <c r="C108" s="1">
        <v>0.55900000000000005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2455782.4416499999</v>
      </c>
      <c r="B109" s="1" t="s">
        <v>1798</v>
      </c>
      <c r="C109" s="1">
        <v>0.46899999999999997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2455790.4016499999</v>
      </c>
      <c r="B110" s="1" t="s">
        <v>1167</v>
      </c>
      <c r="C110" s="1">
        <v>0.51600000000000001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2455800.4315999998</v>
      </c>
      <c r="B111" s="1" t="s">
        <v>1800</v>
      </c>
      <c r="C111" s="1">
        <v>0.51800000000000002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2455815.37757</v>
      </c>
      <c r="B112" s="1" t="s">
        <v>1802</v>
      </c>
      <c r="C112" s="1">
        <v>0.59899999999999998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2455823.7830500002</v>
      </c>
      <c r="B113" s="1" t="s">
        <v>1803</v>
      </c>
      <c r="C113" s="1">
        <v>0.48099999999999998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2455827.6512600002</v>
      </c>
      <c r="B114" s="1" t="s">
        <v>1804</v>
      </c>
      <c r="C114" s="1">
        <v>0.48199999999999998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2455835.3835700001</v>
      </c>
      <c r="B115" s="1" t="s">
        <v>1929</v>
      </c>
      <c r="C115" s="1">
        <v>0.48699999999999999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2455849.3107699999</v>
      </c>
      <c r="B116" s="1" t="s">
        <v>1809</v>
      </c>
      <c r="C116" s="1">
        <v>0.67500000000000004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2455866.2296899999</v>
      </c>
      <c r="B117" s="1" t="s">
        <v>1811</v>
      </c>
      <c r="C117" s="1">
        <v>0.502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2456001.68811</v>
      </c>
      <c r="B118" s="1" t="s">
        <v>1816</v>
      </c>
      <c r="C118" s="1">
        <v>0.46300000000000002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2456066.5729399999</v>
      </c>
      <c r="B119" s="1" t="s">
        <v>1817</v>
      </c>
      <c r="C119" s="1">
        <v>0.53200000000000003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2456077.4998499998</v>
      </c>
      <c r="B120" s="1" t="s">
        <v>1820</v>
      </c>
      <c r="C120" s="1">
        <v>0.49199999999999999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2456094.5567299998</v>
      </c>
      <c r="B121" s="1" t="s">
        <v>1822</v>
      </c>
      <c r="C121" s="1">
        <v>0.50800000000000001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2456094.82595</v>
      </c>
      <c r="B122" s="1" t="s">
        <v>1822</v>
      </c>
      <c r="C122" s="1">
        <v>0.55800000000000005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2456102.7820299999</v>
      </c>
      <c r="B123" s="1" t="s">
        <v>1824</v>
      </c>
      <c r="C123" s="1">
        <v>0.55900000000000005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2456114.7264999999</v>
      </c>
      <c r="B124" s="1" t="s">
        <v>1827</v>
      </c>
      <c r="C124" s="1">
        <v>0.45700000000000002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2456121.7479099999</v>
      </c>
      <c r="B125" s="1" t="s">
        <v>1930</v>
      </c>
      <c r="C125" s="1">
        <v>0.46100000000000002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2456130.7639000001</v>
      </c>
      <c r="B126" s="1" t="s">
        <v>1829</v>
      </c>
      <c r="C126" s="1">
        <v>0.49199999999999999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2456132.47437</v>
      </c>
      <c r="B127" s="1" t="s">
        <v>1830</v>
      </c>
      <c r="C127" s="1">
        <v>0.51700000000000002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2456135.4506899999</v>
      </c>
      <c r="B128" s="1" t="s">
        <v>1831</v>
      </c>
      <c r="C128" s="1">
        <v>0.54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2456142.6928699999</v>
      </c>
      <c r="B129" s="1" t="s">
        <v>1833</v>
      </c>
      <c r="C129" s="1">
        <v>0.49199999999999999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2456146.4813600001</v>
      </c>
      <c r="B130" s="1" t="s">
        <v>1834</v>
      </c>
      <c r="C130" s="1">
        <v>0.58299999999999996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2456150.40918</v>
      </c>
      <c r="B131" s="1" t="s">
        <v>1836</v>
      </c>
      <c r="C131" s="1">
        <v>0.53800000000000003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2456153.3892000001</v>
      </c>
      <c r="B132" s="1" t="s">
        <v>1837</v>
      </c>
      <c r="C132" s="1">
        <v>0.45200000000000001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2456154.4413399999</v>
      </c>
      <c r="B133" s="1" t="s">
        <v>1189</v>
      </c>
      <c r="C133" s="1">
        <v>0.51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2456156.4551599999</v>
      </c>
      <c r="B134" s="1" t="s">
        <v>1838</v>
      </c>
      <c r="C134" s="1">
        <v>0.49299999999999999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2456168.6801700001</v>
      </c>
      <c r="B135" s="1" t="s">
        <v>1840</v>
      </c>
      <c r="C135" s="1">
        <v>0.48799999999999999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2456173.6708900002</v>
      </c>
      <c r="B136" s="1" t="s">
        <v>1841</v>
      </c>
      <c r="C136" s="1">
        <v>0.5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2456181.6740700002</v>
      </c>
      <c r="B137" s="1" t="s">
        <v>1842</v>
      </c>
      <c r="C137" s="1">
        <v>0.48599999999999999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2456183.5665199999</v>
      </c>
      <c r="B138" s="1" t="s">
        <v>1191</v>
      </c>
      <c r="C138" s="1">
        <v>0.42599999999999999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2456184.5655700001</v>
      </c>
      <c r="B139" s="1" t="s">
        <v>1843</v>
      </c>
      <c r="C139" s="1">
        <v>0.47499999999999998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2456195.6376800002</v>
      </c>
      <c r="B140" s="1" t="s">
        <v>1845</v>
      </c>
      <c r="C140" s="1">
        <v>0.51100000000000001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2456208.30266</v>
      </c>
      <c r="B141" s="1" t="s">
        <v>1846</v>
      </c>
      <c r="C141" s="1">
        <v>0.59299999999999997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2456225.2272100002</v>
      </c>
      <c r="B142" s="1" t="s">
        <v>1847</v>
      </c>
      <c r="C142" s="1">
        <v>0.66500000000000004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2456230.25037</v>
      </c>
      <c r="B143" s="1" t="s">
        <v>1194</v>
      </c>
      <c r="C143" s="1">
        <v>0.58499999999999996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2456407.62733</v>
      </c>
      <c r="B144" s="1" t="s">
        <v>1851</v>
      </c>
      <c r="C144" s="1">
        <v>0.59799999999999998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2456417.5910700001</v>
      </c>
      <c r="B145" s="1" t="s">
        <v>1853</v>
      </c>
      <c r="C145" s="1">
        <v>0.59899999999999998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2456444.5689099999</v>
      </c>
      <c r="B146" s="1" t="s">
        <v>1857</v>
      </c>
      <c r="C146" s="1">
        <v>0.74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2456468.5141099999</v>
      </c>
      <c r="B147" s="1" t="s">
        <v>1860</v>
      </c>
      <c r="C147" s="1">
        <v>0.65600000000000003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2456505.43401</v>
      </c>
      <c r="B148" s="1" t="s">
        <v>1861</v>
      </c>
      <c r="C148" s="1">
        <v>0.59599999999999997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2456510.4103899999</v>
      </c>
      <c r="B149" s="1" t="s">
        <v>1863</v>
      </c>
      <c r="C149" s="1">
        <v>0.57599999999999996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2456526.44007</v>
      </c>
      <c r="B150" s="1" t="s">
        <v>1865</v>
      </c>
      <c r="C150" s="1">
        <v>0.68500000000000005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2456538.3834299999</v>
      </c>
      <c r="B151" s="1" t="s">
        <v>1868</v>
      </c>
      <c r="C151" s="1">
        <v>0.70399999999999996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2456543.3496900001</v>
      </c>
      <c r="B152" s="1" t="s">
        <v>1870</v>
      </c>
      <c r="C152" s="1">
        <v>0.58799999999999997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2456545.3836599998</v>
      </c>
      <c r="B153" s="1" t="s">
        <v>1212</v>
      </c>
      <c r="C153" s="1">
        <v>0.629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2456844.5262799999</v>
      </c>
      <c r="B154" s="1" t="s">
        <v>1899</v>
      </c>
      <c r="C154" s="1">
        <v>0.66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2456855.45762</v>
      </c>
      <c r="B155" s="1" t="s">
        <v>1900</v>
      </c>
      <c r="C155" s="1">
        <v>0.65500000000000003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2456856.51615</v>
      </c>
      <c r="B156" s="1" t="s">
        <v>1901</v>
      </c>
      <c r="C156" s="1">
        <v>0.65100000000000002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2456863.4908199999</v>
      </c>
      <c r="B157" s="1" t="s">
        <v>1902</v>
      </c>
      <c r="C157" s="1">
        <v>0.50700000000000001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2456866.4845699999</v>
      </c>
      <c r="B158" s="1" t="s">
        <v>1903</v>
      </c>
      <c r="C158" s="1">
        <v>0.68300000000000005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2456869.43267</v>
      </c>
      <c r="B159" s="1" t="s">
        <v>1904</v>
      </c>
      <c r="C159" s="1">
        <v>0.46800000000000003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2456870.4384699999</v>
      </c>
      <c r="B160" s="1" t="s">
        <v>1931</v>
      </c>
      <c r="C160" s="1">
        <v>0.46600000000000003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2456871.4261500002</v>
      </c>
      <c r="B161" s="1" t="s">
        <v>1905</v>
      </c>
      <c r="C161" s="1">
        <v>0.64500000000000002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2456873.46319</v>
      </c>
      <c r="B162" s="1" t="s">
        <v>1906</v>
      </c>
      <c r="C162" s="1">
        <v>0.66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2456874.4633499999</v>
      </c>
      <c r="B163" s="1" t="s">
        <v>1932</v>
      </c>
      <c r="C163" s="1">
        <v>0.47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2456875.4457700001</v>
      </c>
      <c r="B164" s="1" t="s">
        <v>1907</v>
      </c>
      <c r="C164" s="1">
        <v>0.63600000000000001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2456883.4346400001</v>
      </c>
      <c r="B165" s="1" t="s">
        <v>1232</v>
      </c>
      <c r="C165" s="1">
        <v>0.48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2456887.3941199998</v>
      </c>
      <c r="B166" s="1" t="s">
        <v>1909</v>
      </c>
      <c r="C166" s="1">
        <v>0.49299999999999999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2456890.4208200001</v>
      </c>
      <c r="B167" s="1" t="s">
        <v>1933</v>
      </c>
      <c r="C167" s="1">
        <v>0.503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2456914.3520399998</v>
      </c>
      <c r="B168" s="1" t="s">
        <v>1913</v>
      </c>
      <c r="C168" s="1">
        <v>0.53500000000000003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2456915.3873999999</v>
      </c>
      <c r="B169" s="1" t="s">
        <v>1914</v>
      </c>
      <c r="C169" s="1">
        <v>0.496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2456927.3306499999</v>
      </c>
      <c r="B170" s="1" t="s">
        <v>48</v>
      </c>
      <c r="C170" s="1">
        <v>0.51500000000000001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2457142.9865100002</v>
      </c>
      <c r="B171" s="1" t="s">
        <v>11</v>
      </c>
      <c r="C171" s="1">
        <v>0.68400000000000005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2457219.4467199999</v>
      </c>
      <c r="B172" s="1" t="s">
        <v>42</v>
      </c>
      <c r="C172" s="1">
        <v>0.63400000000000001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2457224.5027100001</v>
      </c>
      <c r="B173" s="1" t="s">
        <v>44</v>
      </c>
      <c r="C173" s="1">
        <v>0.63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2457587.4393500001</v>
      </c>
      <c r="B174" s="1" t="s">
        <v>175</v>
      </c>
      <c r="C174" s="1">
        <v>0.60899999999999999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B1:P38"/>
  <sheetViews>
    <sheetView showGridLines="0" workbookViewId="0">
      <selection activeCell="K14" sqref="K14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85</v>
      </c>
    </row>
    <row r="2" spans="2:16" x14ac:dyDescent="0.25">
      <c r="P2" t="s">
        <v>86</v>
      </c>
    </row>
    <row r="3" spans="2:16" x14ac:dyDescent="0.25">
      <c r="C3" s="7"/>
      <c r="D3" s="7" t="s">
        <v>87</v>
      </c>
      <c r="E3" s="7" t="s">
        <v>148</v>
      </c>
      <c r="F3" s="7"/>
      <c r="G3" s="7"/>
      <c r="H3" s="7"/>
      <c r="I3" s="7"/>
      <c r="J3" s="7"/>
      <c r="K3" s="7"/>
      <c r="L3" s="7"/>
      <c r="P3" t="s">
        <v>88</v>
      </c>
    </row>
    <row r="4" spans="2:16" x14ac:dyDescent="0.25">
      <c r="C4" s="7"/>
      <c r="D4" s="7" t="s">
        <v>89</v>
      </c>
      <c r="E4" s="7" t="str">
        <f>CONCATENATE("D:\SymbioticStudies\" &amp; E5&amp;F3)</f>
        <v>D:\SymbioticStudies\BFCyg</v>
      </c>
      <c r="F4" s="7"/>
      <c r="G4" s="7"/>
      <c r="H4" s="7" t="str">
        <f>+CONCATENATE("D:\SITEWEB\SymbioticStars\Studies\" &amp; E5&amp;F3)</f>
        <v>D:\SITEWEB\SymbioticStars\Studies\BFCyg</v>
      </c>
      <c r="I4" s="7"/>
      <c r="J4" s="7"/>
      <c r="K4" s="7"/>
      <c r="L4" s="7"/>
      <c r="P4" t="s">
        <v>90</v>
      </c>
    </row>
    <row r="5" spans="2:16" x14ac:dyDescent="0.25">
      <c r="C5" s="7"/>
      <c r="D5" s="7" t="s">
        <v>91</v>
      </c>
      <c r="E5" s="7" t="str">
        <f>+SUBSTITUTE(E3," ","")</f>
        <v>BFCyg</v>
      </c>
      <c r="F5" s="7"/>
      <c r="G5" s="7"/>
      <c r="H5" s="7"/>
      <c r="I5" s="7"/>
      <c r="J5" s="7"/>
      <c r="K5" s="7"/>
      <c r="L5" s="7"/>
      <c r="P5" t="s">
        <v>92</v>
      </c>
    </row>
    <row r="6" spans="2:16" x14ac:dyDescent="0.25">
      <c r="P6" t="s">
        <v>93</v>
      </c>
    </row>
    <row r="7" spans="2:16" x14ac:dyDescent="0.25">
      <c r="C7" s="8" t="s">
        <v>94</v>
      </c>
      <c r="D7" s="8">
        <v>757.2</v>
      </c>
      <c r="F7" s="7" t="s">
        <v>95</v>
      </c>
      <c r="G7" s="7">
        <f>+VLOOKUP($J$9,$B$16:$G$37,5)</f>
        <v>10</v>
      </c>
      <c r="H7" s="7"/>
      <c r="P7" t="s">
        <v>96</v>
      </c>
    </row>
    <row r="8" spans="2:16" x14ac:dyDescent="0.25">
      <c r="C8" s="8" t="s">
        <v>97</v>
      </c>
      <c r="D8" s="8">
        <v>2451395</v>
      </c>
      <c r="F8" s="7" t="s">
        <v>98</v>
      </c>
      <c r="G8" s="7">
        <v>1000</v>
      </c>
      <c r="H8" s="7" t="s">
        <v>99</v>
      </c>
      <c r="P8" t="s">
        <v>100</v>
      </c>
    </row>
    <row r="9" spans="2:16" x14ac:dyDescent="0.25">
      <c r="C9" s="8" t="s">
        <v>101</v>
      </c>
      <c r="D9" s="8">
        <v>3</v>
      </c>
      <c r="F9" s="7" t="s">
        <v>102</v>
      </c>
      <c r="G9" s="7">
        <f>+G8/2</f>
        <v>500</v>
      </c>
      <c r="H9" s="7"/>
      <c r="J9">
        <v>1</v>
      </c>
      <c r="P9" t="s">
        <v>103</v>
      </c>
    </row>
    <row r="10" spans="2:16" x14ac:dyDescent="0.25">
      <c r="F10" s="7" t="s">
        <v>104</v>
      </c>
      <c r="G10" s="7">
        <f>+VLOOKUP($J$9,$B$16:$G$37,6)</f>
        <v>2</v>
      </c>
      <c r="H10" s="7"/>
      <c r="P10" t="s">
        <v>105</v>
      </c>
    </row>
    <row r="11" spans="2:16" x14ac:dyDescent="0.25">
      <c r="C11" s="7" t="s">
        <v>187</v>
      </c>
      <c r="D11" s="7">
        <v>300</v>
      </c>
      <c r="F11" s="7" t="s">
        <v>106</v>
      </c>
      <c r="G11" s="7"/>
      <c r="H11" s="7"/>
      <c r="P11" t="s">
        <v>107</v>
      </c>
    </row>
    <row r="12" spans="2:16" x14ac:dyDescent="0.25">
      <c r="C12" s="7" t="s">
        <v>188</v>
      </c>
      <c r="D12" s="7">
        <v>600</v>
      </c>
      <c r="F12" s="7" t="s">
        <v>108</v>
      </c>
      <c r="G12" s="7">
        <f>+VLOOKUP($J$9,$B$16:$H$37,7)</f>
        <v>200</v>
      </c>
      <c r="H12" s="7"/>
      <c r="P12" t="s">
        <v>109</v>
      </c>
    </row>
    <row r="13" spans="2:16" x14ac:dyDescent="0.25">
      <c r="C13" s="7" t="s">
        <v>189</v>
      </c>
      <c r="D13" s="22" t="str">
        <f>+VLOOKUP(Feuil1!A1,Feuil1!A3:B6,2)</f>
        <v>b</v>
      </c>
      <c r="F13" s="7" t="s">
        <v>110</v>
      </c>
      <c r="G13" s="9">
        <f>+VLOOKUP($J$9,$B$16:$H$37,4)</f>
        <v>6562.82</v>
      </c>
      <c r="H13" s="7"/>
      <c r="P13" t="s">
        <v>111</v>
      </c>
    </row>
    <row r="14" spans="2:16" x14ac:dyDescent="0.25">
      <c r="F14" s="7" t="s">
        <v>112</v>
      </c>
      <c r="G14" s="10" t="str">
        <f>+VLOOKUP($J$9,$B$16:$H$37,2)</f>
        <v>Ha 6563</v>
      </c>
      <c r="H14" s="7"/>
      <c r="P14" t="s">
        <v>113</v>
      </c>
    </row>
    <row r="15" spans="2:16" ht="36" customHeight="1" x14ac:dyDescent="0.25">
      <c r="F15" s="4" t="s">
        <v>95</v>
      </c>
      <c r="G15" s="4" t="s">
        <v>104</v>
      </c>
      <c r="H15" s="4"/>
      <c r="P15" t="s">
        <v>114</v>
      </c>
    </row>
    <row r="16" spans="2:16" x14ac:dyDescent="0.25">
      <c r="B16" s="17">
        <v>1</v>
      </c>
      <c r="C16" t="str">
        <f>+CONCATENATE(D16 &amp; " " &amp; ROUND( E16,0))</f>
        <v>Ha 6563</v>
      </c>
      <c r="D16" t="s">
        <v>115</v>
      </c>
      <c r="E16">
        <v>6562.82</v>
      </c>
      <c r="F16" s="4">
        <v>10</v>
      </c>
      <c r="G16" s="4">
        <v>2</v>
      </c>
      <c r="H16" s="4">
        <v>200</v>
      </c>
      <c r="P16" t="s">
        <v>116</v>
      </c>
    </row>
    <row r="17" spans="2:16" x14ac:dyDescent="0.25">
      <c r="B17" s="17">
        <v>2</v>
      </c>
      <c r="C17" t="str">
        <f t="shared" ref="C17:C34" si="0">+CONCATENATE(D17 &amp; " " &amp; ROUND( E17,0))</f>
        <v>Hb 4861</v>
      </c>
      <c r="D17" t="s">
        <v>117</v>
      </c>
      <c r="E17">
        <v>4861.34</v>
      </c>
      <c r="F17" s="4">
        <v>5</v>
      </c>
      <c r="G17" s="4">
        <v>1</v>
      </c>
      <c r="H17" s="4">
        <v>80</v>
      </c>
      <c r="P17" t="s">
        <v>118</v>
      </c>
    </row>
    <row r="18" spans="2:16" x14ac:dyDescent="0.25">
      <c r="B18">
        <v>3</v>
      </c>
      <c r="C18" t="str">
        <f t="shared" si="0"/>
        <v>Hg 4340</v>
      </c>
      <c r="D18" t="s">
        <v>119</v>
      </c>
      <c r="E18">
        <v>4340</v>
      </c>
      <c r="F18" s="4"/>
      <c r="G18" s="4"/>
      <c r="H18" s="4"/>
      <c r="P18" t="s">
        <v>120</v>
      </c>
    </row>
    <row r="19" spans="2:16" x14ac:dyDescent="0.25">
      <c r="B19" s="17">
        <v>4</v>
      </c>
      <c r="C19" t="str">
        <f t="shared" si="0"/>
        <v>[OI] 6300</v>
      </c>
      <c r="D19" t="s">
        <v>121</v>
      </c>
      <c r="E19">
        <v>6300.32</v>
      </c>
      <c r="F19" s="4">
        <v>1</v>
      </c>
      <c r="G19" s="4">
        <v>0.5</v>
      </c>
      <c r="H19" s="4">
        <v>15</v>
      </c>
      <c r="P19" t="s">
        <v>122</v>
      </c>
    </row>
    <row r="20" spans="2:16" x14ac:dyDescent="0.25">
      <c r="B20">
        <v>5</v>
      </c>
      <c r="C20" t="str">
        <f t="shared" si="0"/>
        <v>[OI] 6363</v>
      </c>
      <c r="D20" t="s">
        <v>121</v>
      </c>
      <c r="E20">
        <v>6363</v>
      </c>
      <c r="F20" s="4"/>
      <c r="G20" s="4"/>
      <c r="H20" s="4"/>
      <c r="P20" t="s">
        <v>123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124</v>
      </c>
      <c r="E21">
        <v>5015.68</v>
      </c>
      <c r="F21" s="4">
        <v>2</v>
      </c>
      <c r="G21" s="4">
        <v>0.5</v>
      </c>
      <c r="H21" s="4">
        <v>25</v>
      </c>
      <c r="P21" t="s">
        <v>125</v>
      </c>
    </row>
    <row r="22" spans="2:16" x14ac:dyDescent="0.25">
      <c r="B22" s="17">
        <v>7</v>
      </c>
      <c r="C22" t="str">
        <f t="shared" si="0"/>
        <v>He I 5876</v>
      </c>
      <c r="D22" t="s">
        <v>124</v>
      </c>
      <c r="E22">
        <v>5875.65</v>
      </c>
      <c r="F22" s="4">
        <v>2</v>
      </c>
      <c r="G22" s="4">
        <v>0.5</v>
      </c>
      <c r="H22" s="4">
        <v>30</v>
      </c>
      <c r="P22" t="s">
        <v>126</v>
      </c>
    </row>
    <row r="23" spans="2:16" x14ac:dyDescent="0.25">
      <c r="B23" s="17">
        <v>8</v>
      </c>
      <c r="C23" t="str">
        <f t="shared" si="0"/>
        <v>He I 6678</v>
      </c>
      <c r="D23" t="s">
        <v>124</v>
      </c>
      <c r="E23">
        <v>6678.15</v>
      </c>
      <c r="F23" s="4">
        <v>2</v>
      </c>
      <c r="G23" s="4">
        <v>0.5</v>
      </c>
      <c r="H23" s="4">
        <v>25</v>
      </c>
      <c r="P23" t="s">
        <v>127</v>
      </c>
    </row>
    <row r="24" spans="2:16" x14ac:dyDescent="0.25">
      <c r="B24">
        <v>9</v>
      </c>
      <c r="C24" t="str">
        <f t="shared" si="0"/>
        <v>He I 7065</v>
      </c>
      <c r="D24" t="s">
        <v>124</v>
      </c>
      <c r="E24">
        <v>7065</v>
      </c>
      <c r="F24" s="4"/>
      <c r="G24" s="4"/>
      <c r="H24" s="4"/>
      <c r="P24" t="s">
        <v>128</v>
      </c>
    </row>
    <row r="25" spans="2:16" x14ac:dyDescent="0.25">
      <c r="B25">
        <v>10</v>
      </c>
      <c r="C25" t="str">
        <f t="shared" si="0"/>
        <v>He II 4686</v>
      </c>
      <c r="D25" t="s">
        <v>129</v>
      </c>
      <c r="E25">
        <v>4685.68</v>
      </c>
      <c r="F25" s="4">
        <v>2</v>
      </c>
      <c r="G25" s="4">
        <v>0.5</v>
      </c>
      <c r="H25" s="4">
        <v>25</v>
      </c>
      <c r="P25" t="s">
        <v>130</v>
      </c>
    </row>
    <row r="26" spans="2:16" x14ac:dyDescent="0.25">
      <c r="B26" s="13">
        <v>11</v>
      </c>
      <c r="C26" t="str">
        <f t="shared" si="0"/>
        <v>[O III] 5007</v>
      </c>
      <c r="D26" t="s">
        <v>131</v>
      </c>
      <c r="E26">
        <v>5006.84</v>
      </c>
      <c r="F26" s="4">
        <v>1</v>
      </c>
      <c r="G26" s="4">
        <v>0.5</v>
      </c>
      <c r="H26" s="4">
        <v>20</v>
      </c>
      <c r="P26" t="s">
        <v>132</v>
      </c>
    </row>
    <row r="27" spans="2:16" x14ac:dyDescent="0.25">
      <c r="B27">
        <v>12</v>
      </c>
      <c r="C27" t="str">
        <f t="shared" si="0"/>
        <v>[O III] 4959</v>
      </c>
      <c r="D27" t="s">
        <v>131</v>
      </c>
      <c r="E27">
        <v>4959</v>
      </c>
      <c r="F27" s="4"/>
      <c r="G27" s="4"/>
      <c r="H27" s="4"/>
      <c r="P27" t="s">
        <v>133</v>
      </c>
    </row>
    <row r="28" spans="2:16" x14ac:dyDescent="0.25">
      <c r="B28">
        <v>13</v>
      </c>
      <c r="C28" t="str">
        <f t="shared" si="0"/>
        <v>[O III] 4363</v>
      </c>
      <c r="D28" t="s">
        <v>131</v>
      </c>
      <c r="E28">
        <v>4363</v>
      </c>
      <c r="F28" s="4"/>
      <c r="G28" s="4"/>
      <c r="H28" s="4"/>
      <c r="P28" t="s">
        <v>134</v>
      </c>
    </row>
    <row r="29" spans="2:16" x14ac:dyDescent="0.25">
      <c r="B29">
        <v>14</v>
      </c>
      <c r="C29" t="str">
        <f t="shared" si="0"/>
        <v>Fe II 4924</v>
      </c>
      <c r="D29" t="s">
        <v>147</v>
      </c>
      <c r="E29">
        <v>4923.92</v>
      </c>
      <c r="F29" s="4">
        <v>1</v>
      </c>
      <c r="G29" s="4">
        <v>1</v>
      </c>
      <c r="H29" s="4">
        <v>25</v>
      </c>
      <c r="P29" t="s">
        <v>136</v>
      </c>
    </row>
    <row r="30" spans="2:16" x14ac:dyDescent="0.25">
      <c r="B30" s="17">
        <v>15</v>
      </c>
      <c r="C30" t="str">
        <f t="shared" si="0"/>
        <v>Fe II 5018</v>
      </c>
      <c r="D30" t="s">
        <v>147</v>
      </c>
      <c r="E30">
        <v>5018.43</v>
      </c>
      <c r="F30" s="4">
        <v>2</v>
      </c>
      <c r="G30" s="4">
        <v>1</v>
      </c>
      <c r="H30" s="4">
        <v>25</v>
      </c>
      <c r="P30" t="s">
        <v>137</v>
      </c>
    </row>
    <row r="31" spans="2:16" x14ac:dyDescent="0.25">
      <c r="B31">
        <v>16</v>
      </c>
      <c r="F31" s="4"/>
      <c r="G31" s="4"/>
      <c r="H31" s="4"/>
      <c r="P31" t="s">
        <v>138</v>
      </c>
    </row>
    <row r="32" spans="2:16" x14ac:dyDescent="0.25">
      <c r="B32">
        <v>17</v>
      </c>
      <c r="F32" s="4"/>
      <c r="G32" s="4"/>
      <c r="H32" s="4"/>
      <c r="P32" t="s">
        <v>140</v>
      </c>
    </row>
    <row r="33" spans="2:16" x14ac:dyDescent="0.25">
      <c r="B33">
        <v>18</v>
      </c>
      <c r="C33" t="str">
        <f t="shared" si="0"/>
        <v>[Fe VII] 6087</v>
      </c>
      <c r="D33" t="s">
        <v>135</v>
      </c>
      <c r="E33">
        <v>6087</v>
      </c>
      <c r="F33" s="4">
        <v>2</v>
      </c>
      <c r="G33" s="4">
        <v>1</v>
      </c>
      <c r="H33" s="4">
        <v>40</v>
      </c>
      <c r="P33" t="s">
        <v>141</v>
      </c>
    </row>
    <row r="34" spans="2:16" x14ac:dyDescent="0.25">
      <c r="B34">
        <v>19</v>
      </c>
      <c r="C34" t="str">
        <f t="shared" si="0"/>
        <v>[Fe VII] 5721</v>
      </c>
      <c r="D34" t="s">
        <v>135</v>
      </c>
      <c r="E34">
        <v>5721</v>
      </c>
      <c r="F34" s="4">
        <v>2</v>
      </c>
      <c r="G34" s="4">
        <v>1</v>
      </c>
      <c r="H34" s="4">
        <v>40</v>
      </c>
      <c r="P34" t="s">
        <v>142</v>
      </c>
    </row>
    <row r="35" spans="2:16" x14ac:dyDescent="0.25">
      <c r="B35">
        <v>20</v>
      </c>
      <c r="D35" t="s">
        <v>135</v>
      </c>
      <c r="P35" t="s">
        <v>143</v>
      </c>
    </row>
    <row r="36" spans="2:16" x14ac:dyDescent="0.25">
      <c r="B36">
        <v>21</v>
      </c>
      <c r="D36" t="s">
        <v>139</v>
      </c>
      <c r="P36" t="s">
        <v>144</v>
      </c>
    </row>
    <row r="37" spans="2:16" x14ac:dyDescent="0.25">
      <c r="B37">
        <v>22</v>
      </c>
      <c r="D37" t="s">
        <v>139</v>
      </c>
      <c r="P37" t="s">
        <v>145</v>
      </c>
    </row>
    <row r="38" spans="2:16" x14ac:dyDescent="0.25">
      <c r="P38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3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3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C3:M7"/>
  <sheetViews>
    <sheetView showGridLines="0" workbookViewId="0">
      <selection activeCell="H14" sqref="H14"/>
    </sheetView>
  </sheetViews>
  <sheetFormatPr baseColWidth="10" defaultRowHeight="15" x14ac:dyDescent="0.25"/>
  <cols>
    <col min="4" max="8" width="11.42578125" style="4"/>
    <col min="9" max="9" width="1.140625" customWidth="1"/>
    <col min="10" max="10" width="5" bestFit="1" customWidth="1"/>
    <col min="11" max="11" width="10.7109375" bestFit="1" customWidth="1"/>
    <col min="12" max="12" width="10" bestFit="1" customWidth="1"/>
    <col min="13" max="13" width="5.5703125" bestFit="1" customWidth="1"/>
  </cols>
  <sheetData>
    <row r="3" spans="3:13" x14ac:dyDescent="0.25">
      <c r="D3" s="24" t="s">
        <v>1940</v>
      </c>
      <c r="E3" s="31" t="s">
        <v>1938</v>
      </c>
      <c r="F3" s="32"/>
      <c r="G3" s="31" t="s">
        <v>1939</v>
      </c>
      <c r="H3" s="32"/>
    </row>
    <row r="4" spans="3:13" x14ac:dyDescent="0.25">
      <c r="C4" s="23" t="s">
        <v>1934</v>
      </c>
      <c r="D4" s="24">
        <f>+COUNTA(V!A:A)</f>
        <v>941</v>
      </c>
      <c r="E4" s="24">
        <f>+MIN(V!A:A)</f>
        <v>2451761.6087000002</v>
      </c>
      <c r="F4" s="24" t="e">
        <f ca="1">+[2]!JDtoDate(E4)</f>
        <v>#NAME?</v>
      </c>
      <c r="G4" s="24">
        <f>+MAX(V!A:A)</f>
        <v>2459159.1584700001</v>
      </c>
      <c r="H4" s="24" t="e">
        <f ca="1">+[2]!JDtoDate(G4)</f>
        <v>#NAME?</v>
      </c>
      <c r="J4">
        <v>2005</v>
      </c>
      <c r="K4" s="6">
        <f t="shared" ref="K4" si="0">+DATE(J4,1,1)</f>
        <v>38353</v>
      </c>
      <c r="L4" t="e">
        <f ca="1">+[2]!DateToJD(K4)</f>
        <v>#NAME?</v>
      </c>
      <c r="M4" t="e">
        <f ca="1">+MATCH(L4,V!A:A,1)+1</f>
        <v>#NAME?</v>
      </c>
    </row>
    <row r="5" spans="3:13" x14ac:dyDescent="0.25">
      <c r="C5" s="23" t="s">
        <v>1935</v>
      </c>
      <c r="D5" s="24"/>
      <c r="E5" s="24"/>
      <c r="F5" s="24"/>
      <c r="G5" s="24"/>
      <c r="H5" s="24"/>
      <c r="K5" s="6"/>
    </row>
    <row r="6" spans="3:13" x14ac:dyDescent="0.25">
      <c r="C6" s="23" t="s">
        <v>1936</v>
      </c>
      <c r="D6" s="24">
        <f>+COUNTA(B_V!A:A)</f>
        <v>174</v>
      </c>
      <c r="E6" s="24">
        <f>+MIN(B_V!A:A)</f>
        <v>2453805.6153799999</v>
      </c>
      <c r="F6" s="24" t="e">
        <f ca="1">+[2]!JDtoDate(E6)</f>
        <v>#NAME?</v>
      </c>
      <c r="G6" s="24">
        <f>+MAX(B_V!A:A)</f>
        <v>2457587.4393500001</v>
      </c>
      <c r="H6" s="24" t="e">
        <f ca="1">+[2]!JDtoDate(G6)</f>
        <v>#NAME?</v>
      </c>
      <c r="J6">
        <v>2010</v>
      </c>
      <c r="K6" s="6">
        <f>+DATE(J6,1,1)</f>
        <v>40179</v>
      </c>
      <c r="L6" t="e">
        <f ca="1">+[2]!DateToJD(K6)</f>
        <v>#NAME?</v>
      </c>
      <c r="M6" t="e">
        <f ca="1">+MATCH(L6,B_V!A:A,1)+1</f>
        <v>#NAME?</v>
      </c>
    </row>
    <row r="7" spans="3:13" x14ac:dyDescent="0.25">
      <c r="C7" s="23" t="s">
        <v>1937</v>
      </c>
      <c r="D7" s="24">
        <f>+COUNTA(Vis!A:A)</f>
        <v>1163</v>
      </c>
      <c r="E7" s="24">
        <f>+MIN(Vis!A:A)</f>
        <v>2430184.2124999999</v>
      </c>
      <c r="F7" s="24" t="e">
        <f ca="1">+[2]!JDtoDate(E7)</f>
        <v>#NAME?</v>
      </c>
      <c r="G7" s="24">
        <f>+MAX(Vis!A:A)</f>
        <v>2458880.9819399999</v>
      </c>
      <c r="H7" s="24" t="e">
        <f ca="1">+[2]!JDtoDate(G7)</f>
        <v>#NAME?</v>
      </c>
      <c r="J7">
        <v>1961</v>
      </c>
      <c r="K7" s="6">
        <f>+DATE(J7,1,1)</f>
        <v>22282</v>
      </c>
      <c r="L7" t="e">
        <f ca="1">+[2]!DateToJD(K7)</f>
        <v>#NAME?</v>
      </c>
      <c r="M7" t="e">
        <f ca="1">+MATCH(L7,Vis!A:A,1)+1</f>
        <v>#NAME?</v>
      </c>
    </row>
  </sheetData>
  <mergeCells count="2">
    <mergeCell ref="E3:F3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B6"/>
  <sheetViews>
    <sheetView workbookViewId="0">
      <selection activeCell="D10" sqref="D10"/>
    </sheetView>
  </sheetViews>
  <sheetFormatPr baseColWidth="10" defaultRowHeight="15" x14ac:dyDescent="0.25"/>
  <sheetData>
    <row r="1" spans="1:2" x14ac:dyDescent="0.25">
      <c r="A1">
        <v>1</v>
      </c>
    </row>
    <row r="3" spans="1:2" x14ac:dyDescent="0.25">
      <c r="A3">
        <v>1</v>
      </c>
      <c r="B3" t="s">
        <v>190</v>
      </c>
    </row>
    <row r="4" spans="1:2" x14ac:dyDescent="0.25">
      <c r="A4">
        <v>2</v>
      </c>
      <c r="B4" t="s">
        <v>191</v>
      </c>
    </row>
    <row r="5" spans="1:2" x14ac:dyDescent="0.25">
      <c r="A5">
        <v>3</v>
      </c>
      <c r="B5" t="s">
        <v>192</v>
      </c>
    </row>
    <row r="6" spans="1:2" x14ac:dyDescent="0.25">
      <c r="A6">
        <v>4</v>
      </c>
      <c r="B6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V</vt:lpstr>
      <vt:lpstr>Vis</vt:lpstr>
      <vt:lpstr>B_V</vt:lpstr>
      <vt:lpstr>M</vt:lpstr>
      <vt:lpstr>M_phot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2020-12-02T21:40:26Z</dcterms:modified>
</cp:coreProperties>
</file>