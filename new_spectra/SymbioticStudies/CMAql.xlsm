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D:\SymbioticStudies\"/>
    </mc:Choice>
  </mc:AlternateContent>
  <xr:revisionPtr revIDLastSave="0" documentId="13_ncr:1_{D3EA1C97-B0FE-4197-9ADF-4DF992996DB2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Index" sheetId="2" r:id="rId1"/>
    <sheet name="V" sheetId="1" r:id="rId2"/>
    <sheet name="B" sheetId="4" r:id="rId3"/>
  </sheets>
  <externalReferences>
    <externalReference r:id="rId4"/>
    <externalReference r:id="rId5"/>
  </externalReferences>
  <definedNames>
    <definedName name="Date0">[1]SySt_Orb!$Q$30</definedName>
    <definedName name="JD0">[1]SySt_Orb!$Q$29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35" i="2" l="1"/>
  <c r="C35" i="2"/>
  <c r="D35" i="2"/>
  <c r="E35" i="2"/>
  <c r="F35" i="2"/>
  <c r="G35" i="2"/>
  <c r="H35" i="2"/>
  <c r="I35" i="2"/>
  <c r="J35" i="2"/>
  <c r="K35" i="2"/>
  <c r="L35" i="2"/>
  <c r="M35" i="2"/>
  <c r="B27" i="2"/>
  <c r="C27" i="2"/>
  <c r="D27" i="2"/>
  <c r="E27" i="2"/>
  <c r="F27" i="2"/>
  <c r="G27" i="2"/>
  <c r="H27" i="2"/>
  <c r="I27" i="2"/>
  <c r="J27" i="2"/>
  <c r="K27" i="2"/>
  <c r="L27" i="2"/>
  <c r="B28" i="2"/>
  <c r="C28" i="2"/>
  <c r="D28" i="2"/>
  <c r="E28" i="2"/>
  <c r="F28" i="2"/>
  <c r="G28" i="2"/>
  <c r="H28" i="2"/>
  <c r="I28" i="2"/>
  <c r="J28" i="2"/>
  <c r="K28" i="2"/>
  <c r="L28" i="2"/>
  <c r="M28" i="2"/>
  <c r="B29" i="2"/>
  <c r="C29" i="2"/>
  <c r="D29" i="2"/>
  <c r="E29" i="2"/>
  <c r="M29" i="2" s="1"/>
  <c r="F29" i="2"/>
  <c r="G29" i="2"/>
  <c r="H29" i="2"/>
  <c r="I29" i="2"/>
  <c r="J29" i="2"/>
  <c r="K29" i="2"/>
  <c r="L29" i="2"/>
  <c r="B30" i="2"/>
  <c r="C30" i="2"/>
  <c r="D30" i="2"/>
  <c r="E30" i="2"/>
  <c r="F30" i="2"/>
  <c r="G30" i="2"/>
  <c r="H30" i="2"/>
  <c r="I30" i="2"/>
  <c r="J30" i="2"/>
  <c r="K30" i="2"/>
  <c r="L30" i="2"/>
  <c r="M30" i="2"/>
  <c r="B31" i="2"/>
  <c r="C31" i="2"/>
  <c r="D31" i="2"/>
  <c r="E31" i="2"/>
  <c r="M31" i="2" s="1"/>
  <c r="F31" i="2"/>
  <c r="G31" i="2"/>
  <c r="H31" i="2"/>
  <c r="I31" i="2"/>
  <c r="J31" i="2"/>
  <c r="K31" i="2"/>
  <c r="L31" i="2"/>
  <c r="B32" i="2"/>
  <c r="C32" i="2"/>
  <c r="D32" i="2"/>
  <c r="E32" i="2"/>
  <c r="F32" i="2"/>
  <c r="G32" i="2"/>
  <c r="H32" i="2"/>
  <c r="I32" i="2"/>
  <c r="J32" i="2"/>
  <c r="K32" i="2"/>
  <c r="L32" i="2"/>
  <c r="M32" i="2"/>
  <c r="B33" i="2"/>
  <c r="C33" i="2"/>
  <c r="D33" i="2"/>
  <c r="E33" i="2"/>
  <c r="F33" i="2"/>
  <c r="G33" i="2"/>
  <c r="H33" i="2"/>
  <c r="I33" i="2"/>
  <c r="J33" i="2"/>
  <c r="K33" i="2"/>
  <c r="L33" i="2"/>
  <c r="M33" i="2"/>
  <c r="B34" i="2"/>
  <c r="C34" i="2"/>
  <c r="D34" i="2"/>
  <c r="E34" i="2"/>
  <c r="M34" i="2" s="1"/>
  <c r="F34" i="2"/>
  <c r="G34" i="2"/>
  <c r="H34" i="2"/>
  <c r="I34" i="2"/>
  <c r="J34" i="2"/>
  <c r="K34" i="2"/>
  <c r="L34" i="2"/>
  <c r="N25" i="2" l="1"/>
  <c r="N26" i="2" s="1"/>
  <c r="N27" i="2" s="1"/>
  <c r="N28" i="2" s="1"/>
  <c r="N29" i="2" s="1"/>
  <c r="N30" i="2" s="1"/>
  <c r="N31" i="2" s="1"/>
  <c r="N32" i="2" s="1"/>
  <c r="N33" i="2" s="1"/>
  <c r="N34" i="2" s="1"/>
  <c r="N35" i="2" s="1"/>
  <c r="B25" i="2"/>
  <c r="C25" i="2"/>
  <c r="D25" i="2"/>
  <c r="E25" i="2"/>
  <c r="M25" i="2" s="1"/>
  <c r="F25" i="2"/>
  <c r="G25" i="2"/>
  <c r="H25" i="2"/>
  <c r="I25" i="2"/>
  <c r="J25" i="2"/>
  <c r="K25" i="2"/>
  <c r="L25" i="2"/>
  <c r="B26" i="2"/>
  <c r="C26" i="2"/>
  <c r="D26" i="2"/>
  <c r="E26" i="2"/>
  <c r="M26" i="2" s="1"/>
  <c r="F26" i="2"/>
  <c r="G26" i="2"/>
  <c r="H26" i="2"/>
  <c r="I26" i="2"/>
  <c r="J26" i="2"/>
  <c r="K26" i="2"/>
  <c r="L26" i="2"/>
  <c r="L24" i="2"/>
  <c r="I24" i="2"/>
  <c r="H24" i="2"/>
  <c r="G24" i="2"/>
  <c r="F24" i="2"/>
  <c r="E24" i="2"/>
  <c r="M24" i="2" s="1"/>
  <c r="D24" i="2"/>
  <c r="C24" i="2"/>
  <c r="B24" i="2"/>
  <c r="J24" i="2" l="1"/>
  <c r="K24" i="2"/>
  <c r="J17" i="2" l="1"/>
</calcChain>
</file>

<file path=xl/sharedStrings.xml><?xml version="1.0" encoding="utf-8"?>
<sst xmlns="http://schemas.openxmlformats.org/spreadsheetml/2006/main" count="856" uniqueCount="165">
  <si>
    <t>2015 APR 18</t>
  </si>
  <si>
    <t>date</t>
  </si>
  <si>
    <t>Johnson B</t>
  </si>
  <si>
    <t>BPO</t>
  </si>
  <si>
    <t>2014 DEC 26</t>
  </si>
  <si>
    <t>HQA</t>
  </si>
  <si>
    <t>2014 DEC 27</t>
  </si>
  <si>
    <t>2014 DEC 29</t>
  </si>
  <si>
    <t>2014 DEC 30</t>
  </si>
  <si>
    <t>2014 DEC 31</t>
  </si>
  <si>
    <t>2015 JAN 1</t>
  </si>
  <si>
    <t>2015 JAN 2</t>
  </si>
  <si>
    <t>2015 JAN 5</t>
  </si>
  <si>
    <t>SBL</t>
  </si>
  <si>
    <t>2015 APR 12</t>
  </si>
  <si>
    <t>2015 MAY 21</t>
  </si>
  <si>
    <t>BDG</t>
  </si>
  <si>
    <t>2015 MAY 24</t>
  </si>
  <si>
    <t>2015 JUN 14</t>
  </si>
  <si>
    <t>2015 JUN 22</t>
  </si>
  <si>
    <t>2015 APR 16</t>
  </si>
  <si>
    <t>2015 MAY 23</t>
  </si>
  <si>
    <t>2015 JUN 7</t>
  </si>
  <si>
    <t>2015 JUL 22</t>
  </si>
  <si>
    <t>2015 SEP 25</t>
  </si>
  <si>
    <t>2015 MAY 14</t>
  </si>
  <si>
    <t>2015 MAY 15</t>
  </si>
  <si>
    <t>2015 JUN 24</t>
  </si>
  <si>
    <t>2015 JUN 25</t>
  </si>
  <si>
    <t>2015 JUN 26</t>
  </si>
  <si>
    <t>2015 JUN 27</t>
  </si>
  <si>
    <t>2015 JUN 28</t>
  </si>
  <si>
    <t>2015 JUN 29</t>
  </si>
  <si>
    <t>2015 JUN 30</t>
  </si>
  <si>
    <t>2015 JUL 1</t>
  </si>
  <si>
    <t>2015 JUL 2</t>
  </si>
  <si>
    <t>2015 JUL 3</t>
  </si>
  <si>
    <t>2015 JUL 5</t>
  </si>
  <si>
    <t>2015 JUL 7</t>
  </si>
  <si>
    <t>2015 JUL 8</t>
  </si>
  <si>
    <t>2015 JUL 9</t>
  </si>
  <si>
    <t>2015 JUL 11</t>
  </si>
  <si>
    <t>2015 JUL 12</t>
  </si>
  <si>
    <t>2015 JUL 14</t>
  </si>
  <si>
    <t>2015 JUL 15</t>
  </si>
  <si>
    <t>2015 JUL 17</t>
  </si>
  <si>
    <t>2015 JUL 18</t>
  </si>
  <si>
    <t>2015 JUL 20</t>
  </si>
  <si>
    <t>2015 JUL 23</t>
  </si>
  <si>
    <t>2015 JUL 26</t>
  </si>
  <si>
    <t>2015 JUL 28</t>
  </si>
  <si>
    <t>2015 JUL 30</t>
  </si>
  <si>
    <t>2015 JUL 31</t>
  </si>
  <si>
    <t>2015 AUG 2</t>
  </si>
  <si>
    <t>2015 AUG 3</t>
  </si>
  <si>
    <t>2015 AUG 4</t>
  </si>
  <si>
    <t>2015 AUG 5</t>
  </si>
  <si>
    <t>2015 AUG 6</t>
  </si>
  <si>
    <t>2015 AUG 10</t>
  </si>
  <si>
    <t>2015 AUG 12</t>
  </si>
  <si>
    <t>2015 AUG 13</t>
  </si>
  <si>
    <t>2015 AUG 14</t>
  </si>
  <si>
    <t>2015 AUG 15</t>
  </si>
  <si>
    <t>2015 AUG 16</t>
  </si>
  <si>
    <t>2015 AUG 17</t>
  </si>
  <si>
    <t>2015 AUG 18</t>
  </si>
  <si>
    <t>2015 AUG 20</t>
  </si>
  <si>
    <t>2015 AUG 28</t>
  </si>
  <si>
    <t>2015 AUG 30</t>
  </si>
  <si>
    <t>2015 AUG 31</t>
  </si>
  <si>
    <t>2015 SEP 5</t>
  </si>
  <si>
    <t>2015 SEP 6</t>
  </si>
  <si>
    <t>2015 SEP 7</t>
  </si>
  <si>
    <t>2015 SEP 10</t>
  </si>
  <si>
    <t>2015 SEP 14</t>
  </si>
  <si>
    <t>2015 SEP 15</t>
  </si>
  <si>
    <t>2015 SEP 16</t>
  </si>
  <si>
    <t>2015 SEP 17</t>
  </si>
  <si>
    <t>2015 SEP 19</t>
  </si>
  <si>
    <t>2015 SEP 20</t>
  </si>
  <si>
    <t>2015 SEP 21</t>
  </si>
  <si>
    <t>2015 SEP 22</t>
  </si>
  <si>
    <t>2015 OCT 1</t>
  </si>
  <si>
    <t>2015 OCT 6</t>
  </si>
  <si>
    <t>2015 OCT 7</t>
  </si>
  <si>
    <t>2015 OCT 8</t>
  </si>
  <si>
    <t>2015 OCT 9</t>
  </si>
  <si>
    <t>2015 OCT 10</t>
  </si>
  <si>
    <t>2015 OCT 11</t>
  </si>
  <si>
    <t>GKA</t>
  </si>
  <si>
    <t>2013 NOV 8</t>
  </si>
  <si>
    <t>CTIA</t>
  </si>
  <si>
    <t>2013 NOV 15</t>
  </si>
  <si>
    <t>2013 NOV 17</t>
  </si>
  <si>
    <t>2013 NOV 19</t>
  </si>
  <si>
    <t>2013 NOV 20</t>
  </si>
  <si>
    <t>2013 NOV 21</t>
  </si>
  <si>
    <t>2014 JAN 30</t>
  </si>
  <si>
    <t>2014 APR 17</t>
  </si>
  <si>
    <t>2014 AUG 27</t>
  </si>
  <si>
    <t>2014 AUG 28</t>
  </si>
  <si>
    <t>2014 AUG 29</t>
  </si>
  <si>
    <t>2014 SEP 2</t>
  </si>
  <si>
    <t>2014 SEP 4</t>
  </si>
  <si>
    <t>2014 SEP 13</t>
  </si>
  <si>
    <t>2014 SEP 14</t>
  </si>
  <si>
    <t>2014 SEP 18</t>
  </si>
  <si>
    <t>2014 SEP 20</t>
  </si>
  <si>
    <t>2014 SEP 23</t>
  </si>
  <si>
    <t>2014 SEP 24</t>
  </si>
  <si>
    <t>2014 SEP 27</t>
  </si>
  <si>
    <t>2014 SEP 28</t>
  </si>
  <si>
    <t>2014 SEP 29</t>
  </si>
  <si>
    <t>2014 OCT 6</t>
  </si>
  <si>
    <t>2014 OCT 7</t>
  </si>
  <si>
    <t>2014 OCT 9</t>
  </si>
  <si>
    <t>2014 OCT 10</t>
  </si>
  <si>
    <t>2014 OCT 13</t>
  </si>
  <si>
    <t>2014 OCT 15</t>
  </si>
  <si>
    <t>2014 OCT 18</t>
  </si>
  <si>
    <t>2014 OCT 27</t>
  </si>
  <si>
    <t>2014 DEC 14</t>
  </si>
  <si>
    <t>2014 DEC 15</t>
  </si>
  <si>
    <t>OCN</t>
  </si>
  <si>
    <t>PGD</t>
  </si>
  <si>
    <t>SFRA</t>
  </si>
  <si>
    <t>AHM</t>
  </si>
  <si>
    <t>SJGA</t>
  </si>
  <si>
    <t>BPAD</t>
  </si>
  <si>
    <t>TIA</t>
  </si>
  <si>
    <t>2015 SEP 12</t>
  </si>
  <si>
    <t>2015 SEP 24</t>
  </si>
  <si>
    <t>2015 SEP 26</t>
  </si>
  <si>
    <t>2015 SEP 27</t>
  </si>
  <si>
    <t>2015 OCT 12</t>
  </si>
  <si>
    <t>2015 OCT 13</t>
  </si>
  <si>
    <t>2015 OCT 14</t>
  </si>
  <si>
    <t>2015 OCT 15</t>
  </si>
  <si>
    <t>2015 OCT 17</t>
  </si>
  <si>
    <t>2015 OCT 18</t>
  </si>
  <si>
    <t>2015 OCT 19</t>
  </si>
  <si>
    <t>2015 OCT 20</t>
  </si>
  <si>
    <t>2015 OCT 25</t>
  </si>
  <si>
    <t>2015 OCT 26</t>
  </si>
  <si>
    <t>2015 SEP 28</t>
  </si>
  <si>
    <t>2018 OCT 22</t>
  </si>
  <si>
    <t>2019 APR 4</t>
  </si>
  <si>
    <t>2019 MAY 11</t>
  </si>
  <si>
    <t>2020 APR 21</t>
  </si>
  <si>
    <t>2020 APR 23</t>
  </si>
  <si>
    <t>2020 MAY 24</t>
  </si>
  <si>
    <t>2020 MAY 27</t>
  </si>
  <si>
    <t>Johnson V</t>
  </si>
  <si>
    <t>DKS</t>
  </si>
  <si>
    <t>HBB</t>
  </si>
  <si>
    <t>GCO</t>
  </si>
  <si>
    <t>2020 JUN 23</t>
  </si>
  <si>
    <t>TUB</t>
  </si>
  <si>
    <t>2020 SEP 5</t>
  </si>
  <si>
    <t>2020 OCT 4</t>
  </si>
  <si>
    <t>2020 OCT 8</t>
  </si>
  <si>
    <t>2020 OCT 9</t>
  </si>
  <si>
    <t>SFOA</t>
  </si>
  <si>
    <t>2020 OCT 14</t>
  </si>
  <si>
    <t>2020 OCT 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</si>
</sst>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h:mm;@"/>
    <numFmt numFmtId="165" formatCode="0.000"/>
  </numFmts>
  <fonts count="1" x14ac:knownFonts="1"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0" xfId="0" applyAlignment="1">
      <alignment vertical="center" wrapText="1"/>
    </xf>
    <xf numFmtId="0" fontId="0" fillId="2" borderId="1" xfId="0" applyFill="1" applyBorder="1" applyAlignment="1">
      <alignment horizontal="center"/>
    </xf>
    <xf numFmtId="1" fontId="0" fillId="2" borderId="1" xfId="0" applyNumberFormat="1" applyFill="1" applyBorder="1" applyAlignment="1">
      <alignment horizontal="center"/>
    </xf>
    <xf numFmtId="14" fontId="0" fillId="0" borderId="0" xfId="0" applyNumberFormat="1"/>
    <xf numFmtId="14" fontId="0" fillId="2" borderId="1" xfId="0" applyNumberFormat="1" applyFill="1" applyBorder="1" applyAlignment="1">
      <alignment horizontal="center"/>
    </xf>
    <xf numFmtId="164" fontId="0" fillId="2" borderId="1" xfId="0" applyNumberFormat="1" applyFill="1" applyBorder="1" applyAlignment="1">
      <alignment horizontal="center"/>
    </xf>
    <xf numFmtId="1" fontId="0" fillId="4" borderId="1" xfId="0" applyNumberFormat="1" applyFill="1" applyBorder="1" applyAlignment="1">
      <alignment horizontal="center"/>
    </xf>
    <xf numFmtId="14" fontId="0" fillId="4" borderId="1" xfId="0" applyNumberFormat="1" applyFill="1" applyBorder="1" applyAlignment="1">
      <alignment horizontal="center"/>
    </xf>
    <xf numFmtId="164" fontId="0" fillId="4" borderId="1" xfId="0" applyNumberFormat="1" applyFill="1" applyBorder="1" applyAlignment="1">
      <alignment horizontal="center"/>
    </xf>
    <xf numFmtId="165" fontId="0" fillId="4" borderId="1" xfId="0" applyNumberFormat="1" applyFill="1" applyBorder="1" applyAlignment="1">
      <alignment horizontal="center"/>
    </xf>
    <xf numFmtId="1" fontId="0" fillId="0" borderId="0" xfId="0" applyNumberFormat="1"/>
    <xf numFmtId="1" fontId="0" fillId="3" borderId="1" xfId="0" applyNumberForma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2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Index!$M$3</c:f>
          <c:strCache>
            <c:ptCount val="1"/>
          </c:strCache>
        </c:strRef>
      </c:tx>
      <c:layout>
        <c:manualLayout>
          <c:xMode val="edge"/>
          <c:yMode val="edge"/>
          <c:x val="0.10269280032051629"/>
          <c:y val="9.420522969388187E-2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5.5559783364417692E-2"/>
          <c:y val="6.5795918367346939E-2"/>
          <c:w val="0.88888043327116462"/>
          <c:h val="0.80795500562429701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66FF33"/>
              </a:solidFill>
              <a:ln w="9525">
                <a:noFill/>
              </a:ln>
              <a:effectLst/>
            </c:spPr>
          </c:marker>
          <c:xVal>
            <c:numRef>
              <c:f>V!$A$1:$A$100</c:f>
              <c:numCache>
                <c:formatCode>General</c:formatCode>
                <c:ptCount val="100"/>
                <c:pt idx="0">
                  <c:v>2458413.5168400002</c:v>
                </c:pt>
                <c:pt idx="1">
                  <c:v>2458577.8875899999</c:v>
                </c:pt>
                <c:pt idx="2">
                  <c:v>2458614.8991200002</c:v>
                </c:pt>
                <c:pt idx="3">
                  <c:v>2458960.8651399999</c:v>
                </c:pt>
                <c:pt idx="4">
                  <c:v>2458960.8668999998</c:v>
                </c:pt>
                <c:pt idx="5">
                  <c:v>2458960.8686600002</c:v>
                </c:pt>
                <c:pt idx="6">
                  <c:v>2458960.8704200001</c:v>
                </c:pt>
                <c:pt idx="7">
                  <c:v>2458960.8721799999</c:v>
                </c:pt>
                <c:pt idx="8">
                  <c:v>2458960.8739399998</c:v>
                </c:pt>
                <c:pt idx="9">
                  <c:v>2458960.8757000002</c:v>
                </c:pt>
                <c:pt idx="10">
                  <c:v>2458962.6309600002</c:v>
                </c:pt>
                <c:pt idx="11">
                  <c:v>2458994.49168</c:v>
                </c:pt>
                <c:pt idx="12">
                  <c:v>2458997.49394</c:v>
                </c:pt>
                <c:pt idx="13">
                  <c:v>2459024.4048600001</c:v>
                </c:pt>
                <c:pt idx="14">
                  <c:v>2459098.33598</c:v>
                </c:pt>
                <c:pt idx="15">
                  <c:v>2459127.2965299999</c:v>
                </c:pt>
                <c:pt idx="16">
                  <c:v>2459131.2993100001</c:v>
                </c:pt>
                <c:pt idx="17">
                  <c:v>2459131.6320000002</c:v>
                </c:pt>
                <c:pt idx="18">
                  <c:v>2459137.2625000002</c:v>
                </c:pt>
                <c:pt idx="19">
                  <c:v>2459141.2368100001</c:v>
                </c:pt>
              </c:numCache>
            </c:numRef>
          </c:xVal>
          <c:yVal>
            <c:numRef>
              <c:f>V!$C$1:$C$100</c:f>
              <c:numCache>
                <c:formatCode>General</c:formatCode>
                <c:ptCount val="100"/>
                <c:pt idx="0">
                  <c:v>14.038</c:v>
                </c:pt>
                <c:pt idx="1">
                  <c:v>14.42</c:v>
                </c:pt>
                <c:pt idx="2">
                  <c:v>14.534000000000001</c:v>
                </c:pt>
                <c:pt idx="3">
                  <c:v>12.545</c:v>
                </c:pt>
                <c:pt idx="4">
                  <c:v>12.512</c:v>
                </c:pt>
                <c:pt idx="5">
                  <c:v>12.574999999999999</c:v>
                </c:pt>
                <c:pt idx="6">
                  <c:v>12.512</c:v>
                </c:pt>
                <c:pt idx="7">
                  <c:v>12.532999999999999</c:v>
                </c:pt>
                <c:pt idx="8">
                  <c:v>12.526999999999999</c:v>
                </c:pt>
                <c:pt idx="9">
                  <c:v>12.545</c:v>
                </c:pt>
                <c:pt idx="10">
                  <c:v>12.566000000000001</c:v>
                </c:pt>
                <c:pt idx="11">
                  <c:v>12.62</c:v>
                </c:pt>
                <c:pt idx="12">
                  <c:v>12.593</c:v>
                </c:pt>
                <c:pt idx="13">
                  <c:v>12.583</c:v>
                </c:pt>
                <c:pt idx="14">
                  <c:v>12.69</c:v>
                </c:pt>
                <c:pt idx="15">
                  <c:v>12.196999999999999</c:v>
                </c:pt>
                <c:pt idx="16">
                  <c:v>12.584</c:v>
                </c:pt>
                <c:pt idx="17">
                  <c:v>12.65</c:v>
                </c:pt>
                <c:pt idx="18">
                  <c:v>12.695</c:v>
                </c:pt>
                <c:pt idx="19">
                  <c:v>12.817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233-4F9C-B4C9-20D8F312D679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2060"/>
                </a:solidFill>
              </a:ln>
              <a:effectLst/>
            </c:spPr>
          </c:marker>
          <c:xVal>
            <c:numRef>
              <c:f>Index!$M$24:$M$87</c:f>
              <c:numCache>
                <c:formatCode>0</c:formatCode>
                <c:ptCount val="64"/>
                <c:pt idx="0">
                  <c:v>9025.4945000000298</c:v>
                </c:pt>
                <c:pt idx="1">
                  <c:v>9028.8199999998324</c:v>
                </c:pt>
                <c:pt idx="2">
                  <c:v>9030.4728999999352</c:v>
                </c:pt>
                <c:pt idx="4">
                  <c:v>9038.7760000000708</c:v>
                </c:pt>
                <c:pt idx="5">
                  <c:v>9032</c:v>
                </c:pt>
                <c:pt idx="6">
                  <c:v>9038.4419999998063</c:v>
                </c:pt>
                <c:pt idx="7">
                  <c:v>9055.5</c:v>
                </c:pt>
                <c:pt idx="8">
                  <c:v>9049.4736999999732</c:v>
                </c:pt>
                <c:pt idx="9">
                  <c:v>9067.4586000000127</c:v>
                </c:pt>
                <c:pt idx="10">
                  <c:v>9078.4615000002086</c:v>
                </c:pt>
                <c:pt idx="11">
                  <c:v>9131.6343000000343</c:v>
                </c:pt>
              </c:numCache>
            </c:numRef>
          </c:xVal>
          <c:yVal>
            <c:numRef>
              <c:f>Index!$N$24:$N$87</c:f>
              <c:numCache>
                <c:formatCode>General</c:formatCode>
                <c:ptCount val="64"/>
                <c:pt idx="0">
                  <c:v>12</c:v>
                </c:pt>
                <c:pt idx="1">
                  <c:v>12</c:v>
                </c:pt>
                <c:pt idx="2">
                  <c:v>12</c:v>
                </c:pt>
                <c:pt idx="3">
                  <c:v>12</c:v>
                </c:pt>
                <c:pt idx="4">
                  <c:v>12</c:v>
                </c:pt>
                <c:pt idx="5">
                  <c:v>12</c:v>
                </c:pt>
                <c:pt idx="6">
                  <c:v>12</c:v>
                </c:pt>
                <c:pt idx="7">
                  <c:v>12</c:v>
                </c:pt>
                <c:pt idx="8">
                  <c:v>12</c:v>
                </c:pt>
                <c:pt idx="9">
                  <c:v>12</c:v>
                </c:pt>
                <c:pt idx="10">
                  <c:v>12</c:v>
                </c:pt>
                <c:pt idx="11">
                  <c:v>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233-4F9C-B4C9-20D8F312D6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4192568"/>
        <c:axId val="514192960"/>
      </c:scatterChart>
      <c:valAx>
        <c:axId val="514192568"/>
        <c:scaling>
          <c:orientation val="minMax"/>
          <c:max val="9500"/>
          <c:min val="9000"/>
        </c:scaling>
        <c:delete val="0"/>
        <c:axPos val="b"/>
        <c:numFmt formatCode="General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14192960"/>
        <c:crosses val="max"/>
        <c:crossBetween val="midCat"/>
        <c:majorUnit val="365"/>
      </c:valAx>
      <c:valAx>
        <c:axId val="514192960"/>
        <c:scaling>
          <c:orientation val="maxMin"/>
          <c:min val="12"/>
        </c:scaling>
        <c:delete val="0"/>
        <c:axPos val="l"/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14192568"/>
        <c:crosses val="autoZero"/>
        <c:crossBetween val="midCat"/>
        <c:majorUnit val="0.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123824</xdr:colOff>
      <xdr:row>4</xdr:row>
      <xdr:rowOff>47624</xdr:rowOff>
    </xdr:from>
    <xdr:to>
      <xdr:col>7</xdr:col>
      <xdr:colOff>500474</xdr:colOff>
      <xdr:row>15</xdr:row>
      <xdr:rowOff>112124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ySt_Orb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aras_database/Symbiotic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SySt_Orb"/>
      <sheetName val="Refs"/>
      <sheetName val="Phase"/>
      <sheetName val="Ext"/>
      <sheetName val="d"/>
      <sheetName val="CS"/>
      <sheetName val="Ref"/>
      <sheetName val="Feuil1"/>
      <sheetName val="Feuil3"/>
      <sheetName val="Hot"/>
    </sheetNames>
    <sheetDataSet>
      <sheetData sheetId="0"/>
      <sheetData sheetId="1">
        <row r="29">
          <cell r="Q29">
            <v>2457275</v>
          </cell>
        </row>
        <row r="30">
          <cell r="Q30">
            <v>42256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ste"/>
      <sheetName val="Index"/>
      <sheetName val="Data"/>
      <sheetName val="ListCall"/>
      <sheetName val="NewSpectra"/>
      <sheetName val="Objects"/>
      <sheetName val="AliasNom"/>
      <sheetName val="AliasSite"/>
      <sheetName val="Suspected"/>
      <sheetName val="Classification"/>
      <sheetName val="AGDra"/>
      <sheetName val="AGPeg"/>
      <sheetName val="AS210"/>
      <sheetName val="AS245"/>
      <sheetName val="AS270"/>
      <sheetName val="AS289"/>
      <sheetName val="AS323"/>
      <sheetName val="AXPer"/>
      <sheetName val="BDCam"/>
      <sheetName val="EF Aql"/>
      <sheetName val="BFCyg"/>
      <sheetName val="BXMon"/>
      <sheetName val="CHCyg"/>
      <sheetName val="Feuil1"/>
      <sheetName val="CICyg"/>
      <sheetName val="CMAql"/>
      <sheetName val="CQDra"/>
      <sheetName val="EFAql"/>
      <sheetName val="EGAnd"/>
      <sheetName val="ERDel"/>
      <sheetName val="FGSer"/>
      <sheetName val="FNSgr"/>
      <sheetName val="GHGem"/>
      <sheetName val="Hen2-468"/>
      <sheetName val="Hen3-1341"/>
      <sheetName val="Hen3-1342"/>
      <sheetName val="Hen3-1768"/>
      <sheetName val="HMSge"/>
      <sheetName val="IVVir"/>
      <sheetName val="LTDel"/>
      <sheetName val="MWC960"/>
      <sheetName val="NQGem"/>
      <sheetName val="OmiCet"/>
      <sheetName val="PUVul"/>
      <sheetName val="QWSge"/>
      <sheetName val="RAqr"/>
      <sheetName val="RRTel"/>
      <sheetName val="RSOph"/>
      <sheetName val="RTCru"/>
      <sheetName val="RTSer"/>
      <sheetName val="RWHya"/>
      <sheetName val="SSLep"/>
      <sheetName val="StHa32"/>
      <sheetName val="StHa55"/>
      <sheetName val="StHa149"/>
      <sheetName val="StHa196"/>
      <sheetName val="StHa180"/>
      <sheetName val="StHa190"/>
      <sheetName val="SULyn"/>
      <sheetName val="SYMus"/>
      <sheetName val="TCrB"/>
      <sheetName val="TCPJ19544251+1722281"/>
      <sheetName val="TXCVn"/>
      <sheetName val="UVAur"/>
      <sheetName val="V335Vul"/>
      <sheetName val="V407Cyg"/>
      <sheetName val="StHa169"/>
      <sheetName val="V443Her"/>
      <sheetName val="V471Per"/>
      <sheetName val="V503Her"/>
      <sheetName val="V627Cas"/>
      <sheetName val="V694Mon"/>
      <sheetName val="V919Sgr"/>
      <sheetName val="V934Her"/>
      <sheetName val="V1016Cyg"/>
      <sheetName val="V1329Cyg"/>
      <sheetName val="V1413Aql"/>
      <sheetName val="V1261Ori"/>
      <sheetName val="ZZCMi"/>
      <sheetName val="YYHer"/>
      <sheetName val="ZAnd"/>
      <sheetName val="Feuil70"/>
      <sheetName val="Feuil82"/>
      <sheetName val="Feuil71"/>
      <sheetName val="Feuil72"/>
      <sheetName val="Feuil73"/>
      <sheetName val="Feuil74"/>
      <sheetName val="Feuil75"/>
      <sheetName val="Feuil76"/>
      <sheetName val="Feuil77"/>
      <sheetName val="Feuil78"/>
      <sheetName val="Feuil79"/>
      <sheetName val="Feuil80"/>
      <sheetName val="Feuil8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>
        <row r="13">
          <cell r="B13">
            <v>1</v>
          </cell>
          <cell r="C13">
            <v>44006</v>
          </cell>
          <cell r="D13">
            <v>0.97366898148148151</v>
          </cell>
          <cell r="E13">
            <v>2459025.4945</v>
          </cell>
          <cell r="F13" t="str">
            <v>PCA</v>
          </cell>
          <cell r="I13">
            <v>567</v>
          </cell>
          <cell r="P13">
            <v>3801</v>
          </cell>
          <cell r="Q13">
            <v>7300</v>
          </cell>
          <cell r="X13" t="str">
            <v>asdb_cmaql_20200624_974.fit</v>
          </cell>
        </row>
        <row r="14">
          <cell r="B14">
            <v>2</v>
          </cell>
          <cell r="C14">
            <v>44010</v>
          </cell>
          <cell r="D14">
            <v>0.28866898148148151</v>
          </cell>
          <cell r="E14">
            <v>2459028.8199999998</v>
          </cell>
          <cell r="F14" t="str">
            <v>FAS</v>
          </cell>
          <cell r="I14">
            <v>1077</v>
          </cell>
          <cell r="P14">
            <v>3750</v>
          </cell>
          <cell r="Q14">
            <v>7250</v>
          </cell>
          <cell r="X14" t="str">
            <v>asdb_cmaql_20200628_289.fit</v>
          </cell>
        </row>
        <row r="15">
          <cell r="B15">
            <v>3</v>
          </cell>
          <cell r="C15">
            <v>44011</v>
          </cell>
          <cell r="D15">
            <v>0.94680555555555557</v>
          </cell>
          <cell r="E15">
            <v>2459030.4728999999</v>
          </cell>
          <cell r="F15" t="str">
            <v>PCA</v>
          </cell>
          <cell r="I15">
            <v>562</v>
          </cell>
          <cell r="P15">
            <v>3801</v>
          </cell>
          <cell r="Q15">
            <v>7299</v>
          </cell>
          <cell r="X15" t="str">
            <v>asdb_cmaql_20200629_947.fit</v>
          </cell>
        </row>
        <row r="16">
          <cell r="B16">
            <v>4</v>
          </cell>
          <cell r="C16">
            <v>44013</v>
          </cell>
          <cell r="D16">
            <v>0.60638888888888887</v>
          </cell>
          <cell r="F16" t="str">
            <v>CEL</v>
          </cell>
          <cell r="I16">
            <v>500</v>
          </cell>
          <cell r="P16">
            <v>3700</v>
          </cell>
          <cell r="Q16">
            <v>7399</v>
          </cell>
          <cell r="X16" t="str">
            <v>asdb_cmaql_20200701_606.fit</v>
          </cell>
        </row>
        <row r="17">
          <cell r="B17">
            <v>5</v>
          </cell>
          <cell r="C17" t="str">
            <v>08/07/2020</v>
          </cell>
          <cell r="D17">
            <v>0.27569444444444446</v>
          </cell>
          <cell r="E17">
            <v>2459038.7760000001</v>
          </cell>
          <cell r="F17" t="str">
            <v>FAS</v>
          </cell>
          <cell r="I17">
            <v>1053</v>
          </cell>
          <cell r="P17">
            <v>3719</v>
          </cell>
          <cell r="Q17">
            <v>7306</v>
          </cell>
          <cell r="X17" t="str">
            <v>asdb_cmaql_20200708_276.fit</v>
          </cell>
        </row>
        <row r="18">
          <cell r="B18">
            <v>6</v>
          </cell>
          <cell r="C18" t="str">
            <v>01/07/2020</v>
          </cell>
          <cell r="D18">
            <v>0.60625000000000007</v>
          </cell>
          <cell r="E18">
            <v>2459032</v>
          </cell>
          <cell r="F18" t="str">
            <v>CEL</v>
          </cell>
          <cell r="I18">
            <v>500</v>
          </cell>
          <cell r="P18">
            <v>3700</v>
          </cell>
          <cell r="Q18">
            <v>7399</v>
          </cell>
          <cell r="X18" t="str">
            <v>asdb_cmaql_20200701_606.fit</v>
          </cell>
        </row>
        <row r="19">
          <cell r="B19">
            <v>7</v>
          </cell>
          <cell r="C19" t="str">
            <v>07/07/2020</v>
          </cell>
          <cell r="D19">
            <v>0.94166666666666676</v>
          </cell>
          <cell r="E19">
            <v>2459038.4419999998</v>
          </cell>
          <cell r="F19" t="str">
            <v>CBO</v>
          </cell>
          <cell r="I19">
            <v>505</v>
          </cell>
          <cell r="P19">
            <v>3700</v>
          </cell>
          <cell r="Q19">
            <v>7565</v>
          </cell>
          <cell r="X19" t="str">
            <v>asdb_cmaql_20200707_942.fit</v>
          </cell>
        </row>
        <row r="20">
          <cell r="B20">
            <v>8</v>
          </cell>
          <cell r="C20" t="str">
            <v>24/07/2020</v>
          </cell>
          <cell r="D20">
            <v>0.98888888888888893</v>
          </cell>
          <cell r="E20">
            <v>2459055.5</v>
          </cell>
          <cell r="F20" t="str">
            <v>PCA</v>
          </cell>
          <cell r="I20">
            <v>527</v>
          </cell>
          <cell r="P20">
            <v>3801</v>
          </cell>
          <cell r="Q20">
            <v>7299</v>
          </cell>
          <cell r="X20" t="str">
            <v>asdb_cmaql_20200724_989.fit</v>
          </cell>
        </row>
        <row r="21">
          <cell r="B21">
            <v>9</v>
          </cell>
          <cell r="C21" t="str">
            <v>18/07/2020</v>
          </cell>
          <cell r="D21">
            <v>0.95208333333333339</v>
          </cell>
          <cell r="E21">
            <v>2459049.4737</v>
          </cell>
          <cell r="F21" t="str">
            <v>CBO</v>
          </cell>
          <cell r="I21">
            <v>507</v>
          </cell>
          <cell r="P21">
            <v>3750</v>
          </cell>
          <cell r="Q21">
            <v>7395</v>
          </cell>
          <cell r="X21" t="str">
            <v>asdb_cmaql_20200718_952.fit</v>
          </cell>
        </row>
        <row r="22">
          <cell r="B22">
            <v>10</v>
          </cell>
          <cell r="C22">
            <v>43959</v>
          </cell>
          <cell r="D22">
            <v>0.9277777777777777</v>
          </cell>
          <cell r="E22">
            <v>2459067.4586</v>
          </cell>
          <cell r="F22" t="str">
            <v>CBO</v>
          </cell>
          <cell r="I22">
            <v>503</v>
          </cell>
          <cell r="P22">
            <v>3750</v>
          </cell>
          <cell r="Q22">
            <v>7395</v>
          </cell>
          <cell r="X22" t="str">
            <v>asdb_cmaql_20200805_927.fit</v>
          </cell>
        </row>
        <row r="23">
          <cell r="B23">
            <v>11</v>
          </cell>
          <cell r="C23" t="str">
            <v>16/08/2020</v>
          </cell>
          <cell r="D23">
            <v>0.93472222222222223</v>
          </cell>
          <cell r="E23">
            <v>2459078.4615000002</v>
          </cell>
          <cell r="F23" t="str">
            <v>PCA</v>
          </cell>
          <cell r="I23">
            <v>522</v>
          </cell>
          <cell r="P23">
            <v>3801</v>
          </cell>
          <cell r="Q23">
            <v>7299</v>
          </cell>
          <cell r="X23" t="str">
            <v>asdb_cmaql_20200816_935.fit</v>
          </cell>
        </row>
        <row r="24">
          <cell r="B24">
            <v>12</v>
          </cell>
          <cell r="C24" t="str">
            <v>09/10/2020</v>
          </cell>
          <cell r="D24">
            <v>0.10277777777777779</v>
          </cell>
          <cell r="E24">
            <v>2459131.6343</v>
          </cell>
          <cell r="F24" t="str">
            <v>FAS</v>
          </cell>
          <cell r="I24">
            <v>1087</v>
          </cell>
          <cell r="P24">
            <v>3709</v>
          </cell>
          <cell r="Q24">
            <v>7296</v>
          </cell>
          <cell r="X24" t="str">
            <v>asdb_cmaql_20201009_102.fit</v>
          </cell>
        </row>
      </sheetData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B16:N77"/>
  <sheetViews>
    <sheetView showGridLines="0" tabSelected="1" workbookViewId="0">
      <selection activeCell="P24" sqref="P24"/>
    </sheetView>
  </sheetViews>
  <sheetFormatPr baseColWidth="10" defaultRowHeight="15" x14ac:dyDescent="0.25"/>
  <cols>
    <col min="3" max="3" width="11.85546875" style="4" bestFit="1" customWidth="1"/>
    <col min="5" max="5" width="13" bestFit="1" customWidth="1"/>
    <col min="12" max="12" width="41.85546875" bestFit="1" customWidth="1"/>
  </cols>
  <sheetData>
    <row r="16" spans="9:10" x14ac:dyDescent="0.25">
      <c r="I16">
        <v>2457200</v>
      </c>
      <c r="J16">
        <v>10</v>
      </c>
    </row>
    <row r="17" spans="2:14" x14ac:dyDescent="0.25">
      <c r="I17">
        <v>2457330</v>
      </c>
      <c r="J17">
        <f>+J16</f>
        <v>10</v>
      </c>
    </row>
    <row r="21" spans="2:14" x14ac:dyDescent="0.25">
      <c r="C21" s="4" t="s">
        <v>1</v>
      </c>
    </row>
    <row r="24" spans="2:14" x14ac:dyDescent="0.25">
      <c r="B24" s="3">
        <f>+[2]CMAql!B13</f>
        <v>1</v>
      </c>
      <c r="C24" s="5">
        <f>+[2]CMAql!C13</f>
        <v>44006</v>
      </c>
      <c r="D24" s="6">
        <f>+[2]CMAql!D13</f>
        <v>0.97366898148148151</v>
      </c>
      <c r="E24" s="3">
        <f>+[2]CMAql!E13</f>
        <v>2459025.4945</v>
      </c>
      <c r="F24" s="3" t="str">
        <f>+[2]CMAql!F13</f>
        <v>PCA</v>
      </c>
      <c r="G24" s="3">
        <f>+[2]CMAql!I13</f>
        <v>567</v>
      </c>
      <c r="H24" s="3">
        <f>+[2]CMAql!P13</f>
        <v>3801</v>
      </c>
      <c r="I24" s="3">
        <f>+[2]CMAql!Q13</f>
        <v>7300</v>
      </c>
      <c r="J24" s="3">
        <f>+'[2]TCPJ19544251+1722281'!J13</f>
        <v>0</v>
      </c>
      <c r="K24" s="3">
        <f>+'[2]TCPJ19544251+1722281'!K13</f>
        <v>0</v>
      </c>
      <c r="L24" s="3" t="str">
        <f>+[2]CMAql!X13</f>
        <v>asdb_cmaql_20200624_974.fit</v>
      </c>
      <c r="M24" s="11">
        <f>+E24-2450000</f>
        <v>9025.4945000000298</v>
      </c>
      <c r="N24">
        <v>12</v>
      </c>
    </row>
    <row r="25" spans="2:14" x14ac:dyDescent="0.25">
      <c r="B25" s="3">
        <f>+[2]CMAql!B14</f>
        <v>2</v>
      </c>
      <c r="C25" s="5">
        <f>+[2]CMAql!C14</f>
        <v>44010</v>
      </c>
      <c r="D25" s="6">
        <f>+[2]CMAql!D14</f>
        <v>0.28866898148148151</v>
      </c>
      <c r="E25" s="3">
        <f>+[2]CMAql!E14</f>
        <v>2459028.8199999998</v>
      </c>
      <c r="F25" s="3" t="str">
        <f>+[2]CMAql!F14</f>
        <v>FAS</v>
      </c>
      <c r="G25" s="12">
        <f>+[2]CMAql!I14</f>
        <v>1077</v>
      </c>
      <c r="H25" s="3">
        <f>+[2]CMAql!P14</f>
        <v>3750</v>
      </c>
      <c r="I25" s="3">
        <f>+[2]CMAql!Q14</f>
        <v>7250</v>
      </c>
      <c r="J25" s="3">
        <f>+'[2]TCPJ19544251+1722281'!J14</f>
        <v>0</v>
      </c>
      <c r="K25" s="3">
        <f>+'[2]TCPJ19544251+1722281'!K14</f>
        <v>0</v>
      </c>
      <c r="L25" s="3" t="str">
        <f>+[2]CMAql!X14</f>
        <v>asdb_cmaql_20200628_289.fit</v>
      </c>
      <c r="M25" s="11">
        <f t="shared" ref="M25:M26" si="0">+E25-2450000</f>
        <v>9028.8199999998324</v>
      </c>
      <c r="N25">
        <f>+N24</f>
        <v>12</v>
      </c>
    </row>
    <row r="26" spans="2:14" x14ac:dyDescent="0.25">
      <c r="B26" s="3">
        <f>+[2]CMAql!B15</f>
        <v>3</v>
      </c>
      <c r="C26" s="5">
        <f>+[2]CMAql!C15</f>
        <v>44011</v>
      </c>
      <c r="D26" s="6">
        <f>+[2]CMAql!D15</f>
        <v>0.94680555555555557</v>
      </c>
      <c r="E26" s="3">
        <f>+[2]CMAql!E15</f>
        <v>2459030.4728999999</v>
      </c>
      <c r="F26" s="3" t="str">
        <f>+[2]CMAql!F15</f>
        <v>PCA</v>
      </c>
      <c r="G26" s="3">
        <f>+[2]CMAql!I15</f>
        <v>562</v>
      </c>
      <c r="H26" s="3">
        <f>+[2]CMAql!P15</f>
        <v>3801</v>
      </c>
      <c r="I26" s="3">
        <f>+[2]CMAql!Q15</f>
        <v>7299</v>
      </c>
      <c r="J26" s="3">
        <f>+'[2]TCPJ19544251+1722281'!J15</f>
        <v>0</v>
      </c>
      <c r="K26" s="3">
        <f>+'[2]TCPJ19544251+1722281'!K15</f>
        <v>0</v>
      </c>
      <c r="L26" s="3" t="str">
        <f>+[2]CMAql!X15</f>
        <v>asdb_cmaql_20200629_947.fit</v>
      </c>
      <c r="M26" s="11">
        <f t="shared" si="0"/>
        <v>9030.4728999999352</v>
      </c>
      <c r="N26">
        <f>+N25</f>
        <v>12</v>
      </c>
    </row>
    <row r="27" spans="2:14" x14ac:dyDescent="0.25">
      <c r="B27" s="3">
        <f>+[2]CMAql!B16</f>
        <v>4</v>
      </c>
      <c r="C27" s="5">
        <f>+[2]CMAql!C16</f>
        <v>44013</v>
      </c>
      <c r="D27" s="6">
        <f>+[2]CMAql!D16</f>
        <v>0.60638888888888887</v>
      </c>
      <c r="E27" s="3">
        <f>+[2]CMAql!E16</f>
        <v>0</v>
      </c>
      <c r="F27" s="3" t="str">
        <f>+[2]CMAql!F16</f>
        <v>CEL</v>
      </c>
      <c r="G27" s="3">
        <f>+[2]CMAql!I16</f>
        <v>500</v>
      </c>
      <c r="H27" s="3">
        <f>+[2]CMAql!P16</f>
        <v>3700</v>
      </c>
      <c r="I27" s="3">
        <f>+[2]CMAql!Q16</f>
        <v>7399</v>
      </c>
      <c r="J27" s="3">
        <f>+'[2]TCPJ19544251+1722281'!J16</f>
        <v>0</v>
      </c>
      <c r="K27" s="3">
        <f>+'[2]TCPJ19544251+1722281'!K16</f>
        <v>0</v>
      </c>
      <c r="L27" s="3" t="str">
        <f>+[2]CMAql!X16</f>
        <v>asdb_cmaql_20200701_606.fit</v>
      </c>
      <c r="M27" s="11"/>
      <c r="N27">
        <f t="shared" ref="N27:N34" si="1">+N26</f>
        <v>12</v>
      </c>
    </row>
    <row r="28" spans="2:14" x14ac:dyDescent="0.25">
      <c r="B28" s="3">
        <f>+[2]CMAql!B17</f>
        <v>5</v>
      </c>
      <c r="C28" s="5" t="str">
        <f>+[2]CMAql!C17</f>
        <v>08/07/2020</v>
      </c>
      <c r="D28" s="6">
        <f>+[2]CMAql!D17</f>
        <v>0.27569444444444446</v>
      </c>
      <c r="E28" s="3">
        <f>+[2]CMAql!E17</f>
        <v>2459038.7760000001</v>
      </c>
      <c r="F28" s="3" t="str">
        <f>+[2]CMAql!F17</f>
        <v>FAS</v>
      </c>
      <c r="G28" s="12">
        <f>+[2]CMAql!I17</f>
        <v>1053</v>
      </c>
      <c r="H28" s="3">
        <f>+[2]CMAql!P17</f>
        <v>3719</v>
      </c>
      <c r="I28" s="3">
        <f>+[2]CMAql!Q17</f>
        <v>7306</v>
      </c>
      <c r="J28" s="3">
        <f>+'[2]TCPJ19544251+1722281'!J17</f>
        <v>0</v>
      </c>
      <c r="K28" s="3">
        <f>+'[2]TCPJ19544251+1722281'!K17</f>
        <v>0</v>
      </c>
      <c r="L28" s="3" t="str">
        <f>+[2]CMAql!X17</f>
        <v>asdb_cmaql_20200708_276.fit</v>
      </c>
      <c r="M28" s="11">
        <f t="shared" ref="M27:M34" si="2">+E28-2450000</f>
        <v>9038.7760000000708</v>
      </c>
      <c r="N28">
        <f t="shared" si="1"/>
        <v>12</v>
      </c>
    </row>
    <row r="29" spans="2:14" x14ac:dyDescent="0.25">
      <c r="B29" s="3">
        <f>+[2]CMAql!B18</f>
        <v>6</v>
      </c>
      <c r="C29" s="5" t="str">
        <f>+[2]CMAql!C18</f>
        <v>01/07/2020</v>
      </c>
      <c r="D29" s="6">
        <f>+[2]CMAql!D18</f>
        <v>0.60625000000000007</v>
      </c>
      <c r="E29" s="3">
        <f>+[2]CMAql!E18</f>
        <v>2459032</v>
      </c>
      <c r="F29" s="3" t="str">
        <f>+[2]CMAql!F18</f>
        <v>CEL</v>
      </c>
      <c r="G29" s="3">
        <f>+[2]CMAql!I18</f>
        <v>500</v>
      </c>
      <c r="H29" s="3">
        <f>+[2]CMAql!P18</f>
        <v>3700</v>
      </c>
      <c r="I29" s="3">
        <f>+[2]CMAql!Q18</f>
        <v>7399</v>
      </c>
      <c r="J29" s="3">
        <f>+'[2]TCPJ19544251+1722281'!J18</f>
        <v>0</v>
      </c>
      <c r="K29" s="3">
        <f>+'[2]TCPJ19544251+1722281'!K18</f>
        <v>0</v>
      </c>
      <c r="L29" s="3" t="str">
        <f>+[2]CMAql!X18</f>
        <v>asdb_cmaql_20200701_606.fit</v>
      </c>
      <c r="M29" s="11">
        <f t="shared" si="2"/>
        <v>9032</v>
      </c>
      <c r="N29">
        <f t="shared" si="1"/>
        <v>12</v>
      </c>
    </row>
    <row r="30" spans="2:14" x14ac:dyDescent="0.25">
      <c r="B30" s="3">
        <f>+[2]CMAql!B19</f>
        <v>7</v>
      </c>
      <c r="C30" s="5" t="str">
        <f>+[2]CMAql!C19</f>
        <v>07/07/2020</v>
      </c>
      <c r="D30" s="6">
        <f>+[2]CMAql!D19</f>
        <v>0.94166666666666676</v>
      </c>
      <c r="E30" s="3">
        <f>+[2]CMAql!E19</f>
        <v>2459038.4419999998</v>
      </c>
      <c r="F30" s="3" t="str">
        <f>+[2]CMAql!F19</f>
        <v>CBO</v>
      </c>
      <c r="G30" s="3">
        <f>+[2]CMAql!I19</f>
        <v>505</v>
      </c>
      <c r="H30" s="3">
        <f>+[2]CMAql!P19</f>
        <v>3700</v>
      </c>
      <c r="I30" s="3">
        <f>+[2]CMAql!Q19</f>
        <v>7565</v>
      </c>
      <c r="J30" s="3">
        <f>+'[2]TCPJ19544251+1722281'!J19</f>
        <v>0</v>
      </c>
      <c r="K30" s="3">
        <f>+'[2]TCPJ19544251+1722281'!K19</f>
        <v>0</v>
      </c>
      <c r="L30" s="3" t="str">
        <f>+[2]CMAql!X19</f>
        <v>asdb_cmaql_20200707_942.fit</v>
      </c>
      <c r="M30" s="11">
        <f t="shared" si="2"/>
        <v>9038.4419999998063</v>
      </c>
      <c r="N30">
        <f t="shared" si="1"/>
        <v>12</v>
      </c>
    </row>
    <row r="31" spans="2:14" x14ac:dyDescent="0.25">
      <c r="B31" s="3">
        <f>+[2]CMAql!B20</f>
        <v>8</v>
      </c>
      <c r="C31" s="5" t="str">
        <f>+[2]CMAql!C20</f>
        <v>24/07/2020</v>
      </c>
      <c r="D31" s="6">
        <f>+[2]CMAql!D20</f>
        <v>0.98888888888888893</v>
      </c>
      <c r="E31" s="3">
        <f>+[2]CMAql!E20</f>
        <v>2459055.5</v>
      </c>
      <c r="F31" s="3" t="str">
        <f>+[2]CMAql!F20</f>
        <v>PCA</v>
      </c>
      <c r="G31" s="3">
        <f>+[2]CMAql!I20</f>
        <v>527</v>
      </c>
      <c r="H31" s="3">
        <f>+[2]CMAql!P20</f>
        <v>3801</v>
      </c>
      <c r="I31" s="3">
        <f>+[2]CMAql!Q20</f>
        <v>7299</v>
      </c>
      <c r="J31" s="3">
        <f>+'[2]TCPJ19544251+1722281'!J20</f>
        <v>0</v>
      </c>
      <c r="K31" s="3">
        <f>+'[2]TCPJ19544251+1722281'!K20</f>
        <v>0</v>
      </c>
      <c r="L31" s="3" t="str">
        <f>+[2]CMAql!X20</f>
        <v>asdb_cmaql_20200724_989.fit</v>
      </c>
      <c r="M31" s="11">
        <f t="shared" si="2"/>
        <v>9055.5</v>
      </c>
      <c r="N31">
        <f t="shared" si="1"/>
        <v>12</v>
      </c>
    </row>
    <row r="32" spans="2:14" x14ac:dyDescent="0.25">
      <c r="B32" s="3">
        <f>+[2]CMAql!B21</f>
        <v>9</v>
      </c>
      <c r="C32" s="5" t="str">
        <f>+[2]CMAql!C21</f>
        <v>18/07/2020</v>
      </c>
      <c r="D32" s="6">
        <f>+[2]CMAql!D21</f>
        <v>0.95208333333333339</v>
      </c>
      <c r="E32" s="3">
        <f>+[2]CMAql!E21</f>
        <v>2459049.4737</v>
      </c>
      <c r="F32" s="3" t="str">
        <f>+[2]CMAql!F21</f>
        <v>CBO</v>
      </c>
      <c r="G32" s="3">
        <f>+[2]CMAql!I21</f>
        <v>507</v>
      </c>
      <c r="H32" s="3">
        <f>+[2]CMAql!P21</f>
        <v>3750</v>
      </c>
      <c r="I32" s="3">
        <f>+[2]CMAql!Q21</f>
        <v>7395</v>
      </c>
      <c r="J32" s="3">
        <f>+'[2]TCPJ19544251+1722281'!J21</f>
        <v>0</v>
      </c>
      <c r="K32" s="3">
        <f>+'[2]TCPJ19544251+1722281'!K21</f>
        <v>0</v>
      </c>
      <c r="L32" s="3" t="str">
        <f>+[2]CMAql!X21</f>
        <v>asdb_cmaql_20200718_952.fit</v>
      </c>
      <c r="M32" s="11">
        <f t="shared" si="2"/>
        <v>9049.4736999999732</v>
      </c>
      <c r="N32">
        <f t="shared" si="1"/>
        <v>12</v>
      </c>
    </row>
    <row r="33" spans="2:14" x14ac:dyDescent="0.25">
      <c r="B33" s="3">
        <f>+[2]CMAql!B22</f>
        <v>10</v>
      </c>
      <c r="C33" s="5">
        <f>+[2]CMAql!C22</f>
        <v>43959</v>
      </c>
      <c r="D33" s="6">
        <f>+[2]CMAql!D22</f>
        <v>0.9277777777777777</v>
      </c>
      <c r="E33" s="3">
        <f>+[2]CMAql!E22</f>
        <v>2459067.4586</v>
      </c>
      <c r="F33" s="3" t="str">
        <f>+[2]CMAql!F22</f>
        <v>CBO</v>
      </c>
      <c r="G33" s="3">
        <f>+[2]CMAql!I22</f>
        <v>503</v>
      </c>
      <c r="H33" s="3">
        <f>+[2]CMAql!P22</f>
        <v>3750</v>
      </c>
      <c r="I33" s="3">
        <f>+[2]CMAql!Q22</f>
        <v>7395</v>
      </c>
      <c r="J33" s="3">
        <f>+'[2]TCPJ19544251+1722281'!J22</f>
        <v>0</v>
      </c>
      <c r="K33" s="3">
        <f>+'[2]TCPJ19544251+1722281'!K22</f>
        <v>0</v>
      </c>
      <c r="L33" s="3" t="str">
        <f>+[2]CMAql!X22</f>
        <v>asdb_cmaql_20200805_927.fit</v>
      </c>
      <c r="M33" s="11">
        <f t="shared" si="2"/>
        <v>9067.4586000000127</v>
      </c>
      <c r="N33">
        <f t="shared" si="1"/>
        <v>12</v>
      </c>
    </row>
    <row r="34" spans="2:14" x14ac:dyDescent="0.25">
      <c r="B34" s="3">
        <f>+[2]CMAql!B23</f>
        <v>11</v>
      </c>
      <c r="C34" s="5" t="str">
        <f>+[2]CMAql!C23</f>
        <v>16/08/2020</v>
      </c>
      <c r="D34" s="6">
        <f>+[2]CMAql!D23</f>
        <v>0.93472222222222223</v>
      </c>
      <c r="E34" s="3">
        <f>+[2]CMAql!E23</f>
        <v>2459078.4615000002</v>
      </c>
      <c r="F34" s="3" t="str">
        <f>+[2]CMAql!F23</f>
        <v>PCA</v>
      </c>
      <c r="G34" s="3">
        <f>+[2]CMAql!I23</f>
        <v>522</v>
      </c>
      <c r="H34" s="3">
        <f>+[2]CMAql!P23</f>
        <v>3801</v>
      </c>
      <c r="I34" s="3">
        <f>+[2]CMAql!Q23</f>
        <v>7299</v>
      </c>
      <c r="J34" s="3">
        <f>+'[2]TCPJ19544251+1722281'!J23</f>
        <v>0</v>
      </c>
      <c r="K34" s="3">
        <f>+'[2]TCPJ19544251+1722281'!K23</f>
        <v>0</v>
      </c>
      <c r="L34" s="3" t="str">
        <f>+[2]CMAql!X23</f>
        <v>asdb_cmaql_20200816_935.fit</v>
      </c>
      <c r="M34" s="11">
        <f t="shared" si="2"/>
        <v>9078.4615000002086</v>
      </c>
      <c r="N34">
        <f t="shared" si="1"/>
        <v>12</v>
      </c>
    </row>
    <row r="35" spans="2:14" x14ac:dyDescent="0.25">
      <c r="B35" s="3">
        <f>+[2]CMAql!B24</f>
        <v>12</v>
      </c>
      <c r="C35" s="5" t="str">
        <f>+[2]CMAql!C24</f>
        <v>09/10/2020</v>
      </c>
      <c r="D35" s="6">
        <f>+[2]CMAql!D24</f>
        <v>0.10277777777777779</v>
      </c>
      <c r="E35" s="3">
        <f>+[2]CMAql!E24</f>
        <v>2459131.6343</v>
      </c>
      <c r="F35" s="3" t="str">
        <f>+[2]CMAql!F24</f>
        <v>FAS</v>
      </c>
      <c r="G35" s="12">
        <f>+[2]CMAql!I24</f>
        <v>1087</v>
      </c>
      <c r="H35" s="3">
        <f>+[2]CMAql!P24</f>
        <v>3709</v>
      </c>
      <c r="I35" s="3">
        <f>+[2]CMAql!Q24</f>
        <v>7296</v>
      </c>
      <c r="J35" s="3">
        <f>+'[2]TCPJ19544251+1722281'!J24</f>
        <v>0</v>
      </c>
      <c r="K35" s="3">
        <f>+'[2]TCPJ19544251+1722281'!K24</f>
        <v>0</v>
      </c>
      <c r="L35" s="3" t="str">
        <f>+[2]CMAql!X24</f>
        <v>asdb_cmaql_20201009_102.fit</v>
      </c>
      <c r="M35" s="11">
        <f t="shared" ref="M35" si="3">+E35-2450000</f>
        <v>9131.6343000000343</v>
      </c>
      <c r="N35">
        <f t="shared" ref="N35" si="4">+N34</f>
        <v>12</v>
      </c>
    </row>
    <row r="36" spans="2:14" x14ac:dyDescent="0.25">
      <c r="B36" s="3"/>
      <c r="C36" s="5"/>
      <c r="D36" s="6"/>
      <c r="E36" s="3"/>
      <c r="F36" s="3"/>
      <c r="G36" s="3"/>
      <c r="H36" s="3"/>
      <c r="I36" s="3"/>
      <c r="J36" s="3"/>
      <c r="K36" s="3"/>
      <c r="L36" s="3"/>
      <c r="M36" s="2"/>
    </row>
    <row r="37" spans="2:14" x14ac:dyDescent="0.25">
      <c r="B37" s="3"/>
      <c r="C37" s="5"/>
      <c r="D37" s="6"/>
      <c r="E37" s="3"/>
      <c r="F37" s="3"/>
      <c r="G37" s="3"/>
      <c r="H37" s="3"/>
      <c r="I37" s="3"/>
      <c r="J37" s="3"/>
      <c r="K37" s="3"/>
      <c r="L37" s="3"/>
      <c r="M37" s="2"/>
    </row>
    <row r="38" spans="2:14" x14ac:dyDescent="0.25">
      <c r="B38" s="3"/>
      <c r="C38" s="5"/>
      <c r="D38" s="6"/>
      <c r="E38" s="3"/>
      <c r="F38" s="3"/>
      <c r="G38" s="3"/>
      <c r="H38" s="3"/>
      <c r="I38" s="3"/>
      <c r="J38" s="3"/>
      <c r="K38" s="3"/>
      <c r="L38" s="3"/>
      <c r="M38" s="2"/>
    </row>
    <row r="39" spans="2:14" x14ac:dyDescent="0.25">
      <c r="B39" s="3"/>
      <c r="C39" s="5"/>
      <c r="D39" s="6"/>
      <c r="E39" s="3"/>
      <c r="F39" s="3"/>
      <c r="G39" s="3"/>
      <c r="H39" s="3"/>
      <c r="I39" s="3"/>
      <c r="J39" s="3"/>
      <c r="K39" s="3"/>
      <c r="L39" s="3"/>
      <c r="M39" s="2"/>
    </row>
    <row r="40" spans="2:14" x14ac:dyDescent="0.25">
      <c r="B40" s="3"/>
      <c r="C40" s="5"/>
      <c r="D40" s="6"/>
      <c r="E40" s="3"/>
      <c r="F40" s="3"/>
      <c r="G40" s="3"/>
      <c r="H40" s="3"/>
      <c r="I40" s="3"/>
      <c r="J40" s="3"/>
      <c r="K40" s="3"/>
      <c r="L40" s="3"/>
      <c r="M40" s="2"/>
    </row>
    <row r="41" spans="2:14" x14ac:dyDescent="0.25">
      <c r="B41" s="3"/>
      <c r="C41" s="5"/>
      <c r="D41" s="6"/>
      <c r="E41" s="3"/>
      <c r="F41" s="3"/>
      <c r="G41" s="3"/>
      <c r="H41" s="3"/>
      <c r="I41" s="3"/>
      <c r="J41" s="3"/>
      <c r="K41" s="3"/>
      <c r="L41" s="3"/>
      <c r="M41" s="2"/>
    </row>
    <row r="42" spans="2:14" x14ac:dyDescent="0.25">
      <c r="B42" s="3"/>
      <c r="C42" s="5"/>
      <c r="D42" s="6"/>
      <c r="E42" s="3"/>
      <c r="F42" s="3"/>
      <c r="G42" s="3"/>
      <c r="H42" s="3"/>
      <c r="I42" s="3"/>
      <c r="J42" s="3"/>
      <c r="K42" s="3"/>
      <c r="L42" s="3"/>
      <c r="M42" s="2"/>
    </row>
    <row r="43" spans="2:14" x14ac:dyDescent="0.25">
      <c r="B43" s="3"/>
      <c r="C43" s="5"/>
      <c r="D43" s="6"/>
      <c r="E43" s="3"/>
      <c r="F43" s="3"/>
      <c r="G43" s="3"/>
      <c r="H43" s="3"/>
      <c r="I43" s="3"/>
      <c r="J43" s="3"/>
      <c r="K43" s="3"/>
      <c r="L43" s="3"/>
      <c r="M43" s="2"/>
    </row>
    <row r="44" spans="2:14" x14ac:dyDescent="0.25">
      <c r="B44" s="3"/>
      <c r="C44" s="5"/>
      <c r="D44" s="6"/>
      <c r="E44" s="3"/>
      <c r="F44" s="3"/>
      <c r="G44" s="3"/>
      <c r="H44" s="3"/>
      <c r="I44" s="3"/>
      <c r="J44" s="3"/>
      <c r="K44" s="3"/>
      <c r="L44" s="3"/>
      <c r="M44" s="2"/>
    </row>
    <row r="45" spans="2:14" x14ac:dyDescent="0.25">
      <c r="B45" s="3"/>
      <c r="C45" s="5"/>
      <c r="D45" s="6"/>
      <c r="E45" s="3"/>
      <c r="F45" s="3"/>
      <c r="G45" s="3"/>
      <c r="H45" s="3"/>
      <c r="I45" s="3"/>
      <c r="J45" s="3"/>
      <c r="K45" s="3"/>
      <c r="L45" s="3"/>
      <c r="M45" s="2"/>
    </row>
    <row r="46" spans="2:14" x14ac:dyDescent="0.25">
      <c r="B46" s="3"/>
      <c r="C46" s="5"/>
      <c r="D46" s="6"/>
      <c r="E46" s="3"/>
      <c r="F46" s="3"/>
      <c r="G46" s="3"/>
      <c r="H46" s="3"/>
      <c r="I46" s="3"/>
      <c r="J46" s="3"/>
      <c r="K46" s="3"/>
      <c r="L46" s="3"/>
      <c r="M46" s="2"/>
    </row>
    <row r="47" spans="2:14" x14ac:dyDescent="0.25">
      <c r="B47" s="3"/>
      <c r="C47" s="5"/>
      <c r="D47" s="6"/>
      <c r="E47" s="3"/>
      <c r="F47" s="3"/>
      <c r="G47" s="3"/>
      <c r="H47" s="3"/>
      <c r="I47" s="3"/>
      <c r="J47" s="3"/>
      <c r="K47" s="3"/>
      <c r="L47" s="3"/>
      <c r="M47" s="2"/>
    </row>
    <row r="48" spans="2:14" x14ac:dyDescent="0.25">
      <c r="B48" s="3"/>
      <c r="C48" s="5"/>
      <c r="D48" s="6"/>
      <c r="E48" s="3"/>
      <c r="F48" s="3"/>
      <c r="G48" s="3"/>
      <c r="H48" s="3"/>
      <c r="I48" s="3"/>
      <c r="J48" s="3"/>
      <c r="K48" s="3"/>
      <c r="L48" s="3"/>
      <c r="M48" s="2"/>
    </row>
    <row r="49" spans="2:13" x14ac:dyDescent="0.25">
      <c r="B49" s="3"/>
      <c r="C49" s="5"/>
      <c r="D49" s="6"/>
      <c r="E49" s="3"/>
      <c r="F49" s="3"/>
      <c r="G49" s="3"/>
      <c r="H49" s="3"/>
      <c r="I49" s="3"/>
      <c r="J49" s="3"/>
      <c r="K49" s="3"/>
      <c r="L49" s="3"/>
      <c r="M49" s="2"/>
    </row>
    <row r="50" spans="2:13" x14ac:dyDescent="0.25">
      <c r="B50" s="3"/>
      <c r="C50" s="5"/>
      <c r="D50" s="6"/>
      <c r="E50" s="3"/>
      <c r="F50" s="3"/>
      <c r="G50" s="3"/>
      <c r="H50" s="3"/>
      <c r="I50" s="3"/>
      <c r="J50" s="3"/>
      <c r="K50" s="3"/>
      <c r="L50" s="3"/>
      <c r="M50" s="2"/>
    </row>
    <row r="51" spans="2:13" x14ac:dyDescent="0.25">
      <c r="B51" s="3"/>
      <c r="C51" s="5"/>
      <c r="D51" s="6"/>
      <c r="E51" s="3"/>
      <c r="F51" s="3"/>
      <c r="G51" s="3"/>
      <c r="H51" s="3"/>
      <c r="I51" s="3"/>
      <c r="J51" s="3"/>
      <c r="K51" s="3"/>
      <c r="L51" s="3"/>
      <c r="M51" s="2"/>
    </row>
    <row r="52" spans="2:13" x14ac:dyDescent="0.25">
      <c r="B52" s="3"/>
      <c r="C52" s="5"/>
      <c r="D52" s="6"/>
      <c r="E52" s="3"/>
      <c r="F52" s="3"/>
      <c r="G52" s="3"/>
      <c r="H52" s="3"/>
      <c r="I52" s="3"/>
      <c r="J52" s="3"/>
      <c r="K52" s="3"/>
      <c r="L52" s="3"/>
      <c r="M52" s="2"/>
    </row>
    <row r="53" spans="2:13" x14ac:dyDescent="0.25">
      <c r="B53" s="3"/>
      <c r="C53" s="5"/>
      <c r="D53" s="6"/>
      <c r="E53" s="3"/>
      <c r="F53" s="3"/>
      <c r="G53" s="3"/>
      <c r="H53" s="3"/>
      <c r="I53" s="3"/>
      <c r="J53" s="3"/>
      <c r="K53" s="3"/>
      <c r="L53" s="3"/>
      <c r="M53" s="2"/>
    </row>
    <row r="54" spans="2:13" x14ac:dyDescent="0.25">
      <c r="B54" s="3"/>
      <c r="C54" s="5"/>
      <c r="D54" s="6"/>
      <c r="E54" s="3"/>
      <c r="F54" s="3"/>
      <c r="G54" s="3"/>
      <c r="H54" s="3"/>
      <c r="I54" s="3"/>
      <c r="J54" s="3"/>
      <c r="K54" s="3"/>
      <c r="L54" s="3"/>
      <c r="M54" s="2"/>
    </row>
    <row r="55" spans="2:13" x14ac:dyDescent="0.25">
      <c r="B55" s="3"/>
      <c r="C55" s="5"/>
      <c r="D55" s="6"/>
      <c r="E55" s="3"/>
      <c r="F55" s="3"/>
      <c r="G55" s="3"/>
      <c r="H55" s="3"/>
      <c r="I55" s="3"/>
      <c r="J55" s="3"/>
      <c r="K55" s="3"/>
      <c r="L55" s="3"/>
      <c r="M55" s="2"/>
    </row>
    <row r="56" spans="2:13" x14ac:dyDescent="0.25">
      <c r="B56" s="3"/>
      <c r="C56" s="5"/>
      <c r="D56" s="6"/>
      <c r="E56" s="3"/>
      <c r="F56" s="3"/>
      <c r="G56" s="3"/>
      <c r="H56" s="3"/>
      <c r="I56" s="3"/>
      <c r="J56" s="3"/>
      <c r="K56" s="3"/>
      <c r="L56" s="3"/>
      <c r="M56" s="2"/>
    </row>
    <row r="57" spans="2:13" x14ac:dyDescent="0.25">
      <c r="B57" s="3"/>
      <c r="C57" s="5"/>
      <c r="D57" s="6"/>
      <c r="E57" s="3"/>
      <c r="F57" s="3"/>
      <c r="G57" s="3"/>
      <c r="H57" s="3"/>
      <c r="I57" s="3"/>
      <c r="J57" s="3"/>
      <c r="K57" s="3"/>
      <c r="L57" s="3"/>
      <c r="M57" s="2"/>
    </row>
    <row r="58" spans="2:13" x14ac:dyDescent="0.25">
      <c r="B58" s="3"/>
      <c r="C58" s="5"/>
      <c r="D58" s="6"/>
      <c r="E58" s="3"/>
      <c r="F58" s="3"/>
      <c r="G58" s="3"/>
      <c r="H58" s="3"/>
      <c r="I58" s="3"/>
      <c r="J58" s="3"/>
      <c r="K58" s="3"/>
      <c r="L58" s="3"/>
      <c r="M58" s="2"/>
    </row>
    <row r="59" spans="2:13" x14ac:dyDescent="0.25">
      <c r="B59" s="3"/>
      <c r="C59" s="5"/>
      <c r="D59" s="6"/>
      <c r="E59" s="3"/>
      <c r="F59" s="3"/>
      <c r="G59" s="3"/>
      <c r="H59" s="3"/>
      <c r="I59" s="3"/>
      <c r="J59" s="3"/>
      <c r="K59" s="3"/>
      <c r="L59" s="3"/>
      <c r="M59" s="2"/>
    </row>
    <row r="60" spans="2:13" x14ac:dyDescent="0.25">
      <c r="B60" s="3"/>
      <c r="C60" s="5"/>
      <c r="D60" s="6"/>
      <c r="E60" s="3"/>
      <c r="F60" s="3"/>
      <c r="G60" s="3"/>
      <c r="H60" s="3"/>
      <c r="I60" s="3"/>
      <c r="J60" s="3"/>
      <c r="K60" s="3"/>
      <c r="L60" s="3"/>
      <c r="M60" s="2"/>
    </row>
    <row r="61" spans="2:13" x14ac:dyDescent="0.25">
      <c r="B61" s="3"/>
      <c r="C61" s="5"/>
      <c r="D61" s="6"/>
      <c r="E61" s="3"/>
      <c r="F61" s="3"/>
      <c r="G61" s="3"/>
      <c r="H61" s="3"/>
      <c r="I61" s="3"/>
      <c r="J61" s="3"/>
      <c r="K61" s="3"/>
      <c r="L61" s="3"/>
      <c r="M61" s="2"/>
    </row>
    <row r="62" spans="2:13" x14ac:dyDescent="0.25">
      <c r="B62" s="3"/>
      <c r="C62" s="5"/>
      <c r="D62" s="6"/>
      <c r="E62" s="3"/>
      <c r="F62" s="3"/>
      <c r="G62" s="3"/>
      <c r="H62" s="3"/>
      <c r="I62" s="3"/>
      <c r="J62" s="3"/>
      <c r="K62" s="3"/>
      <c r="L62" s="3"/>
      <c r="M62" s="2"/>
    </row>
    <row r="63" spans="2:13" x14ac:dyDescent="0.25">
      <c r="B63" s="3"/>
      <c r="C63" s="5"/>
      <c r="D63" s="6"/>
      <c r="E63" s="3"/>
      <c r="F63" s="3"/>
      <c r="G63" s="3"/>
      <c r="H63" s="3"/>
      <c r="I63" s="3"/>
      <c r="J63" s="3"/>
      <c r="K63" s="3"/>
      <c r="L63" s="3"/>
      <c r="M63" s="2"/>
    </row>
    <row r="64" spans="2:13" x14ac:dyDescent="0.25">
      <c r="B64" s="3"/>
      <c r="C64" s="5"/>
      <c r="D64" s="6"/>
      <c r="E64" s="3"/>
      <c r="F64" s="3"/>
      <c r="G64" s="3"/>
      <c r="H64" s="3"/>
      <c r="I64" s="3"/>
      <c r="J64" s="3"/>
      <c r="K64" s="3"/>
      <c r="L64" s="3"/>
      <c r="M64" s="2"/>
    </row>
    <row r="65" spans="2:13" x14ac:dyDescent="0.25">
      <c r="B65" s="3"/>
      <c r="C65" s="5"/>
      <c r="D65" s="6"/>
      <c r="E65" s="3"/>
      <c r="F65" s="3"/>
      <c r="G65" s="3"/>
      <c r="H65" s="3"/>
      <c r="I65" s="3"/>
      <c r="J65" s="3"/>
      <c r="K65" s="3"/>
      <c r="L65" s="3"/>
      <c r="M65" s="3"/>
    </row>
    <row r="66" spans="2:13" x14ac:dyDescent="0.25">
      <c r="B66" s="7"/>
      <c r="C66" s="8"/>
      <c r="D66" s="9"/>
      <c r="E66" s="7"/>
      <c r="F66" s="7"/>
      <c r="G66" s="7"/>
      <c r="H66" s="7"/>
      <c r="I66" s="7"/>
      <c r="J66" s="7"/>
      <c r="K66" s="7"/>
      <c r="L66" s="7"/>
      <c r="M66" s="3"/>
    </row>
    <row r="67" spans="2:13" x14ac:dyDescent="0.25">
      <c r="B67" s="7"/>
      <c r="C67" s="8"/>
      <c r="D67" s="9"/>
      <c r="E67" s="7"/>
      <c r="F67" s="7"/>
      <c r="G67" s="7"/>
      <c r="H67" s="7"/>
      <c r="I67" s="7"/>
      <c r="J67" s="7"/>
      <c r="K67" s="7"/>
      <c r="L67" s="7"/>
      <c r="M67" s="3"/>
    </row>
    <row r="68" spans="2:13" x14ac:dyDescent="0.25">
      <c r="B68" s="7"/>
      <c r="C68" s="8"/>
      <c r="D68" s="9"/>
      <c r="E68" s="7"/>
      <c r="F68" s="7"/>
      <c r="G68" s="7"/>
      <c r="H68" s="7"/>
      <c r="I68" s="7"/>
      <c r="J68" s="7"/>
      <c r="K68" s="7"/>
      <c r="L68" s="7"/>
      <c r="M68" s="3"/>
    </row>
    <row r="69" spans="2:13" x14ac:dyDescent="0.25">
      <c r="B69" s="7"/>
      <c r="C69" s="8"/>
      <c r="D69" s="9"/>
      <c r="E69" s="7"/>
      <c r="F69" s="7"/>
      <c r="G69" s="7"/>
      <c r="H69" s="7"/>
      <c r="I69" s="7"/>
      <c r="J69" s="7"/>
      <c r="K69" s="7"/>
      <c r="L69" s="7"/>
      <c r="M69" s="3"/>
    </row>
    <row r="70" spans="2:13" x14ac:dyDescent="0.25">
      <c r="B70" s="7"/>
      <c r="C70" s="8"/>
      <c r="D70" s="9"/>
      <c r="E70" s="7"/>
      <c r="F70" s="7"/>
      <c r="G70" s="7"/>
      <c r="H70" s="7"/>
      <c r="I70" s="7"/>
      <c r="J70" s="7"/>
      <c r="K70" s="7"/>
      <c r="L70" s="7"/>
      <c r="M70" s="3"/>
    </row>
    <row r="71" spans="2:13" x14ac:dyDescent="0.25">
      <c r="B71" s="7"/>
      <c r="C71" s="8"/>
      <c r="D71" s="9"/>
      <c r="E71" s="7"/>
      <c r="F71" s="7"/>
      <c r="G71" s="7"/>
      <c r="H71" s="7"/>
      <c r="I71" s="7"/>
      <c r="J71" s="7"/>
      <c r="K71" s="7"/>
      <c r="L71" s="7"/>
      <c r="M71" s="3"/>
    </row>
    <row r="72" spans="2:13" x14ac:dyDescent="0.25">
      <c r="B72" s="7"/>
      <c r="C72" s="8"/>
      <c r="D72" s="9"/>
      <c r="E72" s="7"/>
      <c r="F72" s="7"/>
      <c r="G72" s="7"/>
      <c r="H72" s="7"/>
      <c r="I72" s="7"/>
      <c r="J72" s="7"/>
      <c r="K72" s="7"/>
      <c r="L72" s="7"/>
      <c r="M72" s="3"/>
    </row>
    <row r="73" spans="2:13" x14ac:dyDescent="0.25">
      <c r="B73" s="7"/>
      <c r="C73" s="8"/>
      <c r="D73" s="9"/>
      <c r="E73" s="10"/>
      <c r="F73" s="7"/>
      <c r="G73" s="7"/>
      <c r="H73" s="7"/>
      <c r="I73" s="7"/>
      <c r="J73" s="7"/>
      <c r="K73" s="7"/>
      <c r="L73" s="7"/>
      <c r="M73" s="3"/>
    </row>
    <row r="74" spans="2:13" x14ac:dyDescent="0.25">
      <c r="B74" s="7"/>
      <c r="C74" s="8"/>
      <c r="D74" s="9"/>
      <c r="E74" s="10"/>
      <c r="F74" s="7"/>
      <c r="G74" s="7"/>
      <c r="H74" s="7"/>
      <c r="I74" s="7"/>
      <c r="J74" s="7"/>
      <c r="K74" s="7"/>
      <c r="L74" s="7"/>
      <c r="M74" s="3"/>
    </row>
    <row r="75" spans="2:13" x14ac:dyDescent="0.25">
      <c r="B75" s="3"/>
      <c r="C75" s="5"/>
      <c r="D75" s="6"/>
      <c r="E75" s="3"/>
      <c r="F75" s="3"/>
      <c r="G75" s="3"/>
      <c r="H75" s="3"/>
      <c r="I75" s="3"/>
      <c r="J75" s="3"/>
      <c r="K75" s="3"/>
      <c r="L75" s="3"/>
    </row>
    <row r="76" spans="2:13" x14ac:dyDescent="0.25">
      <c r="B76" s="3"/>
      <c r="C76" s="5"/>
      <c r="D76" s="6"/>
      <c r="E76" s="3"/>
      <c r="F76" s="3"/>
      <c r="G76" s="3"/>
      <c r="H76" s="3"/>
      <c r="I76" s="3"/>
      <c r="J76" s="3"/>
      <c r="K76" s="3"/>
      <c r="L76" s="3"/>
    </row>
    <row r="77" spans="2:13" x14ac:dyDescent="0.25">
      <c r="B77" s="3"/>
      <c r="C77" s="5"/>
      <c r="D77" s="6"/>
      <c r="E77" s="3"/>
      <c r="F77" s="3"/>
      <c r="G77" s="3"/>
      <c r="H77" s="3"/>
      <c r="I77" s="3"/>
      <c r="J77" s="3"/>
      <c r="K77" s="3"/>
      <c r="L77" s="3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/>
  <dimension ref="A1:AA95"/>
  <sheetViews>
    <sheetView workbookViewId="0">
      <selection activeCell="C29" sqref="C29"/>
    </sheetView>
  </sheetViews>
  <sheetFormatPr baseColWidth="10" defaultRowHeight="15" x14ac:dyDescent="0.25"/>
  <cols>
    <col min="1" max="1" width="13.5703125" bestFit="1" customWidth="1"/>
    <col min="2" max="2" width="12" bestFit="1" customWidth="1"/>
    <col min="3" max="3" width="7.5703125" bestFit="1" customWidth="1"/>
    <col min="4" max="4" width="6.5703125" bestFit="1" customWidth="1"/>
    <col min="5" max="5" width="10" bestFit="1" customWidth="1"/>
    <col min="6" max="6" width="6.140625" bestFit="1" customWidth="1"/>
    <col min="7" max="7" width="11.42578125" customWidth="1"/>
  </cols>
  <sheetData>
    <row r="1" spans="1:27" ht="18" customHeight="1" x14ac:dyDescent="0.25">
      <c r="A1" s="1">
        <v>2458413.5168400002</v>
      </c>
      <c r="B1" s="1" t="s">
        <v>145</v>
      </c>
      <c r="C1" s="1">
        <v>14.038</v>
      </c>
      <c r="D1" s="1">
        <v>7.0000000000000001E-3</v>
      </c>
      <c r="E1" s="1" t="s">
        <v>152</v>
      </c>
      <c r="F1" s="1" t="s">
        <v>153</v>
      </c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</row>
    <row r="2" spans="1:27" x14ac:dyDescent="0.25">
      <c r="A2" s="1">
        <v>2458577.8875899999</v>
      </c>
      <c r="B2" s="1" t="s">
        <v>146</v>
      </c>
      <c r="C2" s="1">
        <v>14.42</v>
      </c>
      <c r="D2" s="1">
        <v>0.01</v>
      </c>
      <c r="E2" s="1" t="s">
        <v>152</v>
      </c>
      <c r="F2" s="1" t="s">
        <v>153</v>
      </c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</row>
    <row r="3" spans="1:27" x14ac:dyDescent="0.25">
      <c r="A3" s="1">
        <v>2458614.8991200002</v>
      </c>
      <c r="B3" s="1" t="s">
        <v>147</v>
      </c>
      <c r="C3" s="1">
        <v>14.534000000000001</v>
      </c>
      <c r="D3" s="1">
        <v>2.3E-2</v>
      </c>
      <c r="E3" s="1" t="s">
        <v>152</v>
      </c>
      <c r="F3" s="1" t="s">
        <v>153</v>
      </c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</row>
    <row r="4" spans="1:27" x14ac:dyDescent="0.25">
      <c r="A4" s="1">
        <v>2458960.8651399999</v>
      </c>
      <c r="B4" s="1" t="s">
        <v>148</v>
      </c>
      <c r="C4" s="1">
        <v>12.545</v>
      </c>
      <c r="D4" s="1">
        <v>1.0999999999999999E-2</v>
      </c>
      <c r="E4" s="1" t="s">
        <v>152</v>
      </c>
      <c r="F4" s="1" t="s">
        <v>154</v>
      </c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</row>
    <row r="5" spans="1:27" x14ac:dyDescent="0.25">
      <c r="A5" s="1">
        <v>2458960.8668999998</v>
      </c>
      <c r="B5" s="1" t="s">
        <v>148</v>
      </c>
      <c r="C5" s="1">
        <v>12.512</v>
      </c>
      <c r="D5" s="1">
        <v>0.01</v>
      </c>
      <c r="E5" s="1" t="s">
        <v>152</v>
      </c>
      <c r="F5" s="1" t="s">
        <v>154</v>
      </c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</row>
    <row r="6" spans="1:27" x14ac:dyDescent="0.25">
      <c r="A6" s="1">
        <v>2458960.8686600002</v>
      </c>
      <c r="B6" s="1" t="s">
        <v>148</v>
      </c>
      <c r="C6" s="1">
        <v>12.574999999999999</v>
      </c>
      <c r="D6" s="1">
        <v>8.9999999999999993E-3</v>
      </c>
      <c r="E6" s="1" t="s">
        <v>152</v>
      </c>
      <c r="F6" s="1" t="s">
        <v>154</v>
      </c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</row>
    <row r="7" spans="1:27" x14ac:dyDescent="0.25">
      <c r="A7" s="1">
        <v>2458960.8704200001</v>
      </c>
      <c r="B7" s="1" t="s">
        <v>148</v>
      </c>
      <c r="C7" s="1">
        <v>12.512</v>
      </c>
      <c r="D7" s="1">
        <v>1.0999999999999999E-2</v>
      </c>
      <c r="E7" s="1" t="s">
        <v>152</v>
      </c>
      <c r="F7" s="1" t="s">
        <v>154</v>
      </c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</row>
    <row r="8" spans="1:27" x14ac:dyDescent="0.25">
      <c r="A8" s="1">
        <v>2458960.8721799999</v>
      </c>
      <c r="B8" s="1" t="s">
        <v>148</v>
      </c>
      <c r="C8" s="1">
        <v>12.532999999999999</v>
      </c>
      <c r="D8" s="1">
        <v>0.01</v>
      </c>
      <c r="E8" s="1" t="s">
        <v>152</v>
      </c>
      <c r="F8" s="1" t="s">
        <v>154</v>
      </c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</row>
    <row r="9" spans="1:27" x14ac:dyDescent="0.25">
      <c r="A9" s="1">
        <v>2458960.8739399998</v>
      </c>
      <c r="B9" s="1" t="s">
        <v>148</v>
      </c>
      <c r="C9" s="1">
        <v>12.526999999999999</v>
      </c>
      <c r="D9" s="1">
        <v>0.01</v>
      </c>
      <c r="E9" s="1" t="s">
        <v>152</v>
      </c>
      <c r="F9" s="1" t="s">
        <v>154</v>
      </c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</row>
    <row r="10" spans="1:27" x14ac:dyDescent="0.25">
      <c r="A10" s="1">
        <v>2458960.8757000002</v>
      </c>
      <c r="B10" s="1" t="s">
        <v>148</v>
      </c>
      <c r="C10" s="1">
        <v>12.545</v>
      </c>
      <c r="D10" s="1">
        <v>0.01</v>
      </c>
      <c r="E10" s="1" t="s">
        <v>152</v>
      </c>
      <c r="F10" s="1" t="s">
        <v>154</v>
      </c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</row>
    <row r="11" spans="1:27" x14ac:dyDescent="0.25">
      <c r="A11" s="1">
        <v>2458962.6309600002</v>
      </c>
      <c r="B11" s="1" t="s">
        <v>149</v>
      </c>
      <c r="C11" s="1">
        <v>12.566000000000001</v>
      </c>
      <c r="D11" s="1">
        <v>1.2E-2</v>
      </c>
      <c r="E11" s="1" t="s">
        <v>152</v>
      </c>
      <c r="F11" s="1" t="s">
        <v>155</v>
      </c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</row>
    <row r="12" spans="1:27" x14ac:dyDescent="0.25">
      <c r="A12" s="1">
        <v>2458994.49168</v>
      </c>
      <c r="B12" s="1" t="s">
        <v>150</v>
      </c>
      <c r="C12" s="1">
        <v>12.62</v>
      </c>
      <c r="D12" s="1">
        <v>1.9E-2</v>
      </c>
      <c r="E12" s="1" t="s">
        <v>152</v>
      </c>
      <c r="F12" s="1" t="s">
        <v>155</v>
      </c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</row>
    <row r="13" spans="1:27" x14ac:dyDescent="0.25">
      <c r="A13" s="1">
        <v>2458997.49394</v>
      </c>
      <c r="B13" s="1" t="s">
        <v>151</v>
      </c>
      <c r="C13" s="1">
        <v>12.593</v>
      </c>
      <c r="D13" s="1">
        <v>2.3E-2</v>
      </c>
      <c r="E13" s="1" t="s">
        <v>152</v>
      </c>
      <c r="F13" s="1" t="s">
        <v>155</v>
      </c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</row>
    <row r="14" spans="1:27" x14ac:dyDescent="0.25">
      <c r="A14" s="1">
        <v>2459024.4048600001</v>
      </c>
      <c r="B14" s="1" t="s">
        <v>156</v>
      </c>
      <c r="C14" s="1">
        <v>12.583</v>
      </c>
      <c r="D14" s="1">
        <v>0.17</v>
      </c>
      <c r="E14" s="1" t="s">
        <v>152</v>
      </c>
      <c r="F14" s="1" t="s">
        <v>157</v>
      </c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</row>
    <row r="15" spans="1:27" x14ac:dyDescent="0.25">
      <c r="A15" s="1">
        <v>2459098.33598</v>
      </c>
      <c r="B15" s="1" t="s">
        <v>158</v>
      </c>
      <c r="C15" s="1">
        <v>12.69</v>
      </c>
      <c r="D15" s="1">
        <v>1.4999999999999999E-2</v>
      </c>
      <c r="E15" s="1" t="s">
        <v>152</v>
      </c>
      <c r="F15" s="1" t="s">
        <v>155</v>
      </c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</row>
    <row r="16" spans="1:27" x14ac:dyDescent="0.25">
      <c r="A16" s="1">
        <v>2459127.2965299999</v>
      </c>
      <c r="B16" s="1" t="s">
        <v>159</v>
      </c>
      <c r="C16" s="1">
        <v>12.196999999999999</v>
      </c>
      <c r="D16" s="1">
        <v>0.01</v>
      </c>
      <c r="E16" s="1" t="s">
        <v>152</v>
      </c>
      <c r="F16" s="1" t="s">
        <v>157</v>
      </c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</row>
    <row r="17" spans="1:27" x14ac:dyDescent="0.25">
      <c r="A17" s="1">
        <v>2459131.2993100001</v>
      </c>
      <c r="B17" s="1" t="s">
        <v>160</v>
      </c>
      <c r="C17" s="1">
        <v>12.584</v>
      </c>
      <c r="D17" s="1">
        <v>7.0000000000000007E-2</v>
      </c>
      <c r="E17" s="1" t="s">
        <v>152</v>
      </c>
      <c r="F17" s="1" t="s">
        <v>157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</row>
    <row r="18" spans="1:27" x14ac:dyDescent="0.25">
      <c r="A18" s="1">
        <v>2459131.6320000002</v>
      </c>
      <c r="B18" s="1" t="s">
        <v>161</v>
      </c>
      <c r="C18" s="1">
        <v>12.65</v>
      </c>
      <c r="D18" s="1">
        <v>2.8000000000000001E-2</v>
      </c>
      <c r="E18" s="1" t="s">
        <v>152</v>
      </c>
      <c r="F18" s="1" t="s">
        <v>162</v>
      </c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</row>
    <row r="19" spans="1:27" x14ac:dyDescent="0.25">
      <c r="A19" s="1">
        <v>2459137.2625000002</v>
      </c>
      <c r="B19" s="1" t="s">
        <v>163</v>
      </c>
      <c r="C19" s="1">
        <v>12.695</v>
      </c>
      <c r="D19" s="1">
        <v>0.08</v>
      </c>
      <c r="E19" s="1" t="s">
        <v>152</v>
      </c>
      <c r="F19" s="1" t="s">
        <v>157</v>
      </c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</row>
    <row r="20" spans="1:27" x14ac:dyDescent="0.25">
      <c r="A20" s="1">
        <v>2459141.2368100001</v>
      </c>
      <c r="B20" s="1" t="s">
        <v>164</v>
      </c>
      <c r="C20" s="1">
        <v>12.817</v>
      </c>
      <c r="D20" s="1">
        <v>0.19</v>
      </c>
      <c r="E20" s="1" t="s">
        <v>152</v>
      </c>
      <c r="F20" s="1" t="s">
        <v>157</v>
      </c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</row>
    <row r="21" spans="1:27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</row>
    <row r="22" spans="1:27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</row>
    <row r="23" spans="1:27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</row>
    <row r="24" spans="1:27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</row>
    <row r="25" spans="1:27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</row>
    <row r="26" spans="1:27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</row>
    <row r="27" spans="1:27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</row>
    <row r="28" spans="1:27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</row>
    <row r="29" spans="1:27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</row>
    <row r="30" spans="1:27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</row>
    <row r="31" spans="1:27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</row>
    <row r="32" spans="1:27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</row>
    <row r="33" spans="1:27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</row>
    <row r="34" spans="1:27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</row>
    <row r="35" spans="1:27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</row>
    <row r="36" spans="1:27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</row>
    <row r="37" spans="1:27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</row>
    <row r="38" spans="1:27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</row>
    <row r="39" spans="1:27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</row>
    <row r="40" spans="1:27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</row>
    <row r="41" spans="1:27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</row>
    <row r="42" spans="1:27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</row>
    <row r="43" spans="1:27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</row>
    <row r="44" spans="1:27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</row>
    <row r="45" spans="1:27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</row>
    <row r="46" spans="1:27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</row>
    <row r="47" spans="1:27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</row>
    <row r="48" spans="1:27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</row>
    <row r="49" spans="1:27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</row>
    <row r="50" spans="1:27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</row>
    <row r="51" spans="1:27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</row>
    <row r="52" spans="1:27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</row>
    <row r="53" spans="1:27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</row>
    <row r="54" spans="1:27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</row>
    <row r="55" spans="1:27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</row>
    <row r="56" spans="1:27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</row>
    <row r="57" spans="1:27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</row>
    <row r="58" spans="1:27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</row>
    <row r="59" spans="1:27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</row>
    <row r="60" spans="1:27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</row>
    <row r="61" spans="1:27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</row>
    <row r="62" spans="1:27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</row>
    <row r="63" spans="1:27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</row>
    <row r="64" spans="1:27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</row>
    <row r="65" spans="1:27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</row>
    <row r="66" spans="1:27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</row>
    <row r="67" spans="1:27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</row>
    <row r="68" spans="1:27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</row>
    <row r="69" spans="1:27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</row>
    <row r="70" spans="1:27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</row>
    <row r="71" spans="1:27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</row>
    <row r="72" spans="1:27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</row>
    <row r="73" spans="1:27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</row>
    <row r="74" spans="1:27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</row>
    <row r="75" spans="1:27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</row>
    <row r="76" spans="1:27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</row>
    <row r="77" spans="1:27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</row>
    <row r="78" spans="1:27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</row>
    <row r="79" spans="1:27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</row>
    <row r="80" spans="1:27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</row>
    <row r="81" spans="1:27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</row>
    <row r="82" spans="1:27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</row>
    <row r="83" spans="1:27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</row>
    <row r="84" spans="1:27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</row>
    <row r="85" spans="1:27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</row>
    <row r="86" spans="1:27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</row>
    <row r="87" spans="1:27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</row>
    <row r="88" spans="1:27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</row>
    <row r="89" spans="1:27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</row>
    <row r="90" spans="1:27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</row>
    <row r="91" spans="1:27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</row>
    <row r="92" spans="1:27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</row>
    <row r="93" spans="1:27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</row>
    <row r="94" spans="1:27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</row>
    <row r="95" spans="1:27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</row>
  </sheetData>
  <sortState xmlns:xlrd2="http://schemas.microsoft.com/office/spreadsheetml/2017/richdata2" ref="A1:F52">
    <sortCondition ref="F1:F52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4"/>
  <dimension ref="A1:AA489"/>
  <sheetViews>
    <sheetView workbookViewId="0">
      <selection sqref="A1:XFD265"/>
    </sheetView>
  </sheetViews>
  <sheetFormatPr baseColWidth="10" defaultRowHeight="15" x14ac:dyDescent="0.25"/>
  <sheetData>
    <row r="1" spans="1:27" x14ac:dyDescent="0.25">
      <c r="A1" s="1">
        <v>2456605.2083000001</v>
      </c>
      <c r="B1" s="1" t="s">
        <v>90</v>
      </c>
      <c r="C1" s="1">
        <v>9.75</v>
      </c>
      <c r="D1" s="1">
        <v>0.04</v>
      </c>
      <c r="E1" s="1" t="s">
        <v>2</v>
      </c>
      <c r="F1" s="1" t="s">
        <v>91</v>
      </c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</row>
    <row r="2" spans="1:27" x14ac:dyDescent="0.25">
      <c r="A2" s="1">
        <v>2456611.6142199999</v>
      </c>
      <c r="B2" s="1" t="s">
        <v>92</v>
      </c>
      <c r="C2" s="1">
        <v>9.6940000000000008</v>
      </c>
      <c r="D2" s="1">
        <v>1.0999999999999999E-2</v>
      </c>
      <c r="E2" s="1" t="s">
        <v>2</v>
      </c>
      <c r="F2" s="1" t="s">
        <v>5</v>
      </c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</row>
    <row r="3" spans="1:27" x14ac:dyDescent="0.25">
      <c r="A3" s="1">
        <v>2456613.6151000001</v>
      </c>
      <c r="B3" s="1" t="s">
        <v>93</v>
      </c>
      <c r="C3" s="1">
        <v>9.6769999999999996</v>
      </c>
      <c r="D3" s="1">
        <v>1.2999999999999999E-2</v>
      </c>
      <c r="E3" s="1" t="s">
        <v>2</v>
      </c>
      <c r="F3" s="1" t="s">
        <v>5</v>
      </c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</row>
    <row r="4" spans="1:27" x14ac:dyDescent="0.25">
      <c r="A4" s="1">
        <v>2456615.6011800002</v>
      </c>
      <c r="B4" s="1" t="s">
        <v>94</v>
      </c>
      <c r="C4" s="1">
        <v>9.7149999999999999</v>
      </c>
      <c r="D4" s="1">
        <v>1.2999999999999999E-2</v>
      </c>
      <c r="E4" s="1" t="s">
        <v>2</v>
      </c>
      <c r="F4" s="1" t="s">
        <v>5</v>
      </c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</row>
    <row r="5" spans="1:27" x14ac:dyDescent="0.25">
      <c r="A5" s="1">
        <v>2456616.5986700002</v>
      </c>
      <c r="B5" s="1" t="s">
        <v>95</v>
      </c>
      <c r="C5" s="1">
        <v>9.7279999999999998</v>
      </c>
      <c r="D5" s="1">
        <v>0.01</v>
      </c>
      <c r="E5" s="1" t="s">
        <v>2</v>
      </c>
      <c r="F5" s="1" t="s">
        <v>5</v>
      </c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</row>
    <row r="6" spans="1:27" x14ac:dyDescent="0.25">
      <c r="A6" s="1">
        <v>2456617.5966599998</v>
      </c>
      <c r="B6" s="1" t="s">
        <v>96</v>
      </c>
      <c r="C6" s="1">
        <v>9.6489999999999991</v>
      </c>
      <c r="D6" s="1">
        <v>1.2999999999999999E-2</v>
      </c>
      <c r="E6" s="1" t="s">
        <v>2</v>
      </c>
      <c r="F6" s="1" t="s">
        <v>5</v>
      </c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</row>
    <row r="7" spans="1:27" x14ac:dyDescent="0.25">
      <c r="A7" s="1">
        <v>2456687.75177</v>
      </c>
      <c r="B7" s="1" t="s">
        <v>97</v>
      </c>
      <c r="C7" s="1">
        <v>9.4629999999999992</v>
      </c>
      <c r="D7" s="1">
        <v>0.27</v>
      </c>
      <c r="E7" s="1" t="s">
        <v>2</v>
      </c>
      <c r="F7" s="1" t="s">
        <v>5</v>
      </c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</row>
    <row r="8" spans="1:27" x14ac:dyDescent="0.25">
      <c r="A8" s="1">
        <v>2456764.87953</v>
      </c>
      <c r="B8" s="1" t="s">
        <v>98</v>
      </c>
      <c r="C8" s="1">
        <v>9.2210000000000001</v>
      </c>
      <c r="D8" s="1">
        <v>1.7000000000000001E-2</v>
      </c>
      <c r="E8" s="1" t="s">
        <v>2</v>
      </c>
      <c r="F8" s="1" t="s">
        <v>5</v>
      </c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</row>
    <row r="9" spans="1:27" x14ac:dyDescent="0.25">
      <c r="A9" s="1">
        <v>2456896.7162700002</v>
      </c>
      <c r="B9" s="1" t="s">
        <v>99</v>
      </c>
      <c r="C9" s="1">
        <v>9.9830000000000005</v>
      </c>
      <c r="D9" s="1">
        <v>1.2999999999999999E-2</v>
      </c>
      <c r="E9" s="1" t="s">
        <v>2</v>
      </c>
      <c r="F9" s="1" t="s">
        <v>5</v>
      </c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</row>
    <row r="10" spans="1:27" x14ac:dyDescent="0.25">
      <c r="A10" s="1">
        <v>2456898.3333000001</v>
      </c>
      <c r="B10" s="1" t="s">
        <v>100</v>
      </c>
      <c r="C10" s="1">
        <v>10.02</v>
      </c>
      <c r="D10" s="1">
        <v>0.04</v>
      </c>
      <c r="E10" s="1" t="s">
        <v>2</v>
      </c>
      <c r="F10" s="1" t="s">
        <v>91</v>
      </c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</row>
    <row r="11" spans="1:27" x14ac:dyDescent="0.25">
      <c r="A11" s="1">
        <v>2456898.7217700002</v>
      </c>
      <c r="B11" s="1" t="s">
        <v>101</v>
      </c>
      <c r="C11" s="1">
        <v>10.013999999999999</v>
      </c>
      <c r="D11" s="1">
        <v>8.9999999999999993E-3</v>
      </c>
      <c r="E11" s="1" t="s">
        <v>2</v>
      </c>
      <c r="F11" s="1" t="s">
        <v>5</v>
      </c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</row>
    <row r="12" spans="1:27" x14ac:dyDescent="0.25">
      <c r="A12" s="1">
        <v>2456902.7019000002</v>
      </c>
      <c r="B12" s="1" t="s">
        <v>102</v>
      </c>
      <c r="C12" s="1">
        <v>10.055</v>
      </c>
      <c r="D12" s="1">
        <v>1.0999999999999999E-2</v>
      </c>
      <c r="E12" s="1" t="s">
        <v>2</v>
      </c>
      <c r="F12" s="1" t="s">
        <v>5</v>
      </c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</row>
    <row r="13" spans="1:27" x14ac:dyDescent="0.25">
      <c r="A13" s="1">
        <v>2456904.6678200001</v>
      </c>
      <c r="B13" s="1" t="s">
        <v>103</v>
      </c>
      <c r="C13" s="1">
        <v>10.076000000000001</v>
      </c>
      <c r="D13" s="1">
        <v>8.9999999999999993E-3</v>
      </c>
      <c r="E13" s="1" t="s">
        <v>2</v>
      </c>
      <c r="F13" s="1" t="s">
        <v>5</v>
      </c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</row>
    <row r="14" spans="1:27" x14ac:dyDescent="0.25">
      <c r="A14" s="1">
        <v>2456913.66928</v>
      </c>
      <c r="B14" s="1" t="s">
        <v>104</v>
      </c>
      <c r="C14" s="1">
        <v>10.16</v>
      </c>
      <c r="D14" s="1">
        <v>1.0999999999999999E-2</v>
      </c>
      <c r="E14" s="1" t="s">
        <v>2</v>
      </c>
      <c r="F14" s="1" t="s">
        <v>5</v>
      </c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</row>
    <row r="15" spans="1:27" x14ac:dyDescent="0.25">
      <c r="A15" s="1">
        <v>2456915.3333000001</v>
      </c>
      <c r="B15" s="1" t="s">
        <v>105</v>
      </c>
      <c r="C15" s="1">
        <v>10.1</v>
      </c>
      <c r="D15" s="1">
        <v>0.08</v>
      </c>
      <c r="E15" s="1" t="s">
        <v>2</v>
      </c>
      <c r="F15" s="1" t="s">
        <v>91</v>
      </c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</row>
    <row r="16" spans="1:27" x14ac:dyDescent="0.25">
      <c r="A16" s="1">
        <v>2456918.6744300001</v>
      </c>
      <c r="B16" s="1" t="s">
        <v>106</v>
      </c>
      <c r="C16" s="1">
        <v>10.141999999999999</v>
      </c>
      <c r="D16" s="1">
        <v>0.01</v>
      </c>
      <c r="E16" s="1" t="s">
        <v>2</v>
      </c>
      <c r="F16" s="1" t="s">
        <v>5</v>
      </c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</row>
    <row r="17" spans="1:27" x14ac:dyDescent="0.25">
      <c r="A17" s="1">
        <v>2456920.6946999999</v>
      </c>
      <c r="B17" s="1" t="s">
        <v>107</v>
      </c>
      <c r="C17" s="1">
        <v>10.135999999999999</v>
      </c>
      <c r="D17" s="1">
        <v>8.9999999999999993E-3</v>
      </c>
      <c r="E17" s="1" t="s">
        <v>2</v>
      </c>
      <c r="F17" s="1" t="s">
        <v>5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</row>
    <row r="18" spans="1:27" x14ac:dyDescent="0.25">
      <c r="A18" s="1">
        <v>2456923.6792100002</v>
      </c>
      <c r="B18" s="1" t="s">
        <v>108</v>
      </c>
      <c r="C18" s="1">
        <v>10.157</v>
      </c>
      <c r="D18" s="1">
        <v>0.01</v>
      </c>
      <c r="E18" s="1" t="s">
        <v>2</v>
      </c>
      <c r="F18" s="1" t="s">
        <v>5</v>
      </c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</row>
    <row r="19" spans="1:27" x14ac:dyDescent="0.25">
      <c r="A19" s="1">
        <v>2456924.6627500001</v>
      </c>
      <c r="B19" s="1" t="s">
        <v>109</v>
      </c>
      <c r="C19" s="1">
        <v>10.146000000000001</v>
      </c>
      <c r="D19" s="1">
        <v>0.01</v>
      </c>
      <c r="E19" s="1" t="s">
        <v>2</v>
      </c>
      <c r="F19" s="1" t="s">
        <v>5</v>
      </c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</row>
    <row r="20" spans="1:27" x14ac:dyDescent="0.25">
      <c r="A20" s="1">
        <v>2456927.6010799999</v>
      </c>
      <c r="B20" s="1" t="s">
        <v>110</v>
      </c>
      <c r="C20" s="1">
        <v>10.128</v>
      </c>
      <c r="D20" s="1">
        <v>0.01</v>
      </c>
      <c r="E20" s="1" t="s">
        <v>2</v>
      </c>
      <c r="F20" s="1" t="s">
        <v>5</v>
      </c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</row>
    <row r="21" spans="1:27" x14ac:dyDescent="0.25">
      <c r="A21" s="1">
        <v>2456928.3541999999</v>
      </c>
      <c r="B21" s="1" t="s">
        <v>110</v>
      </c>
      <c r="C21" s="1">
        <v>10.17</v>
      </c>
      <c r="D21" s="1">
        <v>0.03</v>
      </c>
      <c r="E21" s="1" t="s">
        <v>2</v>
      </c>
      <c r="F21" s="1" t="s">
        <v>91</v>
      </c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</row>
    <row r="22" spans="1:27" x14ac:dyDescent="0.25">
      <c r="A22" s="1">
        <v>2456928.5967199998</v>
      </c>
      <c r="B22" s="1" t="s">
        <v>111</v>
      </c>
      <c r="C22" s="1">
        <v>10.127000000000001</v>
      </c>
      <c r="D22" s="1">
        <v>0.01</v>
      </c>
      <c r="E22" s="1" t="s">
        <v>2</v>
      </c>
      <c r="F22" s="1" t="s">
        <v>5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</row>
    <row r="23" spans="1:27" x14ac:dyDescent="0.25">
      <c r="A23" s="1">
        <v>2456929.6037699999</v>
      </c>
      <c r="B23" s="1" t="s">
        <v>112</v>
      </c>
      <c r="C23" s="1">
        <v>10.125</v>
      </c>
      <c r="D23" s="1">
        <v>1.0999999999999999E-2</v>
      </c>
      <c r="E23" s="1" t="s">
        <v>2</v>
      </c>
      <c r="F23" s="1" t="s">
        <v>5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</row>
    <row r="24" spans="1:27" x14ac:dyDescent="0.25">
      <c r="A24" s="1">
        <v>2456936.5840400001</v>
      </c>
      <c r="B24" s="1" t="s">
        <v>113</v>
      </c>
      <c r="C24" s="1">
        <v>10.162000000000001</v>
      </c>
      <c r="D24" s="1">
        <v>1.0999999999999999E-2</v>
      </c>
      <c r="E24" s="1" t="s">
        <v>2</v>
      </c>
      <c r="F24" s="1" t="s">
        <v>5</v>
      </c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</row>
    <row r="25" spans="1:27" x14ac:dyDescent="0.25">
      <c r="A25" s="1">
        <v>2456937.5819999999</v>
      </c>
      <c r="B25" s="1" t="s">
        <v>114</v>
      </c>
      <c r="C25" s="1">
        <v>10.153</v>
      </c>
      <c r="D25" s="1">
        <v>1.2E-2</v>
      </c>
      <c r="E25" s="1" t="s">
        <v>2</v>
      </c>
      <c r="F25" s="1" t="s">
        <v>5</v>
      </c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</row>
    <row r="26" spans="1:27" x14ac:dyDescent="0.25">
      <c r="A26" s="1">
        <v>2456939.5918100001</v>
      </c>
      <c r="B26" s="1" t="s">
        <v>115</v>
      </c>
      <c r="C26" s="1">
        <v>10.132</v>
      </c>
      <c r="D26" s="1">
        <v>1.0999999999999999E-2</v>
      </c>
      <c r="E26" s="1" t="s">
        <v>2</v>
      </c>
      <c r="F26" s="1" t="s">
        <v>5</v>
      </c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</row>
    <row r="27" spans="1:27" x14ac:dyDescent="0.25">
      <c r="A27" s="1">
        <v>2456940.6616799999</v>
      </c>
      <c r="B27" s="1" t="s">
        <v>116</v>
      </c>
      <c r="C27" s="1">
        <v>10.146000000000001</v>
      </c>
      <c r="D27" s="1">
        <v>1.0999999999999999E-2</v>
      </c>
      <c r="E27" s="1" t="s">
        <v>2</v>
      </c>
      <c r="F27" s="1" t="s">
        <v>5</v>
      </c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</row>
    <row r="28" spans="1:27" x14ac:dyDescent="0.25">
      <c r="A28" s="1">
        <v>2456943.58727</v>
      </c>
      <c r="B28" s="1" t="s">
        <v>117</v>
      </c>
      <c r="C28" s="1">
        <v>10.125999999999999</v>
      </c>
      <c r="D28" s="1">
        <v>8.9999999999999993E-3</v>
      </c>
      <c r="E28" s="1" t="s">
        <v>2</v>
      </c>
      <c r="F28" s="1" t="s">
        <v>5</v>
      </c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</row>
    <row r="29" spans="1:27" x14ac:dyDescent="0.25">
      <c r="A29" s="1">
        <v>2456945.5534999999</v>
      </c>
      <c r="B29" s="1" t="s">
        <v>118</v>
      </c>
      <c r="C29" s="1">
        <v>10.141999999999999</v>
      </c>
      <c r="D29" s="1">
        <v>1.2E-2</v>
      </c>
      <c r="E29" s="1" t="s">
        <v>2</v>
      </c>
      <c r="F29" s="1" t="s">
        <v>5</v>
      </c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</row>
    <row r="30" spans="1:27" x14ac:dyDescent="0.25">
      <c r="A30" s="1">
        <v>2456948.5451000002</v>
      </c>
      <c r="B30" s="1" t="s">
        <v>119</v>
      </c>
      <c r="C30" s="1">
        <v>10.132999999999999</v>
      </c>
      <c r="D30" s="1">
        <v>0.01</v>
      </c>
      <c r="E30" s="1" t="s">
        <v>2</v>
      </c>
      <c r="F30" s="1" t="s">
        <v>5</v>
      </c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</row>
    <row r="31" spans="1:27" x14ac:dyDescent="0.25">
      <c r="A31" s="1">
        <v>2456957.5213700002</v>
      </c>
      <c r="B31" s="1" t="s">
        <v>120</v>
      </c>
      <c r="C31" s="1">
        <v>10.129</v>
      </c>
      <c r="D31" s="1">
        <v>0.01</v>
      </c>
      <c r="E31" s="1" t="s">
        <v>2</v>
      </c>
      <c r="F31" s="1" t="s">
        <v>5</v>
      </c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</row>
    <row r="32" spans="1:27" x14ac:dyDescent="0.25">
      <c r="A32" s="1">
        <v>2457006.4569999999</v>
      </c>
      <c r="B32" s="1" t="s">
        <v>121</v>
      </c>
      <c r="C32" s="1">
        <v>10.036</v>
      </c>
      <c r="D32" s="1">
        <v>2.4E-2</v>
      </c>
      <c r="E32" s="1" t="s">
        <v>2</v>
      </c>
      <c r="F32" s="1" t="s">
        <v>5</v>
      </c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</row>
    <row r="33" spans="1:27" x14ac:dyDescent="0.25">
      <c r="A33" s="1">
        <v>2457007.4951900002</v>
      </c>
      <c r="B33" s="1" t="s">
        <v>122</v>
      </c>
      <c r="C33" s="1">
        <v>10.023999999999999</v>
      </c>
      <c r="D33" s="1">
        <v>1.4E-2</v>
      </c>
      <c r="E33" s="1" t="s">
        <v>2</v>
      </c>
      <c r="F33" s="1" t="s">
        <v>5</v>
      </c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</row>
    <row r="34" spans="1:27" x14ac:dyDescent="0.25">
      <c r="A34" s="1">
        <v>2457018.4552099998</v>
      </c>
      <c r="B34" s="1" t="s">
        <v>4</v>
      </c>
      <c r="C34" s="1">
        <v>10.015000000000001</v>
      </c>
      <c r="D34" s="1">
        <v>1.7999999999999999E-2</v>
      </c>
      <c r="E34" s="1" t="s">
        <v>2</v>
      </c>
      <c r="F34" s="1" t="s">
        <v>5</v>
      </c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</row>
    <row r="35" spans="1:27" x14ac:dyDescent="0.25">
      <c r="A35" s="1">
        <v>2457019.4591899998</v>
      </c>
      <c r="B35" s="1" t="s">
        <v>6</v>
      </c>
      <c r="C35" s="1">
        <v>10.02</v>
      </c>
      <c r="D35" s="1">
        <v>1.4999999999999999E-2</v>
      </c>
      <c r="E35" s="1" t="s">
        <v>2</v>
      </c>
      <c r="F35" s="1" t="s">
        <v>5</v>
      </c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</row>
    <row r="36" spans="1:27" x14ac:dyDescent="0.25">
      <c r="A36" s="1">
        <v>2457021.4564499999</v>
      </c>
      <c r="B36" s="1" t="s">
        <v>7</v>
      </c>
      <c r="C36" s="1">
        <v>10.002000000000001</v>
      </c>
      <c r="D36" s="1">
        <v>1.7999999999999999E-2</v>
      </c>
      <c r="E36" s="1" t="s">
        <v>2</v>
      </c>
      <c r="F36" s="1" t="s">
        <v>5</v>
      </c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</row>
    <row r="37" spans="1:27" x14ac:dyDescent="0.25">
      <c r="A37" s="1">
        <v>2457022.4508199999</v>
      </c>
      <c r="B37" s="1" t="s">
        <v>8</v>
      </c>
      <c r="C37" s="1">
        <v>10.029</v>
      </c>
      <c r="D37" s="1">
        <v>1.4E-2</v>
      </c>
      <c r="E37" s="1" t="s">
        <v>2</v>
      </c>
      <c r="F37" s="1" t="s">
        <v>5</v>
      </c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</row>
    <row r="38" spans="1:27" x14ac:dyDescent="0.25">
      <c r="A38" s="1">
        <v>2457023.4454000001</v>
      </c>
      <c r="B38" s="1" t="s">
        <v>9</v>
      </c>
      <c r="C38" s="1">
        <v>10.074</v>
      </c>
      <c r="D38" s="1">
        <v>2.5000000000000001E-2</v>
      </c>
      <c r="E38" s="1" t="s">
        <v>2</v>
      </c>
      <c r="F38" s="1" t="s">
        <v>5</v>
      </c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</row>
    <row r="39" spans="1:27" x14ac:dyDescent="0.25">
      <c r="A39" s="1">
        <v>2457024.45077</v>
      </c>
      <c r="B39" s="1" t="s">
        <v>10</v>
      </c>
      <c r="C39" s="1">
        <v>10.015000000000001</v>
      </c>
      <c r="D39" s="1">
        <v>1.2999999999999999E-2</v>
      </c>
      <c r="E39" s="1" t="s">
        <v>2</v>
      </c>
      <c r="F39" s="1" t="s">
        <v>5</v>
      </c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</row>
    <row r="40" spans="1:27" x14ac:dyDescent="0.25">
      <c r="A40" s="1">
        <v>2457025.4514500001</v>
      </c>
      <c r="B40" s="1" t="s">
        <v>11</v>
      </c>
      <c r="C40" s="1">
        <v>10.029999999999999</v>
      </c>
      <c r="D40" s="1">
        <v>1.2E-2</v>
      </c>
      <c r="E40" s="1" t="s">
        <v>2</v>
      </c>
      <c r="F40" s="1" t="s">
        <v>5</v>
      </c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</row>
    <row r="41" spans="1:27" x14ac:dyDescent="0.25">
      <c r="A41" s="1">
        <v>2457028.4524599998</v>
      </c>
      <c r="B41" s="1" t="s">
        <v>12</v>
      </c>
      <c r="C41" s="1">
        <v>9.9760000000000009</v>
      </c>
      <c r="D41" s="1">
        <v>1.0999999999999999E-2</v>
      </c>
      <c r="E41" s="1" t="s">
        <v>2</v>
      </c>
      <c r="F41" s="1" t="s">
        <v>5</v>
      </c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</row>
    <row r="42" spans="1:27" x14ac:dyDescent="0.25">
      <c r="A42" s="1">
        <v>2457124.8841900001</v>
      </c>
      <c r="B42" s="1" t="s">
        <v>14</v>
      </c>
      <c r="C42" s="1">
        <v>9.59</v>
      </c>
      <c r="D42" s="1">
        <v>1.6E-2</v>
      </c>
      <c r="E42" s="1" t="s">
        <v>2</v>
      </c>
      <c r="F42" s="1" t="s">
        <v>5</v>
      </c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</row>
    <row r="43" spans="1:27" x14ac:dyDescent="0.25">
      <c r="A43" s="1">
        <v>2457128.87892</v>
      </c>
      <c r="B43" s="1" t="s">
        <v>20</v>
      </c>
      <c r="C43" s="1">
        <v>9.5879999999999992</v>
      </c>
      <c r="D43" s="1">
        <v>1.9E-2</v>
      </c>
      <c r="E43" s="1" t="s">
        <v>2</v>
      </c>
      <c r="F43" s="1" t="s">
        <v>5</v>
      </c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</row>
    <row r="44" spans="1:27" x14ac:dyDescent="0.25">
      <c r="A44" s="1">
        <v>2457130.8763799998</v>
      </c>
      <c r="B44" s="1" t="s">
        <v>0</v>
      </c>
      <c r="C44" s="1">
        <v>9.58</v>
      </c>
      <c r="D44" s="1">
        <v>1.7000000000000001E-2</v>
      </c>
      <c r="E44" s="1" t="s">
        <v>2</v>
      </c>
      <c r="F44" s="1" t="s">
        <v>5</v>
      </c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</row>
    <row r="45" spans="1:27" ht="30" x14ac:dyDescent="0.25">
      <c r="A45" s="1">
        <v>2457156.8368799998</v>
      </c>
      <c r="B45" s="1" t="s">
        <v>25</v>
      </c>
      <c r="C45" s="1">
        <v>9.6349999999999998</v>
      </c>
      <c r="D45" s="1">
        <v>1.2999999999999999E-2</v>
      </c>
      <c r="E45" s="1" t="s">
        <v>2</v>
      </c>
      <c r="F45" s="1" t="s">
        <v>5</v>
      </c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</row>
    <row r="46" spans="1:27" ht="30" x14ac:dyDescent="0.25">
      <c r="A46" s="1">
        <v>2457157.8372900002</v>
      </c>
      <c r="B46" s="1" t="s">
        <v>26</v>
      </c>
      <c r="C46" s="1">
        <v>9.6020000000000003</v>
      </c>
      <c r="D46" s="1">
        <v>1.7000000000000001E-2</v>
      </c>
      <c r="E46" s="1" t="s">
        <v>2</v>
      </c>
      <c r="F46" s="1" t="s">
        <v>5</v>
      </c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</row>
    <row r="47" spans="1:27" ht="30" x14ac:dyDescent="0.25">
      <c r="A47" s="1">
        <v>2457163.8278600001</v>
      </c>
      <c r="B47" s="1" t="s">
        <v>15</v>
      </c>
      <c r="C47" s="1">
        <v>9.5869999999999997</v>
      </c>
      <c r="D47" s="1">
        <v>1.7000000000000001E-2</v>
      </c>
      <c r="E47" s="1" t="s">
        <v>2</v>
      </c>
      <c r="F47" s="1" t="s">
        <v>5</v>
      </c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</row>
    <row r="48" spans="1:27" ht="30" x14ac:dyDescent="0.25">
      <c r="A48" s="1">
        <v>2457165.8193799998</v>
      </c>
      <c r="B48" s="1" t="s">
        <v>21</v>
      </c>
      <c r="C48" s="1">
        <v>9.6460000000000008</v>
      </c>
      <c r="D48" s="1">
        <v>0.03</v>
      </c>
      <c r="E48" s="1" t="s">
        <v>2</v>
      </c>
      <c r="F48" s="1" t="s">
        <v>5</v>
      </c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</row>
    <row r="49" spans="1:27" ht="30" x14ac:dyDescent="0.25">
      <c r="A49" s="1">
        <v>2457166.8284900002</v>
      </c>
      <c r="B49" s="1" t="s">
        <v>17</v>
      </c>
      <c r="C49" s="1">
        <v>9.5630000000000006</v>
      </c>
      <c r="D49" s="1">
        <v>1.6E-2</v>
      </c>
      <c r="E49" s="1" t="s">
        <v>2</v>
      </c>
      <c r="F49" s="1" t="s">
        <v>5</v>
      </c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</row>
    <row r="50" spans="1:27" x14ac:dyDescent="0.25">
      <c r="A50" s="1">
        <v>2457180.8183400002</v>
      </c>
      <c r="B50" s="1" t="s">
        <v>22</v>
      </c>
      <c r="C50" s="1">
        <v>9.5009999999999994</v>
      </c>
      <c r="D50" s="1">
        <v>1.2999999999999999E-2</v>
      </c>
      <c r="E50" s="1" t="s">
        <v>2</v>
      </c>
      <c r="F50" s="1" t="s">
        <v>5</v>
      </c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</row>
    <row r="51" spans="1:27" x14ac:dyDescent="0.25">
      <c r="A51" s="1">
        <v>2457187.8084399998</v>
      </c>
      <c r="B51" s="1" t="s">
        <v>18</v>
      </c>
      <c r="C51" s="1">
        <v>8.5809999999999995</v>
      </c>
      <c r="D51" s="1">
        <v>8.9999999999999993E-3</v>
      </c>
      <c r="E51" s="1" t="s">
        <v>2</v>
      </c>
      <c r="F51" s="1" t="s">
        <v>5</v>
      </c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</row>
    <row r="52" spans="1:27" x14ac:dyDescent="0.25">
      <c r="A52" s="1">
        <v>2457195.7113999999</v>
      </c>
      <c r="B52" s="1" t="s">
        <v>19</v>
      </c>
      <c r="C52" s="1">
        <v>7.8550000000000004</v>
      </c>
      <c r="D52" s="1">
        <v>2.3E-2</v>
      </c>
      <c r="E52" s="1" t="s">
        <v>2</v>
      </c>
      <c r="F52" s="1" t="s">
        <v>124</v>
      </c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</row>
    <row r="53" spans="1:27" x14ac:dyDescent="0.25">
      <c r="A53" s="1">
        <v>2457195.7245</v>
      </c>
      <c r="B53" s="1" t="s">
        <v>19</v>
      </c>
      <c r="C53" s="1">
        <v>7.86</v>
      </c>
      <c r="D53" s="1">
        <v>1.4999999999999999E-2</v>
      </c>
      <c r="E53" s="1" t="s">
        <v>2</v>
      </c>
      <c r="F53" s="1" t="s">
        <v>124</v>
      </c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</row>
    <row r="54" spans="1:27" x14ac:dyDescent="0.25">
      <c r="A54" s="1">
        <v>2457197.7145099998</v>
      </c>
      <c r="B54" s="1" t="s">
        <v>27</v>
      </c>
      <c r="C54" s="1">
        <v>7.8540000000000001</v>
      </c>
      <c r="D54" s="1">
        <v>7.0000000000000001E-3</v>
      </c>
      <c r="E54" s="1" t="s">
        <v>2</v>
      </c>
      <c r="F54" s="1" t="s">
        <v>125</v>
      </c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</row>
    <row r="55" spans="1:27" x14ac:dyDescent="0.25">
      <c r="A55" s="1">
        <v>2457197.7182999998</v>
      </c>
      <c r="B55" s="1" t="s">
        <v>27</v>
      </c>
      <c r="C55" s="1">
        <v>7.8840000000000003</v>
      </c>
      <c r="D55" s="1">
        <v>1.7000000000000001E-2</v>
      </c>
      <c r="E55" s="1" t="s">
        <v>2</v>
      </c>
      <c r="F55" s="1" t="s">
        <v>124</v>
      </c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</row>
    <row r="56" spans="1:27" x14ac:dyDescent="0.25">
      <c r="A56" s="1">
        <v>2457197.7278</v>
      </c>
      <c r="B56" s="1" t="s">
        <v>27</v>
      </c>
      <c r="C56" s="1">
        <v>7.867</v>
      </c>
      <c r="D56" s="1">
        <v>1.7999999999999999E-2</v>
      </c>
      <c r="E56" s="1" t="s">
        <v>2</v>
      </c>
      <c r="F56" s="1" t="s">
        <v>124</v>
      </c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</row>
    <row r="57" spans="1:27" x14ac:dyDescent="0.25">
      <c r="A57" s="1">
        <v>2457198.5454000002</v>
      </c>
      <c r="B57" s="1" t="s">
        <v>28</v>
      </c>
      <c r="C57" s="1">
        <v>7.89</v>
      </c>
      <c r="D57" s="1">
        <v>0.06</v>
      </c>
      <c r="E57" s="1" t="s">
        <v>2</v>
      </c>
      <c r="F57" s="1" t="s">
        <v>123</v>
      </c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</row>
    <row r="58" spans="1:27" x14ac:dyDescent="0.25">
      <c r="A58" s="1">
        <v>2457198.6184399999</v>
      </c>
      <c r="B58" s="1" t="s">
        <v>28</v>
      </c>
      <c r="C58" s="1">
        <v>7.71</v>
      </c>
      <c r="D58" s="1">
        <v>1.0999999999999999E-2</v>
      </c>
      <c r="E58" s="1" t="s">
        <v>2</v>
      </c>
      <c r="F58" s="1" t="s">
        <v>3</v>
      </c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</row>
    <row r="59" spans="1:27" x14ac:dyDescent="0.25">
      <c r="A59" s="1">
        <v>2457198.6198700001</v>
      </c>
      <c r="B59" s="1" t="s">
        <v>28</v>
      </c>
      <c r="C59" s="1">
        <v>7.6909999999999998</v>
      </c>
      <c r="D59" s="1">
        <v>1.7000000000000001E-2</v>
      </c>
      <c r="E59" s="1" t="s">
        <v>2</v>
      </c>
      <c r="F59" s="1" t="s">
        <v>3</v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</row>
    <row r="60" spans="1:27" x14ac:dyDescent="0.25">
      <c r="A60" s="1">
        <v>2457198.6207300001</v>
      </c>
      <c r="B60" s="1" t="s">
        <v>28</v>
      </c>
      <c r="C60" s="1">
        <v>7.7190000000000003</v>
      </c>
      <c r="D60" s="1">
        <v>1.6E-2</v>
      </c>
      <c r="E60" s="1" t="s">
        <v>2</v>
      </c>
      <c r="F60" s="1" t="s">
        <v>3</v>
      </c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</row>
    <row r="61" spans="1:27" x14ac:dyDescent="0.25">
      <c r="A61" s="1">
        <v>2457198.6216000002</v>
      </c>
      <c r="B61" s="1" t="s">
        <v>28</v>
      </c>
      <c r="C61" s="1">
        <v>7.718</v>
      </c>
      <c r="D61" s="1">
        <v>1.7999999999999999E-2</v>
      </c>
      <c r="E61" s="1" t="s">
        <v>2</v>
      </c>
      <c r="F61" s="1" t="s">
        <v>3</v>
      </c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</row>
    <row r="62" spans="1:27" x14ac:dyDescent="0.25">
      <c r="A62" s="1">
        <v>2457198.6228700001</v>
      </c>
      <c r="B62" s="1" t="s">
        <v>28</v>
      </c>
      <c r="C62" s="1">
        <v>7.72</v>
      </c>
      <c r="D62" s="1">
        <v>1.9E-2</v>
      </c>
      <c r="E62" s="1" t="s">
        <v>2</v>
      </c>
      <c r="F62" s="1" t="s">
        <v>3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</row>
    <row r="63" spans="1:27" x14ac:dyDescent="0.25">
      <c r="A63" s="1">
        <v>2457198.6237300001</v>
      </c>
      <c r="B63" s="1" t="s">
        <v>28</v>
      </c>
      <c r="C63" s="1">
        <v>7.7690000000000001</v>
      </c>
      <c r="D63" s="1">
        <v>1.9E-2</v>
      </c>
      <c r="E63" s="1" t="s">
        <v>2</v>
      </c>
      <c r="F63" s="1" t="s">
        <v>3</v>
      </c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</row>
    <row r="64" spans="1:27" x14ac:dyDescent="0.25">
      <c r="A64" s="1">
        <v>2457198.625</v>
      </c>
      <c r="B64" s="1" t="s">
        <v>28</v>
      </c>
      <c r="C64" s="1">
        <v>7.7830000000000004</v>
      </c>
      <c r="D64" s="1">
        <v>0.02</v>
      </c>
      <c r="E64" s="1" t="s">
        <v>2</v>
      </c>
      <c r="F64" s="1" t="s">
        <v>3</v>
      </c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</row>
    <row r="65" spans="1:27" x14ac:dyDescent="0.25">
      <c r="A65" s="1">
        <v>2457198.6258700001</v>
      </c>
      <c r="B65" s="1" t="s">
        <v>28</v>
      </c>
      <c r="C65" s="1">
        <v>7.7949999999999999</v>
      </c>
      <c r="D65" s="1">
        <v>2.1000000000000001E-2</v>
      </c>
      <c r="E65" s="1" t="s">
        <v>2</v>
      </c>
      <c r="F65" s="1" t="s">
        <v>3</v>
      </c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</row>
    <row r="66" spans="1:27" x14ac:dyDescent="0.25">
      <c r="A66" s="1">
        <v>2457198.6267499998</v>
      </c>
      <c r="B66" s="1" t="s">
        <v>28</v>
      </c>
      <c r="C66" s="1">
        <v>7.7519999999999998</v>
      </c>
      <c r="D66" s="1">
        <v>2.3E-2</v>
      </c>
      <c r="E66" s="1" t="s">
        <v>2</v>
      </c>
      <c r="F66" s="1" t="s">
        <v>3</v>
      </c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</row>
    <row r="67" spans="1:27" x14ac:dyDescent="0.25">
      <c r="A67" s="1">
        <v>2457198.69416</v>
      </c>
      <c r="B67" s="1" t="s">
        <v>28</v>
      </c>
      <c r="C67" s="1">
        <v>7.8159999999999998</v>
      </c>
      <c r="D67" s="1">
        <v>6.0000000000000001E-3</v>
      </c>
      <c r="E67" s="1" t="s">
        <v>2</v>
      </c>
      <c r="F67" s="1" t="s">
        <v>126</v>
      </c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</row>
    <row r="68" spans="1:27" x14ac:dyDescent="0.25">
      <c r="A68" s="1">
        <v>2457199.63</v>
      </c>
      <c r="B68" s="1" t="s">
        <v>29</v>
      </c>
      <c r="C68" s="1">
        <v>7.7</v>
      </c>
      <c r="D68" s="1">
        <v>1.24E-2</v>
      </c>
      <c r="E68" s="1" t="s">
        <v>2</v>
      </c>
      <c r="F68" s="1" t="s">
        <v>127</v>
      </c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</row>
    <row r="69" spans="1:27" x14ac:dyDescent="0.25">
      <c r="A69" s="1">
        <v>2457200.6884300001</v>
      </c>
      <c r="B69" s="1" t="s">
        <v>30</v>
      </c>
      <c r="C69" s="1">
        <v>7.84</v>
      </c>
      <c r="D69" s="1">
        <v>6.0000000000000001E-3</v>
      </c>
      <c r="E69" s="1" t="s">
        <v>2</v>
      </c>
      <c r="F69" s="1" t="s">
        <v>126</v>
      </c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</row>
    <row r="70" spans="1:27" x14ac:dyDescent="0.25">
      <c r="A70" s="1">
        <v>2457201.6296299999</v>
      </c>
      <c r="B70" s="1" t="s">
        <v>31</v>
      </c>
      <c r="C70" s="1">
        <v>7.7430000000000003</v>
      </c>
      <c r="D70" s="1">
        <v>1.04E-2</v>
      </c>
      <c r="E70" s="1" t="s">
        <v>2</v>
      </c>
      <c r="F70" s="1" t="s">
        <v>127</v>
      </c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</row>
    <row r="71" spans="1:27" x14ac:dyDescent="0.25">
      <c r="A71" s="1">
        <v>2457202.75661</v>
      </c>
      <c r="B71" s="1" t="s">
        <v>32</v>
      </c>
      <c r="C71" s="1">
        <v>7.8049999999999997</v>
      </c>
      <c r="D71" s="1">
        <v>2E-3</v>
      </c>
      <c r="E71" s="1" t="s">
        <v>2</v>
      </c>
      <c r="F71" s="1" t="s">
        <v>125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</row>
    <row r="72" spans="1:27" x14ac:dyDescent="0.25">
      <c r="A72" s="1">
        <v>2457203.64445</v>
      </c>
      <c r="B72" s="1" t="s">
        <v>33</v>
      </c>
      <c r="C72" s="1">
        <v>7.7080000000000002</v>
      </c>
      <c r="D72" s="1">
        <v>2.75E-2</v>
      </c>
      <c r="E72" s="1" t="s">
        <v>2</v>
      </c>
      <c r="F72" s="1" t="s">
        <v>127</v>
      </c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</row>
    <row r="73" spans="1:27" x14ac:dyDescent="0.25">
      <c r="A73" s="1">
        <v>2457204.6441000002</v>
      </c>
      <c r="B73" s="1" t="s">
        <v>34</v>
      </c>
      <c r="C73" s="1">
        <v>7.6856</v>
      </c>
      <c r="D73" s="1">
        <v>4.3E-3</v>
      </c>
      <c r="E73" s="1" t="s">
        <v>2</v>
      </c>
      <c r="F73" s="1" t="s">
        <v>127</v>
      </c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</row>
    <row r="74" spans="1:27" x14ac:dyDescent="0.25">
      <c r="A74" s="1">
        <v>2457205.7666199999</v>
      </c>
      <c r="B74" s="1" t="s">
        <v>35</v>
      </c>
      <c r="C74" s="1">
        <v>7.71</v>
      </c>
      <c r="D74" s="1">
        <v>3.0000000000000001E-3</v>
      </c>
      <c r="E74" s="1" t="s">
        <v>2</v>
      </c>
      <c r="F74" s="1" t="s">
        <v>13</v>
      </c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</row>
    <row r="75" spans="1:27" x14ac:dyDescent="0.25">
      <c r="A75" s="1">
        <v>2457206.7122</v>
      </c>
      <c r="B75" s="1" t="s">
        <v>36</v>
      </c>
      <c r="C75" s="1">
        <v>7.6920000000000002</v>
      </c>
      <c r="D75" s="1">
        <v>2.8000000000000001E-2</v>
      </c>
      <c r="E75" s="1" t="s">
        <v>2</v>
      </c>
      <c r="F75" s="1" t="s">
        <v>124</v>
      </c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</row>
    <row r="76" spans="1:27" x14ac:dyDescent="0.25">
      <c r="A76" s="1">
        <v>2457208.6730900002</v>
      </c>
      <c r="B76" s="1" t="s">
        <v>37</v>
      </c>
      <c r="C76" s="1">
        <v>7.665</v>
      </c>
      <c r="D76" s="1">
        <v>8.0000000000000002E-3</v>
      </c>
      <c r="E76" s="1" t="s">
        <v>2</v>
      </c>
      <c r="F76" s="1" t="s">
        <v>126</v>
      </c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</row>
    <row r="77" spans="1:27" x14ac:dyDescent="0.25">
      <c r="A77" s="1">
        <v>2457210.82045</v>
      </c>
      <c r="B77" s="1" t="s">
        <v>38</v>
      </c>
      <c r="C77" s="1">
        <v>7.7610000000000001</v>
      </c>
      <c r="D77" s="1">
        <v>1.2E-2</v>
      </c>
      <c r="E77" s="1" t="s">
        <v>2</v>
      </c>
      <c r="F77" s="1" t="s">
        <v>5</v>
      </c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</row>
    <row r="78" spans="1:27" x14ac:dyDescent="0.25">
      <c r="A78" s="1">
        <v>2457211.64493</v>
      </c>
      <c r="B78" s="1" t="s">
        <v>39</v>
      </c>
      <c r="C78" s="1">
        <v>7.7229000000000001</v>
      </c>
      <c r="D78" s="1">
        <v>9.4000000000000004E-3</v>
      </c>
      <c r="E78" s="1" t="s">
        <v>2</v>
      </c>
      <c r="F78" s="1" t="s">
        <v>127</v>
      </c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</row>
    <row r="79" spans="1:27" x14ac:dyDescent="0.25">
      <c r="A79" s="1">
        <v>2457211.7182999998</v>
      </c>
      <c r="B79" s="1" t="s">
        <v>39</v>
      </c>
      <c r="C79" s="1">
        <v>7.78</v>
      </c>
      <c r="D79" s="1">
        <v>7.0000000000000001E-3</v>
      </c>
      <c r="E79" s="1" t="s">
        <v>2</v>
      </c>
      <c r="F79" s="1" t="s">
        <v>124</v>
      </c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</row>
    <row r="80" spans="1:27" x14ac:dyDescent="0.25">
      <c r="A80" s="1">
        <v>2457212.6436700001</v>
      </c>
      <c r="B80" s="1" t="s">
        <v>40</v>
      </c>
      <c r="C80" s="1">
        <v>7.601</v>
      </c>
      <c r="D80" s="1">
        <v>4.0000000000000001E-3</v>
      </c>
      <c r="E80" s="1" t="s">
        <v>2</v>
      </c>
      <c r="F80" s="1" t="s">
        <v>127</v>
      </c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</row>
    <row r="81" spans="1:27" x14ac:dyDescent="0.25">
      <c r="A81" s="1">
        <v>2457214.6585499998</v>
      </c>
      <c r="B81" s="1" t="s">
        <v>41</v>
      </c>
      <c r="C81" s="1">
        <v>7.6589999999999998</v>
      </c>
      <c r="D81" s="1">
        <v>7.0000000000000001E-3</v>
      </c>
      <c r="E81" s="1" t="s">
        <v>2</v>
      </c>
      <c r="F81" s="1" t="s">
        <v>126</v>
      </c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</row>
    <row r="82" spans="1:27" x14ac:dyDescent="0.25">
      <c r="A82" s="1">
        <v>2457214.7234999998</v>
      </c>
      <c r="B82" s="1" t="s">
        <v>41</v>
      </c>
      <c r="C82" s="1">
        <v>7.6950000000000003</v>
      </c>
      <c r="D82" s="1">
        <v>1.6E-2</v>
      </c>
      <c r="E82" s="1" t="s">
        <v>2</v>
      </c>
      <c r="F82" s="1" t="s">
        <v>124</v>
      </c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</row>
    <row r="83" spans="1:27" x14ac:dyDescent="0.25">
      <c r="A83" s="1">
        <v>2457215.6825999999</v>
      </c>
      <c r="B83" s="1" t="s">
        <v>42</v>
      </c>
      <c r="C83" s="1">
        <v>7.6829999999999998</v>
      </c>
      <c r="D83" s="1">
        <v>7.0000000000000001E-3</v>
      </c>
      <c r="E83" s="1" t="s">
        <v>2</v>
      </c>
      <c r="F83" s="1" t="s">
        <v>126</v>
      </c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</row>
    <row r="84" spans="1:27" x14ac:dyDescent="0.25">
      <c r="A84" s="1">
        <v>2457217.8062999998</v>
      </c>
      <c r="B84" s="1" t="s">
        <v>43</v>
      </c>
      <c r="C84" s="1">
        <v>7.9089999999999998</v>
      </c>
      <c r="D84" s="1">
        <v>2.5000000000000001E-2</v>
      </c>
      <c r="E84" s="1" t="s">
        <v>2</v>
      </c>
      <c r="F84" s="1" t="s">
        <v>5</v>
      </c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</row>
    <row r="85" spans="1:27" x14ac:dyDescent="0.25">
      <c r="A85" s="1">
        <v>2457219.4340400002</v>
      </c>
      <c r="B85" s="1" t="s">
        <v>44</v>
      </c>
      <c r="C85" s="1">
        <v>7.9450000000000003</v>
      </c>
      <c r="D85" s="1">
        <v>2.1000000000000001E-2</v>
      </c>
      <c r="E85" s="1" t="s">
        <v>2</v>
      </c>
      <c r="F85" s="1" t="s">
        <v>16</v>
      </c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</row>
    <row r="86" spans="1:27" x14ac:dyDescent="0.25">
      <c r="A86" s="1">
        <v>2457220.66677</v>
      </c>
      <c r="B86" s="1" t="s">
        <v>45</v>
      </c>
      <c r="C86" s="1">
        <v>7.9329999999999998</v>
      </c>
      <c r="D86" s="1">
        <v>5.0000000000000001E-3</v>
      </c>
      <c r="E86" s="1" t="s">
        <v>2</v>
      </c>
      <c r="F86" s="1" t="s">
        <v>126</v>
      </c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</row>
    <row r="87" spans="1:27" x14ac:dyDescent="0.25">
      <c r="A87" s="1">
        <v>2457220.6950500002</v>
      </c>
      <c r="B87" s="1" t="s">
        <v>45</v>
      </c>
      <c r="C87" s="1">
        <v>8.0719999999999992</v>
      </c>
      <c r="D87" s="1">
        <v>2.1999999999999999E-2</v>
      </c>
      <c r="E87" s="1" t="s">
        <v>2</v>
      </c>
      <c r="F87" s="1" t="s">
        <v>128</v>
      </c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</row>
    <row r="88" spans="1:27" x14ac:dyDescent="0.25">
      <c r="A88" s="1">
        <v>2457220.6952399998</v>
      </c>
      <c r="B88" s="1" t="s">
        <v>45</v>
      </c>
      <c r="C88" s="1">
        <v>8.0419999999999998</v>
      </c>
      <c r="D88" s="1">
        <v>2.3E-2</v>
      </c>
      <c r="E88" s="1" t="s">
        <v>2</v>
      </c>
      <c r="F88" s="1" t="s">
        <v>128</v>
      </c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</row>
    <row r="89" spans="1:27" x14ac:dyDescent="0.25">
      <c r="A89" s="1">
        <v>2457220.6953500002</v>
      </c>
      <c r="B89" s="1" t="s">
        <v>45</v>
      </c>
      <c r="C89" s="1">
        <v>8.0039999999999996</v>
      </c>
      <c r="D89" s="1">
        <v>2.3E-2</v>
      </c>
      <c r="E89" s="1" t="s">
        <v>2</v>
      </c>
      <c r="F89" s="1" t="s">
        <v>128</v>
      </c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</row>
    <row r="90" spans="1:27" x14ac:dyDescent="0.25">
      <c r="A90" s="1">
        <v>2457220.6955499998</v>
      </c>
      <c r="B90" s="1" t="s">
        <v>45</v>
      </c>
      <c r="C90" s="1">
        <v>8.0259999999999998</v>
      </c>
      <c r="D90" s="1">
        <v>2.3E-2</v>
      </c>
      <c r="E90" s="1" t="s">
        <v>2</v>
      </c>
      <c r="F90" s="1" t="s">
        <v>128</v>
      </c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</row>
    <row r="91" spans="1:27" x14ac:dyDescent="0.25">
      <c r="A91" s="1">
        <v>2457220.6957899998</v>
      </c>
      <c r="B91" s="1" t="s">
        <v>45</v>
      </c>
      <c r="C91" s="1">
        <v>7.9989999999999997</v>
      </c>
      <c r="D91" s="1">
        <v>2.3E-2</v>
      </c>
      <c r="E91" s="1" t="s">
        <v>2</v>
      </c>
      <c r="F91" s="1" t="s">
        <v>128</v>
      </c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</row>
    <row r="92" spans="1:27" x14ac:dyDescent="0.25">
      <c r="A92" s="1">
        <v>2457220.6958400002</v>
      </c>
      <c r="B92" s="1" t="s">
        <v>45</v>
      </c>
      <c r="C92" s="1">
        <v>8.0329999999999995</v>
      </c>
      <c r="D92" s="1">
        <v>2.3E-2</v>
      </c>
      <c r="E92" s="1" t="s">
        <v>2</v>
      </c>
      <c r="F92" s="1" t="s">
        <v>128</v>
      </c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</row>
    <row r="93" spans="1:27" x14ac:dyDescent="0.25">
      <c r="A93" s="1">
        <v>2457220.6960399998</v>
      </c>
      <c r="B93" s="1" t="s">
        <v>45</v>
      </c>
      <c r="C93" s="1">
        <v>7.9429999999999996</v>
      </c>
      <c r="D93" s="1">
        <v>2.5000000000000001E-2</v>
      </c>
      <c r="E93" s="1" t="s">
        <v>2</v>
      </c>
      <c r="F93" s="1" t="s">
        <v>128</v>
      </c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</row>
    <row r="94" spans="1:27" x14ac:dyDescent="0.25">
      <c r="A94" s="1">
        <v>2457220.6963200001</v>
      </c>
      <c r="B94" s="1" t="s">
        <v>45</v>
      </c>
      <c r="C94" s="1">
        <v>7.9809999999999999</v>
      </c>
      <c r="D94" s="1">
        <v>2.4E-2</v>
      </c>
      <c r="E94" s="1" t="s">
        <v>2</v>
      </c>
      <c r="F94" s="1" t="s">
        <v>128</v>
      </c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</row>
    <row r="95" spans="1:27" x14ac:dyDescent="0.25">
      <c r="A95" s="1">
        <v>2457221.5423599998</v>
      </c>
      <c r="B95" s="1" t="s">
        <v>46</v>
      </c>
      <c r="C95" s="1">
        <v>7.97</v>
      </c>
      <c r="D95" s="1">
        <v>0.02</v>
      </c>
      <c r="E95" s="1" t="s">
        <v>2</v>
      </c>
      <c r="F95" s="1" t="s">
        <v>129</v>
      </c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</row>
    <row r="96" spans="1:27" x14ac:dyDescent="0.25">
      <c r="A96" s="1">
        <v>2457223.7204</v>
      </c>
      <c r="B96" s="1" t="s">
        <v>47</v>
      </c>
      <c r="C96" s="1">
        <v>7.9770000000000003</v>
      </c>
      <c r="D96" s="1">
        <v>1.2999999999999999E-2</v>
      </c>
      <c r="E96" s="1" t="s">
        <v>2</v>
      </c>
      <c r="F96" s="1" t="s">
        <v>124</v>
      </c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</row>
    <row r="97" spans="1:27" x14ac:dyDescent="0.25">
      <c r="A97" s="1">
        <v>2457225.7080000001</v>
      </c>
      <c r="B97" s="1" t="s">
        <v>23</v>
      </c>
      <c r="C97" s="1">
        <v>8.0250000000000004</v>
      </c>
      <c r="D97" s="1">
        <v>5.0000000000000001E-3</v>
      </c>
      <c r="E97" s="1" t="s">
        <v>2</v>
      </c>
      <c r="F97" s="1" t="s">
        <v>124</v>
      </c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</row>
    <row r="98" spans="1:27" x14ac:dyDescent="0.25">
      <c r="A98" s="1">
        <v>2457226.5113499998</v>
      </c>
      <c r="B98" s="1" t="s">
        <v>48</v>
      </c>
      <c r="C98" s="1">
        <v>8.0589999999999993</v>
      </c>
      <c r="D98" s="1">
        <v>0.04</v>
      </c>
      <c r="E98" s="1" t="s">
        <v>2</v>
      </c>
      <c r="F98" s="1" t="s">
        <v>16</v>
      </c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</row>
    <row r="99" spans="1:27" x14ac:dyDescent="0.25">
      <c r="A99" s="1">
        <v>2457229.9514500001</v>
      </c>
      <c r="B99" s="1" t="s">
        <v>49</v>
      </c>
      <c r="C99" s="1">
        <v>8.1750000000000007</v>
      </c>
      <c r="D99" s="1">
        <v>3.0000000000000001E-3</v>
      </c>
      <c r="E99" s="1" t="s">
        <v>2</v>
      </c>
      <c r="F99" s="1" t="s">
        <v>13</v>
      </c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</row>
    <row r="100" spans="1:27" x14ac:dyDescent="0.25">
      <c r="A100" s="1">
        <v>2457231.6853</v>
      </c>
      <c r="B100" s="1" t="s">
        <v>50</v>
      </c>
      <c r="C100" s="1">
        <v>8.1890000000000001</v>
      </c>
      <c r="D100" s="1">
        <v>6.0000000000000001E-3</v>
      </c>
      <c r="E100" s="1" t="s">
        <v>2</v>
      </c>
      <c r="F100" s="1" t="s">
        <v>124</v>
      </c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</row>
    <row r="101" spans="1:27" x14ac:dyDescent="0.25">
      <c r="A101" s="1">
        <v>2457233.61368</v>
      </c>
      <c r="B101" s="1" t="s">
        <v>51</v>
      </c>
      <c r="C101" s="1">
        <v>8.1760000000000002</v>
      </c>
      <c r="D101" s="1">
        <v>8.0000000000000002E-3</v>
      </c>
      <c r="E101" s="1" t="s">
        <v>2</v>
      </c>
      <c r="F101" s="1" t="s">
        <v>126</v>
      </c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</row>
    <row r="102" spans="1:27" x14ac:dyDescent="0.25">
      <c r="A102" s="1">
        <v>2457234.6749</v>
      </c>
      <c r="B102" s="1" t="s">
        <v>52</v>
      </c>
      <c r="C102" s="1">
        <v>8.27</v>
      </c>
      <c r="D102" s="1">
        <v>7.0000000000000001E-3</v>
      </c>
      <c r="E102" s="1" t="s">
        <v>2</v>
      </c>
      <c r="F102" s="1" t="s">
        <v>124</v>
      </c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</row>
    <row r="103" spans="1:27" x14ac:dyDescent="0.25">
      <c r="A103" s="1">
        <v>2457236.6762000001</v>
      </c>
      <c r="B103" s="1" t="s">
        <v>53</v>
      </c>
      <c r="C103" s="1">
        <v>8.3059999999999992</v>
      </c>
      <c r="D103" s="1">
        <v>0.01</v>
      </c>
      <c r="E103" s="1" t="s">
        <v>2</v>
      </c>
      <c r="F103" s="1" t="s">
        <v>124</v>
      </c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</row>
    <row r="104" spans="1:27" x14ac:dyDescent="0.25">
      <c r="A104" s="1">
        <v>2457237.6313999998</v>
      </c>
      <c r="B104" s="1" t="s">
        <v>54</v>
      </c>
      <c r="C104" s="1">
        <v>8.2789999999999999</v>
      </c>
      <c r="D104" s="1">
        <v>6.0000000000000001E-3</v>
      </c>
      <c r="E104" s="1" t="s">
        <v>2</v>
      </c>
      <c r="F104" s="1" t="s">
        <v>126</v>
      </c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</row>
    <row r="105" spans="1:27" x14ac:dyDescent="0.25">
      <c r="A105" s="1">
        <v>2457238.6567899999</v>
      </c>
      <c r="B105" s="1" t="s">
        <v>55</v>
      </c>
      <c r="C105" s="1">
        <v>8.343</v>
      </c>
      <c r="D105" s="1">
        <v>4.0000000000000001E-3</v>
      </c>
      <c r="E105" s="1" t="s">
        <v>2</v>
      </c>
      <c r="F105" s="1" t="s">
        <v>125</v>
      </c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</row>
    <row r="106" spans="1:27" x14ac:dyDescent="0.25">
      <c r="A106" s="1">
        <v>2457239.6798</v>
      </c>
      <c r="B106" s="1" t="s">
        <v>56</v>
      </c>
      <c r="C106" s="1">
        <v>8.3529999999999998</v>
      </c>
      <c r="D106" s="1">
        <v>6.0000000000000001E-3</v>
      </c>
      <c r="E106" s="1" t="s">
        <v>2</v>
      </c>
      <c r="F106" s="1" t="s">
        <v>124</v>
      </c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</row>
    <row r="107" spans="1:27" x14ac:dyDescent="0.25">
      <c r="A107" s="1">
        <v>2457239.9362699999</v>
      </c>
      <c r="B107" s="1" t="s">
        <v>56</v>
      </c>
      <c r="C107" s="1">
        <v>8.359</v>
      </c>
      <c r="D107" s="1">
        <v>3.0000000000000001E-3</v>
      </c>
      <c r="E107" s="1" t="s">
        <v>2</v>
      </c>
      <c r="F107" s="1" t="s">
        <v>13</v>
      </c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</row>
    <row r="108" spans="1:27" x14ac:dyDescent="0.25">
      <c r="A108" s="1">
        <v>2457241.45004</v>
      </c>
      <c r="B108" s="1" t="s">
        <v>57</v>
      </c>
      <c r="C108" s="1">
        <v>8.3949999999999996</v>
      </c>
      <c r="D108" s="1">
        <v>1.9E-2</v>
      </c>
      <c r="E108" s="1" t="s">
        <v>2</v>
      </c>
      <c r="F108" s="1" t="s">
        <v>16</v>
      </c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</row>
    <row r="109" spans="1:27" ht="30" x14ac:dyDescent="0.25">
      <c r="A109" s="1">
        <v>2457244.6514900001</v>
      </c>
      <c r="B109" s="1" t="s">
        <v>58</v>
      </c>
      <c r="C109" s="1">
        <v>8.391</v>
      </c>
      <c r="D109" s="1">
        <v>5.0000000000000001E-3</v>
      </c>
      <c r="E109" s="1" t="s">
        <v>2</v>
      </c>
      <c r="F109" s="1" t="s">
        <v>126</v>
      </c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</row>
    <row r="110" spans="1:27" ht="30" x14ac:dyDescent="0.25">
      <c r="A110" s="1">
        <v>2457244.7349200002</v>
      </c>
      <c r="B110" s="1" t="s">
        <v>58</v>
      </c>
      <c r="C110" s="1">
        <v>8.3979999999999997</v>
      </c>
      <c r="D110" s="1">
        <v>4.0000000000000001E-3</v>
      </c>
      <c r="E110" s="1" t="s">
        <v>2</v>
      </c>
      <c r="F110" s="1" t="s">
        <v>13</v>
      </c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</row>
    <row r="111" spans="1:27" ht="30" x14ac:dyDescent="0.25">
      <c r="A111" s="1">
        <v>2457246.66212</v>
      </c>
      <c r="B111" s="1" t="s">
        <v>59</v>
      </c>
      <c r="C111" s="1">
        <v>8.4510000000000005</v>
      </c>
      <c r="D111" s="1">
        <v>3.0000000000000001E-3</v>
      </c>
      <c r="E111" s="1" t="s">
        <v>2</v>
      </c>
      <c r="F111" s="1" t="s">
        <v>13</v>
      </c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</row>
    <row r="112" spans="1:27" ht="30" x14ac:dyDescent="0.25">
      <c r="A112" s="1">
        <v>2457246.6889</v>
      </c>
      <c r="B112" s="1" t="s">
        <v>59</v>
      </c>
      <c r="C112" s="1">
        <v>8.4740000000000002</v>
      </c>
      <c r="D112" s="1">
        <v>4.0000000000000001E-3</v>
      </c>
      <c r="E112" s="1" t="s">
        <v>2</v>
      </c>
      <c r="F112" s="1" t="s">
        <v>124</v>
      </c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</row>
    <row r="113" spans="1:27" ht="30" x14ac:dyDescent="0.25">
      <c r="A113" s="1">
        <v>2457247.9067799998</v>
      </c>
      <c r="B113" s="1" t="s">
        <v>60</v>
      </c>
      <c r="C113" s="1">
        <v>8.4570000000000007</v>
      </c>
      <c r="D113" s="1">
        <v>4.0000000000000001E-3</v>
      </c>
      <c r="E113" s="1" t="s">
        <v>2</v>
      </c>
      <c r="F113" s="1" t="s">
        <v>13</v>
      </c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</row>
    <row r="114" spans="1:27" ht="30" x14ac:dyDescent="0.25">
      <c r="A114" s="1">
        <v>2457248.90814</v>
      </c>
      <c r="B114" s="1" t="s">
        <v>61</v>
      </c>
      <c r="C114" s="1">
        <v>8.4789999999999992</v>
      </c>
      <c r="D114" s="1">
        <v>4.0000000000000001E-3</v>
      </c>
      <c r="E114" s="1" t="s">
        <v>2</v>
      </c>
      <c r="F114" s="1" t="s">
        <v>13</v>
      </c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</row>
    <row r="115" spans="1:27" ht="30" x14ac:dyDescent="0.25">
      <c r="A115" s="1">
        <v>2457249.7162799998</v>
      </c>
      <c r="B115" s="1" t="s">
        <v>62</v>
      </c>
      <c r="C115" s="1">
        <v>8.4979999999999993</v>
      </c>
      <c r="D115" s="1">
        <v>4.0000000000000001E-3</v>
      </c>
      <c r="E115" s="1" t="s">
        <v>2</v>
      </c>
      <c r="F115" s="1" t="s">
        <v>13</v>
      </c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</row>
    <row r="116" spans="1:27" ht="30" x14ac:dyDescent="0.25">
      <c r="A116" s="1">
        <v>2457250.6935999999</v>
      </c>
      <c r="B116" s="1" t="s">
        <v>63</v>
      </c>
      <c r="C116" s="1">
        <v>8.49</v>
      </c>
      <c r="D116" s="1">
        <v>0.01</v>
      </c>
      <c r="E116" s="1" t="s">
        <v>2</v>
      </c>
      <c r="F116" s="1" t="s">
        <v>124</v>
      </c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</row>
    <row r="117" spans="1:27" ht="30" x14ac:dyDescent="0.25">
      <c r="A117" s="1">
        <v>2457251.6413500002</v>
      </c>
      <c r="B117" s="1" t="s">
        <v>64</v>
      </c>
      <c r="C117" s="1">
        <v>8.468</v>
      </c>
      <c r="D117" s="1">
        <v>5.0000000000000001E-3</v>
      </c>
      <c r="E117" s="1" t="s">
        <v>2</v>
      </c>
      <c r="F117" s="1" t="s">
        <v>126</v>
      </c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</row>
    <row r="118" spans="1:27" ht="30" x14ac:dyDescent="0.25">
      <c r="A118" s="1">
        <v>2457251.7117599999</v>
      </c>
      <c r="B118" s="1" t="s">
        <v>64</v>
      </c>
      <c r="C118" s="1">
        <v>8.4649999999999999</v>
      </c>
      <c r="D118" s="1">
        <v>4.0000000000000001E-3</v>
      </c>
      <c r="E118" s="1" t="s">
        <v>2</v>
      </c>
      <c r="F118" s="1" t="s">
        <v>13</v>
      </c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</row>
    <row r="119" spans="1:27" ht="30" x14ac:dyDescent="0.25">
      <c r="A119" s="1">
        <v>2457252.7099000001</v>
      </c>
      <c r="B119" s="1" t="s">
        <v>65</v>
      </c>
      <c r="C119" s="1">
        <v>8.44</v>
      </c>
      <c r="D119" s="1">
        <v>5.0000000000000001E-3</v>
      </c>
      <c r="E119" s="1" t="s">
        <v>2</v>
      </c>
      <c r="F119" s="1" t="s">
        <v>13</v>
      </c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</row>
    <row r="120" spans="1:27" ht="30" x14ac:dyDescent="0.25">
      <c r="A120" s="1">
        <v>2457254.6317400001</v>
      </c>
      <c r="B120" s="1" t="s">
        <v>66</v>
      </c>
      <c r="C120" s="1">
        <v>8.5030000000000001</v>
      </c>
      <c r="D120" s="1">
        <v>6.0000000000000001E-3</v>
      </c>
      <c r="E120" s="1" t="s">
        <v>2</v>
      </c>
      <c r="F120" s="1" t="s">
        <v>126</v>
      </c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</row>
    <row r="121" spans="1:27" ht="30" x14ac:dyDescent="0.25">
      <c r="A121" s="1">
        <v>2457262.6406</v>
      </c>
      <c r="B121" s="1" t="s">
        <v>67</v>
      </c>
      <c r="C121" s="1">
        <v>8.5730000000000004</v>
      </c>
      <c r="D121" s="1">
        <v>1.7000000000000001E-2</v>
      </c>
      <c r="E121" s="1" t="s">
        <v>2</v>
      </c>
      <c r="F121" s="1" t="s">
        <v>124</v>
      </c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</row>
    <row r="122" spans="1:27" ht="30" x14ac:dyDescent="0.25">
      <c r="A122" s="1">
        <v>2457264.5772699998</v>
      </c>
      <c r="B122" s="1" t="s">
        <v>68</v>
      </c>
      <c r="C122" s="1">
        <v>8.5860000000000003</v>
      </c>
      <c r="D122" s="1">
        <v>0.01</v>
      </c>
      <c r="E122" s="1" t="s">
        <v>2</v>
      </c>
      <c r="F122" s="1" t="s">
        <v>126</v>
      </c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</row>
    <row r="123" spans="1:27" ht="30" x14ac:dyDescent="0.25">
      <c r="A123" s="1">
        <v>2457265.6403000001</v>
      </c>
      <c r="B123" s="1" t="s">
        <v>69</v>
      </c>
      <c r="C123" s="1">
        <v>8.7550000000000008</v>
      </c>
      <c r="D123" s="1">
        <v>1.4E-2</v>
      </c>
      <c r="E123" s="1" t="s">
        <v>2</v>
      </c>
      <c r="F123" s="1" t="s">
        <v>124</v>
      </c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</row>
    <row r="124" spans="1:27" x14ac:dyDescent="0.25">
      <c r="A124" s="1">
        <v>2457270.5804499998</v>
      </c>
      <c r="B124" s="1" t="s">
        <v>70</v>
      </c>
      <c r="C124" s="1">
        <v>8.5960000000000001</v>
      </c>
      <c r="D124" s="1">
        <v>5.0000000000000001E-3</v>
      </c>
      <c r="E124" s="1" t="s">
        <v>2</v>
      </c>
      <c r="F124" s="1" t="s">
        <v>126</v>
      </c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</row>
    <row r="125" spans="1:27" x14ac:dyDescent="0.25">
      <c r="A125" s="1">
        <v>2457271.5499999998</v>
      </c>
      <c r="B125" s="1" t="s">
        <v>71</v>
      </c>
      <c r="C125" s="1">
        <v>8.6170000000000009</v>
      </c>
      <c r="D125" s="1">
        <v>5.0000000000000001E-3</v>
      </c>
      <c r="E125" s="1" t="s">
        <v>2</v>
      </c>
      <c r="F125" s="1" t="s">
        <v>126</v>
      </c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</row>
    <row r="126" spans="1:27" x14ac:dyDescent="0.25">
      <c r="A126" s="1">
        <v>2457272.55486</v>
      </c>
      <c r="B126" s="1" t="s">
        <v>72</v>
      </c>
      <c r="C126" s="1">
        <v>8.6340000000000003</v>
      </c>
      <c r="D126" s="1">
        <v>6.0000000000000001E-3</v>
      </c>
      <c r="E126" s="1" t="s">
        <v>2</v>
      </c>
      <c r="F126" s="1" t="s">
        <v>126</v>
      </c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</row>
    <row r="127" spans="1:27" x14ac:dyDescent="0.25">
      <c r="A127" s="1">
        <v>2457275.6343</v>
      </c>
      <c r="B127" s="1" t="s">
        <v>73</v>
      </c>
      <c r="C127" s="1">
        <v>8.6660000000000004</v>
      </c>
      <c r="D127" s="1">
        <v>6.0000000000000001E-3</v>
      </c>
      <c r="E127" s="1" t="s">
        <v>2</v>
      </c>
      <c r="F127" s="1" t="s">
        <v>124</v>
      </c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</row>
    <row r="128" spans="1:27" x14ac:dyDescent="0.25">
      <c r="A128" s="1">
        <v>2457277.7717800001</v>
      </c>
      <c r="B128" s="1" t="s">
        <v>130</v>
      </c>
      <c r="C128" s="1">
        <v>8.68</v>
      </c>
      <c r="D128" s="1">
        <v>4.0000000000000001E-3</v>
      </c>
      <c r="E128" s="1" t="s">
        <v>2</v>
      </c>
      <c r="F128" s="1" t="s">
        <v>13</v>
      </c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</row>
    <row r="129" spans="1:27" x14ac:dyDescent="0.25">
      <c r="A129" s="1">
        <v>2457279.6910999999</v>
      </c>
      <c r="B129" s="1" t="s">
        <v>74</v>
      </c>
      <c r="C129" s="1">
        <v>8.6809999999999992</v>
      </c>
      <c r="D129" s="1">
        <v>2E-3</v>
      </c>
      <c r="E129" s="1" t="s">
        <v>2</v>
      </c>
      <c r="F129" s="1" t="s">
        <v>124</v>
      </c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</row>
    <row r="130" spans="1:27" x14ac:dyDescent="0.25">
      <c r="A130" s="1">
        <v>2457280.6647700001</v>
      </c>
      <c r="B130" s="1" t="s">
        <v>75</v>
      </c>
      <c r="C130" s="1">
        <v>8.6959999999999997</v>
      </c>
      <c r="D130" s="1">
        <v>3.0000000000000001E-3</v>
      </c>
      <c r="E130" s="1" t="s">
        <v>2</v>
      </c>
      <c r="F130" s="1" t="s">
        <v>13</v>
      </c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</row>
    <row r="131" spans="1:27" x14ac:dyDescent="0.25">
      <c r="A131" s="1">
        <v>2457281.5176200001</v>
      </c>
      <c r="B131" s="1" t="s">
        <v>76</v>
      </c>
      <c r="C131" s="1">
        <v>8.6519999999999992</v>
      </c>
      <c r="D131" s="1">
        <v>5.0000000000000001E-3</v>
      </c>
      <c r="E131" s="1" t="s">
        <v>2</v>
      </c>
      <c r="F131" s="1" t="s">
        <v>126</v>
      </c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</row>
    <row r="132" spans="1:27" x14ac:dyDescent="0.25">
      <c r="A132" s="1">
        <v>2457282.6314900001</v>
      </c>
      <c r="B132" s="1" t="s">
        <v>77</v>
      </c>
      <c r="C132" s="1">
        <v>8.7479999999999993</v>
      </c>
      <c r="D132" s="1">
        <v>1.4E-2</v>
      </c>
      <c r="E132" s="1" t="s">
        <v>2</v>
      </c>
      <c r="F132" s="1" t="s">
        <v>5</v>
      </c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</row>
    <row r="133" spans="1:27" x14ac:dyDescent="0.25">
      <c r="A133" s="1">
        <v>2457282.6398999998</v>
      </c>
      <c r="B133" s="1" t="s">
        <v>77</v>
      </c>
      <c r="C133" s="1">
        <v>8.6950000000000003</v>
      </c>
      <c r="D133" s="1">
        <v>8.0000000000000002E-3</v>
      </c>
      <c r="E133" s="1" t="s">
        <v>2</v>
      </c>
      <c r="F133" s="1" t="s">
        <v>124</v>
      </c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</row>
    <row r="134" spans="1:27" x14ac:dyDescent="0.25">
      <c r="A134" s="1">
        <v>2457284.6251500002</v>
      </c>
      <c r="B134" s="1" t="s">
        <v>78</v>
      </c>
      <c r="C134" s="1">
        <v>8.7460000000000004</v>
      </c>
      <c r="D134" s="1">
        <v>1.2E-2</v>
      </c>
      <c r="E134" s="1" t="s">
        <v>2</v>
      </c>
      <c r="F134" s="1" t="s">
        <v>5</v>
      </c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</row>
    <row r="135" spans="1:27" x14ac:dyDescent="0.25">
      <c r="A135" s="1">
        <v>2457285.6206999999</v>
      </c>
      <c r="B135" s="1" t="s">
        <v>79</v>
      </c>
      <c r="C135" s="1">
        <v>8.7189999999999994</v>
      </c>
      <c r="D135" s="1">
        <v>0.01</v>
      </c>
      <c r="E135" s="1" t="s">
        <v>2</v>
      </c>
      <c r="F135" s="1" t="s">
        <v>124</v>
      </c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</row>
    <row r="136" spans="1:27" x14ac:dyDescent="0.25">
      <c r="A136" s="1">
        <v>2457286.5181</v>
      </c>
      <c r="B136" s="1" t="s">
        <v>80</v>
      </c>
      <c r="C136" s="1">
        <v>8.6720000000000006</v>
      </c>
      <c r="D136" s="1">
        <v>5.0000000000000001E-3</v>
      </c>
      <c r="E136" s="1" t="s">
        <v>2</v>
      </c>
      <c r="F136" s="1" t="s">
        <v>126</v>
      </c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</row>
    <row r="137" spans="1:27" x14ac:dyDescent="0.25">
      <c r="A137" s="1">
        <v>2457287.6192999999</v>
      </c>
      <c r="B137" s="1" t="s">
        <v>81</v>
      </c>
      <c r="C137" s="1">
        <v>8.7270000000000003</v>
      </c>
      <c r="D137" s="1">
        <v>2.1999999999999999E-2</v>
      </c>
      <c r="E137" s="1" t="s">
        <v>2</v>
      </c>
      <c r="F137" s="1" t="s">
        <v>124</v>
      </c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</row>
    <row r="138" spans="1:27" x14ac:dyDescent="0.25">
      <c r="A138" s="1">
        <v>2457289.60824</v>
      </c>
      <c r="B138" s="1" t="s">
        <v>131</v>
      </c>
      <c r="C138" s="1">
        <v>8.8010000000000002</v>
      </c>
      <c r="D138" s="1">
        <v>1.2999999999999999E-2</v>
      </c>
      <c r="E138" s="1" t="s">
        <v>2</v>
      </c>
      <c r="F138" s="1" t="s">
        <v>5</v>
      </c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</row>
    <row r="139" spans="1:27" x14ac:dyDescent="0.25">
      <c r="A139" s="1">
        <v>2457290.5064099999</v>
      </c>
      <c r="B139" s="1" t="s">
        <v>24</v>
      </c>
      <c r="C139" s="1">
        <v>8.7309999999999999</v>
      </c>
      <c r="D139" s="1">
        <v>6.0000000000000001E-3</v>
      </c>
      <c r="E139" s="1" t="s">
        <v>2</v>
      </c>
      <c r="F139" s="1" t="s">
        <v>126</v>
      </c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</row>
    <row r="140" spans="1:27" x14ac:dyDescent="0.25">
      <c r="A140" s="1">
        <v>2457291.3140799999</v>
      </c>
      <c r="B140" s="1" t="s">
        <v>24</v>
      </c>
      <c r="C140" s="1">
        <v>8.7370000000000001</v>
      </c>
      <c r="D140" s="1">
        <v>2.5000000000000001E-2</v>
      </c>
      <c r="E140" s="1" t="s">
        <v>2</v>
      </c>
      <c r="F140" s="1" t="s">
        <v>16</v>
      </c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</row>
    <row r="141" spans="1:27" x14ac:dyDescent="0.25">
      <c r="A141" s="1">
        <v>2457291.6217700001</v>
      </c>
      <c r="B141" s="1" t="s">
        <v>132</v>
      </c>
      <c r="C141" s="1">
        <v>8.7240000000000002</v>
      </c>
      <c r="D141" s="1">
        <v>8.9999999999999993E-3</v>
      </c>
      <c r="E141" s="1" t="s">
        <v>2</v>
      </c>
      <c r="F141" s="1" t="s">
        <v>13</v>
      </c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</row>
    <row r="142" spans="1:27" x14ac:dyDescent="0.25">
      <c r="A142" s="1">
        <v>2457292.5305300001</v>
      </c>
      <c r="B142" s="1" t="s">
        <v>133</v>
      </c>
      <c r="C142" s="1">
        <v>8.8469999999999995</v>
      </c>
      <c r="D142" s="1">
        <v>1.2E-2</v>
      </c>
      <c r="E142" s="1" t="s">
        <v>2</v>
      </c>
      <c r="F142" s="1" t="s">
        <v>126</v>
      </c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</row>
    <row r="143" spans="1:27" x14ac:dyDescent="0.25">
      <c r="A143" s="1">
        <v>2457293.59925</v>
      </c>
      <c r="B143" s="1" t="s">
        <v>144</v>
      </c>
      <c r="C143" s="1">
        <v>8.7560000000000002</v>
      </c>
      <c r="D143" s="1">
        <v>5.0000000000000001E-3</v>
      </c>
      <c r="E143" s="1" t="s">
        <v>2</v>
      </c>
      <c r="F143" s="1" t="s">
        <v>13</v>
      </c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</row>
    <row r="144" spans="1:27" x14ac:dyDescent="0.25">
      <c r="A144" s="1">
        <v>2457296.6102</v>
      </c>
      <c r="B144" s="1" t="s">
        <v>82</v>
      </c>
      <c r="C144" s="1">
        <v>8.7469999999999999</v>
      </c>
      <c r="D144" s="1">
        <v>6.0000000000000001E-3</v>
      </c>
      <c r="E144" s="1" t="s">
        <v>2</v>
      </c>
      <c r="F144" s="1" t="s">
        <v>124</v>
      </c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</row>
    <row r="145" spans="1:27" x14ac:dyDescent="0.25">
      <c r="A145" s="1">
        <v>2457302.4724099999</v>
      </c>
      <c r="B145" s="1" t="s">
        <v>83</v>
      </c>
      <c r="C145" s="1">
        <v>8.5960000000000001</v>
      </c>
      <c r="D145" s="1">
        <v>6.0000000000000001E-3</v>
      </c>
      <c r="E145" s="1" t="s">
        <v>2</v>
      </c>
      <c r="F145" s="1" t="s">
        <v>126</v>
      </c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</row>
    <row r="146" spans="1:27" x14ac:dyDescent="0.25">
      <c r="A146" s="1">
        <v>2457302.5764899999</v>
      </c>
      <c r="B146" s="1" t="s">
        <v>84</v>
      </c>
      <c r="C146" s="1">
        <v>8.6449999999999996</v>
      </c>
      <c r="D146" s="1">
        <v>5.0000000000000001E-3</v>
      </c>
      <c r="E146" s="1" t="s">
        <v>2</v>
      </c>
      <c r="F146" s="1" t="s">
        <v>13</v>
      </c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</row>
    <row r="147" spans="1:27" x14ac:dyDescent="0.25">
      <c r="A147" s="1">
        <v>2457303.5717000002</v>
      </c>
      <c r="B147" s="1" t="s">
        <v>85</v>
      </c>
      <c r="C147" s="1">
        <v>8.5709999999999997</v>
      </c>
      <c r="D147" s="1">
        <v>4.0000000000000001E-3</v>
      </c>
      <c r="E147" s="1" t="s">
        <v>2</v>
      </c>
      <c r="F147" s="1" t="s">
        <v>13</v>
      </c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</row>
    <row r="148" spans="1:27" x14ac:dyDescent="0.25">
      <c r="A148" s="1">
        <v>2457304.56378</v>
      </c>
      <c r="B148" s="1" t="s">
        <v>86</v>
      </c>
      <c r="C148" s="1">
        <v>7.9530000000000003</v>
      </c>
      <c r="D148" s="1">
        <v>4.0000000000000001E-3</v>
      </c>
      <c r="E148" s="1" t="s">
        <v>2</v>
      </c>
      <c r="F148" s="1" t="s">
        <v>13</v>
      </c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</row>
    <row r="149" spans="1:27" x14ac:dyDescent="0.25">
      <c r="A149" s="1">
        <v>2457305.6036999999</v>
      </c>
      <c r="B149" s="1" t="s">
        <v>87</v>
      </c>
      <c r="C149" s="1">
        <v>7.9809999999999999</v>
      </c>
      <c r="D149" s="1">
        <v>0.01</v>
      </c>
      <c r="E149" s="1" t="s">
        <v>2</v>
      </c>
      <c r="F149" s="1" t="s">
        <v>124</v>
      </c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</row>
    <row r="150" spans="1:27" x14ac:dyDescent="0.25">
      <c r="A150" s="1">
        <v>2457306.46159</v>
      </c>
      <c r="B150" s="1" t="s">
        <v>87</v>
      </c>
      <c r="C150" s="1">
        <v>8.0220000000000002</v>
      </c>
      <c r="D150" s="1">
        <v>7.0000000000000001E-3</v>
      </c>
      <c r="E150" s="1" t="s">
        <v>2</v>
      </c>
      <c r="F150" s="1" t="s">
        <v>126</v>
      </c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</row>
    <row r="151" spans="1:27" x14ac:dyDescent="0.25">
      <c r="A151" s="1">
        <v>2457306.5122000002</v>
      </c>
      <c r="B151" s="1" t="s">
        <v>88</v>
      </c>
      <c r="C151" s="1">
        <v>7.9909999999999997</v>
      </c>
      <c r="D151" s="1">
        <v>2.3E-2</v>
      </c>
      <c r="E151" s="1" t="s">
        <v>2</v>
      </c>
      <c r="F151" s="1" t="s">
        <v>124</v>
      </c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</row>
    <row r="152" spans="1:27" x14ac:dyDescent="0.25">
      <c r="A152" s="1">
        <v>2457306.5578000001</v>
      </c>
      <c r="B152" s="1" t="s">
        <v>88</v>
      </c>
      <c r="C152" s="1">
        <v>8.0250000000000004</v>
      </c>
      <c r="D152" s="1">
        <v>4.1000000000000002E-2</v>
      </c>
      <c r="E152" s="1" t="s">
        <v>2</v>
      </c>
      <c r="F152" s="1" t="s">
        <v>124</v>
      </c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</row>
    <row r="153" spans="1:27" x14ac:dyDescent="0.25">
      <c r="A153" s="1">
        <v>2457307.4741799999</v>
      </c>
      <c r="B153" s="1" t="s">
        <v>88</v>
      </c>
      <c r="C153" s="1">
        <v>7.9690000000000003</v>
      </c>
      <c r="D153" s="1">
        <v>5.0000000000000001E-3</v>
      </c>
      <c r="E153" s="1" t="s">
        <v>2</v>
      </c>
      <c r="F153" s="1" t="s">
        <v>126</v>
      </c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</row>
    <row r="154" spans="1:27" x14ac:dyDescent="0.25">
      <c r="A154" s="1">
        <v>2457307.50281</v>
      </c>
      <c r="B154" s="1" t="s">
        <v>134</v>
      </c>
      <c r="C154" s="1">
        <v>8.0120000000000005</v>
      </c>
      <c r="D154" s="1">
        <v>6.0000000000000001E-3</v>
      </c>
      <c r="E154" s="1" t="s">
        <v>2</v>
      </c>
      <c r="F154" s="1" t="s">
        <v>126</v>
      </c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</row>
    <row r="155" spans="1:27" x14ac:dyDescent="0.25">
      <c r="A155" s="1">
        <v>2457307.52568</v>
      </c>
      <c r="B155" s="1" t="s">
        <v>134</v>
      </c>
      <c r="C155" s="1">
        <v>8.0180000000000007</v>
      </c>
      <c r="D155" s="1">
        <v>1.0999999999999999E-2</v>
      </c>
      <c r="E155" s="1" t="s">
        <v>2</v>
      </c>
      <c r="F155" s="1" t="s">
        <v>89</v>
      </c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</row>
    <row r="156" spans="1:27" x14ac:dyDescent="0.25">
      <c r="A156" s="1">
        <v>2457307.52611</v>
      </c>
      <c r="B156" s="1" t="s">
        <v>134</v>
      </c>
      <c r="C156" s="1">
        <v>8.0259999999999998</v>
      </c>
      <c r="D156" s="1">
        <v>1.0999999999999999E-2</v>
      </c>
      <c r="E156" s="1" t="s">
        <v>2</v>
      </c>
      <c r="F156" s="1" t="s">
        <v>89</v>
      </c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</row>
    <row r="157" spans="1:27" x14ac:dyDescent="0.25">
      <c r="A157" s="1">
        <v>2457307.5264400002</v>
      </c>
      <c r="B157" s="1" t="s">
        <v>134</v>
      </c>
      <c r="C157" s="1">
        <v>8.0150000000000006</v>
      </c>
      <c r="D157" s="1">
        <v>1.0999999999999999E-2</v>
      </c>
      <c r="E157" s="1" t="s">
        <v>2</v>
      </c>
      <c r="F157" s="1" t="s">
        <v>89</v>
      </c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</row>
    <row r="158" spans="1:27" x14ac:dyDescent="0.25">
      <c r="A158" s="1">
        <v>2457307.5267699999</v>
      </c>
      <c r="B158" s="1" t="s">
        <v>134</v>
      </c>
      <c r="C158" s="1">
        <v>8.0129999999999999</v>
      </c>
      <c r="D158" s="1">
        <v>1.0999999999999999E-2</v>
      </c>
      <c r="E158" s="1" t="s">
        <v>2</v>
      </c>
      <c r="F158" s="1" t="s">
        <v>89</v>
      </c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</row>
    <row r="159" spans="1:27" x14ac:dyDescent="0.25">
      <c r="A159" s="1">
        <v>2457307.5271000001</v>
      </c>
      <c r="B159" s="1" t="s">
        <v>134</v>
      </c>
      <c r="C159" s="1">
        <v>8.016</v>
      </c>
      <c r="D159" s="1">
        <v>1.0999999999999999E-2</v>
      </c>
      <c r="E159" s="1" t="s">
        <v>2</v>
      </c>
      <c r="F159" s="1" t="s">
        <v>89</v>
      </c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</row>
    <row r="160" spans="1:27" x14ac:dyDescent="0.25">
      <c r="A160" s="1">
        <v>2457307.5274200002</v>
      </c>
      <c r="B160" s="1" t="s">
        <v>134</v>
      </c>
      <c r="C160" s="1">
        <v>8.0120000000000005</v>
      </c>
      <c r="D160" s="1">
        <v>1.0999999999999999E-2</v>
      </c>
      <c r="E160" s="1" t="s">
        <v>2</v>
      </c>
      <c r="F160" s="1" t="s">
        <v>89</v>
      </c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</row>
    <row r="161" spans="1:27" x14ac:dyDescent="0.25">
      <c r="A161" s="1">
        <v>2457307.52776</v>
      </c>
      <c r="B161" s="1" t="s">
        <v>134</v>
      </c>
      <c r="C161" s="1">
        <v>8.0350000000000001</v>
      </c>
      <c r="D161" s="1">
        <v>1.0999999999999999E-2</v>
      </c>
      <c r="E161" s="1" t="s">
        <v>2</v>
      </c>
      <c r="F161" s="1" t="s">
        <v>89</v>
      </c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</row>
    <row r="162" spans="1:27" x14ac:dyDescent="0.25">
      <c r="A162" s="1">
        <v>2457307.5280800001</v>
      </c>
      <c r="B162" s="1" t="s">
        <v>134</v>
      </c>
      <c r="C162" s="1">
        <v>8.032</v>
      </c>
      <c r="D162" s="1">
        <v>1.0999999999999999E-2</v>
      </c>
      <c r="E162" s="1" t="s">
        <v>2</v>
      </c>
      <c r="F162" s="1" t="s">
        <v>89</v>
      </c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</row>
    <row r="163" spans="1:27" x14ac:dyDescent="0.25">
      <c r="A163" s="1">
        <v>2457307.5314199999</v>
      </c>
      <c r="B163" s="1" t="s">
        <v>134</v>
      </c>
      <c r="C163" s="1">
        <v>8.0129999999999999</v>
      </c>
      <c r="D163" s="1">
        <v>1.0999999999999999E-2</v>
      </c>
      <c r="E163" s="1" t="s">
        <v>2</v>
      </c>
      <c r="F163" s="1" t="s">
        <v>89</v>
      </c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</row>
    <row r="164" spans="1:27" x14ac:dyDescent="0.25">
      <c r="A164" s="1">
        <v>2457307.53186</v>
      </c>
      <c r="B164" s="1" t="s">
        <v>134</v>
      </c>
      <c r="C164" s="1">
        <v>8.0280000000000005</v>
      </c>
      <c r="D164" s="1">
        <v>1.0999999999999999E-2</v>
      </c>
      <c r="E164" s="1" t="s">
        <v>2</v>
      </c>
      <c r="F164" s="1" t="s">
        <v>89</v>
      </c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</row>
    <row r="165" spans="1:27" x14ac:dyDescent="0.25">
      <c r="A165" s="1">
        <v>2457307.5323000001</v>
      </c>
      <c r="B165" s="1" t="s">
        <v>134</v>
      </c>
      <c r="C165" s="1">
        <v>8.0269999999999992</v>
      </c>
      <c r="D165" s="1">
        <v>1.0999999999999999E-2</v>
      </c>
      <c r="E165" s="1" t="s">
        <v>2</v>
      </c>
      <c r="F165" s="1" t="s">
        <v>89</v>
      </c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</row>
    <row r="166" spans="1:27" x14ac:dyDescent="0.25">
      <c r="A166" s="1">
        <v>2457307.5327400002</v>
      </c>
      <c r="B166" s="1" t="s">
        <v>134</v>
      </c>
      <c r="C166" s="1">
        <v>8.0329999999999995</v>
      </c>
      <c r="D166" s="1">
        <v>0.01</v>
      </c>
      <c r="E166" s="1" t="s">
        <v>2</v>
      </c>
      <c r="F166" s="1" t="s">
        <v>89</v>
      </c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</row>
    <row r="167" spans="1:27" x14ac:dyDescent="0.25">
      <c r="A167" s="1">
        <v>2457307.5331700002</v>
      </c>
      <c r="B167" s="1" t="s">
        <v>134</v>
      </c>
      <c r="C167" s="1">
        <v>8.0340000000000007</v>
      </c>
      <c r="D167" s="1">
        <v>0.01</v>
      </c>
      <c r="E167" s="1" t="s">
        <v>2</v>
      </c>
      <c r="F167" s="1" t="s">
        <v>89</v>
      </c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</row>
    <row r="168" spans="1:27" x14ac:dyDescent="0.25">
      <c r="A168" s="1">
        <v>2457307.5336099998</v>
      </c>
      <c r="B168" s="1" t="s">
        <v>134</v>
      </c>
      <c r="C168" s="1">
        <v>8.0410000000000004</v>
      </c>
      <c r="D168" s="1">
        <v>0.01</v>
      </c>
      <c r="E168" s="1" t="s">
        <v>2</v>
      </c>
      <c r="F168" s="1" t="s">
        <v>89</v>
      </c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</row>
    <row r="169" spans="1:27" x14ac:dyDescent="0.25">
      <c r="A169" s="1">
        <v>2457307.5340499999</v>
      </c>
      <c r="B169" s="1" t="s">
        <v>134</v>
      </c>
      <c r="C169" s="1">
        <v>8.0310000000000006</v>
      </c>
      <c r="D169" s="1">
        <v>1.0999999999999999E-2</v>
      </c>
      <c r="E169" s="1" t="s">
        <v>2</v>
      </c>
      <c r="F169" s="1" t="s">
        <v>89</v>
      </c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</row>
    <row r="170" spans="1:27" x14ac:dyDescent="0.25">
      <c r="A170" s="1">
        <v>2457307.5344799999</v>
      </c>
      <c r="B170" s="1" t="s">
        <v>134</v>
      </c>
      <c r="C170" s="1">
        <v>8.0419999999999998</v>
      </c>
      <c r="D170" s="1">
        <v>0.01</v>
      </c>
      <c r="E170" s="1" t="s">
        <v>2</v>
      </c>
      <c r="F170" s="1" t="s">
        <v>89</v>
      </c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</row>
    <row r="171" spans="1:27" x14ac:dyDescent="0.25">
      <c r="A171" s="1">
        <v>2457307.5349099999</v>
      </c>
      <c r="B171" s="1" t="s">
        <v>134</v>
      </c>
      <c r="C171" s="1">
        <v>8.0519999999999996</v>
      </c>
      <c r="D171" s="1">
        <v>0.01</v>
      </c>
      <c r="E171" s="1" t="s">
        <v>2</v>
      </c>
      <c r="F171" s="1" t="s">
        <v>89</v>
      </c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</row>
    <row r="172" spans="1:27" x14ac:dyDescent="0.25">
      <c r="A172" s="1">
        <v>2457307.53535</v>
      </c>
      <c r="B172" s="1" t="s">
        <v>134</v>
      </c>
      <c r="C172" s="1">
        <v>8.0310000000000006</v>
      </c>
      <c r="D172" s="1">
        <v>0.01</v>
      </c>
      <c r="E172" s="1" t="s">
        <v>2</v>
      </c>
      <c r="F172" s="1" t="s">
        <v>89</v>
      </c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</row>
    <row r="173" spans="1:27" x14ac:dyDescent="0.25">
      <c r="A173" s="1">
        <v>2457307.5358000002</v>
      </c>
      <c r="B173" s="1" t="s">
        <v>134</v>
      </c>
      <c r="C173" s="1">
        <v>8.0259999999999998</v>
      </c>
      <c r="D173" s="1">
        <v>1.0999999999999999E-2</v>
      </c>
      <c r="E173" s="1" t="s">
        <v>2</v>
      </c>
      <c r="F173" s="1" t="s">
        <v>89</v>
      </c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</row>
    <row r="174" spans="1:27" x14ac:dyDescent="0.25">
      <c r="A174" s="1">
        <v>2457307.5362399998</v>
      </c>
      <c r="B174" s="1" t="s">
        <v>134</v>
      </c>
      <c r="C174" s="1">
        <v>8.0510000000000002</v>
      </c>
      <c r="D174" s="1">
        <v>0.01</v>
      </c>
      <c r="E174" s="1" t="s">
        <v>2</v>
      </c>
      <c r="F174" s="1" t="s">
        <v>89</v>
      </c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</row>
    <row r="175" spans="1:27" x14ac:dyDescent="0.25">
      <c r="A175" s="1">
        <v>2457307.5366699998</v>
      </c>
      <c r="B175" s="1" t="s">
        <v>134</v>
      </c>
      <c r="C175" s="1">
        <v>8.0370000000000008</v>
      </c>
      <c r="D175" s="1">
        <v>0.01</v>
      </c>
      <c r="E175" s="1" t="s">
        <v>2</v>
      </c>
      <c r="F175" s="1" t="s">
        <v>89</v>
      </c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</row>
    <row r="176" spans="1:27" x14ac:dyDescent="0.25">
      <c r="A176" s="1">
        <v>2457307.5371099999</v>
      </c>
      <c r="B176" s="1" t="s">
        <v>134</v>
      </c>
      <c r="C176" s="1">
        <v>8.0220000000000002</v>
      </c>
      <c r="D176" s="1">
        <v>1.0999999999999999E-2</v>
      </c>
      <c r="E176" s="1" t="s">
        <v>2</v>
      </c>
      <c r="F176" s="1" t="s">
        <v>89</v>
      </c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</row>
    <row r="177" spans="1:27" x14ac:dyDescent="0.25">
      <c r="A177" s="1">
        <v>2457307.53755</v>
      </c>
      <c r="B177" s="1" t="s">
        <v>134</v>
      </c>
      <c r="C177" s="1">
        <v>8.0280000000000005</v>
      </c>
      <c r="D177" s="1">
        <v>1.0999999999999999E-2</v>
      </c>
      <c r="E177" s="1" t="s">
        <v>2</v>
      </c>
      <c r="F177" s="1" t="s">
        <v>89</v>
      </c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</row>
    <row r="178" spans="1:27" x14ac:dyDescent="0.25">
      <c r="A178" s="1">
        <v>2457307.53798</v>
      </c>
      <c r="B178" s="1" t="s">
        <v>134</v>
      </c>
      <c r="C178" s="1">
        <v>8.0389999999999997</v>
      </c>
      <c r="D178" s="1">
        <v>0.01</v>
      </c>
      <c r="E178" s="1" t="s">
        <v>2</v>
      </c>
      <c r="F178" s="1" t="s">
        <v>89</v>
      </c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</row>
    <row r="179" spans="1:27" x14ac:dyDescent="0.25">
      <c r="A179" s="1">
        <v>2457307.5384200001</v>
      </c>
      <c r="B179" s="1" t="s">
        <v>134</v>
      </c>
      <c r="C179" s="1">
        <v>8.0310000000000006</v>
      </c>
      <c r="D179" s="1">
        <v>0.01</v>
      </c>
      <c r="E179" s="1" t="s">
        <v>2</v>
      </c>
      <c r="F179" s="1" t="s">
        <v>89</v>
      </c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</row>
    <row r="180" spans="1:27" x14ac:dyDescent="0.25">
      <c r="A180" s="1">
        <v>2457307.5388600002</v>
      </c>
      <c r="B180" s="1" t="s">
        <v>134</v>
      </c>
      <c r="C180" s="1">
        <v>8.0150000000000006</v>
      </c>
      <c r="D180" s="1">
        <v>0.01</v>
      </c>
      <c r="E180" s="1" t="s">
        <v>2</v>
      </c>
      <c r="F180" s="1" t="s">
        <v>89</v>
      </c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</row>
    <row r="181" spans="1:27" x14ac:dyDescent="0.25">
      <c r="A181" s="1">
        <v>2457307.5392900002</v>
      </c>
      <c r="B181" s="1" t="s">
        <v>134</v>
      </c>
      <c r="C181" s="1">
        <v>8.0289999999999999</v>
      </c>
      <c r="D181" s="1">
        <v>1.0999999999999999E-2</v>
      </c>
      <c r="E181" s="1" t="s">
        <v>2</v>
      </c>
      <c r="F181" s="1" t="s">
        <v>89</v>
      </c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</row>
    <row r="182" spans="1:27" x14ac:dyDescent="0.25">
      <c r="A182" s="1">
        <v>2457307.5397299998</v>
      </c>
      <c r="B182" s="1" t="s">
        <v>134</v>
      </c>
      <c r="C182" s="1">
        <v>8.0470000000000006</v>
      </c>
      <c r="D182" s="1">
        <v>0.01</v>
      </c>
      <c r="E182" s="1" t="s">
        <v>2</v>
      </c>
      <c r="F182" s="1" t="s">
        <v>89</v>
      </c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</row>
    <row r="183" spans="1:27" x14ac:dyDescent="0.25">
      <c r="A183" s="1">
        <v>2457307.5401699999</v>
      </c>
      <c r="B183" s="1" t="s">
        <v>134</v>
      </c>
      <c r="C183" s="1">
        <v>8.0120000000000005</v>
      </c>
      <c r="D183" s="1">
        <v>0.01</v>
      </c>
      <c r="E183" s="1" t="s">
        <v>2</v>
      </c>
      <c r="F183" s="1" t="s">
        <v>89</v>
      </c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</row>
    <row r="184" spans="1:27" x14ac:dyDescent="0.25">
      <c r="A184" s="1">
        <v>2457307.54061</v>
      </c>
      <c r="B184" s="1" t="s">
        <v>134</v>
      </c>
      <c r="C184" s="1">
        <v>8.0549999999999997</v>
      </c>
      <c r="D184" s="1">
        <v>0.01</v>
      </c>
      <c r="E184" s="1" t="s">
        <v>2</v>
      </c>
      <c r="F184" s="1" t="s">
        <v>89</v>
      </c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</row>
    <row r="185" spans="1:27" x14ac:dyDescent="0.25">
      <c r="A185" s="1">
        <v>2457307.5410500001</v>
      </c>
      <c r="B185" s="1" t="s">
        <v>134</v>
      </c>
      <c r="C185" s="1">
        <v>8.0410000000000004</v>
      </c>
      <c r="D185" s="1">
        <v>0.01</v>
      </c>
      <c r="E185" s="1" t="s">
        <v>2</v>
      </c>
      <c r="F185" s="1" t="s">
        <v>89</v>
      </c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</row>
    <row r="186" spans="1:27" x14ac:dyDescent="0.25">
      <c r="A186" s="1">
        <v>2457307.5414900002</v>
      </c>
      <c r="B186" s="1" t="s">
        <v>134</v>
      </c>
      <c r="C186" s="1">
        <v>8.0129999999999999</v>
      </c>
      <c r="D186" s="1">
        <v>1.0999999999999999E-2</v>
      </c>
      <c r="E186" s="1" t="s">
        <v>2</v>
      </c>
      <c r="F186" s="1" t="s">
        <v>89</v>
      </c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</row>
    <row r="187" spans="1:27" x14ac:dyDescent="0.25">
      <c r="A187" s="1">
        <v>2457307.5419299998</v>
      </c>
      <c r="B187" s="1" t="s">
        <v>134</v>
      </c>
      <c r="C187" s="1">
        <v>8.032</v>
      </c>
      <c r="D187" s="1">
        <v>0.01</v>
      </c>
      <c r="E187" s="1" t="s">
        <v>2</v>
      </c>
      <c r="F187" s="1" t="s">
        <v>89</v>
      </c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</row>
    <row r="188" spans="1:27" x14ac:dyDescent="0.25">
      <c r="A188" s="1">
        <v>2457307.5423699999</v>
      </c>
      <c r="B188" s="1" t="s">
        <v>134</v>
      </c>
      <c r="C188" s="1">
        <v>8.02</v>
      </c>
      <c r="D188" s="1">
        <v>1.0999999999999999E-2</v>
      </c>
      <c r="E188" s="1" t="s">
        <v>2</v>
      </c>
      <c r="F188" s="1" t="s">
        <v>89</v>
      </c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</row>
    <row r="189" spans="1:27" x14ac:dyDescent="0.25">
      <c r="A189" s="1">
        <v>2457307.5427999999</v>
      </c>
      <c r="B189" s="1" t="s">
        <v>134</v>
      </c>
      <c r="C189" s="1">
        <v>8.0449999999999999</v>
      </c>
      <c r="D189" s="1">
        <v>0.01</v>
      </c>
      <c r="E189" s="1" t="s">
        <v>2</v>
      </c>
      <c r="F189" s="1" t="s">
        <v>89</v>
      </c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</row>
    <row r="190" spans="1:27" x14ac:dyDescent="0.25">
      <c r="A190" s="1">
        <v>2457307.54323</v>
      </c>
      <c r="B190" s="1" t="s">
        <v>134</v>
      </c>
      <c r="C190" s="1">
        <v>8.0289999999999999</v>
      </c>
      <c r="D190" s="1">
        <v>0.01</v>
      </c>
      <c r="E190" s="1" t="s">
        <v>2</v>
      </c>
      <c r="F190" s="1" t="s">
        <v>89</v>
      </c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</row>
    <row r="191" spans="1:27" x14ac:dyDescent="0.25">
      <c r="A191" s="1">
        <v>2457307.54367</v>
      </c>
      <c r="B191" s="1" t="s">
        <v>134</v>
      </c>
      <c r="C191" s="1">
        <v>8.0299999999999994</v>
      </c>
      <c r="D191" s="1">
        <v>0.01</v>
      </c>
      <c r="E191" s="1" t="s">
        <v>2</v>
      </c>
      <c r="F191" s="1" t="s">
        <v>89</v>
      </c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</row>
    <row r="192" spans="1:27" x14ac:dyDescent="0.25">
      <c r="A192" s="1">
        <v>2457307.5441100001</v>
      </c>
      <c r="B192" s="1" t="s">
        <v>134</v>
      </c>
      <c r="C192" s="1">
        <v>8.02</v>
      </c>
      <c r="D192" s="1">
        <v>0.01</v>
      </c>
      <c r="E192" s="1" t="s">
        <v>2</v>
      </c>
      <c r="F192" s="1" t="s">
        <v>89</v>
      </c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</row>
    <row r="193" spans="1:27" x14ac:dyDescent="0.25">
      <c r="A193" s="1">
        <v>2457307.5445500002</v>
      </c>
      <c r="B193" s="1" t="s">
        <v>134</v>
      </c>
      <c r="C193" s="1">
        <v>8.0139999999999993</v>
      </c>
      <c r="D193" s="1">
        <v>0.01</v>
      </c>
      <c r="E193" s="1" t="s">
        <v>2</v>
      </c>
      <c r="F193" s="1" t="s">
        <v>89</v>
      </c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</row>
    <row r="194" spans="1:27" x14ac:dyDescent="0.25">
      <c r="A194" s="1">
        <v>2457307.5449799998</v>
      </c>
      <c r="B194" s="1" t="s">
        <v>134</v>
      </c>
      <c r="C194" s="1">
        <v>8.0370000000000008</v>
      </c>
      <c r="D194" s="1">
        <v>0.01</v>
      </c>
      <c r="E194" s="1" t="s">
        <v>2</v>
      </c>
      <c r="F194" s="1" t="s">
        <v>89</v>
      </c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</row>
    <row r="195" spans="1:27" x14ac:dyDescent="0.25">
      <c r="A195" s="1">
        <v>2457307.5454199999</v>
      </c>
      <c r="B195" s="1" t="s">
        <v>134</v>
      </c>
      <c r="C195" s="1">
        <v>8.0370000000000008</v>
      </c>
      <c r="D195" s="1">
        <v>0.01</v>
      </c>
      <c r="E195" s="1" t="s">
        <v>2</v>
      </c>
      <c r="F195" s="1" t="s">
        <v>89</v>
      </c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</row>
    <row r="196" spans="1:27" x14ac:dyDescent="0.25">
      <c r="A196" s="1">
        <v>2457307.54586</v>
      </c>
      <c r="B196" s="1" t="s">
        <v>134</v>
      </c>
      <c r="C196" s="1">
        <v>8.0419999999999998</v>
      </c>
      <c r="D196" s="1">
        <v>0.01</v>
      </c>
      <c r="E196" s="1" t="s">
        <v>2</v>
      </c>
      <c r="F196" s="1" t="s">
        <v>89</v>
      </c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</row>
    <row r="197" spans="1:27" x14ac:dyDescent="0.25">
      <c r="A197" s="1">
        <v>2457307.5463</v>
      </c>
      <c r="B197" s="1" t="s">
        <v>134</v>
      </c>
      <c r="C197" s="1">
        <v>8.0090000000000003</v>
      </c>
      <c r="D197" s="1">
        <v>0.01</v>
      </c>
      <c r="E197" s="1" t="s">
        <v>2</v>
      </c>
      <c r="F197" s="1" t="s">
        <v>89</v>
      </c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</row>
    <row r="198" spans="1:27" x14ac:dyDescent="0.25">
      <c r="A198" s="1">
        <v>2457307.5467400001</v>
      </c>
      <c r="B198" s="1" t="s">
        <v>134</v>
      </c>
      <c r="C198" s="1">
        <v>8.016</v>
      </c>
      <c r="D198" s="1">
        <v>0.01</v>
      </c>
      <c r="E198" s="1" t="s">
        <v>2</v>
      </c>
      <c r="F198" s="1" t="s">
        <v>89</v>
      </c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</row>
    <row r="199" spans="1:27" x14ac:dyDescent="0.25">
      <c r="A199" s="1">
        <v>2457307.5471800002</v>
      </c>
      <c r="B199" s="1" t="s">
        <v>134</v>
      </c>
      <c r="C199" s="1">
        <v>8.0340000000000007</v>
      </c>
      <c r="D199" s="1">
        <v>0.01</v>
      </c>
      <c r="E199" s="1" t="s">
        <v>2</v>
      </c>
      <c r="F199" s="1" t="s">
        <v>89</v>
      </c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</row>
    <row r="200" spans="1:27" x14ac:dyDescent="0.25">
      <c r="A200" s="1">
        <v>2457307.5476199999</v>
      </c>
      <c r="B200" s="1" t="s">
        <v>134</v>
      </c>
      <c r="C200" s="1">
        <v>8.0259999999999998</v>
      </c>
      <c r="D200" s="1">
        <v>0.01</v>
      </c>
      <c r="E200" s="1" t="s">
        <v>2</v>
      </c>
      <c r="F200" s="1" t="s">
        <v>89</v>
      </c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</row>
    <row r="201" spans="1:27" x14ac:dyDescent="0.25">
      <c r="A201" s="1">
        <v>2457307.5480599999</v>
      </c>
      <c r="B201" s="1" t="s">
        <v>134</v>
      </c>
      <c r="C201" s="1">
        <v>8.0250000000000004</v>
      </c>
      <c r="D201" s="1">
        <v>0.01</v>
      </c>
      <c r="E201" s="1" t="s">
        <v>2</v>
      </c>
      <c r="F201" s="1" t="s">
        <v>89</v>
      </c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</row>
    <row r="202" spans="1:27" x14ac:dyDescent="0.25">
      <c r="A202" s="1">
        <v>2457307.5485</v>
      </c>
      <c r="B202" s="1" t="s">
        <v>134</v>
      </c>
      <c r="C202" s="1">
        <v>8.0350000000000001</v>
      </c>
      <c r="D202" s="1">
        <v>0.01</v>
      </c>
      <c r="E202" s="1" t="s">
        <v>2</v>
      </c>
      <c r="F202" s="1" t="s">
        <v>89</v>
      </c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</row>
    <row r="203" spans="1:27" x14ac:dyDescent="0.25">
      <c r="A203" s="1">
        <v>2457307.54893</v>
      </c>
      <c r="B203" s="1" t="s">
        <v>134</v>
      </c>
      <c r="C203" s="1">
        <v>8.0359999999999996</v>
      </c>
      <c r="D203" s="1">
        <v>0.01</v>
      </c>
      <c r="E203" s="1" t="s">
        <v>2</v>
      </c>
      <c r="F203" s="1" t="s">
        <v>89</v>
      </c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</row>
    <row r="204" spans="1:27" x14ac:dyDescent="0.25">
      <c r="A204" s="1">
        <v>2457307.5493700001</v>
      </c>
      <c r="B204" s="1" t="s">
        <v>134</v>
      </c>
      <c r="C204" s="1">
        <v>8.0410000000000004</v>
      </c>
      <c r="D204" s="1">
        <v>0.01</v>
      </c>
      <c r="E204" s="1" t="s">
        <v>2</v>
      </c>
      <c r="F204" s="1" t="s">
        <v>89</v>
      </c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</row>
    <row r="205" spans="1:27" x14ac:dyDescent="0.25">
      <c r="A205" s="1">
        <v>2457307.5498100002</v>
      </c>
      <c r="B205" s="1" t="s">
        <v>134</v>
      </c>
      <c r="C205" s="1">
        <v>8.0250000000000004</v>
      </c>
      <c r="D205" s="1">
        <v>0.01</v>
      </c>
      <c r="E205" s="1" t="s">
        <v>2</v>
      </c>
      <c r="F205" s="1" t="s">
        <v>89</v>
      </c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</row>
    <row r="206" spans="1:27" x14ac:dyDescent="0.25">
      <c r="A206" s="1">
        <v>2457307.5502499999</v>
      </c>
      <c r="B206" s="1" t="s">
        <v>134</v>
      </c>
      <c r="C206" s="1">
        <v>8.0079999999999991</v>
      </c>
      <c r="D206" s="1">
        <v>0.01</v>
      </c>
      <c r="E206" s="1" t="s">
        <v>2</v>
      </c>
      <c r="F206" s="1" t="s">
        <v>89</v>
      </c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</row>
    <row r="207" spans="1:27" x14ac:dyDescent="0.25">
      <c r="A207" s="1">
        <v>2457307.5506899999</v>
      </c>
      <c r="B207" s="1" t="s">
        <v>134</v>
      </c>
      <c r="C207" s="1">
        <v>8.0280000000000005</v>
      </c>
      <c r="D207" s="1">
        <v>0.01</v>
      </c>
      <c r="E207" s="1" t="s">
        <v>2</v>
      </c>
      <c r="F207" s="1" t="s">
        <v>89</v>
      </c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</row>
    <row r="208" spans="1:27" x14ac:dyDescent="0.25">
      <c r="A208" s="1">
        <v>2457307.55113</v>
      </c>
      <c r="B208" s="1" t="s">
        <v>134</v>
      </c>
      <c r="C208" s="1">
        <v>8.0180000000000007</v>
      </c>
      <c r="D208" s="1">
        <v>0.01</v>
      </c>
      <c r="E208" s="1" t="s">
        <v>2</v>
      </c>
      <c r="F208" s="1" t="s">
        <v>89</v>
      </c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</row>
    <row r="209" spans="1:27" x14ac:dyDescent="0.25">
      <c r="A209" s="1">
        <v>2457307.5515700001</v>
      </c>
      <c r="B209" s="1" t="s">
        <v>134</v>
      </c>
      <c r="C209" s="1">
        <v>8.0109999999999992</v>
      </c>
      <c r="D209" s="1">
        <v>0.01</v>
      </c>
      <c r="E209" s="1" t="s">
        <v>2</v>
      </c>
      <c r="F209" s="1" t="s">
        <v>89</v>
      </c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</row>
    <row r="210" spans="1:27" x14ac:dyDescent="0.25">
      <c r="A210" s="1">
        <v>2457307.5520100002</v>
      </c>
      <c r="B210" s="1" t="s">
        <v>134</v>
      </c>
      <c r="C210" s="1">
        <v>8.0280000000000005</v>
      </c>
      <c r="D210" s="1">
        <v>0.01</v>
      </c>
      <c r="E210" s="1" t="s">
        <v>2</v>
      </c>
      <c r="F210" s="1" t="s">
        <v>89</v>
      </c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</row>
    <row r="211" spans="1:27" x14ac:dyDescent="0.25">
      <c r="A211" s="1">
        <v>2457307.5524400002</v>
      </c>
      <c r="B211" s="1" t="s">
        <v>134</v>
      </c>
      <c r="C211" s="1">
        <v>8.01</v>
      </c>
      <c r="D211" s="1">
        <v>0.01</v>
      </c>
      <c r="E211" s="1" t="s">
        <v>2</v>
      </c>
      <c r="F211" s="1" t="s">
        <v>89</v>
      </c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</row>
    <row r="212" spans="1:27" x14ac:dyDescent="0.25">
      <c r="A212" s="1">
        <v>2457307.5528799999</v>
      </c>
      <c r="B212" s="1" t="s">
        <v>134</v>
      </c>
      <c r="C212" s="1">
        <v>8.0250000000000004</v>
      </c>
      <c r="D212" s="1">
        <v>0.01</v>
      </c>
      <c r="E212" s="1" t="s">
        <v>2</v>
      </c>
      <c r="F212" s="1" t="s">
        <v>89</v>
      </c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</row>
    <row r="213" spans="1:27" x14ac:dyDescent="0.25">
      <c r="A213" s="1">
        <v>2457307.5533199999</v>
      </c>
      <c r="B213" s="1" t="s">
        <v>134</v>
      </c>
      <c r="C213" s="1">
        <v>8.032</v>
      </c>
      <c r="D213" s="1">
        <v>0.01</v>
      </c>
      <c r="E213" s="1" t="s">
        <v>2</v>
      </c>
      <c r="F213" s="1" t="s">
        <v>89</v>
      </c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</row>
    <row r="214" spans="1:27" x14ac:dyDescent="0.25">
      <c r="A214" s="1">
        <v>2457307.55376</v>
      </c>
      <c r="B214" s="1" t="s">
        <v>134</v>
      </c>
      <c r="C214" s="1">
        <v>8.0380000000000003</v>
      </c>
      <c r="D214" s="1">
        <v>0.01</v>
      </c>
      <c r="E214" s="1" t="s">
        <v>2</v>
      </c>
      <c r="F214" s="1" t="s">
        <v>89</v>
      </c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</row>
    <row r="215" spans="1:27" x14ac:dyDescent="0.25">
      <c r="A215" s="1">
        <v>2457307.5542000001</v>
      </c>
      <c r="B215" s="1" t="s">
        <v>134</v>
      </c>
      <c r="C215" s="1">
        <v>8.0399999999999991</v>
      </c>
      <c r="D215" s="1">
        <v>0.01</v>
      </c>
      <c r="E215" s="1" t="s">
        <v>2</v>
      </c>
      <c r="F215" s="1" t="s">
        <v>89</v>
      </c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</row>
    <row r="216" spans="1:27" x14ac:dyDescent="0.25">
      <c r="A216" s="1">
        <v>2457307.5546400002</v>
      </c>
      <c r="B216" s="1" t="s">
        <v>134</v>
      </c>
      <c r="C216" s="1">
        <v>8.0180000000000007</v>
      </c>
      <c r="D216" s="1">
        <v>0.01</v>
      </c>
      <c r="E216" s="1" t="s">
        <v>2</v>
      </c>
      <c r="F216" s="1" t="s">
        <v>89</v>
      </c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</row>
    <row r="217" spans="1:27" x14ac:dyDescent="0.25">
      <c r="A217" s="1">
        <v>2457307.5550600002</v>
      </c>
      <c r="B217" s="1" t="s">
        <v>134</v>
      </c>
      <c r="C217" s="1">
        <v>8.0220000000000002</v>
      </c>
      <c r="D217" s="1">
        <v>0.01</v>
      </c>
      <c r="E217" s="1" t="s">
        <v>2</v>
      </c>
      <c r="F217" s="1" t="s">
        <v>89</v>
      </c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</row>
    <row r="218" spans="1:27" x14ac:dyDescent="0.25">
      <c r="A218" s="1">
        <v>2457307.5554999998</v>
      </c>
      <c r="B218" s="1" t="s">
        <v>134</v>
      </c>
      <c r="C218" s="1">
        <v>8.0220000000000002</v>
      </c>
      <c r="D218" s="1">
        <v>0.01</v>
      </c>
      <c r="E218" s="1" t="s">
        <v>2</v>
      </c>
      <c r="F218" s="1" t="s">
        <v>89</v>
      </c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</row>
    <row r="219" spans="1:27" x14ac:dyDescent="0.25">
      <c r="A219" s="1">
        <v>2457307.5559399999</v>
      </c>
      <c r="B219" s="1" t="s">
        <v>134</v>
      </c>
      <c r="C219" s="1">
        <v>8.0259999999999998</v>
      </c>
      <c r="D219" s="1">
        <v>0.01</v>
      </c>
      <c r="E219" s="1" t="s">
        <v>2</v>
      </c>
      <c r="F219" s="1" t="s">
        <v>89</v>
      </c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</row>
    <row r="220" spans="1:27" x14ac:dyDescent="0.25">
      <c r="A220" s="1">
        <v>2457307.55638</v>
      </c>
      <c r="B220" s="1" t="s">
        <v>134</v>
      </c>
      <c r="C220" s="1">
        <v>8.0129999999999999</v>
      </c>
      <c r="D220" s="1">
        <v>0.01</v>
      </c>
      <c r="E220" s="1" t="s">
        <v>2</v>
      </c>
      <c r="F220" s="1" t="s">
        <v>89</v>
      </c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</row>
    <row r="221" spans="1:27" x14ac:dyDescent="0.25">
      <c r="A221" s="1">
        <v>2457307.5568200001</v>
      </c>
      <c r="B221" s="1" t="s">
        <v>134</v>
      </c>
      <c r="C221" s="1">
        <v>8.0530000000000008</v>
      </c>
      <c r="D221" s="1">
        <v>0.01</v>
      </c>
      <c r="E221" s="1" t="s">
        <v>2</v>
      </c>
      <c r="F221" s="1" t="s">
        <v>89</v>
      </c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</row>
    <row r="222" spans="1:27" x14ac:dyDescent="0.25">
      <c r="A222" s="1">
        <v>2457307.5572600001</v>
      </c>
      <c r="B222" s="1" t="s">
        <v>134</v>
      </c>
      <c r="C222" s="1">
        <v>8.0069999999999997</v>
      </c>
      <c r="D222" s="1">
        <v>0.01</v>
      </c>
      <c r="E222" s="1" t="s">
        <v>2</v>
      </c>
      <c r="F222" s="1" t="s">
        <v>89</v>
      </c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</row>
    <row r="223" spans="1:27" x14ac:dyDescent="0.25">
      <c r="A223" s="1">
        <v>2457307.5576999998</v>
      </c>
      <c r="B223" s="1" t="s">
        <v>134</v>
      </c>
      <c r="C223" s="1">
        <v>8.0449999999999999</v>
      </c>
      <c r="D223" s="1">
        <v>0.01</v>
      </c>
      <c r="E223" s="1" t="s">
        <v>2</v>
      </c>
      <c r="F223" s="1" t="s">
        <v>89</v>
      </c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</row>
    <row r="224" spans="1:27" x14ac:dyDescent="0.25">
      <c r="A224" s="1">
        <v>2457307.5581299998</v>
      </c>
      <c r="B224" s="1" t="s">
        <v>134</v>
      </c>
      <c r="C224" s="1">
        <v>8.0530000000000008</v>
      </c>
      <c r="D224" s="1">
        <v>0.01</v>
      </c>
      <c r="E224" s="1" t="s">
        <v>2</v>
      </c>
      <c r="F224" s="1" t="s">
        <v>89</v>
      </c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</row>
    <row r="225" spans="1:27" x14ac:dyDescent="0.25">
      <c r="A225" s="1">
        <v>2457307.6027000002</v>
      </c>
      <c r="B225" s="1" t="s">
        <v>134</v>
      </c>
      <c r="C225" s="1">
        <v>7.9950000000000001</v>
      </c>
      <c r="D225" s="1">
        <v>8.0000000000000002E-3</v>
      </c>
      <c r="E225" s="1" t="s">
        <v>2</v>
      </c>
      <c r="F225" s="1" t="s">
        <v>124</v>
      </c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</row>
    <row r="226" spans="1:27" x14ac:dyDescent="0.25">
      <c r="A226" s="1">
        <v>2457309.42778</v>
      </c>
      <c r="B226" s="1" t="s">
        <v>135</v>
      </c>
      <c r="C226" s="1">
        <v>8.0790000000000006</v>
      </c>
      <c r="D226" s="1">
        <v>2.4E-2</v>
      </c>
      <c r="E226" s="1" t="s">
        <v>2</v>
      </c>
      <c r="F226" s="1" t="s">
        <v>16</v>
      </c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</row>
    <row r="227" spans="1:27" x14ac:dyDescent="0.25">
      <c r="A227" s="1">
        <v>2457309.5479299999</v>
      </c>
      <c r="B227" s="1" t="s">
        <v>136</v>
      </c>
      <c r="C227" s="1">
        <v>8.157</v>
      </c>
      <c r="D227" s="1">
        <v>7.0000000000000001E-3</v>
      </c>
      <c r="E227" s="1" t="s">
        <v>2</v>
      </c>
      <c r="F227" s="1" t="s">
        <v>89</v>
      </c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</row>
    <row r="228" spans="1:27" x14ac:dyDescent="0.25">
      <c r="A228" s="1">
        <v>2457309.5483200001</v>
      </c>
      <c r="B228" s="1" t="s">
        <v>136</v>
      </c>
      <c r="C228" s="1">
        <v>8.16</v>
      </c>
      <c r="D228" s="1">
        <v>7.0000000000000001E-3</v>
      </c>
      <c r="E228" s="1" t="s">
        <v>2</v>
      </c>
      <c r="F228" s="1" t="s">
        <v>89</v>
      </c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</row>
    <row r="229" spans="1:27" x14ac:dyDescent="0.25">
      <c r="A229" s="1">
        <v>2457309.5486900001</v>
      </c>
      <c r="B229" s="1" t="s">
        <v>136</v>
      </c>
      <c r="C229" s="1">
        <v>8.1519999999999992</v>
      </c>
      <c r="D229" s="1">
        <v>7.0000000000000001E-3</v>
      </c>
      <c r="E229" s="1" t="s">
        <v>2</v>
      </c>
      <c r="F229" s="1" t="s">
        <v>89</v>
      </c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</row>
    <row r="230" spans="1:27" x14ac:dyDescent="0.25">
      <c r="A230" s="1">
        <v>2457309.5490700002</v>
      </c>
      <c r="B230" s="1" t="s">
        <v>136</v>
      </c>
      <c r="C230" s="1">
        <v>8.1470000000000002</v>
      </c>
      <c r="D230" s="1">
        <v>7.0000000000000001E-3</v>
      </c>
      <c r="E230" s="1" t="s">
        <v>2</v>
      </c>
      <c r="F230" s="1" t="s">
        <v>89</v>
      </c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</row>
    <row r="231" spans="1:27" x14ac:dyDescent="0.25">
      <c r="A231" s="1">
        <v>2457309.5494499998</v>
      </c>
      <c r="B231" s="1" t="s">
        <v>136</v>
      </c>
      <c r="C231" s="1">
        <v>8.1479999999999997</v>
      </c>
      <c r="D231" s="1">
        <v>7.0000000000000001E-3</v>
      </c>
      <c r="E231" s="1" t="s">
        <v>2</v>
      </c>
      <c r="F231" s="1" t="s">
        <v>89</v>
      </c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</row>
    <row r="232" spans="1:27" x14ac:dyDescent="0.25">
      <c r="A232" s="1">
        <v>2457310.5232299999</v>
      </c>
      <c r="B232" s="1" t="s">
        <v>137</v>
      </c>
      <c r="C232" s="1">
        <v>8.0589999999999993</v>
      </c>
      <c r="D232" s="1">
        <v>7.0000000000000001E-3</v>
      </c>
      <c r="E232" s="1" t="s">
        <v>2</v>
      </c>
      <c r="F232" s="1" t="s">
        <v>89</v>
      </c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</row>
    <row r="233" spans="1:27" x14ac:dyDescent="0.25">
      <c r="A233" s="1">
        <v>2457310.52361</v>
      </c>
      <c r="B233" s="1" t="s">
        <v>137</v>
      </c>
      <c r="C233" s="1">
        <v>8.06</v>
      </c>
      <c r="D233" s="1">
        <v>7.0000000000000001E-3</v>
      </c>
      <c r="E233" s="1" t="s">
        <v>2</v>
      </c>
      <c r="F233" s="1" t="s">
        <v>89</v>
      </c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</row>
    <row r="234" spans="1:27" x14ac:dyDescent="0.25">
      <c r="A234" s="1">
        <v>2457310.5239900001</v>
      </c>
      <c r="B234" s="1" t="s">
        <v>137</v>
      </c>
      <c r="C234" s="1">
        <v>8.0440000000000005</v>
      </c>
      <c r="D234" s="1">
        <v>7.0000000000000001E-3</v>
      </c>
      <c r="E234" s="1" t="s">
        <v>2</v>
      </c>
      <c r="F234" s="1" t="s">
        <v>89</v>
      </c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</row>
    <row r="235" spans="1:27" x14ac:dyDescent="0.25">
      <c r="A235" s="1">
        <v>2457310.5243700002</v>
      </c>
      <c r="B235" s="1" t="s">
        <v>137</v>
      </c>
      <c r="C235" s="1">
        <v>8.048</v>
      </c>
      <c r="D235" s="1">
        <v>7.0000000000000001E-3</v>
      </c>
      <c r="E235" s="1" t="s">
        <v>2</v>
      </c>
      <c r="F235" s="1" t="s">
        <v>89</v>
      </c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</row>
    <row r="236" spans="1:27" x14ac:dyDescent="0.25">
      <c r="A236" s="1">
        <v>2457310.5247499999</v>
      </c>
      <c r="B236" s="1" t="s">
        <v>137</v>
      </c>
      <c r="C236" s="1">
        <v>8.0609999999999999</v>
      </c>
      <c r="D236" s="1">
        <v>7.0000000000000001E-3</v>
      </c>
      <c r="E236" s="1" t="s">
        <v>2</v>
      </c>
      <c r="F236" s="1" t="s">
        <v>89</v>
      </c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</row>
    <row r="237" spans="1:27" x14ac:dyDescent="0.25">
      <c r="A237" s="1">
        <v>2457310.52513</v>
      </c>
      <c r="B237" s="1" t="s">
        <v>137</v>
      </c>
      <c r="C237" s="1">
        <v>8.0619999999999994</v>
      </c>
      <c r="D237" s="1">
        <v>7.0000000000000001E-3</v>
      </c>
      <c r="E237" s="1" t="s">
        <v>2</v>
      </c>
      <c r="F237" s="1" t="s">
        <v>89</v>
      </c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</row>
    <row r="238" spans="1:27" x14ac:dyDescent="0.25">
      <c r="A238" s="1">
        <v>2457310.5255200001</v>
      </c>
      <c r="B238" s="1" t="s">
        <v>137</v>
      </c>
      <c r="C238" s="1">
        <v>8.0570000000000004</v>
      </c>
      <c r="D238" s="1">
        <v>7.0000000000000001E-3</v>
      </c>
      <c r="E238" s="1" t="s">
        <v>2</v>
      </c>
      <c r="F238" s="1" t="s">
        <v>89</v>
      </c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</row>
    <row r="239" spans="1:27" x14ac:dyDescent="0.25">
      <c r="A239" s="1">
        <v>2457310.5258999998</v>
      </c>
      <c r="B239" s="1" t="s">
        <v>137</v>
      </c>
      <c r="C239" s="1">
        <v>8.06</v>
      </c>
      <c r="D239" s="1">
        <v>7.0000000000000001E-3</v>
      </c>
      <c r="E239" s="1" t="s">
        <v>2</v>
      </c>
      <c r="F239" s="1" t="s">
        <v>89</v>
      </c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</row>
    <row r="240" spans="1:27" x14ac:dyDescent="0.25">
      <c r="A240" s="1">
        <v>2457310.5262799999</v>
      </c>
      <c r="B240" s="1" t="s">
        <v>137</v>
      </c>
      <c r="C240" s="1">
        <v>8.0549999999999997</v>
      </c>
      <c r="D240" s="1">
        <v>7.0000000000000001E-3</v>
      </c>
      <c r="E240" s="1" t="s">
        <v>2</v>
      </c>
      <c r="F240" s="1" t="s">
        <v>89</v>
      </c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</row>
    <row r="241" spans="1:27" x14ac:dyDescent="0.25">
      <c r="A241" s="1">
        <v>2457310.52666</v>
      </c>
      <c r="B241" s="1" t="s">
        <v>137</v>
      </c>
      <c r="C241" s="1">
        <v>8.0470000000000006</v>
      </c>
      <c r="D241" s="1">
        <v>7.0000000000000001E-3</v>
      </c>
      <c r="E241" s="1" t="s">
        <v>2</v>
      </c>
      <c r="F241" s="1" t="s">
        <v>89</v>
      </c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</row>
    <row r="242" spans="1:27" x14ac:dyDescent="0.25">
      <c r="A242" s="1">
        <v>2457310.6024000002</v>
      </c>
      <c r="B242" s="1" t="s">
        <v>137</v>
      </c>
      <c r="C242" s="1">
        <v>8.0340000000000007</v>
      </c>
      <c r="D242" s="1">
        <v>6.0000000000000001E-3</v>
      </c>
      <c r="E242" s="1" t="s">
        <v>2</v>
      </c>
      <c r="F242" s="1" t="s">
        <v>124</v>
      </c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</row>
    <row r="243" spans="1:27" x14ac:dyDescent="0.25">
      <c r="A243" s="1">
        <v>2457311.4634699998</v>
      </c>
      <c r="B243" s="1" t="s">
        <v>137</v>
      </c>
      <c r="C243" s="1">
        <v>8.0259999999999998</v>
      </c>
      <c r="D243" s="1">
        <v>5.0000000000000001E-3</v>
      </c>
      <c r="E243" s="1" t="s">
        <v>2</v>
      </c>
      <c r="F243" s="1" t="s">
        <v>126</v>
      </c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</row>
    <row r="244" spans="1:27" x14ac:dyDescent="0.25">
      <c r="A244" s="1">
        <v>2457312.5419000001</v>
      </c>
      <c r="B244" s="1" t="s">
        <v>138</v>
      </c>
      <c r="C244" s="1">
        <v>8.1120000000000001</v>
      </c>
      <c r="D244" s="1">
        <v>7.0000000000000001E-3</v>
      </c>
      <c r="E244" s="1" t="s">
        <v>2</v>
      </c>
      <c r="F244" s="1" t="s">
        <v>89</v>
      </c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</row>
    <row r="245" spans="1:27" x14ac:dyDescent="0.25">
      <c r="A245" s="1">
        <v>2457312.5430999999</v>
      </c>
      <c r="B245" s="1" t="s">
        <v>138</v>
      </c>
      <c r="C245" s="1">
        <v>8.0920000000000005</v>
      </c>
      <c r="D245" s="1">
        <v>7.0000000000000001E-3</v>
      </c>
      <c r="E245" s="1" t="s">
        <v>2</v>
      </c>
      <c r="F245" s="1" t="s">
        <v>89</v>
      </c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</row>
    <row r="246" spans="1:27" x14ac:dyDescent="0.25">
      <c r="A246" s="1">
        <v>2457312.5434699999</v>
      </c>
      <c r="B246" s="1" t="s">
        <v>138</v>
      </c>
      <c r="C246" s="1">
        <v>8.0879999999999992</v>
      </c>
      <c r="D246" s="1">
        <v>7.0000000000000001E-3</v>
      </c>
      <c r="E246" s="1" t="s">
        <v>2</v>
      </c>
      <c r="F246" s="1" t="s">
        <v>89</v>
      </c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</row>
    <row r="247" spans="1:27" x14ac:dyDescent="0.25">
      <c r="A247" s="1">
        <v>2457312.54385</v>
      </c>
      <c r="B247" s="1" t="s">
        <v>138</v>
      </c>
      <c r="C247" s="1">
        <v>8.0990000000000002</v>
      </c>
      <c r="D247" s="1">
        <v>7.0000000000000001E-3</v>
      </c>
      <c r="E247" s="1" t="s">
        <v>2</v>
      </c>
      <c r="F247" s="1" t="s">
        <v>89</v>
      </c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</row>
    <row r="248" spans="1:27" x14ac:dyDescent="0.25">
      <c r="A248" s="1">
        <v>2457312.5442300001</v>
      </c>
      <c r="B248" s="1" t="s">
        <v>138</v>
      </c>
      <c r="C248" s="1">
        <v>8.093</v>
      </c>
      <c r="D248" s="1">
        <v>7.0000000000000001E-3</v>
      </c>
      <c r="E248" s="1" t="s">
        <v>2</v>
      </c>
      <c r="F248" s="1" t="s">
        <v>89</v>
      </c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</row>
    <row r="249" spans="1:27" x14ac:dyDescent="0.25">
      <c r="A249" s="1">
        <v>2457312.5446100002</v>
      </c>
      <c r="B249" s="1" t="s">
        <v>138</v>
      </c>
      <c r="C249" s="1">
        <v>8.0879999999999992</v>
      </c>
      <c r="D249" s="1">
        <v>7.0000000000000001E-3</v>
      </c>
      <c r="E249" s="1" t="s">
        <v>2</v>
      </c>
      <c r="F249" s="1" t="s">
        <v>89</v>
      </c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</row>
    <row r="250" spans="1:27" x14ac:dyDescent="0.25">
      <c r="A250" s="1">
        <v>2457313.5123200002</v>
      </c>
      <c r="B250" s="1" t="s">
        <v>139</v>
      </c>
      <c r="C250" s="1">
        <v>8.0280000000000005</v>
      </c>
      <c r="D250" s="1">
        <v>8.0000000000000002E-3</v>
      </c>
      <c r="E250" s="1" t="s">
        <v>2</v>
      </c>
      <c r="F250" s="1" t="s">
        <v>89</v>
      </c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</row>
    <row r="251" spans="1:27" x14ac:dyDescent="0.25">
      <c r="A251" s="1">
        <v>2457313.5143300002</v>
      </c>
      <c r="B251" s="1" t="s">
        <v>139</v>
      </c>
      <c r="C251" s="1">
        <v>8.0519999999999996</v>
      </c>
      <c r="D251" s="1">
        <v>8.0000000000000002E-3</v>
      </c>
      <c r="E251" s="1" t="s">
        <v>2</v>
      </c>
      <c r="F251" s="1" t="s">
        <v>89</v>
      </c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</row>
    <row r="252" spans="1:27" x14ac:dyDescent="0.25">
      <c r="A252" s="1">
        <v>2457313.5147199999</v>
      </c>
      <c r="B252" s="1" t="s">
        <v>139</v>
      </c>
      <c r="C252" s="1">
        <v>8.0190000000000001</v>
      </c>
      <c r="D252" s="1">
        <v>8.0000000000000002E-3</v>
      </c>
      <c r="E252" s="1" t="s">
        <v>2</v>
      </c>
      <c r="F252" s="1" t="s">
        <v>89</v>
      </c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</row>
    <row r="253" spans="1:27" x14ac:dyDescent="0.25">
      <c r="A253" s="1">
        <v>2457313.5150899999</v>
      </c>
      <c r="B253" s="1" t="s">
        <v>139</v>
      </c>
      <c r="C253" s="1">
        <v>8.0289999999999999</v>
      </c>
      <c r="D253" s="1">
        <v>8.0000000000000002E-3</v>
      </c>
      <c r="E253" s="1" t="s">
        <v>2</v>
      </c>
      <c r="F253" s="1" t="s">
        <v>89</v>
      </c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</row>
    <row r="254" spans="1:27" x14ac:dyDescent="0.25">
      <c r="A254" s="1">
        <v>2457313.51547</v>
      </c>
      <c r="B254" s="1" t="s">
        <v>139</v>
      </c>
      <c r="C254" s="1">
        <v>8.0359999999999996</v>
      </c>
      <c r="D254" s="1">
        <v>8.0000000000000002E-3</v>
      </c>
      <c r="E254" s="1" t="s">
        <v>2</v>
      </c>
      <c r="F254" s="1" t="s">
        <v>89</v>
      </c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</row>
    <row r="255" spans="1:27" x14ac:dyDescent="0.25">
      <c r="A255" s="1">
        <v>2457314.5855</v>
      </c>
      <c r="B255" s="1" t="s">
        <v>140</v>
      </c>
      <c r="C255" s="1">
        <v>7.94</v>
      </c>
      <c r="D255" s="1">
        <v>7.0000000000000001E-3</v>
      </c>
      <c r="E255" s="1" t="s">
        <v>2</v>
      </c>
      <c r="F255" s="1" t="s">
        <v>124</v>
      </c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</row>
    <row r="256" spans="1:27" x14ac:dyDescent="0.25">
      <c r="A256" s="1">
        <v>2457315.8209299999</v>
      </c>
      <c r="B256" s="1" t="s">
        <v>141</v>
      </c>
      <c r="C256" s="1">
        <v>7.9550000000000001</v>
      </c>
      <c r="D256" s="1">
        <v>3.0000000000000001E-3</v>
      </c>
      <c r="E256" s="1" t="s">
        <v>2</v>
      </c>
      <c r="F256" s="1" t="s">
        <v>13</v>
      </c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</row>
    <row r="257" spans="1:27" x14ac:dyDescent="0.25">
      <c r="A257" s="1">
        <v>2457315.8218200002</v>
      </c>
      <c r="B257" s="1" t="s">
        <v>141</v>
      </c>
      <c r="C257" s="1">
        <v>7.9950000000000001</v>
      </c>
      <c r="D257" s="1">
        <v>3.0000000000000001E-3</v>
      </c>
      <c r="E257" s="1" t="s">
        <v>2</v>
      </c>
      <c r="F257" s="1" t="s">
        <v>13</v>
      </c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</row>
    <row r="258" spans="1:27" x14ac:dyDescent="0.25">
      <c r="A258" s="1">
        <v>2457315.8226999999</v>
      </c>
      <c r="B258" s="1" t="s">
        <v>141</v>
      </c>
      <c r="C258" s="1">
        <v>7.984</v>
      </c>
      <c r="D258" s="1">
        <v>3.0000000000000001E-3</v>
      </c>
      <c r="E258" s="1" t="s">
        <v>2</v>
      </c>
      <c r="F258" s="1" t="s">
        <v>13</v>
      </c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</row>
    <row r="259" spans="1:27" x14ac:dyDescent="0.25">
      <c r="A259" s="1">
        <v>2457321.46777</v>
      </c>
      <c r="B259" s="1" t="s">
        <v>142</v>
      </c>
      <c r="C259" s="1">
        <v>8.1389999999999993</v>
      </c>
      <c r="D259" s="1">
        <v>5.0000000000000001E-3</v>
      </c>
      <c r="E259" s="1" t="s">
        <v>2</v>
      </c>
      <c r="F259" s="1" t="s">
        <v>126</v>
      </c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</row>
    <row r="260" spans="1:27" x14ac:dyDescent="0.25">
      <c r="A260" s="1">
        <v>2457321.4793199999</v>
      </c>
      <c r="B260" s="1" t="s">
        <v>142</v>
      </c>
      <c r="C260" s="1">
        <v>8.1839999999999993</v>
      </c>
      <c r="D260" s="1">
        <v>1.7999999999999999E-2</v>
      </c>
      <c r="E260" s="1" t="s">
        <v>2</v>
      </c>
      <c r="F260" s="1" t="s">
        <v>89</v>
      </c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</row>
    <row r="261" spans="1:27" x14ac:dyDescent="0.25">
      <c r="A261" s="1">
        <v>2457321.4796899999</v>
      </c>
      <c r="B261" s="1" t="s">
        <v>142</v>
      </c>
      <c r="C261" s="1">
        <v>8.1579999999999995</v>
      </c>
      <c r="D261" s="1">
        <v>1.7999999999999999E-2</v>
      </c>
      <c r="E261" s="1" t="s">
        <v>2</v>
      </c>
      <c r="F261" s="1" t="s">
        <v>89</v>
      </c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</row>
    <row r="262" spans="1:27" x14ac:dyDescent="0.25">
      <c r="A262" s="1">
        <v>2457321.4800800001</v>
      </c>
      <c r="B262" s="1" t="s">
        <v>142</v>
      </c>
      <c r="C262" s="1">
        <v>8.1940000000000008</v>
      </c>
      <c r="D262" s="1">
        <v>1.7000000000000001E-2</v>
      </c>
      <c r="E262" s="1" t="s">
        <v>2</v>
      </c>
      <c r="F262" s="1" t="s">
        <v>89</v>
      </c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</row>
    <row r="263" spans="1:27" x14ac:dyDescent="0.25">
      <c r="A263" s="1">
        <v>2457321.4804600002</v>
      </c>
      <c r="B263" s="1" t="s">
        <v>142</v>
      </c>
      <c r="C263" s="1">
        <v>8.1850000000000005</v>
      </c>
      <c r="D263" s="1">
        <v>1.7000000000000001E-2</v>
      </c>
      <c r="E263" s="1" t="s">
        <v>2</v>
      </c>
      <c r="F263" s="1" t="s">
        <v>89</v>
      </c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</row>
    <row r="264" spans="1:27" x14ac:dyDescent="0.25">
      <c r="A264" s="1">
        <v>2457321.4808399999</v>
      </c>
      <c r="B264" s="1" t="s">
        <v>142</v>
      </c>
      <c r="C264" s="1">
        <v>8.1760000000000002</v>
      </c>
      <c r="D264" s="1">
        <v>1.7000000000000001E-2</v>
      </c>
      <c r="E264" s="1" t="s">
        <v>2</v>
      </c>
      <c r="F264" s="1" t="s">
        <v>89</v>
      </c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</row>
    <row r="265" spans="1:27" x14ac:dyDescent="0.25">
      <c r="A265" s="1">
        <v>2457321.5814</v>
      </c>
      <c r="B265" s="1" t="s">
        <v>143</v>
      </c>
      <c r="C265" s="1">
        <v>8.1639999999999997</v>
      </c>
      <c r="D265" s="1">
        <v>1.2999999999999999E-2</v>
      </c>
      <c r="E265" s="1" t="s">
        <v>2</v>
      </c>
      <c r="F265" s="1" t="s">
        <v>124</v>
      </c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</row>
    <row r="266" spans="1:27" x14ac:dyDescent="0.2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7" x14ac:dyDescent="0.2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7" x14ac:dyDescent="0.2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7" x14ac:dyDescent="0.2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7" x14ac:dyDescent="0.2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7" x14ac:dyDescent="0.2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7" x14ac:dyDescent="0.2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x14ac:dyDescent="0.2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x14ac:dyDescent="0.2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x14ac:dyDescent="0.2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x14ac:dyDescent="0.2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x14ac:dyDescent="0.2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x14ac:dyDescent="0.2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x14ac:dyDescent="0.2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x14ac:dyDescent="0.2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x14ac:dyDescent="0.2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x14ac:dyDescent="0.2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x14ac:dyDescent="0.2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x14ac:dyDescent="0.2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x14ac:dyDescent="0.2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x14ac:dyDescent="0.2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x14ac:dyDescent="0.2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x14ac:dyDescent="0.2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x14ac:dyDescent="0.2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x14ac:dyDescent="0.2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x14ac:dyDescent="0.2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x14ac:dyDescent="0.2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x14ac:dyDescent="0.2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x14ac:dyDescent="0.2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x14ac:dyDescent="0.2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x14ac:dyDescent="0.2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x14ac:dyDescent="0.2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x14ac:dyDescent="0.2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x14ac:dyDescent="0.2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x14ac:dyDescent="0.2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x14ac:dyDescent="0.2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x14ac:dyDescent="0.2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x14ac:dyDescent="0.2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x14ac:dyDescent="0.2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x14ac:dyDescent="0.2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x14ac:dyDescent="0.2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x14ac:dyDescent="0.2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x14ac:dyDescent="0.2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x14ac:dyDescent="0.2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x14ac:dyDescent="0.2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x14ac:dyDescent="0.2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x14ac:dyDescent="0.2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x14ac:dyDescent="0.2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x14ac:dyDescent="0.2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x14ac:dyDescent="0.2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x14ac:dyDescent="0.2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x14ac:dyDescent="0.2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x14ac:dyDescent="0.2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x14ac:dyDescent="0.2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x14ac:dyDescent="0.2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x14ac:dyDescent="0.2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x14ac:dyDescent="0.2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x14ac:dyDescent="0.2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x14ac:dyDescent="0.2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x14ac:dyDescent="0.2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x14ac:dyDescent="0.2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x14ac:dyDescent="0.2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x14ac:dyDescent="0.2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x14ac:dyDescent="0.2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x14ac:dyDescent="0.2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x14ac:dyDescent="0.2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x14ac:dyDescent="0.2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x14ac:dyDescent="0.2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x14ac:dyDescent="0.2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x14ac:dyDescent="0.2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x14ac:dyDescent="0.2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x14ac:dyDescent="0.2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x14ac:dyDescent="0.2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x14ac:dyDescent="0.2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x14ac:dyDescent="0.2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x14ac:dyDescent="0.2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x14ac:dyDescent="0.2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x14ac:dyDescent="0.2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x14ac:dyDescent="0.2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x14ac:dyDescent="0.2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x14ac:dyDescent="0.2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x14ac:dyDescent="0.2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x14ac:dyDescent="0.2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x14ac:dyDescent="0.2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x14ac:dyDescent="0.2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x14ac:dyDescent="0.2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x14ac:dyDescent="0.2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x14ac:dyDescent="0.2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x14ac:dyDescent="0.2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x14ac:dyDescent="0.2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x14ac:dyDescent="0.2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x14ac:dyDescent="0.2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x14ac:dyDescent="0.2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x14ac:dyDescent="0.2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x14ac:dyDescent="0.2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x14ac:dyDescent="0.2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x14ac:dyDescent="0.2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x14ac:dyDescent="0.2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x14ac:dyDescent="0.2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x14ac:dyDescent="0.2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x14ac:dyDescent="0.2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x14ac:dyDescent="0.2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x14ac:dyDescent="0.2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x14ac:dyDescent="0.2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x14ac:dyDescent="0.2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x14ac:dyDescent="0.2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x14ac:dyDescent="0.2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x14ac:dyDescent="0.2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x14ac:dyDescent="0.2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x14ac:dyDescent="0.2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x14ac:dyDescent="0.2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x14ac:dyDescent="0.2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x14ac:dyDescent="0.2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x14ac:dyDescent="0.2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x14ac:dyDescent="0.2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x14ac:dyDescent="0.2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x14ac:dyDescent="0.2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x14ac:dyDescent="0.2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x14ac:dyDescent="0.2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x14ac:dyDescent="0.2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x14ac:dyDescent="0.2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x14ac:dyDescent="0.2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x14ac:dyDescent="0.2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x14ac:dyDescent="0.2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x14ac:dyDescent="0.2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x14ac:dyDescent="0.2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x14ac:dyDescent="0.2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x14ac:dyDescent="0.2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x14ac:dyDescent="0.2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x14ac:dyDescent="0.2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x14ac:dyDescent="0.2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x14ac:dyDescent="0.2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x14ac:dyDescent="0.2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x14ac:dyDescent="0.2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x14ac:dyDescent="0.2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x14ac:dyDescent="0.2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x14ac:dyDescent="0.2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x14ac:dyDescent="0.2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x14ac:dyDescent="0.2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x14ac:dyDescent="0.2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x14ac:dyDescent="0.2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x14ac:dyDescent="0.2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x14ac:dyDescent="0.2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x14ac:dyDescent="0.2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x14ac:dyDescent="0.2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x14ac:dyDescent="0.2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x14ac:dyDescent="0.2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x14ac:dyDescent="0.2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x14ac:dyDescent="0.2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x14ac:dyDescent="0.2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x14ac:dyDescent="0.2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x14ac:dyDescent="0.2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x14ac:dyDescent="0.2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x14ac:dyDescent="0.2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x14ac:dyDescent="0.2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x14ac:dyDescent="0.2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x14ac:dyDescent="0.2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x14ac:dyDescent="0.2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x14ac:dyDescent="0.2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x14ac:dyDescent="0.2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x14ac:dyDescent="0.2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x14ac:dyDescent="0.2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x14ac:dyDescent="0.2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x14ac:dyDescent="0.2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x14ac:dyDescent="0.2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x14ac:dyDescent="0.2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x14ac:dyDescent="0.2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x14ac:dyDescent="0.2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x14ac:dyDescent="0.2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x14ac:dyDescent="0.2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x14ac:dyDescent="0.2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x14ac:dyDescent="0.2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x14ac:dyDescent="0.2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x14ac:dyDescent="0.2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x14ac:dyDescent="0.2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x14ac:dyDescent="0.2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x14ac:dyDescent="0.2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x14ac:dyDescent="0.2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x14ac:dyDescent="0.2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x14ac:dyDescent="0.2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x14ac:dyDescent="0.2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x14ac:dyDescent="0.2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x14ac:dyDescent="0.2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x14ac:dyDescent="0.2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x14ac:dyDescent="0.2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x14ac:dyDescent="0.2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x14ac:dyDescent="0.2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x14ac:dyDescent="0.2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x14ac:dyDescent="0.2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x14ac:dyDescent="0.2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x14ac:dyDescent="0.2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x14ac:dyDescent="0.2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x14ac:dyDescent="0.2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x14ac:dyDescent="0.2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x14ac:dyDescent="0.2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x14ac:dyDescent="0.2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x14ac:dyDescent="0.2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x14ac:dyDescent="0.2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x14ac:dyDescent="0.2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x14ac:dyDescent="0.2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x14ac:dyDescent="0.2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x14ac:dyDescent="0.2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x14ac:dyDescent="0.2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x14ac:dyDescent="0.2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x14ac:dyDescent="0.2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x14ac:dyDescent="0.2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x14ac:dyDescent="0.2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x14ac:dyDescent="0.2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x14ac:dyDescent="0.2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x14ac:dyDescent="0.2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x14ac:dyDescent="0.2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x14ac:dyDescent="0.2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x14ac:dyDescent="0.2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x14ac:dyDescent="0.2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x14ac:dyDescent="0.2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x14ac:dyDescent="0.2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x14ac:dyDescent="0.2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x14ac:dyDescent="0.2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x14ac:dyDescent="0.2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x14ac:dyDescent="0.2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x14ac:dyDescent="0.2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x14ac:dyDescent="0.2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x14ac:dyDescent="0.2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x14ac:dyDescent="0.2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Index</vt:lpstr>
      <vt:lpstr>V</vt:lpstr>
      <vt:lpstr>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francois teyssier</dc:creator>
  <cp:lastModifiedBy>francois teyssier</cp:lastModifiedBy>
  <dcterms:created xsi:type="dcterms:W3CDTF">2015-04-04T15:31:14Z</dcterms:created>
  <dcterms:modified xsi:type="dcterms:W3CDTF">2020-10-21T19:46:07Z</dcterms:modified>
</cp:coreProperties>
</file>