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49486DB9-8831-4B8C-8D39-FBB42C43539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dex" sheetId="2" r:id="rId1"/>
    <sheet name="Feuil2" sheetId="6" r:id="rId2"/>
    <sheet name="V" sheetId="1" r:id="rId3"/>
    <sheet name="Vis" sheetId="5" r:id="rId4"/>
    <sheet name="B" sheetId="4" r:id="rId5"/>
    <sheet name="Feuil1" sheetId="3" r:id="rId6"/>
    <sheet name="M" sheetId="7" r:id="rId7"/>
    <sheet name="Feuil3" sheetId="8" r:id="rId8"/>
  </sheets>
  <externalReferences>
    <externalReference r:id="rId9"/>
    <externalReference r:id="rId10"/>
    <externalReference r:id="rId11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1" i="2" l="1"/>
  <c r="C211" i="2"/>
  <c r="D211" i="2"/>
  <c r="E211" i="2"/>
  <c r="F211" i="2"/>
  <c r="G211" i="2"/>
  <c r="H211" i="2"/>
  <c r="I211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L5" i="8" l="1"/>
  <c r="B168" i="2" l="1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34" i="2" l="1"/>
  <c r="C134" i="2"/>
  <c r="D134" i="2"/>
  <c r="E134" i="2"/>
  <c r="F134" i="2"/>
  <c r="G134" i="2"/>
  <c r="H134" i="2"/>
  <c r="I134" i="2"/>
  <c r="J134" i="2"/>
  <c r="K134" i="2"/>
  <c r="B135" i="2"/>
  <c r="C135" i="2"/>
  <c r="D135" i="2"/>
  <c r="E135" i="2"/>
  <c r="F135" i="2"/>
  <c r="G135" i="2"/>
  <c r="H135" i="2"/>
  <c r="I135" i="2"/>
  <c r="J135" i="2"/>
  <c r="K135" i="2"/>
  <c r="B136" i="2"/>
  <c r="C136" i="2"/>
  <c r="D136" i="2"/>
  <c r="E136" i="2"/>
  <c r="F136" i="2"/>
  <c r="G136" i="2"/>
  <c r="H136" i="2"/>
  <c r="I136" i="2"/>
  <c r="J136" i="2"/>
  <c r="K136" i="2"/>
  <c r="B137" i="2"/>
  <c r="C137" i="2"/>
  <c r="D137" i="2"/>
  <c r="E137" i="2"/>
  <c r="F137" i="2"/>
  <c r="G137" i="2"/>
  <c r="H137" i="2"/>
  <c r="I137" i="2"/>
  <c r="J137" i="2"/>
  <c r="K137" i="2"/>
  <c r="B138" i="2"/>
  <c r="C138" i="2"/>
  <c r="D138" i="2"/>
  <c r="E138" i="2"/>
  <c r="F138" i="2"/>
  <c r="G138" i="2"/>
  <c r="H138" i="2"/>
  <c r="I138" i="2"/>
  <c r="J138" i="2"/>
  <c r="K138" i="2"/>
  <c r="B139" i="2"/>
  <c r="C139" i="2"/>
  <c r="D139" i="2"/>
  <c r="E139" i="2"/>
  <c r="F139" i="2"/>
  <c r="G139" i="2"/>
  <c r="H139" i="2"/>
  <c r="I139" i="2"/>
  <c r="J139" i="2"/>
  <c r="K139" i="2"/>
  <c r="B123" i="2"/>
  <c r="C123" i="2"/>
  <c r="D123" i="2"/>
  <c r="E123" i="2"/>
  <c r="F123" i="2"/>
  <c r="G123" i="2"/>
  <c r="H123" i="2"/>
  <c r="I123" i="2"/>
  <c r="J123" i="2"/>
  <c r="K123" i="2"/>
  <c r="B124" i="2"/>
  <c r="C124" i="2"/>
  <c r="D124" i="2"/>
  <c r="E124" i="2"/>
  <c r="F124" i="2"/>
  <c r="G124" i="2"/>
  <c r="H124" i="2"/>
  <c r="I124" i="2"/>
  <c r="J124" i="2"/>
  <c r="K124" i="2"/>
  <c r="B125" i="2"/>
  <c r="C125" i="2"/>
  <c r="D125" i="2"/>
  <c r="E125" i="2"/>
  <c r="F125" i="2"/>
  <c r="G125" i="2"/>
  <c r="H125" i="2"/>
  <c r="I125" i="2"/>
  <c r="J125" i="2"/>
  <c r="K125" i="2"/>
  <c r="B126" i="2"/>
  <c r="C126" i="2"/>
  <c r="D126" i="2"/>
  <c r="E126" i="2"/>
  <c r="F126" i="2"/>
  <c r="G126" i="2"/>
  <c r="H126" i="2"/>
  <c r="I126" i="2"/>
  <c r="J126" i="2"/>
  <c r="K126" i="2"/>
  <c r="B127" i="2"/>
  <c r="C127" i="2"/>
  <c r="D127" i="2"/>
  <c r="E127" i="2"/>
  <c r="F127" i="2"/>
  <c r="G127" i="2"/>
  <c r="H127" i="2"/>
  <c r="I127" i="2"/>
  <c r="J127" i="2"/>
  <c r="K127" i="2"/>
  <c r="B128" i="2"/>
  <c r="C128" i="2"/>
  <c r="D128" i="2"/>
  <c r="E128" i="2"/>
  <c r="F128" i="2"/>
  <c r="G128" i="2"/>
  <c r="H128" i="2"/>
  <c r="I128" i="2"/>
  <c r="J128" i="2"/>
  <c r="K128" i="2"/>
  <c r="B129" i="2"/>
  <c r="C129" i="2"/>
  <c r="D129" i="2"/>
  <c r="E129" i="2"/>
  <c r="F129" i="2"/>
  <c r="G129" i="2"/>
  <c r="H129" i="2"/>
  <c r="I129" i="2"/>
  <c r="J129" i="2"/>
  <c r="K129" i="2"/>
  <c r="B130" i="2"/>
  <c r="C130" i="2"/>
  <c r="D130" i="2"/>
  <c r="E130" i="2"/>
  <c r="F130" i="2"/>
  <c r="G130" i="2"/>
  <c r="H130" i="2"/>
  <c r="I130" i="2"/>
  <c r="J130" i="2"/>
  <c r="K130" i="2"/>
  <c r="B131" i="2"/>
  <c r="C131" i="2"/>
  <c r="D131" i="2"/>
  <c r="E131" i="2"/>
  <c r="F131" i="2"/>
  <c r="G131" i="2"/>
  <c r="H131" i="2"/>
  <c r="I131" i="2"/>
  <c r="J131" i="2"/>
  <c r="K131" i="2"/>
  <c r="B132" i="2"/>
  <c r="C132" i="2"/>
  <c r="D132" i="2"/>
  <c r="E132" i="2"/>
  <c r="F132" i="2"/>
  <c r="G132" i="2"/>
  <c r="H132" i="2"/>
  <c r="I132" i="2"/>
  <c r="J132" i="2"/>
  <c r="K132" i="2"/>
  <c r="B133" i="2"/>
  <c r="C133" i="2"/>
  <c r="D133" i="2"/>
  <c r="E133" i="2"/>
  <c r="F133" i="2"/>
  <c r="G133" i="2"/>
  <c r="H133" i="2"/>
  <c r="I133" i="2"/>
  <c r="J133" i="2"/>
  <c r="K133" i="2"/>
  <c r="E5" i="8" l="1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4" i="8"/>
  <c r="B121" i="2"/>
  <c r="C121" i="2"/>
  <c r="D121" i="2"/>
  <c r="E121" i="2"/>
  <c r="F121" i="2"/>
  <c r="G121" i="2"/>
  <c r="H121" i="2"/>
  <c r="I121" i="2"/>
  <c r="J121" i="2"/>
  <c r="K121" i="2"/>
  <c r="B122" i="2"/>
  <c r="C122" i="2"/>
  <c r="D122" i="2"/>
  <c r="E122" i="2"/>
  <c r="F122" i="2"/>
  <c r="G122" i="2"/>
  <c r="H122" i="2"/>
  <c r="I122" i="2"/>
  <c r="J122" i="2"/>
  <c r="K122" i="2"/>
  <c r="B113" i="2"/>
  <c r="C113" i="2"/>
  <c r="D113" i="2"/>
  <c r="E113" i="2"/>
  <c r="F113" i="2"/>
  <c r="G113" i="2"/>
  <c r="H113" i="2"/>
  <c r="I113" i="2"/>
  <c r="J113" i="2"/>
  <c r="K113" i="2"/>
  <c r="B114" i="2"/>
  <c r="C114" i="2"/>
  <c r="D114" i="2"/>
  <c r="E114" i="2"/>
  <c r="F114" i="2"/>
  <c r="G114" i="2"/>
  <c r="H114" i="2"/>
  <c r="I114" i="2"/>
  <c r="J114" i="2"/>
  <c r="K114" i="2"/>
  <c r="B115" i="2"/>
  <c r="C115" i="2"/>
  <c r="D115" i="2"/>
  <c r="E115" i="2"/>
  <c r="F115" i="2"/>
  <c r="G115" i="2"/>
  <c r="H115" i="2"/>
  <c r="I115" i="2"/>
  <c r="J115" i="2"/>
  <c r="K115" i="2"/>
  <c r="B116" i="2"/>
  <c r="C116" i="2"/>
  <c r="D116" i="2"/>
  <c r="E116" i="2"/>
  <c r="F116" i="2"/>
  <c r="G116" i="2"/>
  <c r="H116" i="2"/>
  <c r="I116" i="2"/>
  <c r="J116" i="2"/>
  <c r="K116" i="2"/>
  <c r="B117" i="2"/>
  <c r="C117" i="2"/>
  <c r="D117" i="2"/>
  <c r="E117" i="2"/>
  <c r="F117" i="2"/>
  <c r="G117" i="2"/>
  <c r="H117" i="2"/>
  <c r="I117" i="2"/>
  <c r="J117" i="2"/>
  <c r="K117" i="2"/>
  <c r="B118" i="2"/>
  <c r="C118" i="2"/>
  <c r="D118" i="2"/>
  <c r="E118" i="2"/>
  <c r="F118" i="2"/>
  <c r="G118" i="2"/>
  <c r="H118" i="2"/>
  <c r="I118" i="2"/>
  <c r="J118" i="2"/>
  <c r="K118" i="2"/>
  <c r="B119" i="2"/>
  <c r="C119" i="2"/>
  <c r="D119" i="2"/>
  <c r="E119" i="2"/>
  <c r="F119" i="2"/>
  <c r="G119" i="2"/>
  <c r="H119" i="2"/>
  <c r="I119" i="2"/>
  <c r="J119" i="2"/>
  <c r="K119" i="2"/>
  <c r="B120" i="2"/>
  <c r="C120" i="2"/>
  <c r="D120" i="2"/>
  <c r="E120" i="2"/>
  <c r="F120" i="2"/>
  <c r="G120" i="2"/>
  <c r="H120" i="2"/>
  <c r="I120" i="2"/>
  <c r="J120" i="2"/>
  <c r="K120" i="2"/>
  <c r="B106" i="2"/>
  <c r="C106" i="2"/>
  <c r="D106" i="2"/>
  <c r="E106" i="2"/>
  <c r="F106" i="2"/>
  <c r="G106" i="2"/>
  <c r="H106" i="2"/>
  <c r="I106" i="2"/>
  <c r="J106" i="2"/>
  <c r="K106" i="2"/>
  <c r="B107" i="2"/>
  <c r="C107" i="2"/>
  <c r="D107" i="2"/>
  <c r="E107" i="2"/>
  <c r="F107" i="2"/>
  <c r="G107" i="2"/>
  <c r="H107" i="2"/>
  <c r="I107" i="2"/>
  <c r="J107" i="2"/>
  <c r="K107" i="2"/>
  <c r="B108" i="2"/>
  <c r="C108" i="2"/>
  <c r="D108" i="2"/>
  <c r="E108" i="2"/>
  <c r="F108" i="2"/>
  <c r="G108" i="2"/>
  <c r="H108" i="2"/>
  <c r="I108" i="2"/>
  <c r="J108" i="2"/>
  <c r="K108" i="2"/>
  <c r="B109" i="2"/>
  <c r="C109" i="2"/>
  <c r="D109" i="2"/>
  <c r="E109" i="2"/>
  <c r="F109" i="2"/>
  <c r="G109" i="2"/>
  <c r="H109" i="2"/>
  <c r="I109" i="2"/>
  <c r="J109" i="2"/>
  <c r="K109" i="2"/>
  <c r="B110" i="2"/>
  <c r="C110" i="2"/>
  <c r="D110" i="2"/>
  <c r="E110" i="2"/>
  <c r="F110" i="2"/>
  <c r="G110" i="2"/>
  <c r="H110" i="2"/>
  <c r="I110" i="2"/>
  <c r="J110" i="2"/>
  <c r="K110" i="2"/>
  <c r="B111" i="2"/>
  <c r="C111" i="2"/>
  <c r="D111" i="2"/>
  <c r="E111" i="2"/>
  <c r="F111" i="2"/>
  <c r="G111" i="2"/>
  <c r="H111" i="2"/>
  <c r="I111" i="2"/>
  <c r="J111" i="2"/>
  <c r="K111" i="2"/>
  <c r="B112" i="2"/>
  <c r="C112" i="2"/>
  <c r="D112" i="2"/>
  <c r="E112" i="2"/>
  <c r="F112" i="2"/>
  <c r="G112" i="2"/>
  <c r="H112" i="2"/>
  <c r="I112" i="2"/>
  <c r="J112" i="2"/>
  <c r="K112" i="2"/>
  <c r="B100" i="2"/>
  <c r="C100" i="2"/>
  <c r="D100" i="2"/>
  <c r="E100" i="2"/>
  <c r="F100" i="2"/>
  <c r="G100" i="2"/>
  <c r="H100" i="2"/>
  <c r="I100" i="2"/>
  <c r="J100" i="2"/>
  <c r="K100" i="2"/>
  <c r="B101" i="2"/>
  <c r="C101" i="2"/>
  <c r="D101" i="2"/>
  <c r="E101" i="2"/>
  <c r="F101" i="2"/>
  <c r="G101" i="2"/>
  <c r="H101" i="2"/>
  <c r="I101" i="2"/>
  <c r="J101" i="2"/>
  <c r="K101" i="2"/>
  <c r="B102" i="2"/>
  <c r="C102" i="2"/>
  <c r="D102" i="2"/>
  <c r="E102" i="2"/>
  <c r="F102" i="2"/>
  <c r="G102" i="2"/>
  <c r="H102" i="2"/>
  <c r="I102" i="2"/>
  <c r="J102" i="2"/>
  <c r="K102" i="2"/>
  <c r="B103" i="2"/>
  <c r="C103" i="2"/>
  <c r="D103" i="2"/>
  <c r="E103" i="2"/>
  <c r="F103" i="2"/>
  <c r="G103" i="2"/>
  <c r="H103" i="2"/>
  <c r="I103" i="2"/>
  <c r="J103" i="2"/>
  <c r="K103" i="2"/>
  <c r="B104" i="2"/>
  <c r="C104" i="2"/>
  <c r="D104" i="2"/>
  <c r="E104" i="2"/>
  <c r="F104" i="2"/>
  <c r="G104" i="2"/>
  <c r="H104" i="2"/>
  <c r="I104" i="2"/>
  <c r="J104" i="2"/>
  <c r="K104" i="2"/>
  <c r="B105" i="2"/>
  <c r="C105" i="2"/>
  <c r="D105" i="2"/>
  <c r="E105" i="2"/>
  <c r="F105" i="2"/>
  <c r="G105" i="2"/>
  <c r="H105" i="2"/>
  <c r="I105" i="2"/>
  <c r="J105" i="2"/>
  <c r="K105" i="2"/>
  <c r="B89" i="2"/>
  <c r="C89" i="2"/>
  <c r="D89" i="2"/>
  <c r="E89" i="2"/>
  <c r="F89" i="2"/>
  <c r="G89" i="2"/>
  <c r="H89" i="2"/>
  <c r="I89" i="2"/>
  <c r="J89" i="2"/>
  <c r="K89" i="2"/>
  <c r="B90" i="2"/>
  <c r="C90" i="2"/>
  <c r="D90" i="2"/>
  <c r="E90" i="2"/>
  <c r="F90" i="2"/>
  <c r="G90" i="2"/>
  <c r="H90" i="2"/>
  <c r="I90" i="2"/>
  <c r="J90" i="2"/>
  <c r="K90" i="2"/>
  <c r="B91" i="2"/>
  <c r="C91" i="2"/>
  <c r="D91" i="2"/>
  <c r="E91" i="2"/>
  <c r="F91" i="2"/>
  <c r="G91" i="2"/>
  <c r="H91" i="2"/>
  <c r="I91" i="2"/>
  <c r="J91" i="2"/>
  <c r="K91" i="2"/>
  <c r="B92" i="2"/>
  <c r="C92" i="2"/>
  <c r="D92" i="2"/>
  <c r="E92" i="2"/>
  <c r="F92" i="2"/>
  <c r="G92" i="2"/>
  <c r="H92" i="2"/>
  <c r="I92" i="2"/>
  <c r="J92" i="2"/>
  <c r="K92" i="2"/>
  <c r="B93" i="2"/>
  <c r="C93" i="2"/>
  <c r="D93" i="2"/>
  <c r="E93" i="2"/>
  <c r="F93" i="2"/>
  <c r="G93" i="2"/>
  <c r="H93" i="2"/>
  <c r="I93" i="2"/>
  <c r="J93" i="2"/>
  <c r="K93" i="2"/>
  <c r="B94" i="2"/>
  <c r="C94" i="2"/>
  <c r="D94" i="2"/>
  <c r="E94" i="2"/>
  <c r="F94" i="2"/>
  <c r="G94" i="2"/>
  <c r="H94" i="2"/>
  <c r="I94" i="2"/>
  <c r="J94" i="2"/>
  <c r="K94" i="2"/>
  <c r="B95" i="2"/>
  <c r="C95" i="2"/>
  <c r="D95" i="2"/>
  <c r="E95" i="2"/>
  <c r="F95" i="2"/>
  <c r="G95" i="2"/>
  <c r="H95" i="2"/>
  <c r="I95" i="2"/>
  <c r="J95" i="2"/>
  <c r="K95" i="2"/>
  <c r="B96" i="2"/>
  <c r="C96" i="2"/>
  <c r="D96" i="2"/>
  <c r="E96" i="2"/>
  <c r="F96" i="2"/>
  <c r="G96" i="2"/>
  <c r="H96" i="2"/>
  <c r="I96" i="2"/>
  <c r="J96" i="2"/>
  <c r="K96" i="2"/>
  <c r="B97" i="2"/>
  <c r="C97" i="2"/>
  <c r="D97" i="2"/>
  <c r="E97" i="2"/>
  <c r="F97" i="2"/>
  <c r="G97" i="2"/>
  <c r="H97" i="2"/>
  <c r="I97" i="2"/>
  <c r="J97" i="2"/>
  <c r="K97" i="2"/>
  <c r="B98" i="2"/>
  <c r="C98" i="2"/>
  <c r="D98" i="2"/>
  <c r="E98" i="2"/>
  <c r="F98" i="2"/>
  <c r="G98" i="2"/>
  <c r="H98" i="2"/>
  <c r="I98" i="2"/>
  <c r="J98" i="2"/>
  <c r="K98" i="2"/>
  <c r="B99" i="2"/>
  <c r="C99" i="2"/>
  <c r="D99" i="2"/>
  <c r="E99" i="2"/>
  <c r="F99" i="2"/>
  <c r="G99" i="2"/>
  <c r="H99" i="2"/>
  <c r="I99" i="2"/>
  <c r="J99" i="2"/>
  <c r="K99" i="2"/>
  <c r="B80" i="2"/>
  <c r="C80" i="2"/>
  <c r="D80" i="2"/>
  <c r="E80" i="2"/>
  <c r="F80" i="2"/>
  <c r="G80" i="2"/>
  <c r="H80" i="2"/>
  <c r="I80" i="2"/>
  <c r="J80" i="2"/>
  <c r="K80" i="2"/>
  <c r="B81" i="2"/>
  <c r="C81" i="2"/>
  <c r="D81" i="2"/>
  <c r="E81" i="2"/>
  <c r="F81" i="2"/>
  <c r="G81" i="2"/>
  <c r="H81" i="2"/>
  <c r="I81" i="2"/>
  <c r="J81" i="2"/>
  <c r="K81" i="2"/>
  <c r="B82" i="2"/>
  <c r="C82" i="2"/>
  <c r="D82" i="2"/>
  <c r="E82" i="2"/>
  <c r="F82" i="2"/>
  <c r="G82" i="2"/>
  <c r="H82" i="2"/>
  <c r="I82" i="2"/>
  <c r="J82" i="2"/>
  <c r="K82" i="2"/>
  <c r="B83" i="2"/>
  <c r="C83" i="2"/>
  <c r="D83" i="2"/>
  <c r="E83" i="2"/>
  <c r="F83" i="2"/>
  <c r="G83" i="2"/>
  <c r="H83" i="2"/>
  <c r="I83" i="2"/>
  <c r="J83" i="2"/>
  <c r="K83" i="2"/>
  <c r="B84" i="2"/>
  <c r="C84" i="2"/>
  <c r="D84" i="2"/>
  <c r="E84" i="2"/>
  <c r="F84" i="2"/>
  <c r="G84" i="2"/>
  <c r="H84" i="2"/>
  <c r="I84" i="2"/>
  <c r="J84" i="2"/>
  <c r="K84" i="2"/>
  <c r="B85" i="2"/>
  <c r="C85" i="2"/>
  <c r="D85" i="2"/>
  <c r="E85" i="2"/>
  <c r="F85" i="2"/>
  <c r="G85" i="2"/>
  <c r="H85" i="2"/>
  <c r="I85" i="2"/>
  <c r="J85" i="2"/>
  <c r="K85" i="2"/>
  <c r="B86" i="2"/>
  <c r="C86" i="2"/>
  <c r="D86" i="2"/>
  <c r="E86" i="2"/>
  <c r="F86" i="2"/>
  <c r="G86" i="2"/>
  <c r="H86" i="2"/>
  <c r="I86" i="2"/>
  <c r="J86" i="2"/>
  <c r="K86" i="2"/>
  <c r="B87" i="2"/>
  <c r="C87" i="2"/>
  <c r="D87" i="2"/>
  <c r="E87" i="2"/>
  <c r="F87" i="2"/>
  <c r="G87" i="2"/>
  <c r="H87" i="2"/>
  <c r="I87" i="2"/>
  <c r="J87" i="2"/>
  <c r="K87" i="2"/>
  <c r="B88" i="2"/>
  <c r="C88" i="2"/>
  <c r="D88" i="2"/>
  <c r="E88" i="2"/>
  <c r="F88" i="2"/>
  <c r="G88" i="2"/>
  <c r="H88" i="2"/>
  <c r="I88" i="2"/>
  <c r="J88" i="2"/>
  <c r="K88" i="2"/>
  <c r="B67" i="2"/>
  <c r="C67" i="2"/>
  <c r="D67" i="2"/>
  <c r="E67" i="2"/>
  <c r="F67" i="2"/>
  <c r="G67" i="2"/>
  <c r="H67" i="2"/>
  <c r="I67" i="2"/>
  <c r="J67" i="2"/>
  <c r="K67" i="2"/>
  <c r="B68" i="2"/>
  <c r="C68" i="2"/>
  <c r="D68" i="2"/>
  <c r="E68" i="2"/>
  <c r="F68" i="2"/>
  <c r="G68" i="2"/>
  <c r="H68" i="2"/>
  <c r="I68" i="2"/>
  <c r="J68" i="2"/>
  <c r="K68" i="2"/>
  <c r="B69" i="2"/>
  <c r="C69" i="2"/>
  <c r="D69" i="2"/>
  <c r="E69" i="2"/>
  <c r="F69" i="2"/>
  <c r="G69" i="2"/>
  <c r="H69" i="2"/>
  <c r="I69" i="2"/>
  <c r="J69" i="2"/>
  <c r="K69" i="2"/>
  <c r="B70" i="2"/>
  <c r="C70" i="2"/>
  <c r="D70" i="2"/>
  <c r="E70" i="2"/>
  <c r="F70" i="2"/>
  <c r="G70" i="2"/>
  <c r="H70" i="2"/>
  <c r="I70" i="2"/>
  <c r="J70" i="2"/>
  <c r="K70" i="2"/>
  <c r="B71" i="2"/>
  <c r="C71" i="2"/>
  <c r="D71" i="2"/>
  <c r="E71" i="2"/>
  <c r="F71" i="2"/>
  <c r="G71" i="2"/>
  <c r="H71" i="2"/>
  <c r="I71" i="2"/>
  <c r="J71" i="2"/>
  <c r="K71" i="2"/>
  <c r="B72" i="2"/>
  <c r="C72" i="2"/>
  <c r="D72" i="2"/>
  <c r="E72" i="2"/>
  <c r="F72" i="2"/>
  <c r="G72" i="2"/>
  <c r="H72" i="2"/>
  <c r="I72" i="2"/>
  <c r="J72" i="2"/>
  <c r="K72" i="2"/>
  <c r="B73" i="2"/>
  <c r="C73" i="2"/>
  <c r="D73" i="2"/>
  <c r="E73" i="2"/>
  <c r="F73" i="2"/>
  <c r="G73" i="2"/>
  <c r="H73" i="2"/>
  <c r="I73" i="2"/>
  <c r="J73" i="2"/>
  <c r="K73" i="2"/>
  <c r="B74" i="2"/>
  <c r="C74" i="2"/>
  <c r="D74" i="2"/>
  <c r="E74" i="2"/>
  <c r="F74" i="2"/>
  <c r="G74" i="2"/>
  <c r="H74" i="2"/>
  <c r="I74" i="2"/>
  <c r="J74" i="2"/>
  <c r="K74" i="2"/>
  <c r="B75" i="2"/>
  <c r="C75" i="2"/>
  <c r="D75" i="2"/>
  <c r="E75" i="2"/>
  <c r="F75" i="2"/>
  <c r="G75" i="2"/>
  <c r="H75" i="2"/>
  <c r="I75" i="2"/>
  <c r="J75" i="2"/>
  <c r="K75" i="2"/>
  <c r="B76" i="2"/>
  <c r="C76" i="2"/>
  <c r="D76" i="2"/>
  <c r="E76" i="2"/>
  <c r="F76" i="2"/>
  <c r="G76" i="2"/>
  <c r="H76" i="2"/>
  <c r="I76" i="2"/>
  <c r="J76" i="2"/>
  <c r="K76" i="2"/>
  <c r="B77" i="2"/>
  <c r="C77" i="2"/>
  <c r="D77" i="2"/>
  <c r="E77" i="2"/>
  <c r="F77" i="2"/>
  <c r="G77" i="2"/>
  <c r="H77" i="2"/>
  <c r="I77" i="2"/>
  <c r="J77" i="2"/>
  <c r="K77" i="2"/>
  <c r="B78" i="2"/>
  <c r="C78" i="2"/>
  <c r="D78" i="2"/>
  <c r="E78" i="2"/>
  <c r="F78" i="2"/>
  <c r="G78" i="2"/>
  <c r="H78" i="2"/>
  <c r="I78" i="2"/>
  <c r="J78" i="2"/>
  <c r="K78" i="2"/>
  <c r="B79" i="2"/>
  <c r="C79" i="2"/>
  <c r="D79" i="2"/>
  <c r="E79" i="2"/>
  <c r="F79" i="2"/>
  <c r="G79" i="2"/>
  <c r="H79" i="2"/>
  <c r="I79" i="2"/>
  <c r="J79" i="2"/>
  <c r="K79" i="2"/>
  <c r="B47" i="2"/>
  <c r="C47" i="2"/>
  <c r="D47" i="2"/>
  <c r="E47" i="2"/>
  <c r="F47" i="2"/>
  <c r="G47" i="2"/>
  <c r="H47" i="2"/>
  <c r="I47" i="2"/>
  <c r="J47" i="2"/>
  <c r="K47" i="2"/>
  <c r="B48" i="2"/>
  <c r="C48" i="2"/>
  <c r="D48" i="2"/>
  <c r="E48" i="2"/>
  <c r="F48" i="2"/>
  <c r="G48" i="2"/>
  <c r="H48" i="2"/>
  <c r="I48" i="2"/>
  <c r="J48" i="2"/>
  <c r="K48" i="2"/>
  <c r="B49" i="2"/>
  <c r="C49" i="2"/>
  <c r="D49" i="2"/>
  <c r="E49" i="2"/>
  <c r="F49" i="2"/>
  <c r="G49" i="2"/>
  <c r="H49" i="2"/>
  <c r="I49" i="2"/>
  <c r="J49" i="2"/>
  <c r="K49" i="2"/>
  <c r="B50" i="2"/>
  <c r="C50" i="2"/>
  <c r="D50" i="2"/>
  <c r="E50" i="2"/>
  <c r="F50" i="2"/>
  <c r="G50" i="2"/>
  <c r="H50" i="2"/>
  <c r="I50" i="2"/>
  <c r="J50" i="2"/>
  <c r="K50" i="2"/>
  <c r="B51" i="2"/>
  <c r="C51" i="2"/>
  <c r="D51" i="2"/>
  <c r="E51" i="2"/>
  <c r="F51" i="2"/>
  <c r="G51" i="2"/>
  <c r="H51" i="2"/>
  <c r="I51" i="2"/>
  <c r="J51" i="2"/>
  <c r="K51" i="2"/>
  <c r="B52" i="2"/>
  <c r="C52" i="2"/>
  <c r="D52" i="2"/>
  <c r="E52" i="2"/>
  <c r="F52" i="2"/>
  <c r="G52" i="2"/>
  <c r="H52" i="2"/>
  <c r="I52" i="2"/>
  <c r="J52" i="2"/>
  <c r="K52" i="2"/>
  <c r="B53" i="2"/>
  <c r="C53" i="2"/>
  <c r="D53" i="2"/>
  <c r="E53" i="2"/>
  <c r="F53" i="2"/>
  <c r="G53" i="2"/>
  <c r="H53" i="2"/>
  <c r="I53" i="2"/>
  <c r="J53" i="2"/>
  <c r="K53" i="2"/>
  <c r="B54" i="2"/>
  <c r="C54" i="2"/>
  <c r="D54" i="2"/>
  <c r="E54" i="2"/>
  <c r="F54" i="2"/>
  <c r="G54" i="2"/>
  <c r="H54" i="2"/>
  <c r="I54" i="2"/>
  <c r="J54" i="2"/>
  <c r="K54" i="2"/>
  <c r="B55" i="2"/>
  <c r="C55" i="2"/>
  <c r="D55" i="2"/>
  <c r="E55" i="2"/>
  <c r="F55" i="2"/>
  <c r="G55" i="2"/>
  <c r="H55" i="2"/>
  <c r="I55" i="2"/>
  <c r="J55" i="2"/>
  <c r="K55" i="2"/>
  <c r="B56" i="2"/>
  <c r="C56" i="2"/>
  <c r="D56" i="2"/>
  <c r="E56" i="2"/>
  <c r="F56" i="2"/>
  <c r="G56" i="2"/>
  <c r="H56" i="2"/>
  <c r="I56" i="2"/>
  <c r="J56" i="2"/>
  <c r="K56" i="2"/>
  <c r="B57" i="2"/>
  <c r="C57" i="2"/>
  <c r="D57" i="2"/>
  <c r="E57" i="2"/>
  <c r="F57" i="2"/>
  <c r="G57" i="2"/>
  <c r="H57" i="2"/>
  <c r="I57" i="2"/>
  <c r="J57" i="2"/>
  <c r="K57" i="2"/>
  <c r="B58" i="2"/>
  <c r="C58" i="2"/>
  <c r="D58" i="2"/>
  <c r="E58" i="2"/>
  <c r="F58" i="2"/>
  <c r="G58" i="2"/>
  <c r="H58" i="2"/>
  <c r="I58" i="2"/>
  <c r="J58" i="2"/>
  <c r="K58" i="2"/>
  <c r="B59" i="2"/>
  <c r="C59" i="2"/>
  <c r="D59" i="2"/>
  <c r="E59" i="2"/>
  <c r="F59" i="2"/>
  <c r="G59" i="2"/>
  <c r="H59" i="2"/>
  <c r="I59" i="2"/>
  <c r="J59" i="2"/>
  <c r="K59" i="2"/>
  <c r="B60" i="2"/>
  <c r="C60" i="2"/>
  <c r="D60" i="2"/>
  <c r="E60" i="2"/>
  <c r="F60" i="2"/>
  <c r="G60" i="2"/>
  <c r="H60" i="2"/>
  <c r="I60" i="2"/>
  <c r="J60" i="2"/>
  <c r="K60" i="2"/>
  <c r="B61" i="2"/>
  <c r="C61" i="2"/>
  <c r="D61" i="2"/>
  <c r="E61" i="2"/>
  <c r="F61" i="2"/>
  <c r="G61" i="2"/>
  <c r="H61" i="2"/>
  <c r="I61" i="2"/>
  <c r="J61" i="2"/>
  <c r="K61" i="2"/>
  <c r="B62" i="2"/>
  <c r="C62" i="2"/>
  <c r="D62" i="2"/>
  <c r="E62" i="2"/>
  <c r="F62" i="2"/>
  <c r="G62" i="2"/>
  <c r="H62" i="2"/>
  <c r="I62" i="2"/>
  <c r="J62" i="2"/>
  <c r="K62" i="2"/>
  <c r="B63" i="2"/>
  <c r="C63" i="2"/>
  <c r="D63" i="2"/>
  <c r="E63" i="2"/>
  <c r="F63" i="2"/>
  <c r="G63" i="2"/>
  <c r="H63" i="2"/>
  <c r="I63" i="2"/>
  <c r="J63" i="2"/>
  <c r="K63" i="2"/>
  <c r="B64" i="2"/>
  <c r="C64" i="2"/>
  <c r="D64" i="2"/>
  <c r="E64" i="2"/>
  <c r="F64" i="2"/>
  <c r="G64" i="2"/>
  <c r="H64" i="2"/>
  <c r="I64" i="2"/>
  <c r="J64" i="2"/>
  <c r="K64" i="2"/>
  <c r="B65" i="2"/>
  <c r="C65" i="2"/>
  <c r="D65" i="2"/>
  <c r="E65" i="2"/>
  <c r="F65" i="2"/>
  <c r="G65" i="2"/>
  <c r="H65" i="2"/>
  <c r="I65" i="2"/>
  <c r="J65" i="2"/>
  <c r="K65" i="2"/>
  <c r="B66" i="2"/>
  <c r="C66" i="2"/>
  <c r="D66" i="2"/>
  <c r="E66" i="2"/>
  <c r="F66" i="2"/>
  <c r="G66" i="2"/>
  <c r="H66" i="2"/>
  <c r="I66" i="2"/>
  <c r="J66" i="2"/>
  <c r="K66" i="2"/>
  <c r="C34" i="7" l="1"/>
  <c r="C33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G14" i="7" s="1"/>
  <c r="C18" i="7"/>
  <c r="C17" i="7"/>
  <c r="C16" i="7"/>
  <c r="G13" i="7"/>
  <c r="D13" i="7"/>
  <c r="G12" i="7"/>
  <c r="G10" i="7"/>
  <c r="G9" i="7"/>
  <c r="G7" i="7"/>
  <c r="E5" i="7"/>
  <c r="E4" i="7" s="1"/>
  <c r="H4" i="7" s="1"/>
  <c r="N34" i="2" l="1"/>
  <c r="N35" i="2"/>
  <c r="N36" i="2"/>
  <c r="N37" i="2"/>
  <c r="N38" i="2"/>
  <c r="N39" i="2"/>
  <c r="N40" i="2"/>
  <c r="N41" i="2"/>
  <c r="N42" i="2"/>
  <c r="N44" i="2"/>
  <c r="N45" i="2"/>
  <c r="N46" i="2"/>
  <c r="B25" i="2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F30" i="2"/>
  <c r="G30" i="2"/>
  <c r="H30" i="2"/>
  <c r="I30" i="2"/>
  <c r="J30" i="2"/>
  <c r="K30" i="2"/>
  <c r="B31" i="2"/>
  <c r="C31" i="2"/>
  <c r="D31" i="2"/>
  <c r="E31" i="2"/>
  <c r="F31" i="2"/>
  <c r="G31" i="2"/>
  <c r="H31" i="2"/>
  <c r="I31" i="2"/>
  <c r="J31" i="2"/>
  <c r="K31" i="2"/>
  <c r="B32" i="2"/>
  <c r="C32" i="2"/>
  <c r="D32" i="2"/>
  <c r="E32" i="2"/>
  <c r="F32" i="2"/>
  <c r="G32" i="2"/>
  <c r="H32" i="2"/>
  <c r="I32" i="2"/>
  <c r="J32" i="2"/>
  <c r="K32" i="2"/>
  <c r="B33" i="2"/>
  <c r="C33" i="2"/>
  <c r="D33" i="2"/>
  <c r="E33" i="2"/>
  <c r="F33" i="2"/>
  <c r="G33" i="2"/>
  <c r="H33" i="2"/>
  <c r="I33" i="2"/>
  <c r="J33" i="2"/>
  <c r="K33" i="2"/>
  <c r="B34" i="2"/>
  <c r="C34" i="2"/>
  <c r="D34" i="2"/>
  <c r="E34" i="2"/>
  <c r="F34" i="2"/>
  <c r="G34" i="2"/>
  <c r="H34" i="2"/>
  <c r="I34" i="2"/>
  <c r="J34" i="2"/>
  <c r="K34" i="2"/>
  <c r="B35" i="2"/>
  <c r="C35" i="2"/>
  <c r="D35" i="2"/>
  <c r="E35" i="2"/>
  <c r="F35" i="2"/>
  <c r="G35" i="2"/>
  <c r="H35" i="2"/>
  <c r="I35" i="2"/>
  <c r="J35" i="2"/>
  <c r="K35" i="2"/>
  <c r="B36" i="2"/>
  <c r="C36" i="2"/>
  <c r="D36" i="2"/>
  <c r="E36" i="2"/>
  <c r="F36" i="2"/>
  <c r="G36" i="2"/>
  <c r="H36" i="2"/>
  <c r="I36" i="2"/>
  <c r="J36" i="2"/>
  <c r="K36" i="2"/>
  <c r="B37" i="2"/>
  <c r="C37" i="2"/>
  <c r="D37" i="2"/>
  <c r="E37" i="2"/>
  <c r="F37" i="2"/>
  <c r="G37" i="2"/>
  <c r="H37" i="2"/>
  <c r="I37" i="2"/>
  <c r="J37" i="2"/>
  <c r="K37" i="2"/>
  <c r="B38" i="2"/>
  <c r="C38" i="2"/>
  <c r="D38" i="2"/>
  <c r="E38" i="2"/>
  <c r="F38" i="2"/>
  <c r="G38" i="2"/>
  <c r="H38" i="2"/>
  <c r="I38" i="2"/>
  <c r="J38" i="2"/>
  <c r="K38" i="2"/>
  <c r="B39" i="2"/>
  <c r="C39" i="2"/>
  <c r="D39" i="2"/>
  <c r="E39" i="2"/>
  <c r="F39" i="2"/>
  <c r="G39" i="2"/>
  <c r="H39" i="2"/>
  <c r="I39" i="2"/>
  <c r="J39" i="2"/>
  <c r="K39" i="2"/>
  <c r="B40" i="2"/>
  <c r="C40" i="2"/>
  <c r="D40" i="2"/>
  <c r="E40" i="2"/>
  <c r="F40" i="2"/>
  <c r="G40" i="2"/>
  <c r="H40" i="2"/>
  <c r="I40" i="2"/>
  <c r="J40" i="2"/>
  <c r="K40" i="2"/>
  <c r="B41" i="2"/>
  <c r="C41" i="2"/>
  <c r="D41" i="2"/>
  <c r="E41" i="2"/>
  <c r="F41" i="2"/>
  <c r="G41" i="2"/>
  <c r="H41" i="2"/>
  <c r="I41" i="2"/>
  <c r="J41" i="2"/>
  <c r="K41" i="2"/>
  <c r="B42" i="2"/>
  <c r="C42" i="2"/>
  <c r="D42" i="2"/>
  <c r="E42" i="2"/>
  <c r="F42" i="2"/>
  <c r="G42" i="2"/>
  <c r="H42" i="2"/>
  <c r="I42" i="2"/>
  <c r="J42" i="2"/>
  <c r="K42" i="2"/>
  <c r="B43" i="2"/>
  <c r="C43" i="2"/>
  <c r="D43" i="2"/>
  <c r="E43" i="2"/>
  <c r="F43" i="2"/>
  <c r="G43" i="2"/>
  <c r="H43" i="2"/>
  <c r="I43" i="2"/>
  <c r="J43" i="2"/>
  <c r="K43" i="2"/>
  <c r="B44" i="2"/>
  <c r="C44" i="2"/>
  <c r="D44" i="2"/>
  <c r="E44" i="2"/>
  <c r="M44" i="2" s="1"/>
  <c r="F44" i="2"/>
  <c r="G44" i="2"/>
  <c r="H44" i="2"/>
  <c r="I44" i="2"/>
  <c r="J44" i="2"/>
  <c r="K44" i="2"/>
  <c r="B45" i="2"/>
  <c r="C45" i="2"/>
  <c r="D45" i="2"/>
  <c r="E45" i="2"/>
  <c r="M45" i="2" s="1"/>
  <c r="F45" i="2"/>
  <c r="G45" i="2"/>
  <c r="H45" i="2"/>
  <c r="I45" i="2"/>
  <c r="J45" i="2"/>
  <c r="K45" i="2"/>
  <c r="B46" i="2"/>
  <c r="C46" i="2"/>
  <c r="D46" i="2"/>
  <c r="E46" i="2"/>
  <c r="M46" i="2" s="1"/>
  <c r="F46" i="2"/>
  <c r="G46" i="2"/>
  <c r="H46" i="2"/>
  <c r="I46" i="2"/>
  <c r="J46" i="2"/>
  <c r="K46" i="2"/>
  <c r="C24" i="2"/>
  <c r="D24" i="2"/>
  <c r="E24" i="2"/>
  <c r="F24" i="2"/>
  <c r="G24" i="2"/>
  <c r="H24" i="2"/>
  <c r="I24" i="2"/>
  <c r="J24" i="2"/>
  <c r="K24" i="2"/>
  <c r="B24" i="2"/>
  <c r="N43" i="2" l="1"/>
  <c r="M43" i="2"/>
  <c r="M42" i="2" l="1"/>
  <c r="H9" i="2" l="1"/>
  <c r="M37" i="2"/>
  <c r="M38" i="2"/>
  <c r="M39" i="2"/>
  <c r="M40" i="2"/>
  <c r="M41" i="2"/>
  <c r="M30" i="2"/>
  <c r="M31" i="2"/>
  <c r="M32" i="2"/>
  <c r="M33" i="2"/>
  <c r="M34" i="2"/>
  <c r="M35" i="2"/>
  <c r="M36" i="2"/>
  <c r="M29" i="2" l="1"/>
</calcChain>
</file>

<file path=xl/sharedStrings.xml><?xml version="1.0" encoding="utf-8"?>
<sst xmlns="http://schemas.openxmlformats.org/spreadsheetml/2006/main" count="1742" uniqueCount="142">
  <si>
    <t>date</t>
  </si>
  <si>
    <t>Standard</t>
  </si>
  <si>
    <t>false</t>
  </si>
  <si>
    <t>CH CYG</t>
  </si>
  <si>
    <t>CH Cyg</t>
  </si>
  <si>
    <t>2015 SEP 27</t>
  </si>
  <si>
    <t>Johnson V</t>
  </si>
  <si>
    <t>BDG</t>
  </si>
  <si>
    <t>2015 DEC 24</t>
  </si>
  <si>
    <t>2016 JAN 15</t>
  </si>
  <si>
    <t>2016 JAN 19</t>
  </si>
  <si>
    <t>2016 FEB 14</t>
  </si>
  <si>
    <t>2016 FEB 18</t>
  </si>
  <si>
    <t>2016 JUL 24</t>
  </si>
  <si>
    <t>2016 AUG 12</t>
  </si>
  <si>
    <t>2016 AUG 16</t>
  </si>
  <si>
    <t>2016 AUG 30</t>
  </si>
  <si>
    <t>2016 NOV 5</t>
  </si>
  <si>
    <t>2016 DEC 23</t>
  </si>
  <si>
    <t>2017 JAN 20</t>
  </si>
  <si>
    <t>2017 FEB 18</t>
  </si>
  <si>
    <t>2017 MAR 24</t>
  </si>
  <si>
    <t>SU Lyn</t>
  </si>
  <si>
    <t>JGF</t>
  </si>
  <si>
    <t>FCA</t>
  </si>
  <si>
    <t>DBO</t>
  </si>
  <si>
    <t xml:space="preserve">FMT </t>
  </si>
  <si>
    <t>FBO</t>
  </si>
  <si>
    <t>OGA</t>
  </si>
  <si>
    <t>BER</t>
  </si>
  <si>
    <t>SOL</t>
  </si>
  <si>
    <t>#</t>
  </si>
  <si>
    <t>Date</t>
  </si>
  <si>
    <t>JD</t>
  </si>
  <si>
    <t>Obs</t>
  </si>
  <si>
    <t>Res</t>
  </si>
  <si>
    <r>
      <t>Range (</t>
    </r>
    <r>
      <rPr>
        <sz val="9"/>
        <color theme="1"/>
        <rFont val="Century Gothic"/>
        <family val="2"/>
      </rPr>
      <t>Å</t>
    </r>
    <r>
      <rPr>
        <sz val="9"/>
        <color theme="1"/>
        <rFont val="Calibri"/>
        <family val="2"/>
      </rPr>
      <t>)</t>
    </r>
  </si>
  <si>
    <t>b</t>
  </si>
  <si>
    <t>r</t>
  </si>
  <si>
    <t>k</t>
  </si>
  <si>
    <t>g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</si>
  <si>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</si>
  <si>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</si>
  <si>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</si>
  <si>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</si>
  <si>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</si>
  <si>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</si>
  <si>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</si>
  <si>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</si>
  <si>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</si>
  <si>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</si>
  <si>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</si>
  <si>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</si>
  <si>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</si>
  <si>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</si>
  <si>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</si>
  <si>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</si>
  <si>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</si>
  <si>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</si>
  <si>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</si>
  <si>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</si>
  <si>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</si>
  <si>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</si>
  <si>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</si>
  <si>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</si>
  <si>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</si>
  <si>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</si>
  <si>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</si>
  <si>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</si>
  <si>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</si>
  <si>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</si>
  <si>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</si>
  <si>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</si>
  <si>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</si>
  <si>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</si>
  <si>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</si>
  <si>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</si>
  <si>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</si>
  <si>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</si>
  <si>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</si>
  <si>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</si>
  <si>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</si>
  <si>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</si>
  <si>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</si>
  <si>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</si>
  <si>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</si>
  <si>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</si>
  <si>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</si>
  <si>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</si>
  <si>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</si>
  <si>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</si>
  <si>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</si>
  <si>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</si>
  <si>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</si>
  <si>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</si>
  <si>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</si>
  <si>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</si>
  <si>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Na ID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</si>
  <si>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</si>
  <si>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</si>
  <si>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</si>
  <si>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</si>
  <si>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</si>
  <si>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</si>
  <si>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</si>
  <si>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</si>
  <si>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</si>
  <si>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</si>
  <si>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SULyn</t>
  </si>
  <si>
    <t>Radial velocity RG</t>
  </si>
  <si>
    <t>ROU-FR</t>
  </si>
  <si>
    <t>SMM-SP</t>
  </si>
  <si>
    <t>OTO-FR</t>
  </si>
  <si>
    <t>PIE-SP</t>
  </si>
  <si>
    <t>JRF</t>
  </si>
  <si>
    <t>UHO-US</t>
  </si>
  <si>
    <t>LES</t>
  </si>
  <si>
    <t>MRO-CA</t>
  </si>
  <si>
    <t>PAD</t>
  </si>
  <si>
    <t>KOL-SK</t>
  </si>
  <si>
    <t>C11+LISA+Atik460EX</t>
  </si>
  <si>
    <t>ORS-FR</t>
  </si>
  <si>
    <t>SC14+eShel+460EX_b2</t>
  </si>
  <si>
    <t>FAS</t>
  </si>
  <si>
    <t>DCO-US</t>
  </si>
  <si>
    <t>CDK14LISAAtik414ex</t>
  </si>
  <si>
    <t>SCH</t>
  </si>
  <si>
    <t>DUR-FR</t>
  </si>
  <si>
    <t>T500F5-AP3600EC2Eshel#112ATIK460EX</t>
  </si>
  <si>
    <t>SC16+Echelle9000+Atik460EX</t>
  </si>
  <si>
    <t>CBO</t>
  </si>
  <si>
    <t>OCT-FR</t>
  </si>
  <si>
    <t>N200mmF5_Alpy600</t>
  </si>
  <si>
    <t>JMI</t>
  </si>
  <si>
    <t>CLX-FR</t>
  </si>
  <si>
    <t>C11f7-Lisa-Atik460EX</t>
  </si>
  <si>
    <t>31cmDK+ESSAT_2</t>
  </si>
  <si>
    <t>IBR</t>
  </si>
  <si>
    <t>HVR-FR</t>
  </si>
  <si>
    <t>UVEX_300tr_25u_ATIK_414ex</t>
  </si>
  <si>
    <t>WCO-UK</t>
  </si>
  <si>
    <t>C11+LISA+SXVR-H694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</si>
</sst>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entury Gothic"/>
      <family val="2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4.9989318521683403E-2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4" fontId="0" fillId="0" borderId="0" xfId="0" applyNumberFormat="1"/>
    <xf numFmtId="1" fontId="1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5" borderId="1" xfId="0" applyFont="1" applyFill="1" applyBorder="1" applyAlignment="1">
      <alignment horizontal="center"/>
    </xf>
    <xf numFmtId="14" fontId="2" fillId="5" borderId="1" xfId="0" applyNumberFormat="1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14" fontId="5" fillId="6" borderId="1" xfId="0" applyNumberFormat="1" applyFont="1" applyFill="1" applyBorder="1" applyAlignment="1">
      <alignment horizontal="center"/>
    </xf>
    <xf numFmtId="0" fontId="0" fillId="2" borderId="0" xfId="0" applyFill="1"/>
    <xf numFmtId="0" fontId="0" fillId="7" borderId="0" xfId="0" applyFill="1"/>
    <xf numFmtId="0" fontId="6" fillId="2" borderId="0" xfId="0" applyFont="1" applyFill="1" applyAlignment="1">
      <alignment horizontal="right"/>
    </xf>
    <xf numFmtId="0" fontId="6" fillId="0" borderId="0" xfId="0" applyFont="1"/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8" borderId="0" xfId="0" applyFill="1"/>
    <xf numFmtId="164" fontId="0" fillId="0" borderId="0" xfId="0" applyNumberFormat="1"/>
    <xf numFmtId="0" fontId="2" fillId="5" borderId="1" xfId="0" applyFont="1" applyFill="1" applyBorder="1" applyAlignment="1">
      <alignment horizontal="center"/>
    </xf>
    <xf numFmtId="1" fontId="1" fillId="9" borderId="1" xfId="0" applyNumberFormat="1" applyFont="1" applyFill="1" applyBorder="1" applyAlignment="1">
      <alignment horizontal="center"/>
    </xf>
    <xf numFmtId="14" fontId="1" fillId="9" borderId="1" xfId="0" applyNumberFormat="1" applyFont="1" applyFill="1" applyBorder="1" applyAlignment="1">
      <alignment horizontal="center"/>
    </xf>
    <xf numFmtId="1" fontId="1" fillId="10" borderId="1" xfId="0" applyNumberFormat="1" applyFont="1" applyFill="1" applyBorder="1" applyAlignment="1">
      <alignment horizontal="center"/>
    </xf>
    <xf numFmtId="14" fontId="1" fillId="10" borderId="1" xfId="0" applyNumberFormat="1" applyFont="1" applyFill="1" applyBorder="1" applyAlignment="1">
      <alignment horizontal="center"/>
    </xf>
    <xf numFmtId="1" fontId="1" fillId="11" borderId="1" xfId="0" applyNumberFormat="1" applyFont="1" applyFill="1" applyBorder="1" applyAlignment="1">
      <alignment horizontal="center"/>
    </xf>
    <xf numFmtId="14" fontId="1" fillId="11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SU Lyn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V!$A$1:$A$1203</c:f>
              <c:numCache>
                <c:formatCode>General</c:formatCode>
                <c:ptCount val="1203"/>
                <c:pt idx="0">
                  <c:v>2457293.3524199999</c:v>
                </c:pt>
                <c:pt idx="1">
                  <c:v>2457381.3533399999</c:v>
                </c:pt>
                <c:pt idx="2">
                  <c:v>2457403.3113799999</c:v>
                </c:pt>
                <c:pt idx="3">
                  <c:v>2457407.3226299998</c:v>
                </c:pt>
                <c:pt idx="4">
                  <c:v>2457433.2971100002</c:v>
                </c:pt>
                <c:pt idx="5">
                  <c:v>2457437.3412100002</c:v>
                </c:pt>
                <c:pt idx="6">
                  <c:v>2457594.4492199998</c:v>
                </c:pt>
                <c:pt idx="7">
                  <c:v>2457612.5353799998</c:v>
                </c:pt>
                <c:pt idx="8">
                  <c:v>2457617.4938099999</c:v>
                </c:pt>
                <c:pt idx="9">
                  <c:v>2457631.46741</c:v>
                </c:pt>
                <c:pt idx="10">
                  <c:v>2457698.3840899998</c:v>
                </c:pt>
                <c:pt idx="11">
                  <c:v>2457746.3717399999</c:v>
                </c:pt>
                <c:pt idx="12">
                  <c:v>2457774.2984099998</c:v>
                </c:pt>
                <c:pt idx="13">
                  <c:v>2457803.4049999998</c:v>
                </c:pt>
                <c:pt idx="14">
                  <c:v>2457837.31067</c:v>
                </c:pt>
              </c:numCache>
            </c:numRef>
          </c:xVal>
          <c:yVal>
            <c:numRef>
              <c:f>V!$C$1:$C$1203</c:f>
              <c:numCache>
                <c:formatCode>General</c:formatCode>
                <c:ptCount val="1203"/>
                <c:pt idx="0">
                  <c:v>12.754</c:v>
                </c:pt>
                <c:pt idx="1">
                  <c:v>12.552</c:v>
                </c:pt>
                <c:pt idx="2">
                  <c:v>12.388</c:v>
                </c:pt>
                <c:pt idx="3">
                  <c:v>12.37</c:v>
                </c:pt>
                <c:pt idx="4">
                  <c:v>12.154</c:v>
                </c:pt>
                <c:pt idx="5">
                  <c:v>12.131</c:v>
                </c:pt>
                <c:pt idx="6">
                  <c:v>12.791</c:v>
                </c:pt>
                <c:pt idx="7">
                  <c:v>12.898999999999999</c:v>
                </c:pt>
                <c:pt idx="8">
                  <c:v>12.932</c:v>
                </c:pt>
                <c:pt idx="9">
                  <c:v>12.93</c:v>
                </c:pt>
                <c:pt idx="10">
                  <c:v>12.677</c:v>
                </c:pt>
                <c:pt idx="11">
                  <c:v>12.169</c:v>
                </c:pt>
                <c:pt idx="12">
                  <c:v>12.151999999999999</c:v>
                </c:pt>
                <c:pt idx="13">
                  <c:v>12.17</c:v>
                </c:pt>
                <c:pt idx="14">
                  <c:v>11.997999999999999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F-4AE6-9411-E174B8765B1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Index!$M$24:$M$48</c:f>
              <c:numCache>
                <c:formatCode>General</c:formatCode>
                <c:ptCount val="25"/>
                <c:pt idx="5" formatCode="0">
                  <c:v>2457801.3026000001</c:v>
                </c:pt>
                <c:pt idx="6" formatCode="0">
                  <c:v>2457802.5737000001</c:v>
                </c:pt>
                <c:pt idx="7" formatCode="0">
                  <c:v>2457803.3483000002</c:v>
                </c:pt>
                <c:pt idx="8" formatCode="0">
                  <c:v>2457811.2908000001</c:v>
                </c:pt>
                <c:pt idx="9" formatCode="0">
                  <c:v>2457824.3273</c:v>
                </c:pt>
                <c:pt idx="10" formatCode="0">
                  <c:v>2457828.3292999999</c:v>
                </c:pt>
                <c:pt idx="11" formatCode="0">
                  <c:v>2457831.3051</c:v>
                </c:pt>
                <c:pt idx="12" formatCode="0">
                  <c:v>2457833.3982000002</c:v>
                </c:pt>
                <c:pt idx="13" formatCode="0">
                  <c:v>2457835.3824999998</c:v>
                </c:pt>
                <c:pt idx="14" formatCode="0">
                  <c:v>2457840.3536</c:v>
                </c:pt>
                <c:pt idx="15" formatCode="0">
                  <c:v>2457841.3316000002</c:v>
                </c:pt>
                <c:pt idx="16" formatCode="0">
                  <c:v>2457841.4338000002</c:v>
                </c:pt>
                <c:pt idx="17" formatCode="0">
                  <c:v>2457842.33</c:v>
                </c:pt>
                <c:pt idx="18" formatCode="0">
                  <c:v>2457842.3690999998</c:v>
                </c:pt>
                <c:pt idx="19" formatCode="0">
                  <c:v>2457843.3245999999</c:v>
                </c:pt>
                <c:pt idx="20" formatCode="0">
                  <c:v>2457843.3396000001</c:v>
                </c:pt>
                <c:pt idx="21" formatCode="0">
                  <c:v>2457844.6441000002</c:v>
                </c:pt>
                <c:pt idx="22" formatCode="0">
                  <c:v>2457845.7300999998</c:v>
                </c:pt>
              </c:numCache>
            </c:numRef>
          </c:xVal>
          <c:yVal>
            <c:numRef>
              <c:f>Index!$N$24:$N$48</c:f>
              <c:numCache>
                <c:formatCode>General</c:formatCode>
                <c:ptCount val="25"/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3F-4AE6-9411-E174B8765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136256"/>
        <c:axId val="480140568"/>
      </c:scatterChart>
      <c:valAx>
        <c:axId val="48013625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40568"/>
        <c:crosses val="max"/>
        <c:crossBetween val="midCat"/>
        <c:majorUnit val="365"/>
      </c:valAx>
      <c:valAx>
        <c:axId val="480140568"/>
        <c:scaling>
          <c:orientation val="maxMin"/>
          <c:max val="13"/>
          <c:min val="11.5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3625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Feuil3!$E$4:$E$34</c:f>
              <c:numCache>
                <c:formatCode>General</c:formatCode>
                <c:ptCount val="31"/>
                <c:pt idx="0">
                  <c:v>7513.3859999999404</c:v>
                </c:pt>
                <c:pt idx="1">
                  <c:v>7775.2837999998592</c:v>
                </c:pt>
                <c:pt idx="2">
                  <c:v>7801.3026000000536</c:v>
                </c:pt>
                <c:pt idx="3">
                  <c:v>7840.3536000000313</c:v>
                </c:pt>
                <c:pt idx="4">
                  <c:v>7841.4338000002317</c:v>
                </c:pt>
                <c:pt idx="5">
                  <c:v>7842.3300000000745</c:v>
                </c:pt>
                <c:pt idx="6">
                  <c:v>7846.3429999998771</c:v>
                </c:pt>
                <c:pt idx="7">
                  <c:v>7847.4604000002146</c:v>
                </c:pt>
                <c:pt idx="8">
                  <c:v>7850.4432000000961</c:v>
                </c:pt>
                <c:pt idx="9">
                  <c:v>7856.4267000001855</c:v>
                </c:pt>
                <c:pt idx="10">
                  <c:v>7864.377100000158</c:v>
                </c:pt>
                <c:pt idx="11">
                  <c:v>7864.3522999999113</c:v>
                </c:pt>
                <c:pt idx="12">
                  <c:v>7877.5718999998644</c:v>
                </c:pt>
                <c:pt idx="13">
                  <c:v>7883.3642000001855</c:v>
                </c:pt>
                <c:pt idx="14">
                  <c:v>7884.3681000000797</c:v>
                </c:pt>
                <c:pt idx="15">
                  <c:v>7898.3544000000693</c:v>
                </c:pt>
                <c:pt idx="16">
                  <c:v>8029.6693000001833</c:v>
                </c:pt>
                <c:pt idx="17">
                  <c:v>8058.7022000001743</c:v>
                </c:pt>
                <c:pt idx="18">
                  <c:v>8061.7129000001587</c:v>
                </c:pt>
                <c:pt idx="19">
                  <c:v>8102.9205000000075</c:v>
                </c:pt>
                <c:pt idx="20">
                  <c:v>8130.4454999999143</c:v>
                </c:pt>
                <c:pt idx="21">
                  <c:v>8140.3645000001416</c:v>
                </c:pt>
                <c:pt idx="22">
                  <c:v>8141.4671000000089</c:v>
                </c:pt>
                <c:pt idx="23">
                  <c:v>8142.3761999998242</c:v>
                </c:pt>
                <c:pt idx="24">
                  <c:v>8142.4745999998413</c:v>
                </c:pt>
                <c:pt idx="25">
                  <c:v>8152.4761999999173</c:v>
                </c:pt>
                <c:pt idx="26">
                  <c:v>8154.3174999998882</c:v>
                </c:pt>
                <c:pt idx="27">
                  <c:v>8157.4284000000916</c:v>
                </c:pt>
                <c:pt idx="28">
                  <c:v>8162.3435999997891</c:v>
                </c:pt>
                <c:pt idx="29">
                  <c:v>8164.5775000001304</c:v>
                </c:pt>
              </c:numCache>
            </c:numRef>
          </c:xVal>
          <c:yVal>
            <c:numRef>
              <c:f>Feuil3!$J$4:$J$34</c:f>
              <c:numCache>
                <c:formatCode>General</c:formatCode>
                <c:ptCount val="31"/>
                <c:pt idx="0">
                  <c:v>-15.489000000000001</c:v>
                </c:pt>
                <c:pt idx="1">
                  <c:v>-16.556000000000001</c:v>
                </c:pt>
                <c:pt idx="2">
                  <c:v>-15.625</c:v>
                </c:pt>
                <c:pt idx="3">
                  <c:v>-17.376999999999999</c:v>
                </c:pt>
                <c:pt idx="4">
                  <c:v>-17.728999999999999</c:v>
                </c:pt>
                <c:pt idx="6">
                  <c:v>-17.72</c:v>
                </c:pt>
                <c:pt idx="10">
                  <c:v>-17.809000000000001</c:v>
                </c:pt>
                <c:pt idx="11">
                  <c:v>-15.927</c:v>
                </c:pt>
                <c:pt idx="16">
                  <c:v>-15.324999999999999</c:v>
                </c:pt>
                <c:pt idx="17">
                  <c:v>-14.871</c:v>
                </c:pt>
                <c:pt idx="18">
                  <c:v>-15.673999999999999</c:v>
                </c:pt>
                <c:pt idx="25">
                  <c:v>-17.562000000000001</c:v>
                </c:pt>
                <c:pt idx="26">
                  <c:v>-17.596</c:v>
                </c:pt>
                <c:pt idx="27">
                  <c:v>-17.318999999999999</c:v>
                </c:pt>
                <c:pt idx="28">
                  <c:v>-16.042000000000002</c:v>
                </c:pt>
                <c:pt idx="29">
                  <c:v>-15.77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A8-4F0C-947C-3BCB985CB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475096"/>
        <c:axId val="720472472"/>
      </c:scatterChart>
      <c:valAx>
        <c:axId val="720475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0472472"/>
        <c:crossesAt val="-20"/>
        <c:crossBetween val="midCat"/>
      </c:valAx>
      <c:valAx>
        <c:axId val="720472472"/>
        <c:scaling>
          <c:orientation val="minMax"/>
          <c:max val="-1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0475096"/>
        <c:crossesAt val="74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30" dropStyle="combo" dx="16" fmlaLink="$J$9" fmlaRange="$C$16:$C$34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E$13" fmlaRange="Feuil1!$B$3:$B$6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4</xdr:row>
      <xdr:rowOff>171450</xdr:rowOff>
    </xdr:from>
    <xdr:to>
      <xdr:col>14</xdr:col>
      <xdr:colOff>66673</xdr:colOff>
      <xdr:row>14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542925</xdr:colOff>
      <xdr:row>3</xdr:row>
      <xdr:rowOff>133350</xdr:rowOff>
    </xdr:from>
    <xdr:to>
      <xdr:col>20</xdr:col>
      <xdr:colOff>542925</xdr:colOff>
      <xdr:row>17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Cyg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ListCall"/>
      <sheetName val="Export"/>
      <sheetName val="Call"/>
      <sheetName val="NewSpectra"/>
      <sheetName val="Data"/>
      <sheetName val="f1"/>
      <sheetName val="MAJ"/>
      <sheetName val="Alias"/>
      <sheetName val="Sites"/>
      <sheetName val="AliasNom"/>
      <sheetName val="AliasSite"/>
      <sheetName val="AliasInstrum"/>
      <sheetName val="Suspected"/>
      <sheetName val="SuspectedLog"/>
      <sheetName val="AGDra"/>
      <sheetName val="AGPeg"/>
      <sheetName val="AS210"/>
      <sheetName val="AS245"/>
      <sheetName val="AS270"/>
      <sheetName val="AS289"/>
      <sheetName val="AS323"/>
      <sheetName val="AXPer"/>
      <sheetName val="BDCam"/>
      <sheetName val="EFAql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69"/>
      <sheetName val="StHa180"/>
      <sheetName val="StHa190"/>
      <sheetName val="SULyn"/>
      <sheetName val="TCrB"/>
      <sheetName val="TCPJ19544251+1722281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>
        <row r="13">
          <cell r="B13">
            <v>1</v>
          </cell>
          <cell r="C13">
            <v>42492</v>
          </cell>
          <cell r="D13">
            <v>0.87215277777777767</v>
          </cell>
          <cell r="E13">
            <v>2457511.3916000002</v>
          </cell>
          <cell r="F13" t="str">
            <v>DBO</v>
          </cell>
          <cell r="G13" t="str">
            <v>WCO-UK</v>
          </cell>
          <cell r="H13" t="str">
            <v>C11+Lisa+SXVR-H</v>
          </cell>
          <cell r="I13">
            <v>819</v>
          </cell>
        </row>
        <row r="14">
          <cell r="B14">
            <v>2</v>
          </cell>
          <cell r="C14">
            <v>42494</v>
          </cell>
          <cell r="D14">
            <v>0.86798611111111112</v>
          </cell>
          <cell r="E14">
            <v>2457513.3859999999</v>
          </cell>
          <cell r="F14" t="str">
            <v xml:space="preserve">FMT </v>
          </cell>
          <cell r="G14" t="str">
            <v>ORS-FR</v>
          </cell>
          <cell r="H14" t="str">
            <v>SC14+eShel+Atik460ex</v>
          </cell>
          <cell r="I14">
            <v>11000</v>
          </cell>
        </row>
        <row r="15">
          <cell r="B15">
            <v>3</v>
          </cell>
          <cell r="C15">
            <v>42707</v>
          </cell>
          <cell r="D15">
            <v>0.87821759259259258</v>
          </cell>
          <cell r="E15">
            <v>2457726.3922000001</v>
          </cell>
          <cell r="F15" t="str">
            <v>FBO</v>
          </cell>
          <cell r="G15" t="str">
            <v>SJI-FR</v>
          </cell>
          <cell r="H15" t="str">
            <v>SC8+Lisa+ATIK314L+</v>
          </cell>
          <cell r="I15">
            <v>2200</v>
          </cell>
        </row>
        <row r="16">
          <cell r="B16">
            <v>4</v>
          </cell>
          <cell r="C16">
            <v>42744</v>
          </cell>
          <cell r="D16">
            <v>0.86979166666666663</v>
          </cell>
          <cell r="E16">
            <v>2457763.3876</v>
          </cell>
          <cell r="F16" t="str">
            <v>DBO</v>
          </cell>
          <cell r="G16" t="str">
            <v>WCO-UK</v>
          </cell>
          <cell r="H16" t="str">
            <v>C11+Lisa+SXVR-H</v>
          </cell>
          <cell r="I16">
            <v>709</v>
          </cell>
        </row>
        <row r="17">
          <cell r="B17">
            <v>5</v>
          </cell>
          <cell r="C17">
            <v>42756</v>
          </cell>
          <cell r="D17">
            <v>0.75373842592592588</v>
          </cell>
          <cell r="E17">
            <v>2457775.2837999999</v>
          </cell>
          <cell r="F17" t="str">
            <v xml:space="preserve">FMT </v>
          </cell>
          <cell r="G17" t="str">
            <v>ORS-FR</v>
          </cell>
          <cell r="H17" t="str">
            <v>SC14+eShel+Atik460ex</v>
          </cell>
          <cell r="I17">
            <v>11000</v>
          </cell>
        </row>
        <row r="18">
          <cell r="B18">
            <v>6</v>
          </cell>
          <cell r="C18">
            <v>42782</v>
          </cell>
          <cell r="D18">
            <v>0.77268518518518514</v>
          </cell>
          <cell r="E18">
            <v>2457801.3026000001</v>
          </cell>
          <cell r="F18" t="str">
            <v xml:space="preserve">FMT </v>
          </cell>
          <cell r="G18" t="str">
            <v>ORS-FR</v>
          </cell>
          <cell r="H18" t="str">
            <v>SC14+eShel+Atik460ex</v>
          </cell>
          <cell r="I18">
            <v>11000</v>
          </cell>
        </row>
        <row r="19">
          <cell r="B19">
            <v>7</v>
          </cell>
          <cell r="C19">
            <v>42784</v>
          </cell>
          <cell r="D19">
            <v>5.8067129629629628E-2</v>
          </cell>
          <cell r="E19">
            <v>2457802.5737000001</v>
          </cell>
          <cell r="F19" t="str">
            <v>GMYB</v>
          </cell>
          <cell r="G19" t="str">
            <v>OSM-FR</v>
          </cell>
          <cell r="H19" t="str">
            <v>C11LisaQSI583ws</v>
          </cell>
          <cell r="I19">
            <v>928</v>
          </cell>
        </row>
        <row r="20">
          <cell r="B20">
            <v>8</v>
          </cell>
          <cell r="C20">
            <v>42784</v>
          </cell>
          <cell r="D20">
            <v>0.83430555555555552</v>
          </cell>
          <cell r="E20">
            <v>2457803.3483000002</v>
          </cell>
          <cell r="F20" t="str">
            <v>FBO</v>
          </cell>
          <cell r="G20" t="str">
            <v>SJI-FR</v>
          </cell>
          <cell r="H20" t="str">
            <v>SC8+Lisa+ATIK314L+</v>
          </cell>
          <cell r="I20">
            <v>1000</v>
          </cell>
        </row>
        <row r="21">
          <cell r="B21">
            <v>9</v>
          </cell>
          <cell r="C21">
            <v>42792</v>
          </cell>
          <cell r="D21">
            <v>0.76238425925925923</v>
          </cell>
          <cell r="E21">
            <v>2457811.2908000001</v>
          </cell>
          <cell r="F21" t="str">
            <v>BER</v>
          </cell>
          <cell r="G21" t="str">
            <v>BVO-IT</v>
          </cell>
          <cell r="H21" t="str">
            <v>Lhires31200C9SXV</v>
          </cell>
          <cell r="I21">
            <v>5907</v>
          </cell>
        </row>
        <row r="22">
          <cell r="B22">
            <v>10</v>
          </cell>
          <cell r="C22">
            <v>42805</v>
          </cell>
          <cell r="D22">
            <v>0.81331018518518527</v>
          </cell>
          <cell r="E22">
            <v>2457824.3273</v>
          </cell>
          <cell r="F22" t="str">
            <v>JGF</v>
          </cell>
          <cell r="G22" t="str">
            <v>SMM-SP</v>
          </cell>
          <cell r="H22" t="str">
            <v>16REMOTATIK460EX</v>
          </cell>
          <cell r="I22">
            <v>992</v>
          </cell>
        </row>
        <row r="23">
          <cell r="B23">
            <v>11</v>
          </cell>
          <cell r="C23">
            <v>42809</v>
          </cell>
          <cell r="D23">
            <v>0.80603009259259262</v>
          </cell>
          <cell r="E23">
            <v>2457828.3292999999</v>
          </cell>
          <cell r="F23" t="str">
            <v>JGF</v>
          </cell>
          <cell r="G23" t="str">
            <v>SMM-SP</v>
          </cell>
          <cell r="H23" t="str">
            <v>16REMOTATIK460EX</v>
          </cell>
          <cell r="I23">
            <v>953</v>
          </cell>
        </row>
        <row r="24">
          <cell r="B24">
            <v>12</v>
          </cell>
          <cell r="C24">
            <v>42812</v>
          </cell>
          <cell r="D24">
            <v>0.79115740740740748</v>
          </cell>
          <cell r="E24">
            <v>2457831.3051</v>
          </cell>
          <cell r="F24" t="str">
            <v>JGF</v>
          </cell>
          <cell r="G24" t="str">
            <v>SMM-SP</v>
          </cell>
          <cell r="H24" t="str">
            <v>16REMOTATIK460EX</v>
          </cell>
          <cell r="I24">
            <v>1148</v>
          </cell>
        </row>
        <row r="25">
          <cell r="B25">
            <v>13</v>
          </cell>
          <cell r="C25">
            <v>42814</v>
          </cell>
          <cell r="D25">
            <v>0.88429398148148142</v>
          </cell>
          <cell r="E25">
            <v>2457833.3982000002</v>
          </cell>
          <cell r="F25" t="str">
            <v>FCA</v>
          </cell>
          <cell r="G25" t="str">
            <v>PAG-SP</v>
          </cell>
          <cell r="H25" t="str">
            <v>Newton-200DADOS-20</v>
          </cell>
          <cell r="I25">
            <v>876</v>
          </cell>
        </row>
        <row r="26">
          <cell r="B26">
            <v>14</v>
          </cell>
          <cell r="C26">
            <v>42816</v>
          </cell>
          <cell r="D26">
            <v>0.86134259259259249</v>
          </cell>
          <cell r="E26">
            <v>2457835.3824999998</v>
          </cell>
          <cell r="F26" t="str">
            <v>DBO</v>
          </cell>
          <cell r="G26" t="str">
            <v>WCO-UK</v>
          </cell>
          <cell r="H26" t="str">
            <v>C11+Lisa+SXVR-H</v>
          </cell>
          <cell r="I26">
            <v>712</v>
          </cell>
        </row>
        <row r="27">
          <cell r="B27">
            <v>15</v>
          </cell>
          <cell r="C27">
            <v>42821</v>
          </cell>
          <cell r="D27">
            <v>0.83241898148148152</v>
          </cell>
          <cell r="E27">
            <v>2457840.3536</v>
          </cell>
          <cell r="F27" t="str">
            <v xml:space="preserve">FMT </v>
          </cell>
          <cell r="G27" t="str">
            <v>ORS-FR</v>
          </cell>
          <cell r="H27" t="str">
            <v>SC14+eShel+Atik460ex</v>
          </cell>
          <cell r="I27">
            <v>11000</v>
          </cell>
        </row>
        <row r="28">
          <cell r="B28">
            <v>16</v>
          </cell>
          <cell r="C28">
            <v>42822</v>
          </cell>
          <cell r="D28">
            <v>0.82989583333333339</v>
          </cell>
          <cell r="E28">
            <v>2457841.3316000002</v>
          </cell>
          <cell r="F28" t="str">
            <v>FBO</v>
          </cell>
          <cell r="G28" t="str">
            <v>SJI-FR</v>
          </cell>
          <cell r="H28" t="str">
            <v>SC8+Lisa+ATIK314L+</v>
          </cell>
          <cell r="I28">
            <v>1000</v>
          </cell>
        </row>
        <row r="29">
          <cell r="B29">
            <v>17</v>
          </cell>
          <cell r="C29">
            <v>42822</v>
          </cell>
          <cell r="D29">
            <v>0.88501157407407405</v>
          </cell>
          <cell r="E29">
            <v>2457841.4338000002</v>
          </cell>
          <cell r="F29" t="str">
            <v>OGA</v>
          </cell>
          <cell r="G29" t="str">
            <v>OTO-FR</v>
          </cell>
          <cell r="H29" t="str">
            <v>RC400+eShel_460EX</v>
          </cell>
          <cell r="I29">
            <v>11000</v>
          </cell>
        </row>
        <row r="30">
          <cell r="B30">
            <v>18</v>
          </cell>
          <cell r="C30">
            <v>42823</v>
          </cell>
          <cell r="D30">
            <v>0.78930555555555559</v>
          </cell>
          <cell r="E30">
            <v>2457842.33</v>
          </cell>
          <cell r="F30" t="str">
            <v>JGF</v>
          </cell>
          <cell r="G30" t="str">
            <v>PIE-SP</v>
          </cell>
          <cell r="H30" t="str">
            <v>MUSSOL</v>
          </cell>
          <cell r="I30">
            <v>11000</v>
          </cell>
        </row>
        <row r="31">
          <cell r="B31">
            <v>19</v>
          </cell>
          <cell r="C31">
            <v>42823</v>
          </cell>
          <cell r="D31">
            <v>0.82868055555555553</v>
          </cell>
          <cell r="E31">
            <v>2457842.3690999998</v>
          </cell>
          <cell r="F31" t="str">
            <v>BER</v>
          </cell>
          <cell r="G31" t="str">
            <v>BVO-IT</v>
          </cell>
          <cell r="H31" t="str">
            <v>Lhires31200C9SXV</v>
          </cell>
          <cell r="I31">
            <v>5766</v>
          </cell>
        </row>
        <row r="32">
          <cell r="B32">
            <v>20</v>
          </cell>
          <cell r="C32">
            <v>42824</v>
          </cell>
          <cell r="D32">
            <v>0.77967592592592594</v>
          </cell>
          <cell r="E32">
            <v>2457843.3245999999</v>
          </cell>
          <cell r="F32" t="str">
            <v>BER</v>
          </cell>
          <cell r="G32" t="str">
            <v>BVO-IT</v>
          </cell>
          <cell r="H32" t="str">
            <v>Lhires3C9SXVR-H69</v>
          </cell>
          <cell r="I32">
            <v>16528</v>
          </cell>
        </row>
        <row r="33">
          <cell r="B33">
            <v>21</v>
          </cell>
          <cell r="C33">
            <v>42824</v>
          </cell>
          <cell r="D33">
            <v>0.81590277777777775</v>
          </cell>
          <cell r="E33">
            <v>2457843.3396000001</v>
          </cell>
          <cell r="F33" t="str">
            <v>SOL</v>
          </cell>
          <cell r="G33" t="str">
            <v>AQL-IT</v>
          </cell>
          <cell r="H33" t="str">
            <v>SC8+Alpy600+SBIGST8300</v>
          </cell>
          <cell r="I33">
            <v>916</v>
          </cell>
        </row>
        <row r="34">
          <cell r="B34">
            <v>22</v>
          </cell>
          <cell r="C34">
            <v>42826</v>
          </cell>
          <cell r="D34">
            <v>0.13208333333333333</v>
          </cell>
          <cell r="E34">
            <v>2457844.6441000002</v>
          </cell>
          <cell r="F34" t="str">
            <v>JRF</v>
          </cell>
          <cell r="G34" t="str">
            <v>UHO-US</v>
          </cell>
          <cell r="H34" t="str">
            <v>CDK17Lisa_ATIK460</v>
          </cell>
          <cell r="I34">
            <v>957</v>
          </cell>
        </row>
        <row r="35">
          <cell r="B35">
            <v>23</v>
          </cell>
          <cell r="C35">
            <v>42827</v>
          </cell>
          <cell r="D35">
            <v>0.2248148148148148</v>
          </cell>
          <cell r="E35">
            <v>2457845.7300999998</v>
          </cell>
          <cell r="F35" t="str">
            <v>FAS</v>
          </cell>
          <cell r="G35" t="str">
            <v>DCO-US</v>
          </cell>
          <cell r="H35" t="str">
            <v>C8LisaAtik414ex</v>
          </cell>
          <cell r="I35">
            <v>813</v>
          </cell>
        </row>
        <row r="36">
          <cell r="B36">
            <v>24</v>
          </cell>
          <cell r="C36">
            <v>42827</v>
          </cell>
          <cell r="D36">
            <v>0.81447916666666664</v>
          </cell>
          <cell r="E36">
            <v>2457846.3429999999</v>
          </cell>
          <cell r="F36" t="str">
            <v xml:space="preserve">FMT </v>
          </cell>
          <cell r="G36" t="str">
            <v>ORS-FR</v>
          </cell>
          <cell r="H36" t="str">
            <v>SC14+eShel+Atik460ex</v>
          </cell>
          <cell r="I36">
            <v>11000</v>
          </cell>
        </row>
        <row r="37">
          <cell r="B37">
            <v>25</v>
          </cell>
          <cell r="C37">
            <v>42827</v>
          </cell>
          <cell r="D37">
            <v>0.89583333333333337</v>
          </cell>
          <cell r="E37">
            <v>2457846.4223000002</v>
          </cell>
          <cell r="F37" t="str">
            <v>DBO</v>
          </cell>
          <cell r="G37" t="str">
            <v>WCO-UK</v>
          </cell>
          <cell r="H37" t="str">
            <v>C11+Lisa+SXVR-H</v>
          </cell>
          <cell r="I37">
            <v>747</v>
          </cell>
        </row>
        <row r="38">
          <cell r="B38">
            <v>26</v>
          </cell>
          <cell r="C38">
            <v>42828</v>
          </cell>
          <cell r="D38">
            <v>0.10129629629629629</v>
          </cell>
          <cell r="E38">
            <v>2457846.6293000001</v>
          </cell>
          <cell r="F38" t="str">
            <v>LES</v>
          </cell>
          <cell r="G38" t="str">
            <v>MRO-CA</v>
          </cell>
          <cell r="H38" t="str">
            <v>31cmDK+23um1800lpm+</v>
          </cell>
          <cell r="I38">
            <v>6400</v>
          </cell>
        </row>
        <row r="39">
          <cell r="B39">
            <v>27</v>
          </cell>
          <cell r="C39">
            <v>42828</v>
          </cell>
          <cell r="D39">
            <v>0.14687500000000001</v>
          </cell>
          <cell r="E39">
            <v>2457846.6639999999</v>
          </cell>
          <cell r="F39" t="str">
            <v>FAS</v>
          </cell>
          <cell r="G39" t="str">
            <v>DCO-US</v>
          </cell>
          <cell r="H39" t="str">
            <v>C8LisaAtik414ex</v>
          </cell>
          <cell r="I39">
            <v>665</v>
          </cell>
        </row>
        <row r="40">
          <cell r="B40">
            <v>28</v>
          </cell>
          <cell r="C40">
            <v>42828</v>
          </cell>
          <cell r="D40">
            <v>0.91973379629629637</v>
          </cell>
          <cell r="E40">
            <v>2457847.4604000002</v>
          </cell>
          <cell r="F40" t="str">
            <v>JGF</v>
          </cell>
          <cell r="G40" t="str">
            <v>PIE-SP</v>
          </cell>
          <cell r="H40" t="str">
            <v>MUSSOL</v>
          </cell>
          <cell r="I40">
            <v>11000</v>
          </cell>
        </row>
        <row r="41">
          <cell r="B41">
            <v>29</v>
          </cell>
          <cell r="C41">
            <v>42830</v>
          </cell>
          <cell r="D41">
            <v>0.15008101851851852</v>
          </cell>
          <cell r="E41">
            <v>2457848.6672</v>
          </cell>
          <cell r="F41" t="str">
            <v>FAS</v>
          </cell>
          <cell r="G41" t="str">
            <v>DCO-US</v>
          </cell>
          <cell r="H41" t="str">
            <v>C8LisaAtik414ex</v>
          </cell>
          <cell r="I41">
            <v>760</v>
          </cell>
        </row>
        <row r="42">
          <cell r="B42">
            <v>30</v>
          </cell>
          <cell r="C42">
            <v>42831</v>
          </cell>
          <cell r="D42">
            <v>0.91061342592592587</v>
          </cell>
          <cell r="E42">
            <v>2457850.4432000001</v>
          </cell>
          <cell r="F42" t="str">
            <v>JGF</v>
          </cell>
          <cell r="G42" t="str">
            <v>PIE-SP</v>
          </cell>
          <cell r="H42" t="str">
            <v>MUSSOL</v>
          </cell>
          <cell r="I42">
            <v>11000</v>
          </cell>
        </row>
        <row r="43">
          <cell r="B43">
            <v>31</v>
          </cell>
          <cell r="C43">
            <v>42832</v>
          </cell>
          <cell r="D43">
            <v>0.78658564814814813</v>
          </cell>
          <cell r="E43">
            <v>2457851.3119000001</v>
          </cell>
          <cell r="F43" t="str">
            <v>SOL</v>
          </cell>
          <cell r="G43" t="str">
            <v>AQL-IT</v>
          </cell>
          <cell r="H43" t="str">
            <v>SC8+Alpy600+SBIGST8300</v>
          </cell>
          <cell r="I43">
            <v>835</v>
          </cell>
        </row>
        <row r="44">
          <cell r="B44">
            <v>32</v>
          </cell>
          <cell r="C44">
            <v>42833</v>
          </cell>
          <cell r="D44">
            <v>0.79143518518518519</v>
          </cell>
          <cell r="E44">
            <v>2457852.3363999999</v>
          </cell>
          <cell r="F44" t="str">
            <v>BER</v>
          </cell>
          <cell r="G44" t="str">
            <v>BVO-IT</v>
          </cell>
          <cell r="H44" t="str">
            <v>Lhires3C9SXVR-H69</v>
          </cell>
          <cell r="I44">
            <v>16223</v>
          </cell>
        </row>
        <row r="45">
          <cell r="B45">
            <v>33</v>
          </cell>
          <cell r="C45">
            <v>42833</v>
          </cell>
          <cell r="D45">
            <v>0.90443287037037035</v>
          </cell>
          <cell r="E45">
            <v>2457852.4155000001</v>
          </cell>
          <cell r="F45" t="str">
            <v>TRO</v>
          </cell>
          <cell r="G45" t="str">
            <v>PON-UK</v>
          </cell>
          <cell r="H45" t="str">
            <v>C925+Alpy600+ATIK46</v>
          </cell>
          <cell r="I45">
            <v>583</v>
          </cell>
        </row>
        <row r="46">
          <cell r="B46">
            <v>34</v>
          </cell>
          <cell r="C46">
            <v>42833</v>
          </cell>
          <cell r="D46">
            <v>0.9598726851851852</v>
          </cell>
          <cell r="E46">
            <v>2457852.4704</v>
          </cell>
          <cell r="F46" t="str">
            <v>YBGM</v>
          </cell>
          <cell r="G46" t="str">
            <v>OSM-FR</v>
          </cell>
          <cell r="H46" t="str">
            <v>C11LisaQSI583ws</v>
          </cell>
          <cell r="I46">
            <v>1050</v>
          </cell>
        </row>
        <row r="47">
          <cell r="B47">
            <v>35</v>
          </cell>
          <cell r="C47">
            <v>42834</v>
          </cell>
          <cell r="D47">
            <v>5.5509259259259258E-2</v>
          </cell>
          <cell r="E47">
            <v>2457852.5765</v>
          </cell>
          <cell r="F47" t="str">
            <v>LES</v>
          </cell>
          <cell r="G47" t="str">
            <v>MRO-CA</v>
          </cell>
          <cell r="H47" t="str">
            <v>31cmDK+23um1800lpm+</v>
          </cell>
          <cell r="I47">
            <v>9000</v>
          </cell>
        </row>
        <row r="48">
          <cell r="B48">
            <v>36</v>
          </cell>
          <cell r="C48">
            <v>42836</v>
          </cell>
          <cell r="D48">
            <v>4.3622685185185188E-2</v>
          </cell>
          <cell r="E48">
            <v>2457854.5435000001</v>
          </cell>
          <cell r="F48" t="str">
            <v>JPG</v>
          </cell>
          <cell r="G48" t="str">
            <v>PDM-FR</v>
          </cell>
          <cell r="H48" t="str">
            <v>T60-Alpy600-Ati</v>
          </cell>
          <cell r="I48">
            <v>555</v>
          </cell>
        </row>
        <row r="49">
          <cell r="B49">
            <v>37</v>
          </cell>
          <cell r="C49">
            <v>42836</v>
          </cell>
          <cell r="D49">
            <v>0.905787037037037</v>
          </cell>
          <cell r="E49">
            <v>2457855.4270000001</v>
          </cell>
          <cell r="F49" t="str">
            <v>DBO</v>
          </cell>
          <cell r="G49" t="str">
            <v>WCO-UK</v>
          </cell>
          <cell r="H49" t="str">
            <v>C11+Lisa+SXVR-H</v>
          </cell>
          <cell r="I49">
            <v>758</v>
          </cell>
        </row>
        <row r="50">
          <cell r="B50">
            <v>38</v>
          </cell>
          <cell r="C50">
            <v>42837</v>
          </cell>
          <cell r="D50">
            <v>0.85875000000000001</v>
          </cell>
          <cell r="E50">
            <v>2457856.3934999998</v>
          </cell>
          <cell r="F50" t="str">
            <v>FCA</v>
          </cell>
          <cell r="G50" t="str">
            <v>PAG-SP</v>
          </cell>
          <cell r="H50" t="str">
            <v>Newton-200DADOS-12</v>
          </cell>
          <cell r="I50">
            <v>6036</v>
          </cell>
        </row>
        <row r="51">
          <cell r="B51">
            <v>39</v>
          </cell>
          <cell r="C51">
            <v>42837</v>
          </cell>
          <cell r="D51">
            <v>0.89189814814814816</v>
          </cell>
          <cell r="E51">
            <v>2457856.4267000002</v>
          </cell>
          <cell r="F51" t="str">
            <v>JGF</v>
          </cell>
          <cell r="G51" t="str">
            <v>PIE-SP</v>
          </cell>
          <cell r="H51" t="str">
            <v>MUSSOL</v>
          </cell>
          <cell r="I51">
            <v>11000</v>
          </cell>
        </row>
        <row r="52">
          <cell r="B52">
            <v>40</v>
          </cell>
          <cell r="C52">
            <v>42838</v>
          </cell>
          <cell r="D52">
            <v>0.14512731481481481</v>
          </cell>
          <cell r="E52">
            <v>2457856.6622000001</v>
          </cell>
          <cell r="F52" t="str">
            <v>FAS</v>
          </cell>
          <cell r="G52" t="str">
            <v>DCO-US</v>
          </cell>
          <cell r="H52" t="str">
            <v>C8LisaAtik414ex</v>
          </cell>
          <cell r="I52">
            <v>650</v>
          </cell>
        </row>
        <row r="53">
          <cell r="B53">
            <v>41</v>
          </cell>
          <cell r="C53">
            <v>42838</v>
          </cell>
          <cell r="D53">
            <v>0.20192129629629629</v>
          </cell>
          <cell r="E53">
            <v>2457856.7105999999</v>
          </cell>
          <cell r="F53" t="str">
            <v>JPE</v>
          </cell>
          <cell r="G53" t="str">
            <v>DHO-US</v>
          </cell>
          <cell r="H53" t="str">
            <v>CDK24(0.61m)Lisa</v>
          </cell>
          <cell r="I53">
            <v>823</v>
          </cell>
        </row>
        <row r="54">
          <cell r="B54">
            <v>42</v>
          </cell>
          <cell r="C54">
            <v>42838</v>
          </cell>
          <cell r="D54">
            <v>0.84444444444444444</v>
          </cell>
          <cell r="E54">
            <v>2457857.3656000001</v>
          </cell>
          <cell r="F54" t="str">
            <v>PSO</v>
          </cell>
          <cell r="G54" t="str">
            <v>AQL-IT</v>
          </cell>
          <cell r="H54" t="str">
            <v>SC8+Alpy600+SBIGST8300</v>
          </cell>
          <cell r="I54">
            <v>845</v>
          </cell>
        </row>
        <row r="55">
          <cell r="B55">
            <v>43</v>
          </cell>
          <cell r="C55">
            <v>42839</v>
          </cell>
          <cell r="D55">
            <v>0.14509259259259258</v>
          </cell>
          <cell r="E55">
            <v>2457857.6814999999</v>
          </cell>
          <cell r="F55" t="str">
            <v>JRF</v>
          </cell>
          <cell r="G55" t="str">
            <v>UHO-US</v>
          </cell>
          <cell r="H55" t="str">
            <v>CDK17-L200-Atik460</v>
          </cell>
          <cell r="I55">
            <v>3891</v>
          </cell>
        </row>
        <row r="56">
          <cell r="B56">
            <v>44</v>
          </cell>
          <cell r="C56">
            <v>42845</v>
          </cell>
          <cell r="D56">
            <v>0.80350694444444448</v>
          </cell>
          <cell r="E56">
            <v>2457864.3522999999</v>
          </cell>
          <cell r="F56" t="str">
            <v>OGA</v>
          </cell>
          <cell r="G56" t="str">
            <v>OTO-FR</v>
          </cell>
          <cell r="H56" t="str">
            <v>RC400+eShel_460EX</v>
          </cell>
          <cell r="I56">
            <v>11000</v>
          </cell>
        </row>
        <row r="57">
          <cell r="B57">
            <v>45</v>
          </cell>
          <cell r="C57">
            <v>42845</v>
          </cell>
          <cell r="D57">
            <v>0.84354166666666675</v>
          </cell>
          <cell r="E57">
            <v>2457864.3475000001</v>
          </cell>
          <cell r="F57" t="str">
            <v>JPN</v>
          </cell>
          <cell r="G57" t="str">
            <v>PBO-FR</v>
          </cell>
          <cell r="H57" t="str">
            <v>Newton200Alpy600</v>
          </cell>
          <cell r="I57">
            <v>536</v>
          </cell>
        </row>
        <row r="58">
          <cell r="B58">
            <v>46</v>
          </cell>
          <cell r="C58">
            <v>42845</v>
          </cell>
          <cell r="D58">
            <v>0.85592592592592587</v>
          </cell>
          <cell r="E58">
            <v>2457864.3771000002</v>
          </cell>
          <cell r="F58" t="str">
            <v xml:space="preserve">FMT </v>
          </cell>
          <cell r="G58" t="str">
            <v>ORS-FR</v>
          </cell>
          <cell r="H58" t="str">
            <v>SC14+eShel+Atik460ex</v>
          </cell>
          <cell r="I58">
            <v>11000</v>
          </cell>
        </row>
        <row r="59">
          <cell r="B59">
            <v>47</v>
          </cell>
          <cell r="C59">
            <v>42846</v>
          </cell>
          <cell r="D59">
            <v>0.86365740740740737</v>
          </cell>
          <cell r="E59">
            <v>2457865.3983999998</v>
          </cell>
          <cell r="F59" t="str">
            <v>FCA</v>
          </cell>
          <cell r="G59" t="str">
            <v>PAG-SP</v>
          </cell>
          <cell r="H59" t="str">
            <v>Newton-200DADOS-12</v>
          </cell>
          <cell r="I59">
            <v>6261</v>
          </cell>
        </row>
        <row r="60">
          <cell r="B60">
            <v>48</v>
          </cell>
          <cell r="C60">
            <v>42846</v>
          </cell>
          <cell r="D60">
            <v>0.90833333333333333</v>
          </cell>
          <cell r="E60">
            <v>2457864.91</v>
          </cell>
          <cell r="F60" t="str">
            <v>JPM</v>
          </cell>
          <cell r="G60" t="str">
            <v>CAL-FR</v>
          </cell>
          <cell r="H60" t="str">
            <v>Lhires600L+T150</v>
          </cell>
          <cell r="I60">
            <v>3318</v>
          </cell>
        </row>
        <row r="61">
          <cell r="B61">
            <v>49</v>
          </cell>
          <cell r="C61">
            <v>42846</v>
          </cell>
          <cell r="D61">
            <v>0.91599537037037038</v>
          </cell>
          <cell r="E61">
            <v>2457865.4267000002</v>
          </cell>
          <cell r="F61" t="str">
            <v>JMO</v>
          </cell>
          <cell r="G61" t="str">
            <v>OLC-FR</v>
          </cell>
          <cell r="H61" t="str">
            <v>Alpy600+Atik460EX</v>
          </cell>
          <cell r="I61">
            <v>657</v>
          </cell>
        </row>
        <row r="62">
          <cell r="B62">
            <v>50</v>
          </cell>
          <cell r="C62">
            <v>42847</v>
          </cell>
          <cell r="D62">
            <v>0.1633449074074074</v>
          </cell>
          <cell r="E62">
            <v>2457865.6696000001</v>
          </cell>
          <cell r="F62" t="str">
            <v>JRF</v>
          </cell>
          <cell r="G62" t="str">
            <v>UHO-US</v>
          </cell>
          <cell r="H62" t="str">
            <v>CDK17LisaATIK460E</v>
          </cell>
          <cell r="I62">
            <v>993</v>
          </cell>
        </row>
        <row r="63">
          <cell r="B63">
            <v>51</v>
          </cell>
          <cell r="C63">
            <v>42847</v>
          </cell>
          <cell r="D63">
            <v>0.84880787037037031</v>
          </cell>
          <cell r="E63">
            <v>2457866.3697000002</v>
          </cell>
          <cell r="F63" t="str">
            <v>FCA</v>
          </cell>
          <cell r="G63" t="str">
            <v>PAG-SP</v>
          </cell>
          <cell r="H63" t="str">
            <v>Newton-200DADOS-20</v>
          </cell>
          <cell r="I63">
            <v>881</v>
          </cell>
        </row>
        <row r="64">
          <cell r="B64">
            <v>52</v>
          </cell>
          <cell r="C64">
            <v>42850</v>
          </cell>
          <cell r="D64">
            <v>0.80622685185185183</v>
          </cell>
          <cell r="E64">
            <v>2457869.3314999999</v>
          </cell>
          <cell r="F64" t="str">
            <v>SOL</v>
          </cell>
          <cell r="G64" t="str">
            <v>AQL-IT</v>
          </cell>
          <cell r="H64" t="str">
            <v>SC8+Alpy600+SBIGST8300</v>
          </cell>
          <cell r="I64">
            <v>622</v>
          </cell>
        </row>
        <row r="65">
          <cell r="B65">
            <v>53</v>
          </cell>
          <cell r="C65">
            <v>42859</v>
          </cell>
          <cell r="D65">
            <v>5.0891203703703702E-2</v>
          </cell>
          <cell r="E65">
            <v>2457877.5718999999</v>
          </cell>
          <cell r="F65" t="str">
            <v>LES</v>
          </cell>
          <cell r="G65" t="str">
            <v>MRO-CA</v>
          </cell>
          <cell r="H65" t="str">
            <v>31cmDK+23um1800lpm+</v>
          </cell>
          <cell r="I65">
            <v>9000</v>
          </cell>
        </row>
        <row r="66">
          <cell r="B66">
            <v>54</v>
          </cell>
          <cell r="C66">
            <v>42860</v>
          </cell>
          <cell r="D66">
            <v>0.79680555555555566</v>
          </cell>
          <cell r="E66">
            <v>2457879.3220000002</v>
          </cell>
          <cell r="F66" t="str">
            <v>PSO</v>
          </cell>
          <cell r="G66" t="str">
            <v>AQL-IT</v>
          </cell>
          <cell r="H66" t="str">
            <v>SC8+Alpy600+SBIGST8300</v>
          </cell>
          <cell r="I66">
            <v>595</v>
          </cell>
        </row>
        <row r="67">
          <cell r="B67">
            <v>55</v>
          </cell>
          <cell r="C67">
            <v>42861</v>
          </cell>
          <cell r="D67">
            <v>0.85777777777777775</v>
          </cell>
          <cell r="E67">
            <v>2457880.3717</v>
          </cell>
          <cell r="F67" t="str">
            <v>FCA</v>
          </cell>
          <cell r="G67" t="str">
            <v>PAG-SP</v>
          </cell>
          <cell r="H67" t="str">
            <v>Newton-200DADOS-12</v>
          </cell>
          <cell r="I67">
            <v>887</v>
          </cell>
        </row>
        <row r="68">
          <cell r="B68">
            <v>56</v>
          </cell>
          <cell r="C68">
            <v>42863</v>
          </cell>
          <cell r="D68">
            <v>0.17163194444444443</v>
          </cell>
          <cell r="E68">
            <v>2457881.6787999999</v>
          </cell>
          <cell r="F68" t="str">
            <v>JPE</v>
          </cell>
          <cell r="G68" t="str">
            <v>DCO-US</v>
          </cell>
          <cell r="H68" t="str">
            <v>CDK24(0.61m)Lisa</v>
          </cell>
          <cell r="I68">
            <v>787</v>
          </cell>
        </row>
        <row r="69">
          <cell r="B69">
            <v>57</v>
          </cell>
          <cell r="C69">
            <v>42864</v>
          </cell>
          <cell r="D69">
            <v>0.82240740740740748</v>
          </cell>
          <cell r="E69">
            <v>2457883.3642000002</v>
          </cell>
          <cell r="F69" t="str">
            <v>OGA</v>
          </cell>
          <cell r="G69" t="str">
            <v>OTO-FR</v>
          </cell>
          <cell r="H69" t="str">
            <v>RC400+eShel_460EX</v>
          </cell>
          <cell r="I69">
            <v>11000</v>
          </cell>
        </row>
        <row r="70">
          <cell r="B70">
            <v>58</v>
          </cell>
          <cell r="C70">
            <v>42864</v>
          </cell>
          <cell r="D70">
            <v>0.87467592592592591</v>
          </cell>
          <cell r="E70">
            <v>2457883.3958999999</v>
          </cell>
          <cell r="F70" t="str">
            <v>DBO</v>
          </cell>
          <cell r="G70" t="str">
            <v>WCO-UK</v>
          </cell>
          <cell r="H70" t="str">
            <v>C11+Lisa+SXVR-H</v>
          </cell>
          <cell r="I70">
            <v>761</v>
          </cell>
        </row>
        <row r="71">
          <cell r="B71">
            <v>59</v>
          </cell>
          <cell r="C71">
            <v>42865</v>
          </cell>
          <cell r="D71">
            <v>0.84702546296296299</v>
          </cell>
          <cell r="E71">
            <v>2457884.3681000001</v>
          </cell>
          <cell r="F71" t="str">
            <v xml:space="preserve">FMT </v>
          </cell>
          <cell r="G71" t="str">
            <v>ORS-FR</v>
          </cell>
          <cell r="H71" t="str">
            <v>SC14+eShel+Atik460ex</v>
          </cell>
          <cell r="I71">
            <v>11000</v>
          </cell>
        </row>
        <row r="72">
          <cell r="B72">
            <v>60</v>
          </cell>
          <cell r="C72">
            <v>42867</v>
          </cell>
          <cell r="D72">
            <v>0.84143518518518512</v>
          </cell>
          <cell r="E72">
            <v>2457886.3623000002</v>
          </cell>
          <cell r="F72" t="str">
            <v>FCA</v>
          </cell>
          <cell r="G72" t="str">
            <v>PAG-SP</v>
          </cell>
          <cell r="H72" t="str">
            <v>Newton-1200DADOS-1</v>
          </cell>
          <cell r="I72">
            <v>5932</v>
          </cell>
        </row>
        <row r="73">
          <cell r="B73">
            <v>61</v>
          </cell>
          <cell r="C73">
            <v>42879</v>
          </cell>
          <cell r="D73">
            <v>0.82657407407407402</v>
          </cell>
          <cell r="E73">
            <v>2457898.3544000001</v>
          </cell>
          <cell r="F73" t="str">
            <v>OGA</v>
          </cell>
          <cell r="G73" t="str">
            <v>OTO-FR</v>
          </cell>
          <cell r="H73" t="str">
            <v>RC400+eShel_460EX</v>
          </cell>
          <cell r="I73">
            <v>11000</v>
          </cell>
        </row>
        <row r="74">
          <cell r="B74">
            <v>62</v>
          </cell>
          <cell r="C74">
            <v>42997</v>
          </cell>
          <cell r="D74">
            <v>0.51431712962962961</v>
          </cell>
          <cell r="E74">
            <v>2458016.0178999999</v>
          </cell>
          <cell r="F74" t="str">
            <v>JRF</v>
          </cell>
          <cell r="G74" t="str">
            <v>MTN-US</v>
          </cell>
          <cell r="H74" t="str">
            <v>CC13LisaATIK460EX</v>
          </cell>
          <cell r="I74">
            <v>718</v>
          </cell>
        </row>
        <row r="75">
          <cell r="B75">
            <v>63</v>
          </cell>
          <cell r="C75">
            <v>43011</v>
          </cell>
          <cell r="D75">
            <v>0.15530092592592593</v>
          </cell>
          <cell r="E75">
            <v>2458029.6693000002</v>
          </cell>
          <cell r="F75" t="str">
            <v xml:space="preserve">FMT </v>
          </cell>
          <cell r="G75" t="str">
            <v>ORS-FR</v>
          </cell>
          <cell r="H75" t="str">
            <v>SC14+eShel+Atik460ex</v>
          </cell>
          <cell r="I75">
            <v>11000</v>
          </cell>
        </row>
        <row r="76">
          <cell r="B76">
            <v>64</v>
          </cell>
          <cell r="C76">
            <v>43036</v>
          </cell>
          <cell r="D76">
            <v>0.32744212962962965</v>
          </cell>
          <cell r="E76">
            <v>2458054.8454999998</v>
          </cell>
          <cell r="F76" t="str">
            <v>FAS</v>
          </cell>
          <cell r="G76" t="str">
            <v>DCO-US</v>
          </cell>
          <cell r="H76" t="str">
            <v>DK14+Lisa+Atik414ex</v>
          </cell>
          <cell r="I76">
            <v>938</v>
          </cell>
        </row>
        <row r="77">
          <cell r="B77">
            <v>65</v>
          </cell>
          <cell r="C77">
            <v>43037</v>
          </cell>
          <cell r="D77">
            <v>0.94721064814814815</v>
          </cell>
          <cell r="E77">
            <v>2458056.4684000001</v>
          </cell>
          <cell r="F77" t="str">
            <v>DBO</v>
          </cell>
          <cell r="G77" t="str">
            <v>WCO-UK</v>
          </cell>
          <cell r="H77" t="str">
            <v>C11+Lisa+SXVR-H</v>
          </cell>
          <cell r="I77">
            <v>1029</v>
          </cell>
        </row>
        <row r="78">
          <cell r="B78">
            <v>66</v>
          </cell>
          <cell r="C78">
            <v>43040</v>
          </cell>
          <cell r="D78">
            <v>5.4166666666666669E-3</v>
          </cell>
          <cell r="E78">
            <v>2458058.5192999998</v>
          </cell>
          <cell r="F78" t="str">
            <v>FCA</v>
          </cell>
          <cell r="G78" t="str">
            <v>PAG-SP</v>
          </cell>
          <cell r="H78" t="str">
            <v>N-200f/4.7+Barlo</v>
          </cell>
          <cell r="I78">
            <v>926</v>
          </cell>
        </row>
        <row r="79">
          <cell r="B79">
            <v>67</v>
          </cell>
          <cell r="C79">
            <v>43040</v>
          </cell>
          <cell r="D79">
            <v>0.18126157407407406</v>
          </cell>
          <cell r="E79">
            <v>2458058.7022000002</v>
          </cell>
          <cell r="F79" t="str">
            <v xml:space="preserve">FMT </v>
          </cell>
          <cell r="G79" t="str">
            <v>ORS-FR</v>
          </cell>
          <cell r="H79" t="str">
            <v>SC14+eShel+Atik460ex</v>
          </cell>
          <cell r="I79">
            <v>11000</v>
          </cell>
        </row>
        <row r="80">
          <cell r="B80">
            <v>68</v>
          </cell>
          <cell r="C80">
            <v>43043</v>
          </cell>
          <cell r="D80">
            <v>0.16304398148148147</v>
          </cell>
          <cell r="E80">
            <v>2458061.7129000002</v>
          </cell>
          <cell r="F80" t="str">
            <v>LES</v>
          </cell>
          <cell r="G80" t="str">
            <v>MRO-CA</v>
          </cell>
          <cell r="H80" t="str">
            <v>DK310+Echelle_ESSAT</v>
          </cell>
          <cell r="I80">
            <v>14000</v>
          </cell>
        </row>
        <row r="81">
          <cell r="B81">
            <v>69</v>
          </cell>
          <cell r="C81">
            <v>43045</v>
          </cell>
          <cell r="D81">
            <v>0.28494212962962967</v>
          </cell>
          <cell r="E81">
            <v>2458063.7930000001</v>
          </cell>
          <cell r="F81" t="str">
            <v>FAS</v>
          </cell>
          <cell r="G81" t="str">
            <v>DCO-US</v>
          </cell>
          <cell r="H81" t="str">
            <v>DK14+Lisa+Atik414ex</v>
          </cell>
          <cell r="I81">
            <v>1057</v>
          </cell>
        </row>
        <row r="82">
          <cell r="B82">
            <v>70</v>
          </cell>
          <cell r="C82">
            <v>43071</v>
          </cell>
          <cell r="D82">
            <v>0.46684027777777781</v>
          </cell>
          <cell r="E82">
            <v>2458090.0142000001</v>
          </cell>
          <cell r="F82" t="str">
            <v>JRF</v>
          </cell>
          <cell r="G82" t="str">
            <v>UHO-US</v>
          </cell>
          <cell r="H82" t="str">
            <v>CDK17+Lhires2400</v>
          </cell>
          <cell r="I82">
            <v>14280</v>
          </cell>
        </row>
        <row r="83">
          <cell r="B83">
            <v>71</v>
          </cell>
          <cell r="C83">
            <v>43075</v>
          </cell>
          <cell r="D83">
            <v>0.99015046296296294</v>
          </cell>
          <cell r="E83">
            <v>2458094.4901000001</v>
          </cell>
          <cell r="F83" t="str">
            <v>PCA</v>
          </cell>
          <cell r="G83" t="str">
            <v>LEC-IT</v>
          </cell>
          <cell r="H83" t="str">
            <v>VX10Alpy600Atik41</v>
          </cell>
          <cell r="I83">
            <v>554</v>
          </cell>
        </row>
        <row r="84">
          <cell r="B84">
            <v>72</v>
          </cell>
          <cell r="C84">
            <v>43077</v>
          </cell>
          <cell r="D84">
            <v>0.28346064814814814</v>
          </cell>
          <cell r="E84">
            <v>2458095.7947</v>
          </cell>
          <cell r="F84" t="str">
            <v>FAS</v>
          </cell>
          <cell r="G84" t="str">
            <v>DCO-US</v>
          </cell>
          <cell r="H84" t="str">
            <v>DK14+Lisa+Atik414ex</v>
          </cell>
          <cell r="I84">
            <v>830</v>
          </cell>
        </row>
        <row r="85">
          <cell r="B85">
            <v>73</v>
          </cell>
          <cell r="C85">
            <v>43080</v>
          </cell>
          <cell r="D85">
            <v>0.83388888888888879</v>
          </cell>
          <cell r="E85">
            <v>2458099.3587000002</v>
          </cell>
          <cell r="F85" t="str">
            <v>DBO</v>
          </cell>
          <cell r="G85" t="str">
            <v>WCO-UK</v>
          </cell>
          <cell r="H85" t="str">
            <v>C11+Lisa+SXVR-H</v>
          </cell>
          <cell r="I85">
            <v>1012</v>
          </cell>
        </row>
        <row r="86">
          <cell r="B86">
            <v>74</v>
          </cell>
          <cell r="C86">
            <v>43084</v>
          </cell>
          <cell r="D86">
            <v>0.39582175925925928</v>
          </cell>
          <cell r="E86">
            <v>2458102.9205</v>
          </cell>
          <cell r="F86" t="str">
            <v>JRF</v>
          </cell>
          <cell r="G86" t="str">
            <v>UHO-US</v>
          </cell>
          <cell r="H86" t="str">
            <v>CDK17+Lhires2400</v>
          </cell>
          <cell r="I86">
            <v>13964</v>
          </cell>
        </row>
        <row r="87">
          <cell r="B87">
            <v>75</v>
          </cell>
          <cell r="C87">
            <v>43084</v>
          </cell>
          <cell r="D87">
            <v>0.44855324074074071</v>
          </cell>
          <cell r="E87">
            <v>2458102.9906000001</v>
          </cell>
          <cell r="F87" t="str">
            <v>JRF</v>
          </cell>
          <cell r="G87" t="str">
            <v>UHO-US</v>
          </cell>
          <cell r="H87" t="str">
            <v>CDK17+Lhires2400</v>
          </cell>
          <cell r="I87">
            <v>8282</v>
          </cell>
        </row>
        <row r="88">
          <cell r="B88">
            <v>76</v>
          </cell>
          <cell r="C88">
            <v>43099</v>
          </cell>
          <cell r="D88">
            <v>0.15912037037037038</v>
          </cell>
          <cell r="E88">
            <v>2458117.6702999999</v>
          </cell>
          <cell r="F88" t="str">
            <v>FAS</v>
          </cell>
          <cell r="G88" t="str">
            <v>DCO-US</v>
          </cell>
          <cell r="H88" t="str">
            <v>DK14+Lisa+Atik414ex</v>
          </cell>
          <cell r="I88">
            <v>1003</v>
          </cell>
        </row>
        <row r="89">
          <cell r="B89">
            <v>77</v>
          </cell>
          <cell r="C89">
            <v>43099</v>
          </cell>
          <cell r="D89">
            <v>0.97381944444444446</v>
          </cell>
          <cell r="E89">
            <v>2458118.4865000001</v>
          </cell>
          <cell r="F89" t="str">
            <v>PCA</v>
          </cell>
          <cell r="G89" t="str">
            <v>LEC-IT</v>
          </cell>
          <cell r="H89" t="str">
            <v>VX10Alpy600Atik41</v>
          </cell>
          <cell r="I89">
            <v>550</v>
          </cell>
        </row>
        <row r="90">
          <cell r="B90">
            <v>78</v>
          </cell>
          <cell r="C90">
            <v>43100</v>
          </cell>
          <cell r="D90">
            <v>1.861111111111111E-2</v>
          </cell>
          <cell r="E90">
            <v>2458118.5273000002</v>
          </cell>
          <cell r="F90" t="str">
            <v>FCA</v>
          </cell>
          <cell r="G90" t="str">
            <v>PAG-SP</v>
          </cell>
          <cell r="H90" t="str">
            <v>RC-350f/8DADOS-</v>
          </cell>
          <cell r="I90">
            <v>867</v>
          </cell>
        </row>
        <row r="91">
          <cell r="B91">
            <v>79</v>
          </cell>
          <cell r="C91">
            <v>43100</v>
          </cell>
          <cell r="D91">
            <v>0.80175925925925917</v>
          </cell>
          <cell r="E91">
            <v>2458119.3262999998</v>
          </cell>
          <cell r="F91" t="str">
            <v>PSO</v>
          </cell>
          <cell r="G91" t="str">
            <v>TAT-HU</v>
          </cell>
          <cell r="H91" t="str">
            <v>SC9+Spectro_JGF1+SbigST-8300</v>
          </cell>
          <cell r="I91">
            <v>2645</v>
          </cell>
        </row>
        <row r="92">
          <cell r="B92">
            <v>80</v>
          </cell>
          <cell r="C92">
            <v>43101</v>
          </cell>
          <cell r="D92">
            <v>0.96076388888888886</v>
          </cell>
          <cell r="E92">
            <v>2458120.4821000001</v>
          </cell>
          <cell r="F92" t="str">
            <v>DBO</v>
          </cell>
          <cell r="G92" t="str">
            <v>WCO-UK</v>
          </cell>
          <cell r="H92" t="str">
            <v>C11+Lisa+SXVR-H</v>
          </cell>
          <cell r="I92">
            <v>1099</v>
          </cell>
        </row>
        <row r="93">
          <cell r="B93">
            <v>81</v>
          </cell>
          <cell r="C93">
            <v>43105</v>
          </cell>
          <cell r="D93">
            <v>0.23902777777777776</v>
          </cell>
          <cell r="E93">
            <v>2458123.7496000002</v>
          </cell>
          <cell r="F93" t="str">
            <v>FAS</v>
          </cell>
          <cell r="G93" t="str">
            <v>DCO-US</v>
          </cell>
          <cell r="H93" t="str">
            <v>DK14+Lisa+Atik414ex</v>
          </cell>
          <cell r="I93">
            <v>1008</v>
          </cell>
        </row>
        <row r="94">
          <cell r="B94">
            <v>82</v>
          </cell>
          <cell r="C94">
            <v>43111</v>
          </cell>
          <cell r="D94">
            <v>0.91753472222222221</v>
          </cell>
          <cell r="E94">
            <v>2458130.4454999999</v>
          </cell>
          <cell r="F94" t="str">
            <v>JGF</v>
          </cell>
          <cell r="G94" t="str">
            <v>PIE-SP</v>
          </cell>
          <cell r="H94" t="str">
            <v>MUSSOL</v>
          </cell>
          <cell r="I94">
            <v>9000</v>
          </cell>
        </row>
        <row r="95">
          <cell r="B95">
            <v>83</v>
          </cell>
          <cell r="C95">
            <v>43112</v>
          </cell>
          <cell r="D95">
            <v>0.15732638888888889</v>
          </cell>
          <cell r="E95">
            <v>2458130.6661</v>
          </cell>
          <cell r="F95" t="str">
            <v>FAS</v>
          </cell>
          <cell r="G95" t="str">
            <v>DCO-US</v>
          </cell>
          <cell r="H95" t="str">
            <v>DK14+Lisa+Atik414ex</v>
          </cell>
          <cell r="I95">
            <v>993</v>
          </cell>
        </row>
        <row r="96">
          <cell r="B96">
            <v>84</v>
          </cell>
          <cell r="C96">
            <v>43121</v>
          </cell>
          <cell r="D96">
            <v>0.7990624999999999</v>
          </cell>
          <cell r="E96">
            <v>2458140.3645000001</v>
          </cell>
          <cell r="F96" t="str">
            <v>JGF</v>
          </cell>
          <cell r="G96" t="str">
            <v>SMM-SP</v>
          </cell>
          <cell r="H96" t="str">
            <v>T16+Echelle+Atik460</v>
          </cell>
          <cell r="I96">
            <v>9000</v>
          </cell>
        </row>
        <row r="97">
          <cell r="B97">
            <v>85</v>
          </cell>
          <cell r="C97">
            <v>43122</v>
          </cell>
          <cell r="D97">
            <v>0.1590162037037037</v>
          </cell>
          <cell r="E97">
            <v>2458140.6696000001</v>
          </cell>
          <cell r="F97" t="str">
            <v>FAS</v>
          </cell>
          <cell r="G97" t="str">
            <v>DCO-US</v>
          </cell>
          <cell r="H97" t="str">
            <v>DK14+Lisa+Atik414ex</v>
          </cell>
          <cell r="I97">
            <v>1009</v>
          </cell>
        </row>
        <row r="98">
          <cell r="B98">
            <v>86</v>
          </cell>
          <cell r="C98">
            <v>43122</v>
          </cell>
          <cell r="D98">
            <v>0.9356944444444445</v>
          </cell>
          <cell r="E98">
            <v>2458141.4671</v>
          </cell>
          <cell r="F98" t="str">
            <v>JGF</v>
          </cell>
          <cell r="G98" t="str">
            <v>SMM-SP</v>
          </cell>
          <cell r="H98" t="str">
            <v>T16+Echelle+Atik460</v>
          </cell>
          <cell r="I98">
            <v>9000</v>
          </cell>
        </row>
        <row r="99">
          <cell r="B99">
            <v>87</v>
          </cell>
          <cell r="C99">
            <v>43123</v>
          </cell>
          <cell r="D99">
            <v>0.82052083333333325</v>
          </cell>
          <cell r="E99">
            <v>2458142.3761999998</v>
          </cell>
          <cell r="F99" t="str">
            <v>OGA</v>
          </cell>
          <cell r="G99" t="str">
            <v>OTO-FR</v>
          </cell>
          <cell r="H99" t="str">
            <v>RC400+eShel_460EX</v>
          </cell>
          <cell r="I99">
            <v>9000</v>
          </cell>
        </row>
        <row r="100">
          <cell r="B100">
            <v>88</v>
          </cell>
          <cell r="C100">
            <v>43123</v>
          </cell>
          <cell r="D100">
            <v>0.94199074074074074</v>
          </cell>
          <cell r="E100">
            <v>2458142.4745999998</v>
          </cell>
          <cell r="F100" t="str">
            <v>JGF</v>
          </cell>
          <cell r="G100" t="str">
            <v>PIE-SP</v>
          </cell>
          <cell r="H100" t="str">
            <v>MUSSOL</v>
          </cell>
          <cell r="I100">
            <v>9000</v>
          </cell>
        </row>
        <row r="101">
          <cell r="B101">
            <v>89</v>
          </cell>
          <cell r="C101">
            <v>43125</v>
          </cell>
          <cell r="D101">
            <v>0.76068287037037041</v>
          </cell>
          <cell r="E101">
            <v>2458144.3001999999</v>
          </cell>
          <cell r="F101" t="str">
            <v>SOL</v>
          </cell>
          <cell r="G101" t="str">
            <v>AQL-IT</v>
          </cell>
          <cell r="H101" t="str">
            <v>SC9+Spectro_JGF1+SbigST-8300</v>
          </cell>
          <cell r="I101">
            <v>8265</v>
          </cell>
        </row>
        <row r="102">
          <cell r="B102">
            <v>90</v>
          </cell>
          <cell r="C102">
            <v>43133</v>
          </cell>
          <cell r="D102">
            <v>0.25844907407407408</v>
          </cell>
          <cell r="E102">
            <v>2458151.7669000002</v>
          </cell>
          <cell r="F102" t="str">
            <v>FAS</v>
          </cell>
          <cell r="G102" t="str">
            <v>DCO-US</v>
          </cell>
          <cell r="H102" t="str">
            <v>DK14+Lisa+Atik414ex</v>
          </cell>
          <cell r="I102">
            <v>984</v>
          </cell>
        </row>
        <row r="103">
          <cell r="B103">
            <v>91</v>
          </cell>
          <cell r="C103">
            <v>43133</v>
          </cell>
          <cell r="D103">
            <v>0.94133101851851853</v>
          </cell>
          <cell r="E103">
            <v>2458152.4761999999</v>
          </cell>
          <cell r="F103" t="str">
            <v>JGF</v>
          </cell>
          <cell r="G103" t="str">
            <v>PIE-SP</v>
          </cell>
          <cell r="H103" t="str">
            <v>MUSSOL</v>
          </cell>
          <cell r="I103">
            <v>9000</v>
          </cell>
        </row>
        <row r="104">
          <cell r="B104">
            <v>92</v>
          </cell>
          <cell r="C104">
            <v>43135</v>
          </cell>
          <cell r="D104">
            <v>0.76224537037037043</v>
          </cell>
          <cell r="E104">
            <v>2458154.3174999999</v>
          </cell>
          <cell r="F104" t="str">
            <v xml:space="preserve">FMT </v>
          </cell>
          <cell r="G104" t="str">
            <v>ORS-FR</v>
          </cell>
          <cell r="H104" t="str">
            <v>SC14+eShel+Atik460ex</v>
          </cell>
          <cell r="I104">
            <v>11000</v>
          </cell>
        </row>
        <row r="105">
          <cell r="B105">
            <v>93</v>
          </cell>
          <cell r="C105">
            <v>43136</v>
          </cell>
          <cell r="D105">
            <v>0.1579861111111111</v>
          </cell>
          <cell r="E105">
            <v>2458154.6667999998</v>
          </cell>
          <cell r="F105" t="str">
            <v>FAS</v>
          </cell>
          <cell r="G105" t="str">
            <v>DCO-US</v>
          </cell>
          <cell r="H105" t="str">
            <v>DK14+Lisa+Atik414ex</v>
          </cell>
          <cell r="I105">
            <v>909</v>
          </cell>
        </row>
        <row r="106">
          <cell r="B106">
            <v>94</v>
          </cell>
          <cell r="C106">
            <v>43138</v>
          </cell>
          <cell r="D106">
            <v>0.88770833333333332</v>
          </cell>
          <cell r="E106">
            <v>2458157.4284000001</v>
          </cell>
          <cell r="F106" t="str">
            <v>JGF</v>
          </cell>
          <cell r="G106" t="str">
            <v>SMM-SP</v>
          </cell>
          <cell r="H106" t="str">
            <v>MUSSOL</v>
          </cell>
          <cell r="I106">
            <v>9000</v>
          </cell>
        </row>
        <row r="107">
          <cell r="B107">
            <v>95</v>
          </cell>
          <cell r="C107">
            <v>43143</v>
          </cell>
          <cell r="D107">
            <v>0.78793981481481479</v>
          </cell>
          <cell r="E107">
            <v>2458162.3435999998</v>
          </cell>
          <cell r="F107" t="str">
            <v>OGA</v>
          </cell>
          <cell r="G107" t="str">
            <v>OTO-FR</v>
          </cell>
          <cell r="H107" t="str">
            <v>RC400+eShel_460EX</v>
          </cell>
          <cell r="I107">
            <v>9000</v>
          </cell>
        </row>
        <row r="108">
          <cell r="B108">
            <v>96</v>
          </cell>
          <cell r="C108">
            <v>43143</v>
          </cell>
          <cell r="D108">
            <v>0.87979166666666664</v>
          </cell>
          <cell r="E108">
            <v>2458162.4046999998</v>
          </cell>
          <cell r="F108" t="str">
            <v>DBO</v>
          </cell>
          <cell r="G108" t="str">
            <v>WCO-UK</v>
          </cell>
          <cell r="H108" t="str">
            <v>C11+Lisa+SXVR-H</v>
          </cell>
          <cell r="I108">
            <v>1086</v>
          </cell>
        </row>
        <row r="109">
          <cell r="B109">
            <v>97</v>
          </cell>
          <cell r="C109">
            <v>43146</v>
          </cell>
          <cell r="D109">
            <v>1.5925925925925927E-2</v>
          </cell>
          <cell r="E109">
            <v>2458164.5775000001</v>
          </cell>
          <cell r="F109" t="str">
            <v>LES</v>
          </cell>
          <cell r="G109" t="str">
            <v>MRO-CA</v>
          </cell>
          <cell r="H109" t="str">
            <v>DK310+Echelle_ESSAT</v>
          </cell>
          <cell r="I109">
            <v>14000</v>
          </cell>
        </row>
        <row r="110">
          <cell r="B110">
            <v>98</v>
          </cell>
          <cell r="C110">
            <v>43154</v>
          </cell>
          <cell r="D110">
            <v>0.78071759259259255</v>
          </cell>
          <cell r="E110">
            <v>2458173.2911999999</v>
          </cell>
          <cell r="F110" t="str">
            <v xml:space="preserve">FMT </v>
          </cell>
          <cell r="G110" t="str">
            <v>ORS-FR</v>
          </cell>
          <cell r="H110" t="str">
            <v>SC14+eShel+Atik460ex</v>
          </cell>
          <cell r="I110">
            <v>11000</v>
          </cell>
        </row>
        <row r="111">
          <cell r="B111">
            <v>99</v>
          </cell>
          <cell r="C111">
            <v>43155</v>
          </cell>
          <cell r="D111">
            <v>0.82111111111111112</v>
          </cell>
          <cell r="E111">
            <v>2458174.3350999998</v>
          </cell>
          <cell r="F111" t="str">
            <v>FBO</v>
          </cell>
          <cell r="G111" t="str">
            <v>OPL-FR</v>
          </cell>
          <cell r="H111" t="str">
            <v>SC8+Lisa+ATIK314L+</v>
          </cell>
          <cell r="I111">
            <v>1000</v>
          </cell>
        </row>
        <row r="112">
          <cell r="B112">
            <v>100</v>
          </cell>
          <cell r="C112">
            <v>43155</v>
          </cell>
          <cell r="D112">
            <v>0.91612268518518514</v>
          </cell>
          <cell r="E112">
            <v>2458174.4720000001</v>
          </cell>
          <cell r="F112" t="str">
            <v>JGF</v>
          </cell>
          <cell r="G112" t="str">
            <v>SMM-SP</v>
          </cell>
          <cell r="H112" t="str">
            <v>T16+Echelle+Atik460</v>
          </cell>
          <cell r="I112">
            <v>9000</v>
          </cell>
        </row>
        <row r="113">
          <cell r="B113">
            <v>101</v>
          </cell>
          <cell r="C113">
            <v>43156</v>
          </cell>
          <cell r="D113">
            <v>0.86229166666666668</v>
          </cell>
          <cell r="E113">
            <v>2458175.3835</v>
          </cell>
          <cell r="F113" t="str">
            <v>DBO</v>
          </cell>
          <cell r="G113" t="str">
            <v>WCO-UK</v>
          </cell>
          <cell r="H113" t="str">
            <v>C11+Lisa+SXVR-H</v>
          </cell>
          <cell r="I113">
            <v>1011</v>
          </cell>
        </row>
        <row r="114">
          <cell r="B114">
            <v>102</v>
          </cell>
          <cell r="C114">
            <v>43156</v>
          </cell>
          <cell r="D114">
            <v>0.87858796296296304</v>
          </cell>
          <cell r="E114">
            <v>2458175.389</v>
          </cell>
          <cell r="F114" t="str">
            <v>FCA</v>
          </cell>
          <cell r="G114" t="str">
            <v>PAG-SP</v>
          </cell>
          <cell r="H114" t="str">
            <v>RC-350f/8DADOS-</v>
          </cell>
          <cell r="I114">
            <v>821</v>
          </cell>
        </row>
        <row r="115">
          <cell r="B115">
            <v>103</v>
          </cell>
          <cell r="C115">
            <v>43162</v>
          </cell>
          <cell r="D115">
            <v>0.28458333333333335</v>
          </cell>
          <cell r="E115">
            <v>2458180.7933999998</v>
          </cell>
          <cell r="F115" t="str">
            <v>FAS</v>
          </cell>
          <cell r="G115" t="str">
            <v>DCO-US</v>
          </cell>
          <cell r="H115" t="str">
            <v>DK14+Lisa+Atik414ex</v>
          </cell>
          <cell r="I115">
            <v>1019</v>
          </cell>
        </row>
        <row r="116">
          <cell r="B116">
            <v>104</v>
          </cell>
          <cell r="C116">
            <v>43167</v>
          </cell>
          <cell r="D116">
            <v>0.81792824074074078</v>
          </cell>
          <cell r="E116">
            <v>2458186.3391</v>
          </cell>
          <cell r="F116" t="str">
            <v xml:space="preserve">FMT </v>
          </cell>
          <cell r="G116" t="str">
            <v>ORS-FR</v>
          </cell>
          <cell r="H116" t="str">
            <v>SC14+eShel+Atik460ex</v>
          </cell>
          <cell r="I116">
            <v>11000</v>
          </cell>
        </row>
        <row r="117">
          <cell r="B117">
            <v>105</v>
          </cell>
          <cell r="C117">
            <v>43168</v>
          </cell>
          <cell r="D117">
            <v>0.92820601851851858</v>
          </cell>
          <cell r="E117">
            <v>2458187.4638999999</v>
          </cell>
          <cell r="F117" t="str">
            <v>SOL</v>
          </cell>
          <cell r="G117" t="str">
            <v>AQL-IT</v>
          </cell>
          <cell r="H117" t="str">
            <v>SC9+Spectro_JGF1+SbigST-8300</v>
          </cell>
          <cell r="I117">
            <v>8128</v>
          </cell>
        </row>
        <row r="118">
          <cell r="B118">
            <v>106</v>
          </cell>
          <cell r="C118">
            <v>43172</v>
          </cell>
          <cell r="D118">
            <v>0.83785879629629623</v>
          </cell>
          <cell r="E118">
            <v>2458191.3796000001</v>
          </cell>
          <cell r="F118" t="str">
            <v>OGA</v>
          </cell>
          <cell r="G118" t="str">
            <v>OTO-FR</v>
          </cell>
          <cell r="H118" t="str">
            <v>RC400+eShel_460EX</v>
          </cell>
          <cell r="I118">
            <v>11000</v>
          </cell>
        </row>
        <row r="119">
          <cell r="B119">
            <v>107</v>
          </cell>
          <cell r="C119">
            <v>43179</v>
          </cell>
          <cell r="D119">
            <v>0.19659722222222223</v>
          </cell>
          <cell r="E119">
            <v>2458197.7036000001</v>
          </cell>
          <cell r="F119" t="str">
            <v>FAS</v>
          </cell>
          <cell r="G119" t="str">
            <v>DCO-US</v>
          </cell>
          <cell r="H119" t="str">
            <v>DK14+Lisa+Atik414ex</v>
          </cell>
          <cell r="I119">
            <v>988</v>
          </cell>
        </row>
        <row r="120">
          <cell r="B120">
            <v>108</v>
          </cell>
          <cell r="C120">
            <v>43179</v>
          </cell>
          <cell r="D120">
            <v>0.80592592592592593</v>
          </cell>
          <cell r="E120">
            <v>2458198.3341000001</v>
          </cell>
          <cell r="F120" t="str">
            <v xml:space="preserve">FMT </v>
          </cell>
          <cell r="G120" t="str">
            <v>ORS-FR</v>
          </cell>
          <cell r="H120" t="str">
            <v>SC14+eShel+Atik460ex</v>
          </cell>
          <cell r="I120">
            <v>11000</v>
          </cell>
        </row>
        <row r="121">
          <cell r="B121">
            <v>109</v>
          </cell>
          <cell r="C121">
            <v>43179</v>
          </cell>
          <cell r="D121">
            <v>0.88384259259259268</v>
          </cell>
          <cell r="E121">
            <v>2458198.4325999999</v>
          </cell>
          <cell r="F121" t="str">
            <v>JGF</v>
          </cell>
          <cell r="G121" t="str">
            <v>SMM-SP</v>
          </cell>
          <cell r="H121" t="str">
            <v>T16+Echelle+Atik460</v>
          </cell>
          <cell r="I121">
            <v>9000</v>
          </cell>
        </row>
        <row r="122">
          <cell r="B122">
            <v>110</v>
          </cell>
          <cell r="C122">
            <v>43202</v>
          </cell>
          <cell r="D122">
            <v>0.14619212962962963</v>
          </cell>
          <cell r="E122">
            <v>2458220.6532000001</v>
          </cell>
          <cell r="F122" t="str">
            <v>FAS</v>
          </cell>
          <cell r="G122" t="str">
            <v>DCO-US</v>
          </cell>
          <cell r="H122" t="str">
            <v>DK14+Lisa+Atik414ex</v>
          </cell>
          <cell r="I122">
            <v>904</v>
          </cell>
        </row>
        <row r="123">
          <cell r="B123">
            <v>111</v>
          </cell>
          <cell r="C123">
            <v>43208</v>
          </cell>
          <cell r="D123">
            <v>0.91980324074074071</v>
          </cell>
          <cell r="E123">
            <v>2458227.4445000002</v>
          </cell>
          <cell r="F123" t="str">
            <v>DBO</v>
          </cell>
          <cell r="G123" t="str">
            <v>WCO-UK</v>
          </cell>
          <cell r="H123" t="str">
            <v>C11+Lisa+SXVR-H</v>
          </cell>
          <cell r="I123">
            <v>1020</v>
          </cell>
        </row>
        <row r="124">
          <cell r="B124">
            <v>112</v>
          </cell>
          <cell r="C124">
            <v>43210</v>
          </cell>
          <cell r="D124">
            <v>0.82576388888888896</v>
          </cell>
          <cell r="E124">
            <v>2458229.3596000001</v>
          </cell>
          <cell r="F124" t="str">
            <v>SOL</v>
          </cell>
          <cell r="G124" t="str">
            <v>AQL-IT</v>
          </cell>
          <cell r="H124" t="str">
            <v>SC9+Spectro_JGF1+SbigST-8300</v>
          </cell>
          <cell r="I124">
            <v>6973</v>
          </cell>
        </row>
        <row r="125">
          <cell r="B125">
            <v>113</v>
          </cell>
          <cell r="C125">
            <v>43211</v>
          </cell>
          <cell r="D125">
            <v>3.9456018518518522E-2</v>
          </cell>
          <cell r="E125">
            <v>2458229.5885999999</v>
          </cell>
          <cell r="F125" t="str">
            <v>LES</v>
          </cell>
          <cell r="G125" t="str">
            <v>MRO-CA</v>
          </cell>
          <cell r="H125" t="str">
            <v>DK310+Echelle_ESSAT</v>
          </cell>
          <cell r="I125">
            <v>13000</v>
          </cell>
        </row>
        <row r="126">
          <cell r="B126">
            <v>114</v>
          </cell>
          <cell r="C126">
            <v>43233</v>
          </cell>
          <cell r="D126">
            <v>6.3148148148148148E-2</v>
          </cell>
          <cell r="E126">
            <v>2458251.5983000002</v>
          </cell>
          <cell r="F126" t="str">
            <v>LES</v>
          </cell>
          <cell r="G126" t="str">
            <v>MRO-CA</v>
          </cell>
          <cell r="H126" t="str">
            <v>DK310+Echelle_ESSAT</v>
          </cell>
          <cell r="I126">
            <v>13000</v>
          </cell>
        </row>
        <row r="127">
          <cell r="B127">
            <v>115</v>
          </cell>
          <cell r="C127">
            <v>43233</v>
          </cell>
          <cell r="D127">
            <v>0.94732638888888887</v>
          </cell>
          <cell r="E127">
            <v>2458252.4701</v>
          </cell>
          <cell r="F127" t="str">
            <v>DBO</v>
          </cell>
          <cell r="G127" t="str">
            <v>WCO-UK</v>
          </cell>
          <cell r="H127" t="str">
            <v>C11+Lisa+SXVR-H</v>
          </cell>
          <cell r="I127">
            <v>1073</v>
          </cell>
        </row>
        <row r="128">
          <cell r="B128">
            <v>116</v>
          </cell>
          <cell r="C128">
            <v>43429</v>
          </cell>
          <cell r="D128">
            <v>0.51921296296296293</v>
          </cell>
          <cell r="E128">
            <v>2458448.0255999998</v>
          </cell>
          <cell r="F128" t="str">
            <v>JRF</v>
          </cell>
          <cell r="G128" t="str">
            <v>UHO-US</v>
          </cell>
          <cell r="H128" t="str">
            <v>CC13LISAATIK460EX</v>
          </cell>
          <cell r="I128">
            <v>956</v>
          </cell>
        </row>
        <row r="129">
          <cell r="B129">
            <v>117</v>
          </cell>
          <cell r="C129">
            <v>43432</v>
          </cell>
          <cell r="D129">
            <v>0.47475694444444444</v>
          </cell>
          <cell r="E129">
            <v>2458450.9772000001</v>
          </cell>
          <cell r="F129" t="str">
            <v>JRF</v>
          </cell>
          <cell r="G129" t="str">
            <v>UHO-US</v>
          </cell>
          <cell r="H129" t="str">
            <v>CC13ALPY600ATIK460EX</v>
          </cell>
          <cell r="I129">
            <v>560</v>
          </cell>
        </row>
        <row r="130">
          <cell r="B130">
            <v>118</v>
          </cell>
          <cell r="C130">
            <v>43444</v>
          </cell>
          <cell r="D130">
            <v>3.3854166666666664E-2</v>
          </cell>
          <cell r="E130">
            <v>2458462.5383000001</v>
          </cell>
          <cell r="F130" t="str">
            <v>JCO</v>
          </cell>
          <cell r="G130" t="str">
            <v>STO-UK</v>
          </cell>
          <cell r="H130" t="str">
            <v>C80.7xFR+ALPY600+Atik460EX</v>
          </cell>
          <cell r="I130">
            <v>562</v>
          </cell>
        </row>
        <row r="131">
          <cell r="B131">
            <v>119</v>
          </cell>
          <cell r="C131">
            <v>43448</v>
          </cell>
          <cell r="D131">
            <v>0.2663773148148148</v>
          </cell>
          <cell r="E131">
            <v>2458466.7757000001</v>
          </cell>
          <cell r="F131" t="str">
            <v>FAS</v>
          </cell>
          <cell r="G131" t="str">
            <v>DCO-US</v>
          </cell>
          <cell r="H131" t="str">
            <v>CDK14LISAAtik414ex</v>
          </cell>
          <cell r="I131">
            <v>962</v>
          </cell>
        </row>
        <row r="132">
          <cell r="B132">
            <v>120</v>
          </cell>
          <cell r="C132">
            <v>43465</v>
          </cell>
          <cell r="D132">
            <v>0.19874999999999998</v>
          </cell>
          <cell r="E132">
            <v>2458483.7113999999</v>
          </cell>
          <cell r="F132" t="str">
            <v>FAS</v>
          </cell>
          <cell r="G132" t="str">
            <v>DCO-US</v>
          </cell>
          <cell r="H132" t="str">
            <v>CDK14LISAAtik414ex</v>
          </cell>
          <cell r="I132">
            <v>948</v>
          </cell>
        </row>
        <row r="133">
          <cell r="B133">
            <v>121</v>
          </cell>
          <cell r="C133">
            <v>43472</v>
          </cell>
          <cell r="D133">
            <v>0.86353009259259261</v>
          </cell>
          <cell r="E133">
            <v>2458491.3879</v>
          </cell>
          <cell r="F133" t="str">
            <v>FCA</v>
          </cell>
          <cell r="G133" t="str">
            <v>PAG-SP</v>
          </cell>
          <cell r="H133" t="str">
            <v>N-200f</v>
          </cell>
          <cell r="I133">
            <v>794</v>
          </cell>
        </row>
        <row r="134">
          <cell r="B134">
            <v>122</v>
          </cell>
          <cell r="C134">
            <v>43475</v>
          </cell>
          <cell r="D134">
            <v>0.7952662037037036</v>
          </cell>
          <cell r="E134">
            <v>2458494.3317999998</v>
          </cell>
          <cell r="F134" t="str">
            <v>FCA</v>
          </cell>
          <cell r="G134" t="str">
            <v>PAG-SP</v>
          </cell>
          <cell r="H134" t="str">
            <v>N-200f</v>
          </cell>
          <cell r="I134">
            <v>4821</v>
          </cell>
        </row>
        <row r="135">
          <cell r="B135">
            <v>123</v>
          </cell>
          <cell r="C135">
            <v>43476</v>
          </cell>
          <cell r="D135">
            <v>0.17726851851851852</v>
          </cell>
          <cell r="E135">
            <v>2458494.6899000001</v>
          </cell>
          <cell r="F135" t="str">
            <v>FAS</v>
          </cell>
          <cell r="G135" t="str">
            <v>DCO-US</v>
          </cell>
          <cell r="H135" t="str">
            <v>CDK14LISAAtik414ex</v>
          </cell>
          <cell r="I135">
            <v>889</v>
          </cell>
        </row>
        <row r="136">
          <cell r="B136">
            <v>124</v>
          </cell>
          <cell r="C136">
            <v>43485</v>
          </cell>
          <cell r="D136">
            <v>0.15304398148148149</v>
          </cell>
          <cell r="E136">
            <v>2458503.6656999998</v>
          </cell>
          <cell r="F136" t="str">
            <v>FAS</v>
          </cell>
          <cell r="G136" t="str">
            <v>DCO-US</v>
          </cell>
          <cell r="H136" t="str">
            <v>CDK14LISAAtik414ex</v>
          </cell>
          <cell r="I136">
            <v>858</v>
          </cell>
        </row>
        <row r="137">
          <cell r="B137">
            <v>125</v>
          </cell>
          <cell r="C137">
            <v>43491</v>
          </cell>
          <cell r="D137">
            <v>0.8784953703703704</v>
          </cell>
          <cell r="E137">
            <v>2458510.4090999998</v>
          </cell>
          <cell r="F137" t="str">
            <v>JGF</v>
          </cell>
          <cell r="G137" t="str">
            <v>SMM-SP</v>
          </cell>
          <cell r="H137" t="str">
            <v>16REMOTLINX460EX</v>
          </cell>
          <cell r="I137">
            <v>9000</v>
          </cell>
        </row>
        <row r="138">
          <cell r="B138">
            <v>126</v>
          </cell>
          <cell r="C138">
            <v>43499</v>
          </cell>
          <cell r="D138">
            <v>0.78149305555555559</v>
          </cell>
          <cell r="E138">
            <v>2458518.3059</v>
          </cell>
          <cell r="F138" t="str">
            <v xml:space="preserve">FMT </v>
          </cell>
          <cell r="G138" t="str">
            <v>ORS-FR</v>
          </cell>
          <cell r="H138" t="str">
            <v>SC14+eShel+460EX_b2</v>
          </cell>
          <cell r="I138">
            <v>11000</v>
          </cell>
        </row>
        <row r="139">
          <cell r="B139">
            <v>127</v>
          </cell>
          <cell r="C139">
            <v>43504</v>
          </cell>
          <cell r="D139">
            <v>0.25842592592592589</v>
          </cell>
          <cell r="E139">
            <v>2458522.7711</v>
          </cell>
          <cell r="F139" t="str">
            <v>FAS</v>
          </cell>
          <cell r="G139" t="str">
            <v>DCO-US</v>
          </cell>
          <cell r="H139" t="str">
            <v>CDK14LISAAtik414ex</v>
          </cell>
          <cell r="I139">
            <v>954</v>
          </cell>
        </row>
        <row r="140">
          <cell r="B140">
            <v>128</v>
          </cell>
          <cell r="C140">
            <v>43504</v>
          </cell>
          <cell r="D140">
            <v>0.78098379629629633</v>
          </cell>
          <cell r="E140">
            <v>2458523.3270999999</v>
          </cell>
          <cell r="F140" t="str">
            <v>SOL</v>
          </cell>
          <cell r="G140" t="str">
            <v>AQL-IT</v>
          </cell>
          <cell r="H140" t="str">
            <v>JGF1C9.25ST-8300</v>
          </cell>
          <cell r="I140">
            <v>8710</v>
          </cell>
        </row>
        <row r="141">
          <cell r="B141">
            <v>129</v>
          </cell>
          <cell r="C141">
            <v>43505</v>
          </cell>
          <cell r="D141">
            <v>0.96824074074074085</v>
          </cell>
          <cell r="E141">
            <v>2458524.4944000002</v>
          </cell>
          <cell r="F141" t="str">
            <v>JGF</v>
          </cell>
          <cell r="G141" t="str">
            <v>SMM-SP</v>
          </cell>
          <cell r="H141" t="str">
            <v>16REMOTLINX460EX</v>
          </cell>
          <cell r="I141">
            <v>9000</v>
          </cell>
        </row>
        <row r="142">
          <cell r="B142">
            <v>130</v>
          </cell>
          <cell r="C142">
            <v>43508</v>
          </cell>
          <cell r="D142">
            <v>0.29481481481481481</v>
          </cell>
          <cell r="E142">
            <v>2458526.8028000002</v>
          </cell>
          <cell r="F142" t="str">
            <v>FAS</v>
          </cell>
          <cell r="G142" t="str">
            <v>DCO-US</v>
          </cell>
          <cell r="H142" t="str">
            <v>CDK14LISAAtik414ex</v>
          </cell>
          <cell r="I142">
            <v>967</v>
          </cell>
        </row>
        <row r="143">
          <cell r="B143">
            <v>131</v>
          </cell>
          <cell r="C143">
            <v>43509</v>
          </cell>
          <cell r="D143">
            <v>0.77194444444444443</v>
          </cell>
          <cell r="E143">
            <v>2458528.3001999999</v>
          </cell>
          <cell r="F143" t="str">
            <v xml:space="preserve">FMT </v>
          </cell>
          <cell r="G143" t="str">
            <v>ORS-FR</v>
          </cell>
          <cell r="H143" t="str">
            <v>SC14+eShel+460EX_b2</v>
          </cell>
          <cell r="I143">
            <v>11000</v>
          </cell>
        </row>
        <row r="144">
          <cell r="B144">
            <v>132</v>
          </cell>
          <cell r="C144">
            <v>43512</v>
          </cell>
          <cell r="D144">
            <v>2.9247685185185186E-2</v>
          </cell>
          <cell r="E144">
            <v>2458530.5432000002</v>
          </cell>
          <cell r="F144" t="str">
            <v>CBO</v>
          </cell>
          <cell r="G144" t="str">
            <v>OCT-FR</v>
          </cell>
          <cell r="H144" t="str">
            <v>N200mmF</v>
          </cell>
          <cell r="I144">
            <v>502</v>
          </cell>
        </row>
        <row r="145">
          <cell r="B145">
            <v>133</v>
          </cell>
          <cell r="C145">
            <v>43512</v>
          </cell>
          <cell r="D145">
            <v>0.90445601851851853</v>
          </cell>
          <cell r="E145">
            <v>2458531.4358000001</v>
          </cell>
          <cell r="F145" t="str">
            <v>JGF</v>
          </cell>
          <cell r="G145" t="str">
            <v>SMM-SP</v>
          </cell>
          <cell r="H145" t="str">
            <v>16REMOTLINX460EX</v>
          </cell>
          <cell r="I145">
            <v>9000</v>
          </cell>
        </row>
        <row r="146">
          <cell r="B146">
            <v>134</v>
          </cell>
          <cell r="C146">
            <v>43517</v>
          </cell>
          <cell r="D146">
            <v>0.80268518518518517</v>
          </cell>
          <cell r="E146">
            <v>2458536.3297000001</v>
          </cell>
          <cell r="F146" t="str">
            <v>DBO</v>
          </cell>
          <cell r="G146" t="str">
            <v>WCO-UK</v>
          </cell>
          <cell r="H146" t="str">
            <v>C11+LISA+SXVR-H694</v>
          </cell>
          <cell r="I146">
            <v>1084</v>
          </cell>
        </row>
        <row r="147">
          <cell r="B147">
            <v>135</v>
          </cell>
          <cell r="C147">
            <v>43521</v>
          </cell>
          <cell r="D147">
            <v>0.80087962962962955</v>
          </cell>
          <cell r="E147">
            <v>2458540.3514999999</v>
          </cell>
          <cell r="F147" t="str">
            <v xml:space="preserve">FMT </v>
          </cell>
          <cell r="G147" t="str">
            <v>ORS-FR</v>
          </cell>
          <cell r="H147" t="str">
            <v>SC14+eShel+460EX_b2</v>
          </cell>
          <cell r="I147">
            <v>11000</v>
          </cell>
        </row>
        <row r="148">
          <cell r="B148">
            <v>136</v>
          </cell>
          <cell r="C148">
            <v>43522</v>
          </cell>
          <cell r="D148">
            <v>0.96516203703703696</v>
          </cell>
          <cell r="E148">
            <v>2458541.4791000001</v>
          </cell>
          <cell r="F148" t="str">
            <v>CBO</v>
          </cell>
          <cell r="G148" t="str">
            <v>OCT-FR</v>
          </cell>
          <cell r="H148" t="str">
            <v>N200mmF</v>
          </cell>
          <cell r="I148">
            <v>501</v>
          </cell>
        </row>
        <row r="149">
          <cell r="B149">
            <v>137</v>
          </cell>
          <cell r="C149">
            <v>43526</v>
          </cell>
          <cell r="D149">
            <v>0.87621527777777775</v>
          </cell>
          <cell r="E149">
            <v>2458545.4180000001</v>
          </cell>
          <cell r="F149" t="str">
            <v>JGF</v>
          </cell>
          <cell r="G149" t="str">
            <v>SMM-SP</v>
          </cell>
          <cell r="H149" t="str">
            <v>16REMOTLINX460EX</v>
          </cell>
          <cell r="I149">
            <v>9000</v>
          </cell>
        </row>
        <row r="150">
          <cell r="B150">
            <v>138</v>
          </cell>
          <cell r="C150">
            <v>43531</v>
          </cell>
          <cell r="D150">
            <v>0.78339120370370363</v>
          </cell>
          <cell r="E150">
            <v>2458550.3128</v>
          </cell>
          <cell r="F150" t="str">
            <v xml:space="preserve">FMT </v>
          </cell>
          <cell r="G150" t="str">
            <v>ORS-FR</v>
          </cell>
          <cell r="H150" t="str">
            <v>SC14+eShel+460EX_b2</v>
          </cell>
          <cell r="I150">
            <v>11000</v>
          </cell>
        </row>
        <row r="151">
          <cell r="B151">
            <v>139</v>
          </cell>
          <cell r="C151">
            <v>43533</v>
          </cell>
          <cell r="D151">
            <v>0.13697916666666668</v>
          </cell>
          <cell r="E151">
            <v>2458551.6653</v>
          </cell>
          <cell r="F151" t="str">
            <v>LES</v>
          </cell>
          <cell r="G151" t="str">
            <v>MRO-CA</v>
          </cell>
          <cell r="H151" t="str">
            <v>31cmDK+ESSAT</v>
          </cell>
          <cell r="I151">
            <v>14000</v>
          </cell>
        </row>
        <row r="152">
          <cell r="B152">
            <v>140</v>
          </cell>
          <cell r="C152">
            <v>43534</v>
          </cell>
          <cell r="D152">
            <v>0.78070601851851851</v>
          </cell>
          <cell r="E152">
            <v>2458553.3365000002</v>
          </cell>
          <cell r="F152" t="str">
            <v>JGF</v>
          </cell>
          <cell r="G152" t="str">
            <v>SMM-SP</v>
          </cell>
          <cell r="H152" t="str">
            <v>16REMOTATIK460EXNEN</v>
          </cell>
          <cell r="I152">
            <v>9000</v>
          </cell>
        </row>
        <row r="153">
          <cell r="B153">
            <v>141</v>
          </cell>
          <cell r="C153">
            <v>43538</v>
          </cell>
          <cell r="D153">
            <v>0.91718749999999993</v>
          </cell>
          <cell r="E153">
            <v>2458557.4449999998</v>
          </cell>
          <cell r="F153" t="str">
            <v>FCA</v>
          </cell>
          <cell r="G153" t="str">
            <v>PAG-SP</v>
          </cell>
          <cell r="H153" t="str">
            <v>N-200f4.7+Barlow2XDADOS-1200ATIK314L+</v>
          </cell>
          <cell r="I153">
            <v>6761</v>
          </cell>
        </row>
        <row r="154">
          <cell r="B154">
            <v>142</v>
          </cell>
          <cell r="C154">
            <v>43542</v>
          </cell>
          <cell r="D154">
            <v>0.22503472222222221</v>
          </cell>
          <cell r="E154">
            <v>2458560.7373000002</v>
          </cell>
          <cell r="F154" t="str">
            <v>FAS</v>
          </cell>
          <cell r="G154" t="str">
            <v>DCO-US</v>
          </cell>
          <cell r="H154" t="str">
            <v>CDK14LISAAtik414ex</v>
          </cell>
          <cell r="I154">
            <v>985</v>
          </cell>
        </row>
        <row r="155">
          <cell r="B155">
            <v>143</v>
          </cell>
          <cell r="C155">
            <v>43544</v>
          </cell>
          <cell r="D155">
            <v>0.77302083333333327</v>
          </cell>
          <cell r="E155">
            <v>2458563.3217000002</v>
          </cell>
          <cell r="F155" t="str">
            <v>OGA</v>
          </cell>
          <cell r="G155" t="str">
            <v>OTO-FR</v>
          </cell>
          <cell r="H155" t="str">
            <v>RC400Astrosib-Eshel-ATIK460EX</v>
          </cell>
          <cell r="I155">
            <v>11000</v>
          </cell>
        </row>
        <row r="156">
          <cell r="B156">
            <v>144</v>
          </cell>
          <cell r="C156">
            <v>43548</v>
          </cell>
          <cell r="D156">
            <v>9.780092592592592E-3</v>
          </cell>
          <cell r="E156">
            <v>2458566.5602000002</v>
          </cell>
          <cell r="F156" t="str">
            <v>LES</v>
          </cell>
          <cell r="G156" t="str">
            <v>MRO-CA</v>
          </cell>
          <cell r="H156" t="str">
            <v>31cmDK+ESSAT</v>
          </cell>
          <cell r="I156">
            <v>14000</v>
          </cell>
        </row>
        <row r="157">
          <cell r="B157">
            <v>145</v>
          </cell>
          <cell r="C157">
            <v>43549</v>
          </cell>
          <cell r="D157">
            <v>0.81770833333333337</v>
          </cell>
          <cell r="E157">
            <v>2458568.3594999998</v>
          </cell>
          <cell r="F157" t="str">
            <v>JGF</v>
          </cell>
          <cell r="G157" t="str">
            <v>PIE-SP</v>
          </cell>
          <cell r="H157" t="str">
            <v>MUSSOL</v>
          </cell>
          <cell r="I157">
            <v>9000</v>
          </cell>
        </row>
        <row r="158">
          <cell r="B158">
            <v>146</v>
          </cell>
          <cell r="C158">
            <v>43553</v>
          </cell>
          <cell r="D158">
            <v>0.95890046296296294</v>
          </cell>
          <cell r="E158">
            <v>2458572.4728999999</v>
          </cell>
          <cell r="F158" t="str">
            <v>CBO</v>
          </cell>
          <cell r="G158" t="str">
            <v>OCT-FR</v>
          </cell>
          <cell r="H158" t="str">
            <v>N200mmF</v>
          </cell>
          <cell r="I158">
            <v>506</v>
          </cell>
        </row>
        <row r="159">
          <cell r="B159">
            <v>147</v>
          </cell>
          <cell r="C159">
            <v>43555</v>
          </cell>
          <cell r="D159">
            <v>0.80914351851851851</v>
          </cell>
          <cell r="E159">
            <v>2458574.3314</v>
          </cell>
          <cell r="F159" t="str">
            <v>JMI</v>
          </cell>
          <cell r="G159" t="str">
            <v>CLX-FR</v>
          </cell>
          <cell r="H159" t="str">
            <v>C11-Lisa-Atik460EX</v>
          </cell>
          <cell r="I159">
            <v>578</v>
          </cell>
        </row>
        <row r="160">
          <cell r="B160">
            <v>148</v>
          </cell>
          <cell r="C160">
            <v>43555</v>
          </cell>
          <cell r="D160">
            <v>0.82659722222222232</v>
          </cell>
          <cell r="E160">
            <v>2458574.3615000001</v>
          </cell>
          <cell r="F160" t="str">
            <v>SCH</v>
          </cell>
          <cell r="G160" t="str">
            <v>DUR-FR</v>
          </cell>
          <cell r="H160" t="str">
            <v>T500F5-AP3600EC2Eshel#112ATIK460EX</v>
          </cell>
          <cell r="I160">
            <v>11000</v>
          </cell>
        </row>
        <row r="161">
          <cell r="B161">
            <v>149</v>
          </cell>
          <cell r="C161">
            <v>43566</v>
          </cell>
          <cell r="D161">
            <v>0.83641203703703704</v>
          </cell>
          <cell r="E161">
            <v>2458585.3714000001</v>
          </cell>
          <cell r="F161" t="str">
            <v>SCH</v>
          </cell>
          <cell r="G161" t="str">
            <v>DUR-FR</v>
          </cell>
          <cell r="H161" t="str">
            <v>T500F5-AP3600EC2Eshel#112ATIK460EX</v>
          </cell>
          <cell r="I161">
            <v>11000</v>
          </cell>
        </row>
        <row r="162">
          <cell r="B162">
            <v>150</v>
          </cell>
          <cell r="C162">
            <v>43566</v>
          </cell>
          <cell r="D162">
            <v>0.91723379629629631</v>
          </cell>
          <cell r="E162">
            <v>2458585.4312</v>
          </cell>
          <cell r="F162" t="str">
            <v>CBO</v>
          </cell>
          <cell r="G162" t="str">
            <v>OCT-FR</v>
          </cell>
          <cell r="H162" t="str">
            <v>N200mmF</v>
          </cell>
          <cell r="I162">
            <v>501</v>
          </cell>
        </row>
        <row r="163">
          <cell r="B163">
            <v>151</v>
          </cell>
          <cell r="C163">
            <v>43568</v>
          </cell>
          <cell r="D163">
            <v>0.89901620370370372</v>
          </cell>
          <cell r="E163">
            <v>2458587.4454999999</v>
          </cell>
          <cell r="F163" t="str">
            <v>JGF</v>
          </cell>
          <cell r="G163" t="str">
            <v>SMM-SP</v>
          </cell>
          <cell r="H163" t="str">
            <v>16REMOTLINX460EX</v>
          </cell>
          <cell r="I163">
            <v>9000</v>
          </cell>
        </row>
        <row r="164">
          <cell r="B164">
            <v>152</v>
          </cell>
          <cell r="C164">
            <v>43575</v>
          </cell>
          <cell r="D164">
            <v>0.84638888888888886</v>
          </cell>
          <cell r="E164">
            <v>2458594.3813</v>
          </cell>
          <cell r="F164" t="str">
            <v>SCH</v>
          </cell>
          <cell r="G164" t="str">
            <v>DUR-FR</v>
          </cell>
          <cell r="H164" t="str">
            <v>T500F5-AP3600EC2Eshel#112ATIK460EX</v>
          </cell>
          <cell r="I164">
            <v>11000</v>
          </cell>
        </row>
        <row r="165">
          <cell r="B165">
            <v>153</v>
          </cell>
          <cell r="C165">
            <v>43575</v>
          </cell>
          <cell r="D165">
            <v>0.92254629629629636</v>
          </cell>
          <cell r="E165">
            <v>2458594.4364999998</v>
          </cell>
          <cell r="F165" t="str">
            <v>CBO</v>
          </cell>
          <cell r="G165" t="str">
            <v>OCT-FR</v>
          </cell>
          <cell r="H165" t="str">
            <v>N200mmF</v>
          </cell>
          <cell r="I165">
            <v>503</v>
          </cell>
        </row>
        <row r="166">
          <cell r="B166">
            <v>154</v>
          </cell>
          <cell r="C166">
            <v>43577</v>
          </cell>
          <cell r="D166">
            <v>4.9548611111111113E-2</v>
          </cell>
          <cell r="E166">
            <v>2458595.585</v>
          </cell>
          <cell r="F166" t="str">
            <v>LES</v>
          </cell>
          <cell r="G166" t="str">
            <v>MRO-CA</v>
          </cell>
          <cell r="H166" t="str">
            <v>31cmDK+ESSAT</v>
          </cell>
          <cell r="I166">
            <v>14000</v>
          </cell>
        </row>
        <row r="167">
          <cell r="B167">
            <v>155</v>
          </cell>
          <cell r="C167">
            <v>43584</v>
          </cell>
          <cell r="D167">
            <v>0.86695601851851845</v>
          </cell>
          <cell r="E167">
            <v>2458603.3816999998</v>
          </cell>
          <cell r="F167" t="str">
            <v xml:space="preserve">FMT </v>
          </cell>
          <cell r="G167" t="str">
            <v>ORS-FR</v>
          </cell>
          <cell r="H167" t="str">
            <v>SC14+eShel+460EX_b2</v>
          </cell>
          <cell r="I167">
            <v>11000</v>
          </cell>
        </row>
        <row r="168">
          <cell r="B168">
            <v>156</v>
          </cell>
          <cell r="C168">
            <v>43585</v>
          </cell>
          <cell r="D168">
            <v>0.87859953703703697</v>
          </cell>
          <cell r="E168">
            <v>2458604.3925999999</v>
          </cell>
          <cell r="F168" t="str">
            <v>CBO</v>
          </cell>
          <cell r="G168" t="str">
            <v>OCT-FR</v>
          </cell>
          <cell r="H168" t="str">
            <v>N200mmF</v>
          </cell>
          <cell r="I168">
            <v>505</v>
          </cell>
        </row>
        <row r="169">
          <cell r="B169">
            <v>157</v>
          </cell>
          <cell r="C169">
            <v>43585</v>
          </cell>
          <cell r="D169">
            <v>0.92540509259259263</v>
          </cell>
          <cell r="E169">
            <v>2458604.4394</v>
          </cell>
          <cell r="F169" t="str">
            <v>JCO</v>
          </cell>
          <cell r="G169" t="str">
            <v>STO-UK</v>
          </cell>
          <cell r="H169" t="str">
            <v>C80.7xFR+ALPY600+Atik460EX</v>
          </cell>
          <cell r="I169">
            <v>559</v>
          </cell>
        </row>
        <row r="170">
          <cell r="B170">
            <v>158</v>
          </cell>
          <cell r="C170">
            <v>43751</v>
          </cell>
          <cell r="D170">
            <v>0.38086805555555553</v>
          </cell>
          <cell r="E170">
            <v>2458769.8919000002</v>
          </cell>
          <cell r="F170" t="str">
            <v>FAS</v>
          </cell>
          <cell r="G170" t="str">
            <v>DCO-US</v>
          </cell>
          <cell r="H170" t="str">
            <v>CDK14LISAAtik414ex</v>
          </cell>
          <cell r="I170">
            <v>945</v>
          </cell>
        </row>
        <row r="171">
          <cell r="B171">
            <v>159</v>
          </cell>
          <cell r="C171">
            <v>43765</v>
          </cell>
          <cell r="D171">
            <v>0.95611111111111102</v>
          </cell>
          <cell r="E171">
            <v>2458784.4775999999</v>
          </cell>
          <cell r="F171" t="str">
            <v>DBO</v>
          </cell>
          <cell r="G171" t="str">
            <v>WCO-UK</v>
          </cell>
          <cell r="H171" t="str">
            <v>C11+LISA+SXVR-H694</v>
          </cell>
          <cell r="I171">
            <v>1067</v>
          </cell>
        </row>
        <row r="172">
          <cell r="B172">
            <v>160</v>
          </cell>
          <cell r="C172">
            <v>43787</v>
          </cell>
          <cell r="D172">
            <v>0.23618055555555553</v>
          </cell>
          <cell r="E172">
            <v>2458805.7472000001</v>
          </cell>
          <cell r="F172" t="str">
            <v>FAS</v>
          </cell>
          <cell r="G172" t="str">
            <v>DCO-US</v>
          </cell>
          <cell r="H172" t="str">
            <v>CDK14LISAAtik414ex</v>
          </cell>
          <cell r="I172">
            <v>1026</v>
          </cell>
        </row>
        <row r="173">
          <cell r="B173">
            <v>161</v>
          </cell>
          <cell r="C173">
            <v>43800</v>
          </cell>
          <cell r="D173">
            <v>0.85749999999999993</v>
          </cell>
          <cell r="E173">
            <v>2458819.3842000002</v>
          </cell>
          <cell r="F173" t="str">
            <v>DBO</v>
          </cell>
          <cell r="G173" t="str">
            <v>WCO-UK</v>
          </cell>
          <cell r="H173" t="str">
            <v>C11+LISA+SXVR-H694</v>
          </cell>
          <cell r="I173">
            <v>1086</v>
          </cell>
        </row>
        <row r="174">
          <cell r="B174">
            <v>162</v>
          </cell>
          <cell r="C174">
            <v>43800</v>
          </cell>
          <cell r="D174">
            <v>0.87297453703703709</v>
          </cell>
          <cell r="E174">
            <v>2458819.3941000002</v>
          </cell>
          <cell r="F174" t="str">
            <v xml:space="preserve">FMT </v>
          </cell>
          <cell r="G174" t="str">
            <v>SMM-SP</v>
          </cell>
          <cell r="H174" t="str">
            <v>SC16+Echelle9000+Atik460EX</v>
          </cell>
          <cell r="I174">
            <v>9000</v>
          </cell>
        </row>
        <row r="175">
          <cell r="B175">
            <v>163</v>
          </cell>
          <cell r="C175">
            <v>43820</v>
          </cell>
          <cell r="D175">
            <v>0.35069444444444442</v>
          </cell>
          <cell r="E175">
            <v>2458838.8618000001</v>
          </cell>
          <cell r="F175" t="str">
            <v>FAS</v>
          </cell>
          <cell r="G175" t="str">
            <v>DCO-US</v>
          </cell>
          <cell r="H175" t="str">
            <v>CDK14LISAAtik414ex</v>
          </cell>
          <cell r="I175">
            <v>981</v>
          </cell>
        </row>
        <row r="176">
          <cell r="B176">
            <v>164</v>
          </cell>
          <cell r="C176">
            <v>43829</v>
          </cell>
          <cell r="D176">
            <v>0.87143518518518526</v>
          </cell>
          <cell r="E176">
            <v>2458848.4131999998</v>
          </cell>
          <cell r="F176" t="str">
            <v>OGA</v>
          </cell>
          <cell r="G176" t="str">
            <v>OTO-FR</v>
          </cell>
          <cell r="H176" t="str">
            <v>RC400Astrosib-Eshel-ATIK460EX</v>
          </cell>
          <cell r="I176">
            <v>11000</v>
          </cell>
        </row>
        <row r="177">
          <cell r="B177">
            <v>165</v>
          </cell>
          <cell r="C177">
            <v>43829</v>
          </cell>
          <cell r="D177">
            <v>0.89796296296296296</v>
          </cell>
          <cell r="E177">
            <v>2458848.4158000001</v>
          </cell>
          <cell r="F177" t="str">
            <v>DBO</v>
          </cell>
          <cell r="G177" t="str">
            <v>WCO-UK</v>
          </cell>
          <cell r="H177" t="str">
            <v>C11+LISA+SXVR-H694</v>
          </cell>
          <cell r="I177">
            <v>1027</v>
          </cell>
        </row>
      </sheetData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"/>
      <sheetName val="B"/>
      <sheetName val="Vis"/>
      <sheetName val="B-V"/>
      <sheetName val="M"/>
      <sheetName val="Feuil1"/>
      <sheetName val="Feuil2"/>
      <sheetName val="M_Phot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N211"/>
  <sheetViews>
    <sheetView showGridLines="0" tabSelected="1" topLeftCell="A183" workbookViewId="0">
      <selection activeCell="K194" sqref="K194"/>
    </sheetView>
  </sheetViews>
  <sheetFormatPr baseColWidth="10" defaultRowHeight="15" x14ac:dyDescent="0.25"/>
  <cols>
    <col min="3" max="3" width="11.85546875" style="6" bestFit="1" customWidth="1"/>
    <col min="5" max="5" width="13" bestFit="1" customWidth="1"/>
  </cols>
  <sheetData>
    <row r="3" spans="8:13" x14ac:dyDescent="0.25">
      <c r="M3" t="s">
        <v>22</v>
      </c>
    </row>
    <row r="7" spans="8:13" x14ac:dyDescent="0.25">
      <c r="H7">
        <v>7437</v>
      </c>
    </row>
    <row r="8" spans="8:13" x14ac:dyDescent="0.25">
      <c r="H8">
        <v>7774</v>
      </c>
    </row>
    <row r="9" spans="8:13" x14ac:dyDescent="0.25">
      <c r="H9">
        <f>+H8-H7</f>
        <v>337</v>
      </c>
    </row>
    <row r="21" spans="2:14" x14ac:dyDescent="0.25">
      <c r="C21" s="6" t="s">
        <v>0</v>
      </c>
    </row>
    <row r="22" spans="2:14" x14ac:dyDescent="0.25">
      <c r="N22">
        <v>11.5</v>
      </c>
    </row>
    <row r="24" spans="2:14" ht="15.75" x14ac:dyDescent="0.25">
      <c r="B24" s="3">
        <f>+[1]SULyn!B13</f>
        <v>1</v>
      </c>
      <c r="C24" s="4">
        <f>+[1]SULyn!C13</f>
        <v>42492</v>
      </c>
      <c r="D24" s="3">
        <f>+[1]SULyn!D13</f>
        <v>0.87215277777777767</v>
      </c>
      <c r="E24" s="3">
        <f>+[1]SULyn!E13</f>
        <v>2457511.3916000002</v>
      </c>
      <c r="F24" s="3" t="str">
        <f>+[1]SULyn!F13</f>
        <v>DBO</v>
      </c>
      <c r="G24" s="3" t="str">
        <f>+[1]SULyn!G13</f>
        <v>WCO-UK</v>
      </c>
      <c r="H24" s="3" t="str">
        <f>+[1]SULyn!H13</f>
        <v>C11+Lisa+SXVR-H</v>
      </c>
      <c r="I24" s="3">
        <f>+[1]SULyn!I13</f>
        <v>819</v>
      </c>
      <c r="J24" s="3">
        <f>+[1]SULyn!J13</f>
        <v>0</v>
      </c>
      <c r="K24" s="3">
        <f>+[1]SULyn!K13</f>
        <v>0</v>
      </c>
      <c r="M24" s="2"/>
    </row>
    <row r="25" spans="2:14" ht="15.75" x14ac:dyDescent="0.25">
      <c r="B25" s="3">
        <f>+[1]SULyn!B14</f>
        <v>2</v>
      </c>
      <c r="C25" s="4">
        <f>+[1]SULyn!C14</f>
        <v>42494</v>
      </c>
      <c r="D25" s="3">
        <f>+[1]SULyn!D14</f>
        <v>0.86798611111111112</v>
      </c>
      <c r="E25" s="3">
        <f>+[1]SULyn!E14</f>
        <v>2457513.3859999999</v>
      </c>
      <c r="F25" s="3" t="str">
        <f>+[1]SULyn!F14</f>
        <v xml:space="preserve">FMT </v>
      </c>
      <c r="G25" s="3" t="str">
        <f>+[1]SULyn!G14</f>
        <v>ORS-FR</v>
      </c>
      <c r="H25" s="3" t="str">
        <f>+[1]SULyn!H14</f>
        <v>SC14+eShel+Atik460ex</v>
      </c>
      <c r="I25" s="3">
        <f>+[1]SULyn!I14</f>
        <v>11000</v>
      </c>
      <c r="J25" s="3">
        <f>+[1]SULyn!J14</f>
        <v>0</v>
      </c>
      <c r="K25" s="3">
        <f>+[1]SULyn!K14</f>
        <v>0</v>
      </c>
      <c r="M25" s="2"/>
    </row>
    <row r="26" spans="2:14" ht="15.75" x14ac:dyDescent="0.25">
      <c r="B26" s="3">
        <f>+[1]SULyn!B15</f>
        <v>3</v>
      </c>
      <c r="C26" s="4">
        <f>+[1]SULyn!C15</f>
        <v>42707</v>
      </c>
      <c r="D26" s="3">
        <f>+[1]SULyn!D15</f>
        <v>0.87821759259259258</v>
      </c>
      <c r="E26" s="3">
        <f>+[1]SULyn!E15</f>
        <v>2457726.3922000001</v>
      </c>
      <c r="F26" s="3" t="str">
        <f>+[1]SULyn!F15</f>
        <v>FBO</v>
      </c>
      <c r="G26" s="3" t="str">
        <f>+[1]SULyn!G15</f>
        <v>SJI-FR</v>
      </c>
      <c r="H26" s="3" t="str">
        <f>+[1]SULyn!H15</f>
        <v>SC8+Lisa+ATIK314L+</v>
      </c>
      <c r="I26" s="3">
        <f>+[1]SULyn!I15</f>
        <v>2200</v>
      </c>
      <c r="J26" s="3">
        <f>+[1]SULyn!J15</f>
        <v>0</v>
      </c>
      <c r="K26" s="3">
        <f>+[1]SULyn!K15</f>
        <v>0</v>
      </c>
      <c r="M26" s="2"/>
    </row>
    <row r="27" spans="2:14" ht="15.75" x14ac:dyDescent="0.25">
      <c r="B27" s="3">
        <f>+[1]SULyn!B16</f>
        <v>4</v>
      </c>
      <c r="C27" s="4">
        <f>+[1]SULyn!C16</f>
        <v>42744</v>
      </c>
      <c r="D27" s="3">
        <f>+[1]SULyn!D16</f>
        <v>0.86979166666666663</v>
      </c>
      <c r="E27" s="3">
        <f>+[1]SULyn!E16</f>
        <v>2457763.3876</v>
      </c>
      <c r="F27" s="3" t="str">
        <f>+[1]SULyn!F16</f>
        <v>DBO</v>
      </c>
      <c r="G27" s="3" t="str">
        <f>+[1]SULyn!G16</f>
        <v>WCO-UK</v>
      </c>
      <c r="H27" s="3" t="str">
        <f>+[1]SULyn!H16</f>
        <v>C11+Lisa+SXVR-H</v>
      </c>
      <c r="I27" s="3">
        <f>+[1]SULyn!I16</f>
        <v>709</v>
      </c>
      <c r="J27" s="3">
        <f>+[1]SULyn!J16</f>
        <v>0</v>
      </c>
      <c r="K27" s="3">
        <f>+[1]SULyn!K16</f>
        <v>0</v>
      </c>
      <c r="M27" s="2"/>
    </row>
    <row r="28" spans="2:14" ht="15.75" x14ac:dyDescent="0.25">
      <c r="B28" s="3">
        <f>+[1]SULyn!B17</f>
        <v>5</v>
      </c>
      <c r="C28" s="4">
        <f>+[1]SULyn!C17</f>
        <v>42756</v>
      </c>
      <c r="D28" s="3">
        <f>+[1]SULyn!D17</f>
        <v>0.75373842592592588</v>
      </c>
      <c r="E28" s="3">
        <f>+[1]SULyn!E17</f>
        <v>2457775.2837999999</v>
      </c>
      <c r="F28" s="3" t="str">
        <f>+[1]SULyn!F17</f>
        <v xml:space="preserve">FMT </v>
      </c>
      <c r="G28" s="3" t="str">
        <f>+[1]SULyn!G17</f>
        <v>ORS-FR</v>
      </c>
      <c r="H28" s="3" t="str">
        <f>+[1]SULyn!H17</f>
        <v>SC14+eShel+Atik460ex</v>
      </c>
      <c r="I28" s="3">
        <f>+[1]SULyn!I17</f>
        <v>11000</v>
      </c>
      <c r="J28" s="3">
        <f>+[1]SULyn!J17</f>
        <v>0</v>
      </c>
      <c r="K28" s="3">
        <f>+[1]SULyn!K17</f>
        <v>0</v>
      </c>
      <c r="M28" s="2"/>
    </row>
    <row r="29" spans="2:14" ht="15.75" x14ac:dyDescent="0.25">
      <c r="B29" s="3">
        <f>+[1]SULyn!B18</f>
        <v>6</v>
      </c>
      <c r="C29" s="4">
        <f>+[1]SULyn!C18</f>
        <v>42782</v>
      </c>
      <c r="D29" s="3">
        <f>+[1]SULyn!D18</f>
        <v>0.77268518518518514</v>
      </c>
      <c r="E29" s="3">
        <f>+[1]SULyn!E18</f>
        <v>2457801.3026000001</v>
      </c>
      <c r="F29" s="3" t="str">
        <f>+[1]SULyn!F18</f>
        <v xml:space="preserve">FMT </v>
      </c>
      <c r="G29" s="3" t="str">
        <f>+[1]SULyn!G18</f>
        <v>ORS-FR</v>
      </c>
      <c r="H29" s="3" t="str">
        <f>+[1]SULyn!H18</f>
        <v>SC14+eShel+Atik460ex</v>
      </c>
      <c r="I29" s="3">
        <f>+[1]SULyn!I18</f>
        <v>11000</v>
      </c>
      <c r="J29" s="3">
        <f>+[1]SULyn!J18</f>
        <v>0</v>
      </c>
      <c r="K29" s="3">
        <f>+[1]SULyn!K18</f>
        <v>0</v>
      </c>
      <c r="M29" s="5">
        <f>+E29</f>
        <v>2457801.3026000001</v>
      </c>
    </row>
    <row r="30" spans="2:14" ht="15.75" x14ac:dyDescent="0.25">
      <c r="B30" s="3">
        <f>+[1]SULyn!B19</f>
        <v>7</v>
      </c>
      <c r="C30" s="4">
        <f>+[1]SULyn!C19</f>
        <v>42784</v>
      </c>
      <c r="D30" s="3">
        <f>+[1]SULyn!D19</f>
        <v>5.8067129629629628E-2</v>
      </c>
      <c r="E30" s="3">
        <f>+[1]SULyn!E19</f>
        <v>2457802.5737000001</v>
      </c>
      <c r="F30" s="3" t="str">
        <f>+[1]SULyn!F19</f>
        <v>GMYB</v>
      </c>
      <c r="G30" s="3" t="str">
        <f>+[1]SULyn!G19</f>
        <v>OSM-FR</v>
      </c>
      <c r="H30" s="3" t="str">
        <f>+[1]SULyn!H19</f>
        <v>C11LisaQSI583ws</v>
      </c>
      <c r="I30" s="3">
        <f>+[1]SULyn!I19</f>
        <v>928</v>
      </c>
      <c r="J30" s="3">
        <f>+[1]SULyn!J19</f>
        <v>0</v>
      </c>
      <c r="K30" s="3">
        <f>+[1]SULyn!K19</f>
        <v>0</v>
      </c>
      <c r="M30" s="5">
        <f t="shared" ref="M30:M41" si="0">+E30</f>
        <v>2457802.5737000001</v>
      </c>
    </row>
    <row r="31" spans="2:14" ht="15.75" x14ac:dyDescent="0.25">
      <c r="B31" s="3">
        <f>+[1]SULyn!B20</f>
        <v>8</v>
      </c>
      <c r="C31" s="4">
        <f>+[1]SULyn!C20</f>
        <v>42784</v>
      </c>
      <c r="D31" s="3">
        <f>+[1]SULyn!D20</f>
        <v>0.83430555555555552</v>
      </c>
      <c r="E31" s="3">
        <f>+[1]SULyn!E20</f>
        <v>2457803.3483000002</v>
      </c>
      <c r="F31" s="3" t="str">
        <f>+[1]SULyn!F20</f>
        <v>FBO</v>
      </c>
      <c r="G31" s="3" t="str">
        <f>+[1]SULyn!G20</f>
        <v>SJI-FR</v>
      </c>
      <c r="H31" s="3" t="str">
        <f>+[1]SULyn!H20</f>
        <v>SC8+Lisa+ATIK314L+</v>
      </c>
      <c r="I31" s="3">
        <f>+[1]SULyn!I20</f>
        <v>1000</v>
      </c>
      <c r="J31" s="3">
        <f>+[1]SULyn!J20</f>
        <v>0</v>
      </c>
      <c r="K31" s="3">
        <f>+[1]SULyn!K20</f>
        <v>0</v>
      </c>
      <c r="M31" s="5">
        <f t="shared" si="0"/>
        <v>2457803.3483000002</v>
      </c>
    </row>
    <row r="32" spans="2:14" ht="15.75" x14ac:dyDescent="0.25">
      <c r="B32" s="3">
        <f>+[1]SULyn!B21</f>
        <v>9</v>
      </c>
      <c r="C32" s="4">
        <f>+[1]SULyn!C21</f>
        <v>42792</v>
      </c>
      <c r="D32" s="3">
        <f>+[1]SULyn!D21</f>
        <v>0.76238425925925923</v>
      </c>
      <c r="E32" s="3">
        <f>+[1]SULyn!E21</f>
        <v>2457811.2908000001</v>
      </c>
      <c r="F32" s="3" t="str">
        <f>+[1]SULyn!F21</f>
        <v>BER</v>
      </c>
      <c r="G32" s="3" t="str">
        <f>+[1]SULyn!G21</f>
        <v>BVO-IT</v>
      </c>
      <c r="H32" s="3" t="str">
        <f>+[1]SULyn!H21</f>
        <v>Lhires31200C9SXV</v>
      </c>
      <c r="I32" s="3">
        <f>+[1]SULyn!I21</f>
        <v>5907</v>
      </c>
      <c r="J32" s="3">
        <f>+[1]SULyn!J21</f>
        <v>0</v>
      </c>
      <c r="K32" s="3">
        <f>+[1]SULyn!K21</f>
        <v>0</v>
      </c>
      <c r="M32" s="5">
        <f t="shared" si="0"/>
        <v>2457811.2908000001</v>
      </c>
    </row>
    <row r="33" spans="2:14" ht="15.75" x14ac:dyDescent="0.25">
      <c r="B33" s="3">
        <f>+[1]SULyn!B22</f>
        <v>10</v>
      </c>
      <c r="C33" s="4">
        <f>+[1]SULyn!C22</f>
        <v>42805</v>
      </c>
      <c r="D33" s="3">
        <f>+[1]SULyn!D22</f>
        <v>0.81331018518518527</v>
      </c>
      <c r="E33" s="3">
        <f>+[1]SULyn!E22</f>
        <v>2457824.3273</v>
      </c>
      <c r="F33" s="3" t="str">
        <f>+[1]SULyn!F22</f>
        <v>JGF</v>
      </c>
      <c r="G33" s="3" t="str">
        <f>+[1]SULyn!G22</f>
        <v>SMM-SP</v>
      </c>
      <c r="H33" s="3" t="str">
        <f>+[1]SULyn!H22</f>
        <v>16REMOTATIK460EX</v>
      </c>
      <c r="I33" s="3">
        <f>+[1]SULyn!I22</f>
        <v>992</v>
      </c>
      <c r="J33" s="3">
        <f>+[1]SULyn!J22</f>
        <v>0</v>
      </c>
      <c r="K33" s="3">
        <f>+[1]SULyn!K22</f>
        <v>0</v>
      </c>
      <c r="M33" s="5">
        <f t="shared" si="0"/>
        <v>2457824.3273</v>
      </c>
    </row>
    <row r="34" spans="2:14" ht="15.75" x14ac:dyDescent="0.25">
      <c r="B34" s="25">
        <f>+[1]SULyn!B23</f>
        <v>11</v>
      </c>
      <c r="C34" s="26">
        <f>+[1]SULyn!C23</f>
        <v>42809</v>
      </c>
      <c r="D34" s="25">
        <f>+[1]SULyn!D23</f>
        <v>0.80603009259259262</v>
      </c>
      <c r="E34" s="25">
        <f>+[1]SULyn!E23</f>
        <v>2457828.3292999999</v>
      </c>
      <c r="F34" s="25" t="str">
        <f>+[1]SULyn!F23</f>
        <v>JGF</v>
      </c>
      <c r="G34" s="25" t="str">
        <f>+[1]SULyn!G23</f>
        <v>SMM-SP</v>
      </c>
      <c r="H34" s="25" t="str">
        <f>+[1]SULyn!H23</f>
        <v>16REMOTATIK460EX</v>
      </c>
      <c r="I34" s="25">
        <f>+[1]SULyn!I23</f>
        <v>953</v>
      </c>
      <c r="J34" s="7">
        <f>+[1]SULyn!J23</f>
        <v>0</v>
      </c>
      <c r="K34" s="7">
        <f>+[1]SULyn!K23</f>
        <v>0</v>
      </c>
      <c r="M34" s="5">
        <f t="shared" si="0"/>
        <v>2457828.3292999999</v>
      </c>
      <c r="N34">
        <f t="shared" ref="N34:N42" si="1">+N$22</f>
        <v>11.5</v>
      </c>
    </row>
    <row r="35" spans="2:14" ht="15.75" x14ac:dyDescent="0.25">
      <c r="B35" s="25">
        <f>+[1]SULyn!B24</f>
        <v>12</v>
      </c>
      <c r="C35" s="26">
        <f>+[1]SULyn!C24</f>
        <v>42812</v>
      </c>
      <c r="D35" s="25">
        <f>+[1]SULyn!D24</f>
        <v>0.79115740740740748</v>
      </c>
      <c r="E35" s="25">
        <f>+[1]SULyn!E24</f>
        <v>2457831.3051</v>
      </c>
      <c r="F35" s="25" t="str">
        <f>+[1]SULyn!F24</f>
        <v>JGF</v>
      </c>
      <c r="G35" s="25" t="str">
        <f>+[1]SULyn!G24</f>
        <v>SMM-SP</v>
      </c>
      <c r="H35" s="25" t="str">
        <f>+[1]SULyn!H24</f>
        <v>16REMOTATIK460EX</v>
      </c>
      <c r="I35" s="25">
        <f>+[1]SULyn!I24</f>
        <v>1148</v>
      </c>
      <c r="J35" s="7">
        <f>+[1]SULyn!J24</f>
        <v>0</v>
      </c>
      <c r="K35" s="7">
        <f>+[1]SULyn!K24</f>
        <v>0</v>
      </c>
      <c r="M35" s="5">
        <f t="shared" si="0"/>
        <v>2457831.3051</v>
      </c>
      <c r="N35">
        <f t="shared" si="1"/>
        <v>11.5</v>
      </c>
    </row>
    <row r="36" spans="2:14" ht="15.75" x14ac:dyDescent="0.25">
      <c r="B36" s="25">
        <f>+[1]SULyn!B25</f>
        <v>13</v>
      </c>
      <c r="C36" s="26">
        <f>+[1]SULyn!C25</f>
        <v>42814</v>
      </c>
      <c r="D36" s="25">
        <f>+[1]SULyn!D25</f>
        <v>0.88429398148148142</v>
      </c>
      <c r="E36" s="25">
        <f>+[1]SULyn!E25</f>
        <v>2457833.3982000002</v>
      </c>
      <c r="F36" s="25" t="str">
        <f>+[1]SULyn!F25</f>
        <v>FCA</v>
      </c>
      <c r="G36" s="25" t="str">
        <f>+[1]SULyn!G25</f>
        <v>PAG-SP</v>
      </c>
      <c r="H36" s="25" t="str">
        <f>+[1]SULyn!H25</f>
        <v>Newton-200DADOS-20</v>
      </c>
      <c r="I36" s="25">
        <f>+[1]SULyn!I25</f>
        <v>876</v>
      </c>
      <c r="J36" s="7">
        <f>+[1]SULyn!J25</f>
        <v>0</v>
      </c>
      <c r="K36" s="7">
        <f>+[1]SULyn!K25</f>
        <v>0</v>
      </c>
      <c r="M36" s="5">
        <f t="shared" si="0"/>
        <v>2457833.3982000002</v>
      </c>
      <c r="N36">
        <f t="shared" si="1"/>
        <v>11.5</v>
      </c>
    </row>
    <row r="37" spans="2:14" ht="15.75" x14ac:dyDescent="0.25">
      <c r="B37" s="25">
        <f>+[1]SULyn!B26</f>
        <v>14</v>
      </c>
      <c r="C37" s="26">
        <f>+[1]SULyn!C26</f>
        <v>42816</v>
      </c>
      <c r="D37" s="25">
        <f>+[1]SULyn!D26</f>
        <v>0.86134259259259249</v>
      </c>
      <c r="E37" s="25">
        <f>+[1]SULyn!E26</f>
        <v>2457835.3824999998</v>
      </c>
      <c r="F37" s="25" t="str">
        <f>+[1]SULyn!F26</f>
        <v>DBO</v>
      </c>
      <c r="G37" s="25" t="str">
        <f>+[1]SULyn!G26</f>
        <v>WCO-UK</v>
      </c>
      <c r="H37" s="25" t="str">
        <f>+[1]SULyn!H26</f>
        <v>C11+Lisa+SXVR-H</v>
      </c>
      <c r="I37" s="25">
        <f>+[1]SULyn!I26</f>
        <v>712</v>
      </c>
      <c r="J37" s="7">
        <f>+[1]SULyn!J26</f>
        <v>0</v>
      </c>
      <c r="K37" s="7">
        <f>+[1]SULyn!K26</f>
        <v>0</v>
      </c>
      <c r="M37" s="5">
        <f t="shared" si="0"/>
        <v>2457835.3824999998</v>
      </c>
      <c r="N37">
        <f t="shared" si="1"/>
        <v>11.5</v>
      </c>
    </row>
    <row r="38" spans="2:14" ht="15.75" x14ac:dyDescent="0.25">
      <c r="B38" s="25">
        <f>+[1]SULyn!B27</f>
        <v>15</v>
      </c>
      <c r="C38" s="26">
        <f>+[1]SULyn!C27</f>
        <v>42821</v>
      </c>
      <c r="D38" s="25">
        <f>+[1]SULyn!D27</f>
        <v>0.83241898148148152</v>
      </c>
      <c r="E38" s="25">
        <f>+[1]SULyn!E27</f>
        <v>2457840.3536</v>
      </c>
      <c r="F38" s="25" t="str">
        <f>+[1]SULyn!F27</f>
        <v xml:space="preserve">FMT </v>
      </c>
      <c r="G38" s="25" t="str">
        <f>+[1]SULyn!G27</f>
        <v>ORS-FR</v>
      </c>
      <c r="H38" s="25" t="str">
        <f>+[1]SULyn!H27</f>
        <v>SC14+eShel+Atik460ex</v>
      </c>
      <c r="I38" s="25">
        <f>+[1]SULyn!I27</f>
        <v>11000</v>
      </c>
      <c r="J38" s="7">
        <f>+[1]SULyn!J27</f>
        <v>0</v>
      </c>
      <c r="K38" s="7">
        <f>+[1]SULyn!K27</f>
        <v>0</v>
      </c>
      <c r="M38" s="5">
        <f t="shared" si="0"/>
        <v>2457840.3536</v>
      </c>
      <c r="N38">
        <f t="shared" si="1"/>
        <v>11.5</v>
      </c>
    </row>
    <row r="39" spans="2:14" ht="15.75" x14ac:dyDescent="0.25">
      <c r="B39" s="25">
        <f>+[1]SULyn!B28</f>
        <v>16</v>
      </c>
      <c r="C39" s="26">
        <f>+[1]SULyn!C28</f>
        <v>42822</v>
      </c>
      <c r="D39" s="25">
        <f>+[1]SULyn!D28</f>
        <v>0.82989583333333339</v>
      </c>
      <c r="E39" s="25">
        <f>+[1]SULyn!E28</f>
        <v>2457841.3316000002</v>
      </c>
      <c r="F39" s="25" t="str">
        <f>+[1]SULyn!F28</f>
        <v>FBO</v>
      </c>
      <c r="G39" s="25" t="str">
        <f>+[1]SULyn!G28</f>
        <v>SJI-FR</v>
      </c>
      <c r="H39" s="25" t="str">
        <f>+[1]SULyn!H28</f>
        <v>SC8+Lisa+ATIK314L+</v>
      </c>
      <c r="I39" s="25">
        <f>+[1]SULyn!I28</f>
        <v>1000</v>
      </c>
      <c r="J39" s="7">
        <f>+[1]SULyn!J28</f>
        <v>0</v>
      </c>
      <c r="K39" s="7">
        <f>+[1]SULyn!K28</f>
        <v>0</v>
      </c>
      <c r="M39" s="5">
        <f t="shared" si="0"/>
        <v>2457841.3316000002</v>
      </c>
      <c r="N39">
        <f t="shared" si="1"/>
        <v>11.5</v>
      </c>
    </row>
    <row r="40" spans="2:14" ht="15.75" x14ac:dyDescent="0.25">
      <c r="B40" s="25">
        <f>+[1]SULyn!B29</f>
        <v>17</v>
      </c>
      <c r="C40" s="26">
        <f>+[1]SULyn!C29</f>
        <v>42822</v>
      </c>
      <c r="D40" s="25">
        <f>+[1]SULyn!D29</f>
        <v>0.88501157407407405</v>
      </c>
      <c r="E40" s="25">
        <f>+[1]SULyn!E29</f>
        <v>2457841.4338000002</v>
      </c>
      <c r="F40" s="25" t="str">
        <f>+[1]SULyn!F29</f>
        <v>OGA</v>
      </c>
      <c r="G40" s="25" t="str">
        <f>+[1]SULyn!G29</f>
        <v>OTO-FR</v>
      </c>
      <c r="H40" s="25" t="str">
        <f>+[1]SULyn!H29</f>
        <v>RC400+eShel_460EX</v>
      </c>
      <c r="I40" s="25">
        <f>+[1]SULyn!I29</f>
        <v>11000</v>
      </c>
      <c r="J40" s="7">
        <f>+[1]SULyn!J29</f>
        <v>0</v>
      </c>
      <c r="K40" s="7">
        <f>+[1]SULyn!K29</f>
        <v>0</v>
      </c>
      <c r="M40" s="5">
        <f t="shared" si="0"/>
        <v>2457841.4338000002</v>
      </c>
      <c r="N40">
        <f t="shared" si="1"/>
        <v>11.5</v>
      </c>
    </row>
    <row r="41" spans="2:14" ht="15.75" x14ac:dyDescent="0.25">
      <c r="B41" s="25">
        <f>+[1]SULyn!B30</f>
        <v>18</v>
      </c>
      <c r="C41" s="26">
        <f>+[1]SULyn!C30</f>
        <v>42823</v>
      </c>
      <c r="D41" s="25">
        <f>+[1]SULyn!D30</f>
        <v>0.78930555555555559</v>
      </c>
      <c r="E41" s="25">
        <f>+[1]SULyn!E30</f>
        <v>2457842.33</v>
      </c>
      <c r="F41" s="25" t="str">
        <f>+[1]SULyn!F30</f>
        <v>JGF</v>
      </c>
      <c r="G41" s="25" t="str">
        <f>+[1]SULyn!G30</f>
        <v>PIE-SP</v>
      </c>
      <c r="H41" s="25" t="str">
        <f>+[1]SULyn!H30</f>
        <v>MUSSOL</v>
      </c>
      <c r="I41" s="25">
        <f>+[1]SULyn!I30</f>
        <v>11000</v>
      </c>
      <c r="J41" s="7">
        <f>+[1]SULyn!J30</f>
        <v>0</v>
      </c>
      <c r="K41" s="7">
        <f>+[1]SULyn!K30</f>
        <v>0</v>
      </c>
      <c r="M41" s="5">
        <f t="shared" si="0"/>
        <v>2457842.33</v>
      </c>
      <c r="N41">
        <f t="shared" si="1"/>
        <v>11.5</v>
      </c>
    </row>
    <row r="42" spans="2:14" ht="15.75" x14ac:dyDescent="0.25">
      <c r="B42" s="25">
        <f>+[1]SULyn!B31</f>
        <v>19</v>
      </c>
      <c r="C42" s="26">
        <f>+[1]SULyn!C31</f>
        <v>42823</v>
      </c>
      <c r="D42" s="25">
        <f>+[1]SULyn!D31</f>
        <v>0.82868055555555553</v>
      </c>
      <c r="E42" s="25">
        <f>+[1]SULyn!E31</f>
        <v>2457842.3690999998</v>
      </c>
      <c r="F42" s="25" t="str">
        <f>+[1]SULyn!F31</f>
        <v>BER</v>
      </c>
      <c r="G42" s="25" t="str">
        <f>+[1]SULyn!G31</f>
        <v>BVO-IT</v>
      </c>
      <c r="H42" s="25" t="str">
        <f>+[1]SULyn!H31</f>
        <v>Lhires31200C9SXV</v>
      </c>
      <c r="I42" s="25">
        <f>+[1]SULyn!I31</f>
        <v>5766</v>
      </c>
      <c r="J42" s="7">
        <f>+[1]SULyn!J31</f>
        <v>0</v>
      </c>
      <c r="K42" s="7">
        <f>+[1]SULyn!K31</f>
        <v>0</v>
      </c>
      <c r="M42" s="5">
        <f t="shared" ref="M42" si="2">+E42</f>
        <v>2457842.3690999998</v>
      </c>
      <c r="N42">
        <f t="shared" si="1"/>
        <v>11.5</v>
      </c>
    </row>
    <row r="43" spans="2:14" ht="15.75" x14ac:dyDescent="0.25">
      <c r="B43" s="25">
        <f>+[1]SULyn!B32</f>
        <v>20</v>
      </c>
      <c r="C43" s="26">
        <f>+[1]SULyn!C32</f>
        <v>42824</v>
      </c>
      <c r="D43" s="25">
        <f>+[1]SULyn!D32</f>
        <v>0.77967592592592594</v>
      </c>
      <c r="E43" s="25">
        <f>+[1]SULyn!E32</f>
        <v>2457843.3245999999</v>
      </c>
      <c r="F43" s="25" t="str">
        <f>+[1]SULyn!F32</f>
        <v>BER</v>
      </c>
      <c r="G43" s="25" t="str">
        <f>+[1]SULyn!G32</f>
        <v>BVO-IT</v>
      </c>
      <c r="H43" s="25" t="str">
        <f>+[1]SULyn!H32</f>
        <v>Lhires3C9SXVR-H69</v>
      </c>
      <c r="I43" s="25">
        <f>+[1]SULyn!I32</f>
        <v>16528</v>
      </c>
      <c r="J43" s="7">
        <f>+[1]SULyn!J32</f>
        <v>0</v>
      </c>
      <c r="K43" s="7">
        <f>+[1]SULyn!K32</f>
        <v>0</v>
      </c>
      <c r="M43" s="5">
        <f t="shared" ref="M43" si="3">+E43</f>
        <v>2457843.3245999999</v>
      </c>
      <c r="N43">
        <f>+N$22</f>
        <v>11.5</v>
      </c>
    </row>
    <row r="44" spans="2:14" ht="15.75" x14ac:dyDescent="0.25">
      <c r="B44" s="25">
        <f>+[1]SULyn!B33</f>
        <v>21</v>
      </c>
      <c r="C44" s="26">
        <f>+[1]SULyn!C33</f>
        <v>42824</v>
      </c>
      <c r="D44" s="25">
        <f>+[1]SULyn!D33</f>
        <v>0.81590277777777775</v>
      </c>
      <c r="E44" s="25">
        <f>+[1]SULyn!E33</f>
        <v>2457843.3396000001</v>
      </c>
      <c r="F44" s="25" t="str">
        <f>+[1]SULyn!F33</f>
        <v>SOL</v>
      </c>
      <c r="G44" s="25" t="str">
        <f>+[1]SULyn!G33</f>
        <v>AQL-IT</v>
      </c>
      <c r="H44" s="25" t="str">
        <f>+[1]SULyn!H33</f>
        <v>SC8+Alpy600+SBIGST8300</v>
      </c>
      <c r="I44" s="25">
        <f>+[1]SULyn!I33</f>
        <v>916</v>
      </c>
      <c r="J44" s="7">
        <f>+[1]SULyn!J33</f>
        <v>0</v>
      </c>
      <c r="K44" s="7">
        <f>+[1]SULyn!K33</f>
        <v>0</v>
      </c>
      <c r="M44" s="5">
        <f t="shared" ref="M44:M46" si="4">+E44</f>
        <v>2457843.3396000001</v>
      </c>
      <c r="N44">
        <f t="shared" ref="N44:N46" si="5">+N$22</f>
        <v>11.5</v>
      </c>
    </row>
    <row r="45" spans="2:14" ht="15.75" x14ac:dyDescent="0.25">
      <c r="B45" s="25">
        <f>+[1]SULyn!B34</f>
        <v>22</v>
      </c>
      <c r="C45" s="26">
        <f>+[1]SULyn!C34</f>
        <v>42826</v>
      </c>
      <c r="D45" s="25">
        <f>+[1]SULyn!D34</f>
        <v>0.13208333333333333</v>
      </c>
      <c r="E45" s="25">
        <f>+[1]SULyn!E34</f>
        <v>2457844.6441000002</v>
      </c>
      <c r="F45" s="25" t="str">
        <f>+[1]SULyn!F34</f>
        <v>JRF</v>
      </c>
      <c r="G45" s="25" t="str">
        <f>+[1]SULyn!G34</f>
        <v>UHO-US</v>
      </c>
      <c r="H45" s="25" t="str">
        <f>+[1]SULyn!H34</f>
        <v>CDK17Lisa_ATIK460</v>
      </c>
      <c r="I45" s="25">
        <f>+[1]SULyn!I34</f>
        <v>957</v>
      </c>
      <c r="J45" s="7">
        <f>+[1]SULyn!J34</f>
        <v>0</v>
      </c>
      <c r="K45" s="7">
        <f>+[1]SULyn!K34</f>
        <v>0</v>
      </c>
      <c r="M45" s="5">
        <f t="shared" si="4"/>
        <v>2457844.6441000002</v>
      </c>
      <c r="N45">
        <f t="shared" si="5"/>
        <v>11.5</v>
      </c>
    </row>
    <row r="46" spans="2:14" ht="15.75" x14ac:dyDescent="0.25">
      <c r="B46" s="25">
        <f>+[1]SULyn!B35</f>
        <v>23</v>
      </c>
      <c r="C46" s="26">
        <f>+[1]SULyn!C35</f>
        <v>42827</v>
      </c>
      <c r="D46" s="25">
        <f>+[1]SULyn!D35</f>
        <v>0.2248148148148148</v>
      </c>
      <c r="E46" s="25">
        <f>+[1]SULyn!E35</f>
        <v>2457845.7300999998</v>
      </c>
      <c r="F46" s="25" t="str">
        <f>+[1]SULyn!F35</f>
        <v>FAS</v>
      </c>
      <c r="G46" s="25" t="str">
        <f>+[1]SULyn!G35</f>
        <v>DCO-US</v>
      </c>
      <c r="H46" s="25" t="str">
        <f>+[1]SULyn!H35</f>
        <v>C8LisaAtik414ex</v>
      </c>
      <c r="I46" s="25">
        <f>+[1]SULyn!I35</f>
        <v>813</v>
      </c>
      <c r="J46" s="7">
        <f>+[1]SULyn!J35</f>
        <v>0</v>
      </c>
      <c r="K46" s="7">
        <f>+[1]SULyn!K35</f>
        <v>0</v>
      </c>
      <c r="M46" s="5">
        <f t="shared" si="4"/>
        <v>2457845.7300999998</v>
      </c>
      <c r="N46">
        <f t="shared" si="5"/>
        <v>11.5</v>
      </c>
    </row>
    <row r="47" spans="2:14" ht="15.75" x14ac:dyDescent="0.25">
      <c r="B47" s="25">
        <f>+[1]SULyn!B36</f>
        <v>24</v>
      </c>
      <c r="C47" s="26">
        <f>+[1]SULyn!C36</f>
        <v>42827</v>
      </c>
      <c r="D47" s="25">
        <f>+[1]SULyn!D36</f>
        <v>0.81447916666666664</v>
      </c>
      <c r="E47" s="25">
        <f>+[1]SULyn!E36</f>
        <v>2457846.3429999999</v>
      </c>
      <c r="F47" s="25" t="str">
        <f>+[1]SULyn!F36</f>
        <v xml:space="preserve">FMT </v>
      </c>
      <c r="G47" s="25" t="str">
        <f>+[1]SULyn!G36</f>
        <v>ORS-FR</v>
      </c>
      <c r="H47" s="25" t="str">
        <f>+[1]SULyn!H36</f>
        <v>SC14+eShel+Atik460ex</v>
      </c>
      <c r="I47" s="25">
        <f>+[1]SULyn!I36</f>
        <v>11000</v>
      </c>
      <c r="J47" s="7">
        <f>+[1]SULyn!J36</f>
        <v>0</v>
      </c>
      <c r="K47" s="7">
        <f>+[1]SULyn!K36</f>
        <v>0</v>
      </c>
    </row>
    <row r="48" spans="2:14" ht="15.75" x14ac:dyDescent="0.25">
      <c r="B48" s="25">
        <f>+[1]SULyn!B37</f>
        <v>25</v>
      </c>
      <c r="C48" s="26">
        <f>+[1]SULyn!C37</f>
        <v>42827</v>
      </c>
      <c r="D48" s="25">
        <f>+[1]SULyn!D37</f>
        <v>0.89583333333333337</v>
      </c>
      <c r="E48" s="25">
        <f>+[1]SULyn!E37</f>
        <v>2457846.4223000002</v>
      </c>
      <c r="F48" s="25" t="str">
        <f>+[1]SULyn!F37</f>
        <v>DBO</v>
      </c>
      <c r="G48" s="25" t="str">
        <f>+[1]SULyn!G37</f>
        <v>WCO-UK</v>
      </c>
      <c r="H48" s="25" t="str">
        <f>+[1]SULyn!H37</f>
        <v>C11+Lisa+SXVR-H</v>
      </c>
      <c r="I48" s="25">
        <f>+[1]SULyn!I37</f>
        <v>747</v>
      </c>
      <c r="J48" s="7">
        <f>+[1]SULyn!J37</f>
        <v>0</v>
      </c>
      <c r="K48" s="7">
        <f>+[1]SULyn!K37</f>
        <v>0</v>
      </c>
    </row>
    <row r="49" spans="2:11" ht="15.75" x14ac:dyDescent="0.25">
      <c r="B49" s="25">
        <f>+[1]SULyn!B38</f>
        <v>26</v>
      </c>
      <c r="C49" s="26">
        <f>+[1]SULyn!C38</f>
        <v>42828</v>
      </c>
      <c r="D49" s="25">
        <f>+[1]SULyn!D38</f>
        <v>0.10129629629629629</v>
      </c>
      <c r="E49" s="25">
        <f>+[1]SULyn!E38</f>
        <v>2457846.6293000001</v>
      </c>
      <c r="F49" s="25" t="str">
        <f>+[1]SULyn!F38</f>
        <v>LES</v>
      </c>
      <c r="G49" s="25" t="str">
        <f>+[1]SULyn!G38</f>
        <v>MRO-CA</v>
      </c>
      <c r="H49" s="25" t="str">
        <f>+[1]SULyn!H38</f>
        <v>31cmDK+23um1800lpm+</v>
      </c>
      <c r="I49" s="25">
        <f>+[1]SULyn!I38</f>
        <v>6400</v>
      </c>
      <c r="J49" s="7">
        <f>+[1]SULyn!J38</f>
        <v>0</v>
      </c>
      <c r="K49" s="7">
        <f>+[1]SULyn!K38</f>
        <v>0</v>
      </c>
    </row>
    <row r="50" spans="2:11" ht="15.75" x14ac:dyDescent="0.25">
      <c r="B50" s="25">
        <f>+[1]SULyn!B39</f>
        <v>27</v>
      </c>
      <c r="C50" s="26">
        <f>+[1]SULyn!C39</f>
        <v>42828</v>
      </c>
      <c r="D50" s="25">
        <f>+[1]SULyn!D39</f>
        <v>0.14687500000000001</v>
      </c>
      <c r="E50" s="25">
        <f>+[1]SULyn!E39</f>
        <v>2457846.6639999999</v>
      </c>
      <c r="F50" s="25" t="str">
        <f>+[1]SULyn!F39</f>
        <v>FAS</v>
      </c>
      <c r="G50" s="25" t="str">
        <f>+[1]SULyn!G39</f>
        <v>DCO-US</v>
      </c>
      <c r="H50" s="25" t="str">
        <f>+[1]SULyn!H39</f>
        <v>C8LisaAtik414ex</v>
      </c>
      <c r="I50" s="25">
        <f>+[1]SULyn!I39</f>
        <v>665</v>
      </c>
      <c r="J50" s="7">
        <f>+[1]SULyn!J39</f>
        <v>0</v>
      </c>
      <c r="K50" s="7">
        <f>+[1]SULyn!K39</f>
        <v>0</v>
      </c>
    </row>
    <row r="51" spans="2:11" ht="15.75" x14ac:dyDescent="0.25">
      <c r="B51" s="25">
        <f>+[1]SULyn!B40</f>
        <v>28</v>
      </c>
      <c r="C51" s="26">
        <f>+[1]SULyn!C40</f>
        <v>42828</v>
      </c>
      <c r="D51" s="25">
        <f>+[1]SULyn!D40</f>
        <v>0.91973379629629637</v>
      </c>
      <c r="E51" s="25">
        <f>+[1]SULyn!E40</f>
        <v>2457847.4604000002</v>
      </c>
      <c r="F51" s="25" t="str">
        <f>+[1]SULyn!F40</f>
        <v>JGF</v>
      </c>
      <c r="G51" s="25" t="str">
        <f>+[1]SULyn!G40</f>
        <v>PIE-SP</v>
      </c>
      <c r="H51" s="25" t="str">
        <f>+[1]SULyn!H40</f>
        <v>MUSSOL</v>
      </c>
      <c r="I51" s="25">
        <f>+[1]SULyn!I40</f>
        <v>11000</v>
      </c>
      <c r="J51" s="7">
        <f>+[1]SULyn!J40</f>
        <v>0</v>
      </c>
      <c r="K51" s="7">
        <f>+[1]SULyn!K40</f>
        <v>0</v>
      </c>
    </row>
    <row r="52" spans="2:11" ht="15.75" x14ac:dyDescent="0.25">
      <c r="B52" s="25">
        <f>+[1]SULyn!B41</f>
        <v>29</v>
      </c>
      <c r="C52" s="26">
        <f>+[1]SULyn!C41</f>
        <v>42830</v>
      </c>
      <c r="D52" s="25">
        <f>+[1]SULyn!D41</f>
        <v>0.15008101851851852</v>
      </c>
      <c r="E52" s="25">
        <f>+[1]SULyn!E41</f>
        <v>2457848.6672</v>
      </c>
      <c r="F52" s="25" t="str">
        <f>+[1]SULyn!F41</f>
        <v>FAS</v>
      </c>
      <c r="G52" s="25" t="str">
        <f>+[1]SULyn!G41</f>
        <v>DCO-US</v>
      </c>
      <c r="H52" s="25" t="str">
        <f>+[1]SULyn!H41</f>
        <v>C8LisaAtik414ex</v>
      </c>
      <c r="I52" s="25">
        <f>+[1]SULyn!I41</f>
        <v>760</v>
      </c>
      <c r="J52" s="7">
        <f>+[1]SULyn!J41</f>
        <v>0</v>
      </c>
      <c r="K52" s="7">
        <f>+[1]SULyn!K41</f>
        <v>0</v>
      </c>
    </row>
    <row r="53" spans="2:11" ht="15.75" x14ac:dyDescent="0.25">
      <c r="B53" s="25">
        <f>+[1]SULyn!B42</f>
        <v>30</v>
      </c>
      <c r="C53" s="26">
        <f>+[1]SULyn!C42</f>
        <v>42831</v>
      </c>
      <c r="D53" s="25">
        <f>+[1]SULyn!D42</f>
        <v>0.91061342592592587</v>
      </c>
      <c r="E53" s="25">
        <f>+[1]SULyn!E42</f>
        <v>2457850.4432000001</v>
      </c>
      <c r="F53" s="25" t="str">
        <f>+[1]SULyn!F42</f>
        <v>JGF</v>
      </c>
      <c r="G53" s="25" t="str">
        <f>+[1]SULyn!G42</f>
        <v>PIE-SP</v>
      </c>
      <c r="H53" s="25" t="str">
        <f>+[1]SULyn!H42</f>
        <v>MUSSOL</v>
      </c>
      <c r="I53" s="25">
        <f>+[1]SULyn!I42</f>
        <v>11000</v>
      </c>
      <c r="J53" s="7">
        <f>+[1]SULyn!J42</f>
        <v>0</v>
      </c>
      <c r="K53" s="7">
        <f>+[1]SULyn!K42</f>
        <v>0</v>
      </c>
    </row>
    <row r="54" spans="2:11" ht="15.75" x14ac:dyDescent="0.25">
      <c r="B54" s="25">
        <f>+[1]SULyn!B43</f>
        <v>31</v>
      </c>
      <c r="C54" s="26">
        <f>+[1]SULyn!C43</f>
        <v>42832</v>
      </c>
      <c r="D54" s="25">
        <f>+[1]SULyn!D43</f>
        <v>0.78658564814814813</v>
      </c>
      <c r="E54" s="25">
        <f>+[1]SULyn!E43</f>
        <v>2457851.3119000001</v>
      </c>
      <c r="F54" s="25" t="str">
        <f>+[1]SULyn!F43</f>
        <v>SOL</v>
      </c>
      <c r="G54" s="25" t="str">
        <f>+[1]SULyn!G43</f>
        <v>AQL-IT</v>
      </c>
      <c r="H54" s="25" t="str">
        <f>+[1]SULyn!H43</f>
        <v>SC8+Alpy600+SBIGST8300</v>
      </c>
      <c r="I54" s="25">
        <f>+[1]SULyn!I43</f>
        <v>835</v>
      </c>
      <c r="J54" s="7">
        <f>+[1]SULyn!J43</f>
        <v>0</v>
      </c>
      <c r="K54" s="7">
        <f>+[1]SULyn!K43</f>
        <v>0</v>
      </c>
    </row>
    <row r="55" spans="2:11" ht="15.75" x14ac:dyDescent="0.25">
      <c r="B55" s="25">
        <f>+[1]SULyn!B44</f>
        <v>32</v>
      </c>
      <c r="C55" s="26">
        <f>+[1]SULyn!C44</f>
        <v>42833</v>
      </c>
      <c r="D55" s="25">
        <f>+[1]SULyn!D44</f>
        <v>0.79143518518518519</v>
      </c>
      <c r="E55" s="25">
        <f>+[1]SULyn!E44</f>
        <v>2457852.3363999999</v>
      </c>
      <c r="F55" s="25" t="str">
        <f>+[1]SULyn!F44</f>
        <v>BER</v>
      </c>
      <c r="G55" s="25" t="str">
        <f>+[1]SULyn!G44</f>
        <v>BVO-IT</v>
      </c>
      <c r="H55" s="25" t="str">
        <f>+[1]SULyn!H44</f>
        <v>Lhires3C9SXVR-H69</v>
      </c>
      <c r="I55" s="25">
        <f>+[1]SULyn!I44</f>
        <v>16223</v>
      </c>
      <c r="J55" s="7">
        <f>+[1]SULyn!J44</f>
        <v>0</v>
      </c>
      <c r="K55" s="7">
        <f>+[1]SULyn!K44</f>
        <v>0</v>
      </c>
    </row>
    <row r="56" spans="2:11" ht="15.75" x14ac:dyDescent="0.25">
      <c r="B56" s="25">
        <f>+[1]SULyn!B45</f>
        <v>33</v>
      </c>
      <c r="C56" s="26">
        <f>+[1]SULyn!C45</f>
        <v>42833</v>
      </c>
      <c r="D56" s="25">
        <f>+[1]SULyn!D45</f>
        <v>0.90443287037037035</v>
      </c>
      <c r="E56" s="25">
        <f>+[1]SULyn!E45</f>
        <v>2457852.4155000001</v>
      </c>
      <c r="F56" s="25" t="str">
        <f>+[1]SULyn!F45</f>
        <v>TRO</v>
      </c>
      <c r="G56" s="25" t="str">
        <f>+[1]SULyn!G45</f>
        <v>PON-UK</v>
      </c>
      <c r="H56" s="25" t="str">
        <f>+[1]SULyn!H45</f>
        <v>C925+Alpy600+ATIK46</v>
      </c>
      <c r="I56" s="25">
        <f>+[1]SULyn!I45</f>
        <v>583</v>
      </c>
      <c r="J56" s="7">
        <f>+[1]SULyn!J45</f>
        <v>0</v>
      </c>
      <c r="K56" s="7">
        <f>+[1]SULyn!K45</f>
        <v>0</v>
      </c>
    </row>
    <row r="57" spans="2:11" ht="15.75" x14ac:dyDescent="0.25">
      <c r="B57" s="25">
        <f>+[1]SULyn!B46</f>
        <v>34</v>
      </c>
      <c r="C57" s="26">
        <f>+[1]SULyn!C46</f>
        <v>42833</v>
      </c>
      <c r="D57" s="25">
        <f>+[1]SULyn!D46</f>
        <v>0.9598726851851852</v>
      </c>
      <c r="E57" s="25">
        <f>+[1]SULyn!E46</f>
        <v>2457852.4704</v>
      </c>
      <c r="F57" s="25" t="str">
        <f>+[1]SULyn!F46</f>
        <v>YBGM</v>
      </c>
      <c r="G57" s="25" t="str">
        <f>+[1]SULyn!G46</f>
        <v>OSM-FR</v>
      </c>
      <c r="H57" s="25" t="str">
        <f>+[1]SULyn!H46</f>
        <v>C11LisaQSI583ws</v>
      </c>
      <c r="I57" s="25">
        <f>+[1]SULyn!I46</f>
        <v>1050</v>
      </c>
      <c r="J57" s="7">
        <f>+[1]SULyn!J46</f>
        <v>0</v>
      </c>
      <c r="K57" s="7">
        <f>+[1]SULyn!K46</f>
        <v>0</v>
      </c>
    </row>
    <row r="58" spans="2:11" ht="15.75" x14ac:dyDescent="0.25">
      <c r="B58" s="25">
        <f>+[1]SULyn!B47</f>
        <v>35</v>
      </c>
      <c r="C58" s="26">
        <f>+[1]SULyn!C47</f>
        <v>42834</v>
      </c>
      <c r="D58" s="25">
        <f>+[1]SULyn!D47</f>
        <v>5.5509259259259258E-2</v>
      </c>
      <c r="E58" s="25">
        <f>+[1]SULyn!E47</f>
        <v>2457852.5765</v>
      </c>
      <c r="F58" s="25" t="str">
        <f>+[1]SULyn!F47</f>
        <v>LES</v>
      </c>
      <c r="G58" s="25" t="str">
        <f>+[1]SULyn!G47</f>
        <v>MRO-CA</v>
      </c>
      <c r="H58" s="25" t="str">
        <f>+[1]SULyn!H47</f>
        <v>31cmDK+23um1800lpm+</v>
      </c>
      <c r="I58" s="25">
        <f>+[1]SULyn!I47</f>
        <v>9000</v>
      </c>
      <c r="J58" s="7">
        <f>+[1]SULyn!J47</f>
        <v>0</v>
      </c>
      <c r="K58" s="7">
        <f>+[1]SULyn!K47</f>
        <v>0</v>
      </c>
    </row>
    <row r="59" spans="2:11" ht="15.75" x14ac:dyDescent="0.25">
      <c r="B59" s="25">
        <f>+[1]SULyn!B48</f>
        <v>36</v>
      </c>
      <c r="C59" s="26">
        <f>+[1]SULyn!C48</f>
        <v>42836</v>
      </c>
      <c r="D59" s="25">
        <f>+[1]SULyn!D48</f>
        <v>4.3622685185185188E-2</v>
      </c>
      <c r="E59" s="25">
        <f>+[1]SULyn!E48</f>
        <v>2457854.5435000001</v>
      </c>
      <c r="F59" s="25" t="str">
        <f>+[1]SULyn!F48</f>
        <v>JPG</v>
      </c>
      <c r="G59" s="25" t="str">
        <f>+[1]SULyn!G48</f>
        <v>PDM-FR</v>
      </c>
      <c r="H59" s="25" t="str">
        <f>+[1]SULyn!H48</f>
        <v>T60-Alpy600-Ati</v>
      </c>
      <c r="I59" s="25">
        <f>+[1]SULyn!I48</f>
        <v>555</v>
      </c>
      <c r="J59" s="7">
        <f>+[1]SULyn!J48</f>
        <v>0</v>
      </c>
      <c r="K59" s="7">
        <f>+[1]SULyn!K48</f>
        <v>0</v>
      </c>
    </row>
    <row r="60" spans="2:11" ht="15.75" x14ac:dyDescent="0.25">
      <c r="B60" s="25">
        <f>+[1]SULyn!B49</f>
        <v>37</v>
      </c>
      <c r="C60" s="26">
        <f>+[1]SULyn!C49</f>
        <v>42836</v>
      </c>
      <c r="D60" s="25">
        <f>+[1]SULyn!D49</f>
        <v>0.905787037037037</v>
      </c>
      <c r="E60" s="25">
        <f>+[1]SULyn!E49</f>
        <v>2457855.4270000001</v>
      </c>
      <c r="F60" s="25" t="str">
        <f>+[1]SULyn!F49</f>
        <v>DBO</v>
      </c>
      <c r="G60" s="25" t="str">
        <f>+[1]SULyn!G49</f>
        <v>WCO-UK</v>
      </c>
      <c r="H60" s="25" t="str">
        <f>+[1]SULyn!H49</f>
        <v>C11+Lisa+SXVR-H</v>
      </c>
      <c r="I60" s="25">
        <f>+[1]SULyn!I49</f>
        <v>758</v>
      </c>
      <c r="J60" s="7">
        <f>+[1]SULyn!J49</f>
        <v>0</v>
      </c>
      <c r="K60" s="7">
        <f>+[1]SULyn!K49</f>
        <v>0</v>
      </c>
    </row>
    <row r="61" spans="2:11" ht="15.75" x14ac:dyDescent="0.25">
      <c r="B61" s="25">
        <f>+[1]SULyn!B50</f>
        <v>38</v>
      </c>
      <c r="C61" s="26">
        <f>+[1]SULyn!C50</f>
        <v>42837</v>
      </c>
      <c r="D61" s="25">
        <f>+[1]SULyn!D50</f>
        <v>0.85875000000000001</v>
      </c>
      <c r="E61" s="25">
        <f>+[1]SULyn!E50</f>
        <v>2457856.3934999998</v>
      </c>
      <c r="F61" s="25" t="str">
        <f>+[1]SULyn!F50</f>
        <v>FCA</v>
      </c>
      <c r="G61" s="25" t="str">
        <f>+[1]SULyn!G50</f>
        <v>PAG-SP</v>
      </c>
      <c r="H61" s="25" t="str">
        <f>+[1]SULyn!H50</f>
        <v>Newton-200DADOS-12</v>
      </c>
      <c r="I61" s="25">
        <f>+[1]SULyn!I50</f>
        <v>6036</v>
      </c>
      <c r="J61" s="7">
        <f>+[1]SULyn!J50</f>
        <v>0</v>
      </c>
      <c r="K61" s="7">
        <f>+[1]SULyn!K50</f>
        <v>0</v>
      </c>
    </row>
    <row r="62" spans="2:11" ht="15.75" x14ac:dyDescent="0.25">
      <c r="B62" s="25">
        <f>+[1]SULyn!B51</f>
        <v>39</v>
      </c>
      <c r="C62" s="26">
        <f>+[1]SULyn!C51</f>
        <v>42837</v>
      </c>
      <c r="D62" s="25">
        <f>+[1]SULyn!D51</f>
        <v>0.89189814814814816</v>
      </c>
      <c r="E62" s="25">
        <f>+[1]SULyn!E51</f>
        <v>2457856.4267000002</v>
      </c>
      <c r="F62" s="25" t="str">
        <f>+[1]SULyn!F51</f>
        <v>JGF</v>
      </c>
      <c r="G62" s="25" t="str">
        <f>+[1]SULyn!G51</f>
        <v>PIE-SP</v>
      </c>
      <c r="H62" s="25" t="str">
        <f>+[1]SULyn!H51</f>
        <v>MUSSOL</v>
      </c>
      <c r="I62" s="25">
        <f>+[1]SULyn!I51</f>
        <v>11000</v>
      </c>
      <c r="J62" s="7">
        <f>+[1]SULyn!J51</f>
        <v>0</v>
      </c>
      <c r="K62" s="7">
        <f>+[1]SULyn!K51</f>
        <v>0</v>
      </c>
    </row>
    <row r="63" spans="2:11" ht="15.75" x14ac:dyDescent="0.25">
      <c r="B63" s="25">
        <f>+[1]SULyn!B52</f>
        <v>40</v>
      </c>
      <c r="C63" s="26">
        <f>+[1]SULyn!C52</f>
        <v>42838</v>
      </c>
      <c r="D63" s="25">
        <f>+[1]SULyn!D52</f>
        <v>0.14512731481481481</v>
      </c>
      <c r="E63" s="25">
        <f>+[1]SULyn!E52</f>
        <v>2457856.6622000001</v>
      </c>
      <c r="F63" s="25" t="str">
        <f>+[1]SULyn!F52</f>
        <v>FAS</v>
      </c>
      <c r="G63" s="25" t="str">
        <f>+[1]SULyn!G52</f>
        <v>DCO-US</v>
      </c>
      <c r="H63" s="25" t="str">
        <f>+[1]SULyn!H52</f>
        <v>C8LisaAtik414ex</v>
      </c>
      <c r="I63" s="25">
        <f>+[1]SULyn!I52</f>
        <v>650</v>
      </c>
      <c r="J63" s="7">
        <f>+[1]SULyn!J52</f>
        <v>0</v>
      </c>
      <c r="K63" s="7">
        <f>+[1]SULyn!K52</f>
        <v>0</v>
      </c>
    </row>
    <row r="64" spans="2:11" ht="15.75" x14ac:dyDescent="0.25">
      <c r="B64" s="25">
        <f>+[1]SULyn!B53</f>
        <v>41</v>
      </c>
      <c r="C64" s="26">
        <f>+[1]SULyn!C53</f>
        <v>42838</v>
      </c>
      <c r="D64" s="25">
        <f>+[1]SULyn!D53</f>
        <v>0.20192129629629629</v>
      </c>
      <c r="E64" s="25">
        <f>+[1]SULyn!E53</f>
        <v>2457856.7105999999</v>
      </c>
      <c r="F64" s="25" t="str">
        <f>+[1]SULyn!F53</f>
        <v>JPE</v>
      </c>
      <c r="G64" s="25" t="str">
        <f>+[1]SULyn!G53</f>
        <v>DHO-US</v>
      </c>
      <c r="H64" s="25" t="str">
        <f>+[1]SULyn!H53</f>
        <v>CDK24(0.61m)Lisa</v>
      </c>
      <c r="I64" s="25">
        <f>+[1]SULyn!I53</f>
        <v>823</v>
      </c>
      <c r="J64" s="7">
        <f>+[1]SULyn!J53</f>
        <v>0</v>
      </c>
      <c r="K64" s="7">
        <f>+[1]SULyn!K53</f>
        <v>0</v>
      </c>
    </row>
    <row r="65" spans="2:11" ht="15.75" x14ac:dyDescent="0.25">
      <c r="B65" s="25">
        <f>+[1]SULyn!B54</f>
        <v>42</v>
      </c>
      <c r="C65" s="26">
        <f>+[1]SULyn!C54</f>
        <v>42838</v>
      </c>
      <c r="D65" s="25">
        <f>+[1]SULyn!D54</f>
        <v>0.84444444444444444</v>
      </c>
      <c r="E65" s="25">
        <f>+[1]SULyn!E54</f>
        <v>2457857.3656000001</v>
      </c>
      <c r="F65" s="25" t="str">
        <f>+[1]SULyn!F54</f>
        <v>PSO</v>
      </c>
      <c r="G65" s="25" t="str">
        <f>+[1]SULyn!G54</f>
        <v>AQL-IT</v>
      </c>
      <c r="H65" s="25" t="str">
        <f>+[1]SULyn!H54</f>
        <v>SC8+Alpy600+SBIGST8300</v>
      </c>
      <c r="I65" s="25">
        <f>+[1]SULyn!I54</f>
        <v>845</v>
      </c>
      <c r="J65" s="7">
        <f>+[1]SULyn!J54</f>
        <v>0</v>
      </c>
      <c r="K65" s="7">
        <f>+[1]SULyn!K54</f>
        <v>0</v>
      </c>
    </row>
    <row r="66" spans="2:11" ht="15.75" x14ac:dyDescent="0.25">
      <c r="B66" s="25">
        <f>+[1]SULyn!B55</f>
        <v>43</v>
      </c>
      <c r="C66" s="26">
        <f>+[1]SULyn!C55</f>
        <v>42839</v>
      </c>
      <c r="D66" s="25">
        <f>+[1]SULyn!D55</f>
        <v>0.14509259259259258</v>
      </c>
      <c r="E66" s="25">
        <f>+[1]SULyn!E55</f>
        <v>2457857.6814999999</v>
      </c>
      <c r="F66" s="25" t="str">
        <f>+[1]SULyn!F55</f>
        <v>JRF</v>
      </c>
      <c r="G66" s="25" t="str">
        <f>+[1]SULyn!G55</f>
        <v>UHO-US</v>
      </c>
      <c r="H66" s="25" t="str">
        <f>+[1]SULyn!H55</f>
        <v>CDK17-L200-Atik460</v>
      </c>
      <c r="I66" s="25">
        <f>+[1]SULyn!I55</f>
        <v>3891</v>
      </c>
      <c r="J66" s="7">
        <f>+[1]SULyn!J55</f>
        <v>0</v>
      </c>
      <c r="K66" s="7">
        <f>+[1]SULyn!K55</f>
        <v>0</v>
      </c>
    </row>
    <row r="67" spans="2:11" ht="15.75" x14ac:dyDescent="0.25">
      <c r="B67" s="25">
        <f>+[1]SULyn!B56</f>
        <v>44</v>
      </c>
      <c r="C67" s="26">
        <f>+[1]SULyn!C56</f>
        <v>42845</v>
      </c>
      <c r="D67" s="25">
        <f>+[1]SULyn!D56</f>
        <v>0.80350694444444448</v>
      </c>
      <c r="E67" s="25">
        <f>+[1]SULyn!E56</f>
        <v>2457864.3522999999</v>
      </c>
      <c r="F67" s="25" t="str">
        <f>+[1]SULyn!F56</f>
        <v>OGA</v>
      </c>
      <c r="G67" s="25" t="str">
        <f>+[1]SULyn!G56</f>
        <v>OTO-FR</v>
      </c>
      <c r="H67" s="25" t="str">
        <f>+[1]SULyn!H56</f>
        <v>RC400+eShel_460EX</v>
      </c>
      <c r="I67" s="25">
        <f>+[1]SULyn!I56</f>
        <v>11000</v>
      </c>
      <c r="J67" s="7">
        <f>+[1]SULyn!J56</f>
        <v>0</v>
      </c>
      <c r="K67" s="7">
        <f>+[1]SULyn!K56</f>
        <v>0</v>
      </c>
    </row>
    <row r="68" spans="2:11" ht="15.75" x14ac:dyDescent="0.25">
      <c r="B68" s="25">
        <f>+[1]SULyn!B57</f>
        <v>45</v>
      </c>
      <c r="C68" s="26">
        <f>+[1]SULyn!C57</f>
        <v>42845</v>
      </c>
      <c r="D68" s="25">
        <f>+[1]SULyn!D57</f>
        <v>0.84354166666666675</v>
      </c>
      <c r="E68" s="25">
        <f>+[1]SULyn!E57</f>
        <v>2457864.3475000001</v>
      </c>
      <c r="F68" s="25" t="str">
        <f>+[1]SULyn!F57</f>
        <v>JPN</v>
      </c>
      <c r="G68" s="25" t="str">
        <f>+[1]SULyn!G57</f>
        <v>PBO-FR</v>
      </c>
      <c r="H68" s="25" t="str">
        <f>+[1]SULyn!H57</f>
        <v>Newton200Alpy600</v>
      </c>
      <c r="I68" s="25">
        <f>+[1]SULyn!I57</f>
        <v>536</v>
      </c>
      <c r="J68" s="7">
        <f>+[1]SULyn!J57</f>
        <v>0</v>
      </c>
      <c r="K68" s="7">
        <f>+[1]SULyn!K57</f>
        <v>0</v>
      </c>
    </row>
    <row r="69" spans="2:11" ht="15.75" x14ac:dyDescent="0.25">
      <c r="B69" s="25">
        <f>+[1]SULyn!B58</f>
        <v>46</v>
      </c>
      <c r="C69" s="26">
        <f>+[1]SULyn!C58</f>
        <v>42845</v>
      </c>
      <c r="D69" s="25">
        <f>+[1]SULyn!D58</f>
        <v>0.85592592592592587</v>
      </c>
      <c r="E69" s="25">
        <f>+[1]SULyn!E58</f>
        <v>2457864.3771000002</v>
      </c>
      <c r="F69" s="25" t="str">
        <f>+[1]SULyn!F58</f>
        <v xml:space="preserve">FMT </v>
      </c>
      <c r="G69" s="25" t="str">
        <f>+[1]SULyn!G58</f>
        <v>ORS-FR</v>
      </c>
      <c r="H69" s="25" t="str">
        <f>+[1]SULyn!H58</f>
        <v>SC14+eShel+Atik460ex</v>
      </c>
      <c r="I69" s="25">
        <f>+[1]SULyn!I58</f>
        <v>11000</v>
      </c>
      <c r="J69" s="7">
        <f>+[1]SULyn!J58</f>
        <v>0</v>
      </c>
      <c r="K69" s="7">
        <f>+[1]SULyn!K58</f>
        <v>0</v>
      </c>
    </row>
    <row r="70" spans="2:11" ht="15.75" x14ac:dyDescent="0.25">
      <c r="B70" s="25">
        <f>+[1]SULyn!B59</f>
        <v>47</v>
      </c>
      <c r="C70" s="26">
        <f>+[1]SULyn!C59</f>
        <v>42846</v>
      </c>
      <c r="D70" s="25">
        <f>+[1]SULyn!D59</f>
        <v>0.86365740740740737</v>
      </c>
      <c r="E70" s="25">
        <f>+[1]SULyn!E59</f>
        <v>2457865.3983999998</v>
      </c>
      <c r="F70" s="25" t="str">
        <f>+[1]SULyn!F59</f>
        <v>FCA</v>
      </c>
      <c r="G70" s="25" t="str">
        <f>+[1]SULyn!G59</f>
        <v>PAG-SP</v>
      </c>
      <c r="H70" s="25" t="str">
        <f>+[1]SULyn!H59</f>
        <v>Newton-200DADOS-12</v>
      </c>
      <c r="I70" s="25">
        <f>+[1]SULyn!I59</f>
        <v>6261</v>
      </c>
      <c r="J70" s="7">
        <f>+[1]SULyn!J59</f>
        <v>0</v>
      </c>
      <c r="K70" s="7">
        <f>+[1]SULyn!K59</f>
        <v>0</v>
      </c>
    </row>
    <row r="71" spans="2:11" ht="15.75" x14ac:dyDescent="0.25">
      <c r="B71" s="25">
        <f>+[1]SULyn!B60</f>
        <v>48</v>
      </c>
      <c r="C71" s="26">
        <f>+[1]SULyn!C60</f>
        <v>42846</v>
      </c>
      <c r="D71" s="25">
        <f>+[1]SULyn!D60</f>
        <v>0.90833333333333333</v>
      </c>
      <c r="E71" s="25">
        <f>+[1]SULyn!E60</f>
        <v>2457864.91</v>
      </c>
      <c r="F71" s="25" t="str">
        <f>+[1]SULyn!F60</f>
        <v>JPM</v>
      </c>
      <c r="G71" s="25" t="str">
        <f>+[1]SULyn!G60</f>
        <v>CAL-FR</v>
      </c>
      <c r="H71" s="25" t="str">
        <f>+[1]SULyn!H60</f>
        <v>Lhires600L+T150</v>
      </c>
      <c r="I71" s="25">
        <f>+[1]SULyn!I60</f>
        <v>3318</v>
      </c>
      <c r="J71" s="7">
        <f>+[1]SULyn!J60</f>
        <v>0</v>
      </c>
      <c r="K71" s="7">
        <f>+[1]SULyn!K60</f>
        <v>0</v>
      </c>
    </row>
    <row r="72" spans="2:11" ht="15.75" x14ac:dyDescent="0.25">
      <c r="B72" s="25">
        <f>+[1]SULyn!B61</f>
        <v>49</v>
      </c>
      <c r="C72" s="26">
        <f>+[1]SULyn!C61</f>
        <v>42846</v>
      </c>
      <c r="D72" s="25">
        <f>+[1]SULyn!D61</f>
        <v>0.91599537037037038</v>
      </c>
      <c r="E72" s="25">
        <f>+[1]SULyn!E61</f>
        <v>2457865.4267000002</v>
      </c>
      <c r="F72" s="25" t="str">
        <f>+[1]SULyn!F61</f>
        <v>JMO</v>
      </c>
      <c r="G72" s="25" t="str">
        <f>+[1]SULyn!G61</f>
        <v>OLC-FR</v>
      </c>
      <c r="H72" s="25" t="str">
        <f>+[1]SULyn!H61</f>
        <v>Alpy600+Atik460EX</v>
      </c>
      <c r="I72" s="25">
        <f>+[1]SULyn!I61</f>
        <v>657</v>
      </c>
      <c r="J72" s="7">
        <f>+[1]SULyn!J61</f>
        <v>0</v>
      </c>
      <c r="K72" s="7">
        <f>+[1]SULyn!K61</f>
        <v>0</v>
      </c>
    </row>
    <row r="73" spans="2:11" ht="15.75" x14ac:dyDescent="0.25">
      <c r="B73" s="25">
        <f>+[1]SULyn!B62</f>
        <v>50</v>
      </c>
      <c r="C73" s="26">
        <f>+[1]SULyn!C62</f>
        <v>42847</v>
      </c>
      <c r="D73" s="25">
        <f>+[1]SULyn!D62</f>
        <v>0.1633449074074074</v>
      </c>
      <c r="E73" s="25">
        <f>+[1]SULyn!E62</f>
        <v>2457865.6696000001</v>
      </c>
      <c r="F73" s="25" t="str">
        <f>+[1]SULyn!F62</f>
        <v>JRF</v>
      </c>
      <c r="G73" s="25" t="str">
        <f>+[1]SULyn!G62</f>
        <v>UHO-US</v>
      </c>
      <c r="H73" s="25" t="str">
        <f>+[1]SULyn!H62</f>
        <v>CDK17LisaATIK460E</v>
      </c>
      <c r="I73" s="25">
        <f>+[1]SULyn!I62</f>
        <v>993</v>
      </c>
      <c r="J73" s="7">
        <f>+[1]SULyn!J62</f>
        <v>0</v>
      </c>
      <c r="K73" s="7">
        <f>+[1]SULyn!K62</f>
        <v>0</v>
      </c>
    </row>
    <row r="74" spans="2:11" ht="15.75" x14ac:dyDescent="0.25">
      <c r="B74" s="25">
        <f>+[1]SULyn!B63</f>
        <v>51</v>
      </c>
      <c r="C74" s="26">
        <f>+[1]SULyn!C63</f>
        <v>42847</v>
      </c>
      <c r="D74" s="25">
        <f>+[1]SULyn!D63</f>
        <v>0.84880787037037031</v>
      </c>
      <c r="E74" s="25">
        <f>+[1]SULyn!E63</f>
        <v>2457866.3697000002</v>
      </c>
      <c r="F74" s="25" t="str">
        <f>+[1]SULyn!F63</f>
        <v>FCA</v>
      </c>
      <c r="G74" s="25" t="str">
        <f>+[1]SULyn!G63</f>
        <v>PAG-SP</v>
      </c>
      <c r="H74" s="25" t="str">
        <f>+[1]SULyn!H63</f>
        <v>Newton-200DADOS-20</v>
      </c>
      <c r="I74" s="25">
        <f>+[1]SULyn!I63</f>
        <v>881</v>
      </c>
      <c r="J74" s="7">
        <f>+[1]SULyn!J63</f>
        <v>0</v>
      </c>
      <c r="K74" s="7">
        <f>+[1]SULyn!K63</f>
        <v>0</v>
      </c>
    </row>
    <row r="75" spans="2:11" ht="15.75" x14ac:dyDescent="0.25">
      <c r="B75" s="25">
        <f>+[1]SULyn!B64</f>
        <v>52</v>
      </c>
      <c r="C75" s="26">
        <f>+[1]SULyn!C64</f>
        <v>42850</v>
      </c>
      <c r="D75" s="25">
        <f>+[1]SULyn!D64</f>
        <v>0.80622685185185183</v>
      </c>
      <c r="E75" s="25">
        <f>+[1]SULyn!E64</f>
        <v>2457869.3314999999</v>
      </c>
      <c r="F75" s="25" t="str">
        <f>+[1]SULyn!F64</f>
        <v>SOL</v>
      </c>
      <c r="G75" s="25" t="str">
        <f>+[1]SULyn!G64</f>
        <v>AQL-IT</v>
      </c>
      <c r="H75" s="25" t="str">
        <f>+[1]SULyn!H64</f>
        <v>SC8+Alpy600+SBIGST8300</v>
      </c>
      <c r="I75" s="25">
        <f>+[1]SULyn!I64</f>
        <v>622</v>
      </c>
      <c r="J75" s="7">
        <f>+[1]SULyn!J64</f>
        <v>0</v>
      </c>
      <c r="K75" s="7">
        <f>+[1]SULyn!K64</f>
        <v>0</v>
      </c>
    </row>
    <row r="76" spans="2:11" ht="15.75" x14ac:dyDescent="0.25">
      <c r="B76" s="25">
        <f>+[1]SULyn!B65</f>
        <v>53</v>
      </c>
      <c r="C76" s="26">
        <f>+[1]SULyn!C65</f>
        <v>42859</v>
      </c>
      <c r="D76" s="25">
        <f>+[1]SULyn!D65</f>
        <v>5.0891203703703702E-2</v>
      </c>
      <c r="E76" s="25">
        <f>+[1]SULyn!E65</f>
        <v>2457877.5718999999</v>
      </c>
      <c r="F76" s="25" t="str">
        <f>+[1]SULyn!F65</f>
        <v>LES</v>
      </c>
      <c r="G76" s="25" t="str">
        <f>+[1]SULyn!G65</f>
        <v>MRO-CA</v>
      </c>
      <c r="H76" s="25" t="str">
        <f>+[1]SULyn!H65</f>
        <v>31cmDK+23um1800lpm+</v>
      </c>
      <c r="I76" s="25">
        <f>+[1]SULyn!I65</f>
        <v>9000</v>
      </c>
      <c r="J76" s="7">
        <f>+[1]SULyn!J65</f>
        <v>0</v>
      </c>
      <c r="K76" s="7">
        <f>+[1]SULyn!K65</f>
        <v>0</v>
      </c>
    </row>
    <row r="77" spans="2:11" ht="15.75" x14ac:dyDescent="0.25">
      <c r="B77" s="25">
        <f>+[1]SULyn!B66</f>
        <v>54</v>
      </c>
      <c r="C77" s="26">
        <f>+[1]SULyn!C66</f>
        <v>42860</v>
      </c>
      <c r="D77" s="25">
        <f>+[1]SULyn!D66</f>
        <v>0.79680555555555566</v>
      </c>
      <c r="E77" s="25">
        <f>+[1]SULyn!E66</f>
        <v>2457879.3220000002</v>
      </c>
      <c r="F77" s="25" t="str">
        <f>+[1]SULyn!F66</f>
        <v>PSO</v>
      </c>
      <c r="G77" s="25" t="str">
        <f>+[1]SULyn!G66</f>
        <v>AQL-IT</v>
      </c>
      <c r="H77" s="25" t="str">
        <f>+[1]SULyn!H66</f>
        <v>SC8+Alpy600+SBIGST8300</v>
      </c>
      <c r="I77" s="25">
        <f>+[1]SULyn!I66</f>
        <v>595</v>
      </c>
      <c r="J77" s="7">
        <f>+[1]SULyn!J66</f>
        <v>0</v>
      </c>
      <c r="K77" s="7">
        <f>+[1]SULyn!K66</f>
        <v>0</v>
      </c>
    </row>
    <row r="78" spans="2:11" ht="15.75" x14ac:dyDescent="0.25">
      <c r="B78" s="25">
        <f>+[1]SULyn!B67</f>
        <v>55</v>
      </c>
      <c r="C78" s="26">
        <f>+[1]SULyn!C67</f>
        <v>42861</v>
      </c>
      <c r="D78" s="25">
        <f>+[1]SULyn!D67</f>
        <v>0.85777777777777775</v>
      </c>
      <c r="E78" s="25">
        <f>+[1]SULyn!E67</f>
        <v>2457880.3717</v>
      </c>
      <c r="F78" s="25" t="str">
        <f>+[1]SULyn!F67</f>
        <v>FCA</v>
      </c>
      <c r="G78" s="25" t="str">
        <f>+[1]SULyn!G67</f>
        <v>PAG-SP</v>
      </c>
      <c r="H78" s="25" t="str">
        <f>+[1]SULyn!H67</f>
        <v>Newton-200DADOS-12</v>
      </c>
      <c r="I78" s="25">
        <f>+[1]SULyn!I67</f>
        <v>887</v>
      </c>
      <c r="J78" s="7">
        <f>+[1]SULyn!J67</f>
        <v>0</v>
      </c>
      <c r="K78" s="7">
        <f>+[1]SULyn!K67</f>
        <v>0</v>
      </c>
    </row>
    <row r="79" spans="2:11" ht="15.75" x14ac:dyDescent="0.25">
      <c r="B79" s="25">
        <f>+[1]SULyn!B68</f>
        <v>56</v>
      </c>
      <c r="C79" s="26">
        <f>+[1]SULyn!C68</f>
        <v>42863</v>
      </c>
      <c r="D79" s="25">
        <f>+[1]SULyn!D68</f>
        <v>0.17163194444444443</v>
      </c>
      <c r="E79" s="25">
        <f>+[1]SULyn!E68</f>
        <v>2457881.6787999999</v>
      </c>
      <c r="F79" s="25" t="str">
        <f>+[1]SULyn!F68</f>
        <v>JPE</v>
      </c>
      <c r="G79" s="25" t="str">
        <f>+[1]SULyn!G68</f>
        <v>DCO-US</v>
      </c>
      <c r="H79" s="25" t="str">
        <f>+[1]SULyn!H68</f>
        <v>CDK24(0.61m)Lisa</v>
      </c>
      <c r="I79" s="25">
        <f>+[1]SULyn!I68</f>
        <v>787</v>
      </c>
      <c r="J79" s="7">
        <f>+[1]SULyn!J68</f>
        <v>0</v>
      </c>
      <c r="K79" s="7">
        <f>+[1]SULyn!K68</f>
        <v>0</v>
      </c>
    </row>
    <row r="80" spans="2:11" ht="15.75" x14ac:dyDescent="0.25">
      <c r="B80" s="25">
        <f>+[1]SULyn!B69</f>
        <v>57</v>
      </c>
      <c r="C80" s="26">
        <f>+[1]SULyn!C69</f>
        <v>42864</v>
      </c>
      <c r="D80" s="25">
        <f>+[1]SULyn!D69</f>
        <v>0.82240740740740748</v>
      </c>
      <c r="E80" s="25">
        <f>+[1]SULyn!E69</f>
        <v>2457883.3642000002</v>
      </c>
      <c r="F80" s="25" t="str">
        <f>+[1]SULyn!F69</f>
        <v>OGA</v>
      </c>
      <c r="G80" s="25" t="str">
        <f>+[1]SULyn!G69</f>
        <v>OTO-FR</v>
      </c>
      <c r="H80" s="25" t="str">
        <f>+[1]SULyn!H69</f>
        <v>RC400+eShel_460EX</v>
      </c>
      <c r="I80" s="25">
        <f>+[1]SULyn!I69</f>
        <v>11000</v>
      </c>
      <c r="J80" s="7">
        <f>+[1]SULyn!J69</f>
        <v>0</v>
      </c>
      <c r="K80" s="7">
        <f>+[1]SULyn!K69</f>
        <v>0</v>
      </c>
    </row>
    <row r="81" spans="2:11" ht="15.75" x14ac:dyDescent="0.25">
      <c r="B81" s="25">
        <f>+[1]SULyn!B70</f>
        <v>58</v>
      </c>
      <c r="C81" s="26">
        <f>+[1]SULyn!C70</f>
        <v>42864</v>
      </c>
      <c r="D81" s="25">
        <f>+[1]SULyn!D70</f>
        <v>0.87467592592592591</v>
      </c>
      <c r="E81" s="25">
        <f>+[1]SULyn!E70</f>
        <v>2457883.3958999999</v>
      </c>
      <c r="F81" s="25" t="str">
        <f>+[1]SULyn!F70</f>
        <v>DBO</v>
      </c>
      <c r="G81" s="25" t="str">
        <f>+[1]SULyn!G70</f>
        <v>WCO-UK</v>
      </c>
      <c r="H81" s="25" t="str">
        <f>+[1]SULyn!H70</f>
        <v>C11+Lisa+SXVR-H</v>
      </c>
      <c r="I81" s="25">
        <f>+[1]SULyn!I70</f>
        <v>761</v>
      </c>
      <c r="J81" s="7">
        <f>+[1]SULyn!J70</f>
        <v>0</v>
      </c>
      <c r="K81" s="7">
        <f>+[1]SULyn!K70</f>
        <v>0</v>
      </c>
    </row>
    <row r="82" spans="2:11" ht="15.75" x14ac:dyDescent="0.25">
      <c r="B82" s="25">
        <f>+[1]SULyn!B71</f>
        <v>59</v>
      </c>
      <c r="C82" s="26">
        <f>+[1]SULyn!C71</f>
        <v>42865</v>
      </c>
      <c r="D82" s="25">
        <f>+[1]SULyn!D71</f>
        <v>0.84702546296296299</v>
      </c>
      <c r="E82" s="25">
        <f>+[1]SULyn!E71</f>
        <v>2457884.3681000001</v>
      </c>
      <c r="F82" s="25" t="str">
        <f>+[1]SULyn!F71</f>
        <v xml:space="preserve">FMT </v>
      </c>
      <c r="G82" s="25" t="str">
        <f>+[1]SULyn!G71</f>
        <v>ORS-FR</v>
      </c>
      <c r="H82" s="25" t="str">
        <f>+[1]SULyn!H71</f>
        <v>SC14+eShel+Atik460ex</v>
      </c>
      <c r="I82" s="25">
        <f>+[1]SULyn!I71</f>
        <v>11000</v>
      </c>
      <c r="J82" s="7">
        <f>+[1]SULyn!J71</f>
        <v>0</v>
      </c>
      <c r="K82" s="7">
        <f>+[1]SULyn!K71</f>
        <v>0</v>
      </c>
    </row>
    <row r="83" spans="2:11" ht="15.75" x14ac:dyDescent="0.25">
      <c r="B83" s="25">
        <f>+[1]SULyn!B72</f>
        <v>60</v>
      </c>
      <c r="C83" s="26">
        <f>+[1]SULyn!C72</f>
        <v>42867</v>
      </c>
      <c r="D83" s="25">
        <f>+[1]SULyn!D72</f>
        <v>0.84143518518518512</v>
      </c>
      <c r="E83" s="25">
        <f>+[1]SULyn!E72</f>
        <v>2457886.3623000002</v>
      </c>
      <c r="F83" s="25" t="str">
        <f>+[1]SULyn!F72</f>
        <v>FCA</v>
      </c>
      <c r="G83" s="25" t="str">
        <f>+[1]SULyn!G72</f>
        <v>PAG-SP</v>
      </c>
      <c r="H83" s="25" t="str">
        <f>+[1]SULyn!H72</f>
        <v>Newton-1200DADOS-1</v>
      </c>
      <c r="I83" s="25">
        <f>+[1]SULyn!I72</f>
        <v>5932</v>
      </c>
      <c r="J83" s="7">
        <f>+[1]SULyn!J72</f>
        <v>0</v>
      </c>
      <c r="K83" s="7">
        <f>+[1]SULyn!K72</f>
        <v>0</v>
      </c>
    </row>
    <row r="84" spans="2:11" ht="15.75" x14ac:dyDescent="0.25">
      <c r="B84" s="25">
        <f>+[1]SULyn!B73</f>
        <v>61</v>
      </c>
      <c r="C84" s="26">
        <f>+[1]SULyn!C73</f>
        <v>42879</v>
      </c>
      <c r="D84" s="25">
        <f>+[1]SULyn!D73</f>
        <v>0.82657407407407402</v>
      </c>
      <c r="E84" s="25">
        <f>+[1]SULyn!E73</f>
        <v>2457898.3544000001</v>
      </c>
      <c r="F84" s="25" t="str">
        <f>+[1]SULyn!F73</f>
        <v>OGA</v>
      </c>
      <c r="G84" s="25" t="str">
        <f>+[1]SULyn!G73</f>
        <v>OTO-FR</v>
      </c>
      <c r="H84" s="25" t="str">
        <f>+[1]SULyn!H73</f>
        <v>RC400+eShel_460EX</v>
      </c>
      <c r="I84" s="25">
        <f>+[1]SULyn!I73</f>
        <v>11000</v>
      </c>
      <c r="J84" s="7">
        <f>+[1]SULyn!J73</f>
        <v>0</v>
      </c>
      <c r="K84" s="7">
        <f>+[1]SULyn!K73</f>
        <v>0</v>
      </c>
    </row>
    <row r="85" spans="2:11" ht="15.75" x14ac:dyDescent="0.25">
      <c r="B85" s="25">
        <f>+[1]SULyn!B74</f>
        <v>62</v>
      </c>
      <c r="C85" s="26">
        <f>+[1]SULyn!C74</f>
        <v>42997</v>
      </c>
      <c r="D85" s="25">
        <f>+[1]SULyn!D74</f>
        <v>0.51431712962962961</v>
      </c>
      <c r="E85" s="25">
        <f>+[1]SULyn!E74</f>
        <v>2458016.0178999999</v>
      </c>
      <c r="F85" s="25" t="str">
        <f>+[1]SULyn!F74</f>
        <v>JRF</v>
      </c>
      <c r="G85" s="25" t="str">
        <f>+[1]SULyn!G74</f>
        <v>MTN-US</v>
      </c>
      <c r="H85" s="25" t="str">
        <f>+[1]SULyn!H74</f>
        <v>CC13LisaATIK460EX</v>
      </c>
      <c r="I85" s="25">
        <f>+[1]SULyn!I74</f>
        <v>718</v>
      </c>
      <c r="J85" s="7">
        <f>+[1]SULyn!J74</f>
        <v>0</v>
      </c>
      <c r="K85" s="7">
        <f>+[1]SULyn!K74</f>
        <v>0</v>
      </c>
    </row>
    <row r="86" spans="2:11" ht="15.75" x14ac:dyDescent="0.25">
      <c r="B86" s="25">
        <f>+[1]SULyn!B75</f>
        <v>63</v>
      </c>
      <c r="C86" s="26">
        <f>+[1]SULyn!C75</f>
        <v>43011</v>
      </c>
      <c r="D86" s="25">
        <f>+[1]SULyn!D75</f>
        <v>0.15530092592592593</v>
      </c>
      <c r="E86" s="25">
        <f>+[1]SULyn!E75</f>
        <v>2458029.6693000002</v>
      </c>
      <c r="F86" s="25" t="str">
        <f>+[1]SULyn!F75</f>
        <v xml:space="preserve">FMT </v>
      </c>
      <c r="G86" s="25" t="str">
        <f>+[1]SULyn!G75</f>
        <v>ORS-FR</v>
      </c>
      <c r="H86" s="25" t="str">
        <f>+[1]SULyn!H75</f>
        <v>SC14+eShel+Atik460ex</v>
      </c>
      <c r="I86" s="25">
        <f>+[1]SULyn!I75</f>
        <v>11000</v>
      </c>
      <c r="J86" s="7">
        <f>+[1]SULyn!J75</f>
        <v>0</v>
      </c>
      <c r="K86" s="7">
        <f>+[1]SULyn!K75</f>
        <v>0</v>
      </c>
    </row>
    <row r="87" spans="2:11" ht="15.75" x14ac:dyDescent="0.25">
      <c r="B87" s="25">
        <f>+[1]SULyn!B76</f>
        <v>64</v>
      </c>
      <c r="C87" s="26">
        <f>+[1]SULyn!C76</f>
        <v>43036</v>
      </c>
      <c r="D87" s="25">
        <f>+[1]SULyn!D76</f>
        <v>0.32744212962962965</v>
      </c>
      <c r="E87" s="25">
        <f>+[1]SULyn!E76</f>
        <v>2458054.8454999998</v>
      </c>
      <c r="F87" s="25" t="str">
        <f>+[1]SULyn!F76</f>
        <v>FAS</v>
      </c>
      <c r="G87" s="25" t="str">
        <f>+[1]SULyn!G76</f>
        <v>DCO-US</v>
      </c>
      <c r="H87" s="25" t="str">
        <f>+[1]SULyn!H76</f>
        <v>DK14+Lisa+Atik414ex</v>
      </c>
      <c r="I87" s="25">
        <f>+[1]SULyn!I76</f>
        <v>938</v>
      </c>
      <c r="J87" s="7">
        <f>+[1]SULyn!J76</f>
        <v>0</v>
      </c>
      <c r="K87" s="7">
        <f>+[1]SULyn!K76</f>
        <v>0</v>
      </c>
    </row>
    <row r="88" spans="2:11" ht="15.75" x14ac:dyDescent="0.25">
      <c r="B88" s="25">
        <f>+[1]SULyn!B77</f>
        <v>65</v>
      </c>
      <c r="C88" s="26">
        <f>+[1]SULyn!C77</f>
        <v>43037</v>
      </c>
      <c r="D88" s="25">
        <f>+[1]SULyn!D77</f>
        <v>0.94721064814814815</v>
      </c>
      <c r="E88" s="25">
        <f>+[1]SULyn!E77</f>
        <v>2458056.4684000001</v>
      </c>
      <c r="F88" s="25" t="str">
        <f>+[1]SULyn!F77</f>
        <v>DBO</v>
      </c>
      <c r="G88" s="25" t="str">
        <f>+[1]SULyn!G77</f>
        <v>WCO-UK</v>
      </c>
      <c r="H88" s="25" t="str">
        <f>+[1]SULyn!H77</f>
        <v>C11+Lisa+SXVR-H</v>
      </c>
      <c r="I88" s="25">
        <f>+[1]SULyn!I77</f>
        <v>1029</v>
      </c>
      <c r="J88" s="7">
        <f>+[1]SULyn!J77</f>
        <v>0</v>
      </c>
      <c r="K88" s="7">
        <f>+[1]SULyn!K77</f>
        <v>0</v>
      </c>
    </row>
    <row r="89" spans="2:11" ht="15.75" x14ac:dyDescent="0.25">
      <c r="B89" s="25">
        <f>+[1]SULyn!B78</f>
        <v>66</v>
      </c>
      <c r="C89" s="26">
        <f>+[1]SULyn!C78</f>
        <v>43040</v>
      </c>
      <c r="D89" s="25">
        <f>+[1]SULyn!D78</f>
        <v>5.4166666666666669E-3</v>
      </c>
      <c r="E89" s="25">
        <f>+[1]SULyn!E78</f>
        <v>2458058.5192999998</v>
      </c>
      <c r="F89" s="25" t="str">
        <f>+[1]SULyn!F78</f>
        <v>FCA</v>
      </c>
      <c r="G89" s="25" t="str">
        <f>+[1]SULyn!G78</f>
        <v>PAG-SP</v>
      </c>
      <c r="H89" s="25" t="str">
        <f>+[1]SULyn!H78</f>
        <v>N-200f/4.7+Barlo</v>
      </c>
      <c r="I89" s="25">
        <f>+[1]SULyn!I78</f>
        <v>926</v>
      </c>
      <c r="J89" s="7">
        <f>+[1]SULyn!J78</f>
        <v>0</v>
      </c>
      <c r="K89" s="7">
        <f>+[1]SULyn!K78</f>
        <v>0</v>
      </c>
    </row>
    <row r="90" spans="2:11" ht="15.75" x14ac:dyDescent="0.25">
      <c r="B90" s="25">
        <f>+[1]SULyn!B79</f>
        <v>67</v>
      </c>
      <c r="C90" s="26">
        <f>+[1]SULyn!C79</f>
        <v>43040</v>
      </c>
      <c r="D90" s="25">
        <f>+[1]SULyn!D79</f>
        <v>0.18126157407407406</v>
      </c>
      <c r="E90" s="25">
        <f>+[1]SULyn!E79</f>
        <v>2458058.7022000002</v>
      </c>
      <c r="F90" s="25" t="str">
        <f>+[1]SULyn!F79</f>
        <v xml:space="preserve">FMT </v>
      </c>
      <c r="G90" s="25" t="str">
        <f>+[1]SULyn!G79</f>
        <v>ORS-FR</v>
      </c>
      <c r="H90" s="25" t="str">
        <f>+[1]SULyn!H79</f>
        <v>SC14+eShel+Atik460ex</v>
      </c>
      <c r="I90" s="25">
        <f>+[1]SULyn!I79</f>
        <v>11000</v>
      </c>
      <c r="J90" s="7">
        <f>+[1]SULyn!J79</f>
        <v>0</v>
      </c>
      <c r="K90" s="7">
        <f>+[1]SULyn!K79</f>
        <v>0</v>
      </c>
    </row>
    <row r="91" spans="2:11" ht="15.75" x14ac:dyDescent="0.25">
      <c r="B91" s="25">
        <f>+[1]SULyn!B80</f>
        <v>68</v>
      </c>
      <c r="C91" s="26">
        <f>+[1]SULyn!C80</f>
        <v>43043</v>
      </c>
      <c r="D91" s="25">
        <f>+[1]SULyn!D80</f>
        <v>0.16304398148148147</v>
      </c>
      <c r="E91" s="25">
        <f>+[1]SULyn!E80</f>
        <v>2458061.7129000002</v>
      </c>
      <c r="F91" s="25" t="str">
        <f>+[1]SULyn!F80</f>
        <v>LES</v>
      </c>
      <c r="G91" s="25" t="str">
        <f>+[1]SULyn!G80</f>
        <v>MRO-CA</v>
      </c>
      <c r="H91" s="25" t="str">
        <f>+[1]SULyn!H80</f>
        <v>DK310+Echelle_ESSAT</v>
      </c>
      <c r="I91" s="25">
        <f>+[1]SULyn!I80</f>
        <v>14000</v>
      </c>
      <c r="J91" s="7">
        <f>+[1]SULyn!J80</f>
        <v>0</v>
      </c>
      <c r="K91" s="7">
        <f>+[1]SULyn!K80</f>
        <v>0</v>
      </c>
    </row>
    <row r="92" spans="2:11" ht="15.75" x14ac:dyDescent="0.25">
      <c r="B92" s="25">
        <f>+[1]SULyn!B81</f>
        <v>69</v>
      </c>
      <c r="C92" s="26">
        <f>+[1]SULyn!C81</f>
        <v>43045</v>
      </c>
      <c r="D92" s="25">
        <f>+[1]SULyn!D81</f>
        <v>0.28494212962962967</v>
      </c>
      <c r="E92" s="25">
        <f>+[1]SULyn!E81</f>
        <v>2458063.7930000001</v>
      </c>
      <c r="F92" s="25" t="str">
        <f>+[1]SULyn!F81</f>
        <v>FAS</v>
      </c>
      <c r="G92" s="25" t="str">
        <f>+[1]SULyn!G81</f>
        <v>DCO-US</v>
      </c>
      <c r="H92" s="25" t="str">
        <f>+[1]SULyn!H81</f>
        <v>DK14+Lisa+Atik414ex</v>
      </c>
      <c r="I92" s="25">
        <f>+[1]SULyn!I81</f>
        <v>1057</v>
      </c>
      <c r="J92" s="7">
        <f>+[1]SULyn!J81</f>
        <v>0</v>
      </c>
      <c r="K92" s="7">
        <f>+[1]SULyn!K81</f>
        <v>0</v>
      </c>
    </row>
    <row r="93" spans="2:11" ht="15.75" x14ac:dyDescent="0.25">
      <c r="B93" s="25">
        <f>+[1]SULyn!B82</f>
        <v>70</v>
      </c>
      <c r="C93" s="26">
        <f>+[1]SULyn!C82</f>
        <v>43071</v>
      </c>
      <c r="D93" s="25">
        <f>+[1]SULyn!D82</f>
        <v>0.46684027777777781</v>
      </c>
      <c r="E93" s="25">
        <f>+[1]SULyn!E82</f>
        <v>2458090.0142000001</v>
      </c>
      <c r="F93" s="25" t="str">
        <f>+[1]SULyn!F82</f>
        <v>JRF</v>
      </c>
      <c r="G93" s="25" t="str">
        <f>+[1]SULyn!G82</f>
        <v>UHO-US</v>
      </c>
      <c r="H93" s="25" t="str">
        <f>+[1]SULyn!H82</f>
        <v>CDK17+Lhires2400</v>
      </c>
      <c r="I93" s="25">
        <f>+[1]SULyn!I82</f>
        <v>14280</v>
      </c>
      <c r="J93" s="7">
        <f>+[1]SULyn!J82</f>
        <v>0</v>
      </c>
      <c r="K93" s="7">
        <f>+[1]SULyn!K82</f>
        <v>0</v>
      </c>
    </row>
    <row r="94" spans="2:11" ht="15.75" x14ac:dyDescent="0.25">
      <c r="B94" s="25">
        <f>+[1]SULyn!B83</f>
        <v>71</v>
      </c>
      <c r="C94" s="26">
        <f>+[1]SULyn!C83</f>
        <v>43075</v>
      </c>
      <c r="D94" s="25">
        <f>+[1]SULyn!D83</f>
        <v>0.99015046296296294</v>
      </c>
      <c r="E94" s="25">
        <f>+[1]SULyn!E83</f>
        <v>2458094.4901000001</v>
      </c>
      <c r="F94" s="25" t="str">
        <f>+[1]SULyn!F83</f>
        <v>PCA</v>
      </c>
      <c r="G94" s="25" t="str">
        <f>+[1]SULyn!G83</f>
        <v>LEC-IT</v>
      </c>
      <c r="H94" s="25" t="str">
        <f>+[1]SULyn!H83</f>
        <v>VX10Alpy600Atik41</v>
      </c>
      <c r="I94" s="25">
        <f>+[1]SULyn!I83</f>
        <v>554</v>
      </c>
      <c r="J94" s="7">
        <f>+[1]SULyn!J83</f>
        <v>0</v>
      </c>
      <c r="K94" s="7">
        <f>+[1]SULyn!K83</f>
        <v>0</v>
      </c>
    </row>
    <row r="95" spans="2:11" ht="15.75" x14ac:dyDescent="0.25">
      <c r="B95" s="25">
        <f>+[1]SULyn!B84</f>
        <v>72</v>
      </c>
      <c r="C95" s="26">
        <f>+[1]SULyn!C84</f>
        <v>43077</v>
      </c>
      <c r="D95" s="25">
        <f>+[1]SULyn!D84</f>
        <v>0.28346064814814814</v>
      </c>
      <c r="E95" s="25">
        <f>+[1]SULyn!E84</f>
        <v>2458095.7947</v>
      </c>
      <c r="F95" s="25" t="str">
        <f>+[1]SULyn!F84</f>
        <v>FAS</v>
      </c>
      <c r="G95" s="25" t="str">
        <f>+[1]SULyn!G84</f>
        <v>DCO-US</v>
      </c>
      <c r="H95" s="25" t="str">
        <f>+[1]SULyn!H84</f>
        <v>DK14+Lisa+Atik414ex</v>
      </c>
      <c r="I95" s="25">
        <f>+[1]SULyn!I84</f>
        <v>830</v>
      </c>
      <c r="J95" s="7">
        <f>+[1]SULyn!J84</f>
        <v>0</v>
      </c>
      <c r="K95" s="7">
        <f>+[1]SULyn!K84</f>
        <v>0</v>
      </c>
    </row>
    <row r="96" spans="2:11" ht="15.75" x14ac:dyDescent="0.25">
      <c r="B96" s="25">
        <f>+[1]SULyn!B85</f>
        <v>73</v>
      </c>
      <c r="C96" s="26">
        <f>+[1]SULyn!C85</f>
        <v>43080</v>
      </c>
      <c r="D96" s="25">
        <f>+[1]SULyn!D85</f>
        <v>0.83388888888888879</v>
      </c>
      <c r="E96" s="25">
        <f>+[1]SULyn!E85</f>
        <v>2458099.3587000002</v>
      </c>
      <c r="F96" s="25" t="str">
        <f>+[1]SULyn!F85</f>
        <v>DBO</v>
      </c>
      <c r="G96" s="25" t="str">
        <f>+[1]SULyn!G85</f>
        <v>WCO-UK</v>
      </c>
      <c r="H96" s="25" t="str">
        <f>+[1]SULyn!H85</f>
        <v>C11+Lisa+SXVR-H</v>
      </c>
      <c r="I96" s="25">
        <f>+[1]SULyn!I85</f>
        <v>1012</v>
      </c>
      <c r="J96" s="7">
        <f>+[1]SULyn!J85</f>
        <v>0</v>
      </c>
      <c r="K96" s="7">
        <f>+[1]SULyn!K85</f>
        <v>0</v>
      </c>
    </row>
    <row r="97" spans="2:11" ht="15.75" x14ac:dyDescent="0.25">
      <c r="B97" s="25">
        <f>+[1]SULyn!B86</f>
        <v>74</v>
      </c>
      <c r="C97" s="26">
        <f>+[1]SULyn!C86</f>
        <v>43084</v>
      </c>
      <c r="D97" s="25">
        <f>+[1]SULyn!D86</f>
        <v>0.39582175925925928</v>
      </c>
      <c r="E97" s="25">
        <f>+[1]SULyn!E86</f>
        <v>2458102.9205</v>
      </c>
      <c r="F97" s="25" t="str">
        <f>+[1]SULyn!F86</f>
        <v>JRF</v>
      </c>
      <c r="G97" s="25" t="str">
        <f>+[1]SULyn!G86</f>
        <v>UHO-US</v>
      </c>
      <c r="H97" s="25" t="str">
        <f>+[1]SULyn!H86</f>
        <v>CDK17+Lhires2400</v>
      </c>
      <c r="I97" s="25">
        <f>+[1]SULyn!I86</f>
        <v>13964</v>
      </c>
      <c r="J97" s="7">
        <f>+[1]SULyn!J86</f>
        <v>0</v>
      </c>
      <c r="K97" s="7">
        <f>+[1]SULyn!K86</f>
        <v>0</v>
      </c>
    </row>
    <row r="98" spans="2:11" ht="15.75" x14ac:dyDescent="0.25">
      <c r="B98" s="25">
        <f>+[1]SULyn!B87</f>
        <v>75</v>
      </c>
      <c r="C98" s="26">
        <f>+[1]SULyn!C87</f>
        <v>43084</v>
      </c>
      <c r="D98" s="25">
        <f>+[1]SULyn!D87</f>
        <v>0.44855324074074071</v>
      </c>
      <c r="E98" s="25">
        <f>+[1]SULyn!E87</f>
        <v>2458102.9906000001</v>
      </c>
      <c r="F98" s="25" t="str">
        <f>+[1]SULyn!F87</f>
        <v>JRF</v>
      </c>
      <c r="G98" s="25" t="str">
        <f>+[1]SULyn!G87</f>
        <v>UHO-US</v>
      </c>
      <c r="H98" s="25" t="str">
        <f>+[1]SULyn!H87</f>
        <v>CDK17+Lhires2400</v>
      </c>
      <c r="I98" s="25">
        <f>+[1]SULyn!I87</f>
        <v>8282</v>
      </c>
      <c r="J98" s="7">
        <f>+[1]SULyn!J87</f>
        <v>0</v>
      </c>
      <c r="K98" s="7">
        <f>+[1]SULyn!K87</f>
        <v>0</v>
      </c>
    </row>
    <row r="99" spans="2:11" ht="15.75" x14ac:dyDescent="0.25">
      <c r="B99" s="25">
        <f>+[1]SULyn!B88</f>
        <v>76</v>
      </c>
      <c r="C99" s="26">
        <f>+[1]SULyn!C88</f>
        <v>43099</v>
      </c>
      <c r="D99" s="25">
        <f>+[1]SULyn!D88</f>
        <v>0.15912037037037038</v>
      </c>
      <c r="E99" s="25">
        <f>+[1]SULyn!E88</f>
        <v>2458117.6702999999</v>
      </c>
      <c r="F99" s="25" t="str">
        <f>+[1]SULyn!F88</f>
        <v>FAS</v>
      </c>
      <c r="G99" s="25" t="str">
        <f>+[1]SULyn!G88</f>
        <v>DCO-US</v>
      </c>
      <c r="H99" s="25" t="str">
        <f>+[1]SULyn!H88</f>
        <v>DK14+Lisa+Atik414ex</v>
      </c>
      <c r="I99" s="25">
        <f>+[1]SULyn!I88</f>
        <v>1003</v>
      </c>
      <c r="J99" s="7">
        <f>+[1]SULyn!J88</f>
        <v>0</v>
      </c>
      <c r="K99" s="7">
        <f>+[1]SULyn!K88</f>
        <v>0</v>
      </c>
    </row>
    <row r="100" spans="2:11" ht="15.75" x14ac:dyDescent="0.25">
      <c r="B100" s="25">
        <f>+[1]SULyn!B89</f>
        <v>77</v>
      </c>
      <c r="C100" s="26">
        <f>+[1]SULyn!C89</f>
        <v>43099</v>
      </c>
      <c r="D100" s="25">
        <f>+[1]SULyn!D89</f>
        <v>0.97381944444444446</v>
      </c>
      <c r="E100" s="25">
        <f>+[1]SULyn!E89</f>
        <v>2458118.4865000001</v>
      </c>
      <c r="F100" s="25" t="str">
        <f>+[1]SULyn!F89</f>
        <v>PCA</v>
      </c>
      <c r="G100" s="25" t="str">
        <f>+[1]SULyn!G89</f>
        <v>LEC-IT</v>
      </c>
      <c r="H100" s="25" t="str">
        <f>+[1]SULyn!H89</f>
        <v>VX10Alpy600Atik41</v>
      </c>
      <c r="I100" s="25">
        <f>+[1]SULyn!I89</f>
        <v>550</v>
      </c>
      <c r="J100" s="7">
        <f>+[1]SULyn!J89</f>
        <v>0</v>
      </c>
      <c r="K100" s="7">
        <f>+[1]SULyn!K89</f>
        <v>0</v>
      </c>
    </row>
    <row r="101" spans="2:11" ht="15.75" x14ac:dyDescent="0.25">
      <c r="B101" s="25">
        <f>+[1]SULyn!B90</f>
        <v>78</v>
      </c>
      <c r="C101" s="26">
        <f>+[1]SULyn!C90</f>
        <v>43100</v>
      </c>
      <c r="D101" s="25">
        <f>+[1]SULyn!D90</f>
        <v>1.861111111111111E-2</v>
      </c>
      <c r="E101" s="25">
        <f>+[1]SULyn!E90</f>
        <v>2458118.5273000002</v>
      </c>
      <c r="F101" s="25" t="str">
        <f>+[1]SULyn!F90</f>
        <v>FCA</v>
      </c>
      <c r="G101" s="25" t="str">
        <f>+[1]SULyn!G90</f>
        <v>PAG-SP</v>
      </c>
      <c r="H101" s="25" t="str">
        <f>+[1]SULyn!H90</f>
        <v>RC-350f/8DADOS-</v>
      </c>
      <c r="I101" s="25">
        <f>+[1]SULyn!I90</f>
        <v>867</v>
      </c>
      <c r="J101" s="7">
        <f>+[1]SULyn!J90</f>
        <v>0</v>
      </c>
      <c r="K101" s="7">
        <f>+[1]SULyn!K90</f>
        <v>0</v>
      </c>
    </row>
    <row r="102" spans="2:11" ht="15.75" x14ac:dyDescent="0.25">
      <c r="B102" s="25">
        <f>+[1]SULyn!B91</f>
        <v>79</v>
      </c>
      <c r="C102" s="26">
        <f>+[1]SULyn!C91</f>
        <v>43100</v>
      </c>
      <c r="D102" s="25">
        <f>+[1]SULyn!D91</f>
        <v>0.80175925925925917</v>
      </c>
      <c r="E102" s="25">
        <f>+[1]SULyn!E91</f>
        <v>2458119.3262999998</v>
      </c>
      <c r="F102" s="25" t="str">
        <f>+[1]SULyn!F91</f>
        <v>PSO</v>
      </c>
      <c r="G102" s="25" t="str">
        <f>+[1]SULyn!G91</f>
        <v>TAT-HU</v>
      </c>
      <c r="H102" s="25" t="str">
        <f>+[1]SULyn!H91</f>
        <v>SC9+Spectro_JGF1+SbigST-8300</v>
      </c>
      <c r="I102" s="25">
        <f>+[1]SULyn!I91</f>
        <v>2645</v>
      </c>
      <c r="J102" s="7">
        <f>+[1]SULyn!J91</f>
        <v>0</v>
      </c>
      <c r="K102" s="7">
        <f>+[1]SULyn!K91</f>
        <v>0</v>
      </c>
    </row>
    <row r="103" spans="2:11" ht="15.75" x14ac:dyDescent="0.25">
      <c r="B103" s="25">
        <f>+[1]SULyn!B92</f>
        <v>80</v>
      </c>
      <c r="C103" s="26">
        <f>+[1]SULyn!C92</f>
        <v>43101</v>
      </c>
      <c r="D103" s="25">
        <f>+[1]SULyn!D92</f>
        <v>0.96076388888888886</v>
      </c>
      <c r="E103" s="25">
        <f>+[1]SULyn!E92</f>
        <v>2458120.4821000001</v>
      </c>
      <c r="F103" s="25" t="str">
        <f>+[1]SULyn!F92</f>
        <v>DBO</v>
      </c>
      <c r="G103" s="25" t="str">
        <f>+[1]SULyn!G92</f>
        <v>WCO-UK</v>
      </c>
      <c r="H103" s="25" t="str">
        <f>+[1]SULyn!H92</f>
        <v>C11+Lisa+SXVR-H</v>
      </c>
      <c r="I103" s="25">
        <f>+[1]SULyn!I92</f>
        <v>1099</v>
      </c>
      <c r="J103" s="7">
        <f>+[1]SULyn!J92</f>
        <v>0</v>
      </c>
      <c r="K103" s="7">
        <f>+[1]SULyn!K92</f>
        <v>0</v>
      </c>
    </row>
    <row r="104" spans="2:11" ht="15.75" x14ac:dyDescent="0.25">
      <c r="B104" s="25">
        <f>+[1]SULyn!B93</f>
        <v>81</v>
      </c>
      <c r="C104" s="26">
        <f>+[1]SULyn!C93</f>
        <v>43105</v>
      </c>
      <c r="D104" s="25">
        <f>+[1]SULyn!D93</f>
        <v>0.23902777777777776</v>
      </c>
      <c r="E104" s="25">
        <f>+[1]SULyn!E93</f>
        <v>2458123.7496000002</v>
      </c>
      <c r="F104" s="25" t="str">
        <f>+[1]SULyn!F93</f>
        <v>FAS</v>
      </c>
      <c r="G104" s="25" t="str">
        <f>+[1]SULyn!G93</f>
        <v>DCO-US</v>
      </c>
      <c r="H104" s="25" t="str">
        <f>+[1]SULyn!H93</f>
        <v>DK14+Lisa+Atik414ex</v>
      </c>
      <c r="I104" s="25">
        <f>+[1]SULyn!I93</f>
        <v>1008</v>
      </c>
      <c r="J104" s="7">
        <f>+[1]SULyn!J93</f>
        <v>0</v>
      </c>
      <c r="K104" s="7">
        <f>+[1]SULyn!K93</f>
        <v>0</v>
      </c>
    </row>
    <row r="105" spans="2:11" ht="15.75" x14ac:dyDescent="0.25">
      <c r="B105" s="25">
        <f>+[1]SULyn!B94</f>
        <v>82</v>
      </c>
      <c r="C105" s="26">
        <f>+[1]SULyn!C94</f>
        <v>43111</v>
      </c>
      <c r="D105" s="25">
        <f>+[1]SULyn!D94</f>
        <v>0.91753472222222221</v>
      </c>
      <c r="E105" s="25">
        <f>+[1]SULyn!E94</f>
        <v>2458130.4454999999</v>
      </c>
      <c r="F105" s="25" t="str">
        <f>+[1]SULyn!F94</f>
        <v>JGF</v>
      </c>
      <c r="G105" s="25" t="str">
        <f>+[1]SULyn!G94</f>
        <v>PIE-SP</v>
      </c>
      <c r="H105" s="25" t="str">
        <f>+[1]SULyn!H94</f>
        <v>MUSSOL</v>
      </c>
      <c r="I105" s="25">
        <f>+[1]SULyn!I94</f>
        <v>9000</v>
      </c>
      <c r="J105" s="7">
        <f>+[1]SULyn!J94</f>
        <v>0</v>
      </c>
      <c r="K105" s="7">
        <f>+[1]SULyn!K94</f>
        <v>0</v>
      </c>
    </row>
    <row r="106" spans="2:11" ht="15.75" x14ac:dyDescent="0.25">
      <c r="B106" s="25">
        <f>+[1]SULyn!B95</f>
        <v>83</v>
      </c>
      <c r="C106" s="26">
        <f>+[1]SULyn!C95</f>
        <v>43112</v>
      </c>
      <c r="D106" s="25">
        <f>+[1]SULyn!D95</f>
        <v>0.15732638888888889</v>
      </c>
      <c r="E106" s="25">
        <f>+[1]SULyn!E95</f>
        <v>2458130.6661</v>
      </c>
      <c r="F106" s="25" t="str">
        <f>+[1]SULyn!F95</f>
        <v>FAS</v>
      </c>
      <c r="G106" s="25" t="str">
        <f>+[1]SULyn!G95</f>
        <v>DCO-US</v>
      </c>
      <c r="H106" s="25" t="str">
        <f>+[1]SULyn!H95</f>
        <v>DK14+Lisa+Atik414ex</v>
      </c>
      <c r="I106" s="25">
        <f>+[1]SULyn!I95</f>
        <v>993</v>
      </c>
      <c r="J106" s="7">
        <f>+[1]SULyn!J95</f>
        <v>0</v>
      </c>
      <c r="K106" s="7">
        <f>+[1]SULyn!K95</f>
        <v>0</v>
      </c>
    </row>
    <row r="107" spans="2:11" ht="15.75" x14ac:dyDescent="0.25">
      <c r="B107" s="25">
        <f>+[1]SULyn!B96</f>
        <v>84</v>
      </c>
      <c r="C107" s="26">
        <f>+[1]SULyn!C96</f>
        <v>43121</v>
      </c>
      <c r="D107" s="25">
        <f>+[1]SULyn!D96</f>
        <v>0.7990624999999999</v>
      </c>
      <c r="E107" s="25">
        <f>+[1]SULyn!E96</f>
        <v>2458140.3645000001</v>
      </c>
      <c r="F107" s="25" t="str">
        <f>+[1]SULyn!F96</f>
        <v>JGF</v>
      </c>
      <c r="G107" s="25" t="str">
        <f>+[1]SULyn!G96</f>
        <v>SMM-SP</v>
      </c>
      <c r="H107" s="25" t="str">
        <f>+[1]SULyn!H96</f>
        <v>T16+Echelle+Atik460</v>
      </c>
      <c r="I107" s="25">
        <f>+[1]SULyn!I96</f>
        <v>9000</v>
      </c>
      <c r="J107" s="7">
        <f>+[1]SULyn!J96</f>
        <v>0</v>
      </c>
      <c r="K107" s="7">
        <f>+[1]SULyn!K96</f>
        <v>0</v>
      </c>
    </row>
    <row r="108" spans="2:11" ht="15.75" x14ac:dyDescent="0.25">
      <c r="B108" s="25">
        <f>+[1]SULyn!B97</f>
        <v>85</v>
      </c>
      <c r="C108" s="26">
        <f>+[1]SULyn!C97</f>
        <v>43122</v>
      </c>
      <c r="D108" s="25">
        <f>+[1]SULyn!D97</f>
        <v>0.1590162037037037</v>
      </c>
      <c r="E108" s="25">
        <f>+[1]SULyn!E97</f>
        <v>2458140.6696000001</v>
      </c>
      <c r="F108" s="25" t="str">
        <f>+[1]SULyn!F97</f>
        <v>FAS</v>
      </c>
      <c r="G108" s="25" t="str">
        <f>+[1]SULyn!G97</f>
        <v>DCO-US</v>
      </c>
      <c r="H108" s="25" t="str">
        <f>+[1]SULyn!H97</f>
        <v>DK14+Lisa+Atik414ex</v>
      </c>
      <c r="I108" s="25">
        <f>+[1]SULyn!I97</f>
        <v>1009</v>
      </c>
      <c r="J108" s="7">
        <f>+[1]SULyn!J97</f>
        <v>0</v>
      </c>
      <c r="K108" s="7">
        <f>+[1]SULyn!K97</f>
        <v>0</v>
      </c>
    </row>
    <row r="109" spans="2:11" ht="15.75" x14ac:dyDescent="0.25">
      <c r="B109" s="25">
        <f>+[1]SULyn!B98</f>
        <v>86</v>
      </c>
      <c r="C109" s="26">
        <f>+[1]SULyn!C98</f>
        <v>43122</v>
      </c>
      <c r="D109" s="25">
        <f>+[1]SULyn!D98</f>
        <v>0.9356944444444445</v>
      </c>
      <c r="E109" s="25">
        <f>+[1]SULyn!E98</f>
        <v>2458141.4671</v>
      </c>
      <c r="F109" s="25" t="str">
        <f>+[1]SULyn!F98</f>
        <v>JGF</v>
      </c>
      <c r="G109" s="25" t="str">
        <f>+[1]SULyn!G98</f>
        <v>SMM-SP</v>
      </c>
      <c r="H109" s="25" t="str">
        <f>+[1]SULyn!H98</f>
        <v>T16+Echelle+Atik460</v>
      </c>
      <c r="I109" s="25">
        <f>+[1]SULyn!I98</f>
        <v>9000</v>
      </c>
      <c r="J109" s="7">
        <f>+[1]SULyn!J98</f>
        <v>0</v>
      </c>
      <c r="K109" s="7">
        <f>+[1]SULyn!K98</f>
        <v>0</v>
      </c>
    </row>
    <row r="110" spans="2:11" ht="15.75" x14ac:dyDescent="0.25">
      <c r="B110" s="25">
        <f>+[1]SULyn!B99</f>
        <v>87</v>
      </c>
      <c r="C110" s="26">
        <f>+[1]SULyn!C99</f>
        <v>43123</v>
      </c>
      <c r="D110" s="25">
        <f>+[1]SULyn!D99</f>
        <v>0.82052083333333325</v>
      </c>
      <c r="E110" s="25">
        <f>+[1]SULyn!E99</f>
        <v>2458142.3761999998</v>
      </c>
      <c r="F110" s="25" t="str">
        <f>+[1]SULyn!F99</f>
        <v>OGA</v>
      </c>
      <c r="G110" s="25" t="str">
        <f>+[1]SULyn!G99</f>
        <v>OTO-FR</v>
      </c>
      <c r="H110" s="25" t="str">
        <f>+[1]SULyn!H99</f>
        <v>RC400+eShel_460EX</v>
      </c>
      <c r="I110" s="25">
        <f>+[1]SULyn!I99</f>
        <v>9000</v>
      </c>
      <c r="J110" s="7">
        <f>+[1]SULyn!J99</f>
        <v>0</v>
      </c>
      <c r="K110" s="7">
        <f>+[1]SULyn!K99</f>
        <v>0</v>
      </c>
    </row>
    <row r="111" spans="2:11" ht="15.75" x14ac:dyDescent="0.25">
      <c r="B111" s="25">
        <f>+[1]SULyn!B100</f>
        <v>88</v>
      </c>
      <c r="C111" s="26">
        <f>+[1]SULyn!C100</f>
        <v>43123</v>
      </c>
      <c r="D111" s="25">
        <f>+[1]SULyn!D100</f>
        <v>0.94199074074074074</v>
      </c>
      <c r="E111" s="25">
        <f>+[1]SULyn!E100</f>
        <v>2458142.4745999998</v>
      </c>
      <c r="F111" s="25" t="str">
        <f>+[1]SULyn!F100</f>
        <v>JGF</v>
      </c>
      <c r="G111" s="25" t="str">
        <f>+[1]SULyn!G100</f>
        <v>PIE-SP</v>
      </c>
      <c r="H111" s="25" t="str">
        <f>+[1]SULyn!H100</f>
        <v>MUSSOL</v>
      </c>
      <c r="I111" s="25">
        <f>+[1]SULyn!I100</f>
        <v>9000</v>
      </c>
      <c r="J111" s="7">
        <f>+[1]SULyn!J100</f>
        <v>0</v>
      </c>
      <c r="K111" s="7">
        <f>+[1]SULyn!K100</f>
        <v>0</v>
      </c>
    </row>
    <row r="112" spans="2:11" ht="15.75" x14ac:dyDescent="0.25">
      <c r="B112" s="25">
        <f>+[1]SULyn!B101</f>
        <v>89</v>
      </c>
      <c r="C112" s="26">
        <f>+[1]SULyn!C101</f>
        <v>43125</v>
      </c>
      <c r="D112" s="25">
        <f>+[1]SULyn!D101</f>
        <v>0.76068287037037041</v>
      </c>
      <c r="E112" s="25">
        <f>+[1]SULyn!E101</f>
        <v>2458144.3001999999</v>
      </c>
      <c r="F112" s="25" t="str">
        <f>+[1]SULyn!F101</f>
        <v>SOL</v>
      </c>
      <c r="G112" s="25" t="str">
        <f>+[1]SULyn!G101</f>
        <v>AQL-IT</v>
      </c>
      <c r="H112" s="25" t="str">
        <f>+[1]SULyn!H101</f>
        <v>SC9+Spectro_JGF1+SbigST-8300</v>
      </c>
      <c r="I112" s="25">
        <f>+[1]SULyn!I101</f>
        <v>8265</v>
      </c>
      <c r="J112" s="7">
        <f>+[1]SULyn!J101</f>
        <v>0</v>
      </c>
      <c r="K112" s="7">
        <f>+[1]SULyn!K101</f>
        <v>0</v>
      </c>
    </row>
    <row r="113" spans="2:11" ht="15.75" x14ac:dyDescent="0.25">
      <c r="B113" s="25">
        <f>+[1]SULyn!B102</f>
        <v>90</v>
      </c>
      <c r="C113" s="26">
        <f>+[1]SULyn!C102</f>
        <v>43133</v>
      </c>
      <c r="D113" s="25">
        <f>+[1]SULyn!D102</f>
        <v>0.25844907407407408</v>
      </c>
      <c r="E113" s="25">
        <f>+[1]SULyn!E102</f>
        <v>2458151.7669000002</v>
      </c>
      <c r="F113" s="25" t="str">
        <f>+[1]SULyn!F102</f>
        <v>FAS</v>
      </c>
      <c r="G113" s="25" t="str">
        <f>+[1]SULyn!G102</f>
        <v>DCO-US</v>
      </c>
      <c r="H113" s="25" t="str">
        <f>+[1]SULyn!H102</f>
        <v>DK14+Lisa+Atik414ex</v>
      </c>
      <c r="I113" s="25">
        <f>+[1]SULyn!I102</f>
        <v>984</v>
      </c>
      <c r="J113" s="7">
        <f>+[1]SULyn!J102</f>
        <v>0</v>
      </c>
      <c r="K113" s="7">
        <f>+[1]SULyn!K102</f>
        <v>0</v>
      </c>
    </row>
    <row r="114" spans="2:11" ht="15.75" x14ac:dyDescent="0.25">
      <c r="B114" s="25">
        <f>+[1]SULyn!B103</f>
        <v>91</v>
      </c>
      <c r="C114" s="26">
        <f>+[1]SULyn!C103</f>
        <v>43133</v>
      </c>
      <c r="D114" s="25">
        <f>+[1]SULyn!D103</f>
        <v>0.94133101851851853</v>
      </c>
      <c r="E114" s="25">
        <f>+[1]SULyn!E103</f>
        <v>2458152.4761999999</v>
      </c>
      <c r="F114" s="25" t="str">
        <f>+[1]SULyn!F103</f>
        <v>JGF</v>
      </c>
      <c r="G114" s="25" t="str">
        <f>+[1]SULyn!G103</f>
        <v>PIE-SP</v>
      </c>
      <c r="H114" s="25" t="str">
        <f>+[1]SULyn!H103</f>
        <v>MUSSOL</v>
      </c>
      <c r="I114" s="25">
        <f>+[1]SULyn!I103</f>
        <v>9000</v>
      </c>
      <c r="J114" s="7">
        <f>+[1]SULyn!J103</f>
        <v>0</v>
      </c>
      <c r="K114" s="7">
        <f>+[1]SULyn!K103</f>
        <v>0</v>
      </c>
    </row>
    <row r="115" spans="2:11" ht="15.75" x14ac:dyDescent="0.25">
      <c r="B115" s="25">
        <f>+[1]SULyn!B104</f>
        <v>92</v>
      </c>
      <c r="C115" s="26">
        <f>+[1]SULyn!C104</f>
        <v>43135</v>
      </c>
      <c r="D115" s="25">
        <f>+[1]SULyn!D104</f>
        <v>0.76224537037037043</v>
      </c>
      <c r="E115" s="25">
        <f>+[1]SULyn!E104</f>
        <v>2458154.3174999999</v>
      </c>
      <c r="F115" s="25" t="str">
        <f>+[1]SULyn!F104</f>
        <v xml:space="preserve">FMT </v>
      </c>
      <c r="G115" s="25" t="str">
        <f>+[1]SULyn!G104</f>
        <v>ORS-FR</v>
      </c>
      <c r="H115" s="25" t="str">
        <f>+[1]SULyn!H104</f>
        <v>SC14+eShel+Atik460ex</v>
      </c>
      <c r="I115" s="25">
        <f>+[1]SULyn!I104</f>
        <v>11000</v>
      </c>
      <c r="J115" s="7">
        <f>+[1]SULyn!J104</f>
        <v>0</v>
      </c>
      <c r="K115" s="7">
        <f>+[1]SULyn!K104</f>
        <v>0</v>
      </c>
    </row>
    <row r="116" spans="2:11" ht="15.75" x14ac:dyDescent="0.25">
      <c r="B116" s="25">
        <f>+[1]SULyn!B105</f>
        <v>93</v>
      </c>
      <c r="C116" s="26">
        <f>+[1]SULyn!C105</f>
        <v>43136</v>
      </c>
      <c r="D116" s="25">
        <f>+[1]SULyn!D105</f>
        <v>0.1579861111111111</v>
      </c>
      <c r="E116" s="25">
        <f>+[1]SULyn!E105</f>
        <v>2458154.6667999998</v>
      </c>
      <c r="F116" s="25" t="str">
        <f>+[1]SULyn!F105</f>
        <v>FAS</v>
      </c>
      <c r="G116" s="25" t="str">
        <f>+[1]SULyn!G105</f>
        <v>DCO-US</v>
      </c>
      <c r="H116" s="25" t="str">
        <f>+[1]SULyn!H105</f>
        <v>DK14+Lisa+Atik414ex</v>
      </c>
      <c r="I116" s="25">
        <f>+[1]SULyn!I105</f>
        <v>909</v>
      </c>
      <c r="J116" s="7">
        <f>+[1]SULyn!J105</f>
        <v>0</v>
      </c>
      <c r="K116" s="7">
        <f>+[1]SULyn!K105</f>
        <v>0</v>
      </c>
    </row>
    <row r="117" spans="2:11" ht="15.75" x14ac:dyDescent="0.25">
      <c r="B117" s="25">
        <f>+[1]SULyn!B106</f>
        <v>94</v>
      </c>
      <c r="C117" s="26">
        <f>+[1]SULyn!C106</f>
        <v>43138</v>
      </c>
      <c r="D117" s="25">
        <f>+[1]SULyn!D106</f>
        <v>0.88770833333333332</v>
      </c>
      <c r="E117" s="25">
        <f>+[1]SULyn!E106</f>
        <v>2458157.4284000001</v>
      </c>
      <c r="F117" s="25" t="str">
        <f>+[1]SULyn!F106</f>
        <v>JGF</v>
      </c>
      <c r="G117" s="25" t="str">
        <f>+[1]SULyn!G106</f>
        <v>SMM-SP</v>
      </c>
      <c r="H117" s="25" t="str">
        <f>+[1]SULyn!H106</f>
        <v>MUSSOL</v>
      </c>
      <c r="I117" s="25">
        <f>+[1]SULyn!I106</f>
        <v>9000</v>
      </c>
      <c r="J117" s="7">
        <f>+[1]SULyn!J106</f>
        <v>0</v>
      </c>
      <c r="K117" s="7">
        <f>+[1]SULyn!K106</f>
        <v>0</v>
      </c>
    </row>
    <row r="118" spans="2:11" ht="15.75" x14ac:dyDescent="0.25">
      <c r="B118" s="25">
        <f>+[1]SULyn!B107</f>
        <v>95</v>
      </c>
      <c r="C118" s="26">
        <f>+[1]SULyn!C107</f>
        <v>43143</v>
      </c>
      <c r="D118" s="25">
        <f>+[1]SULyn!D107</f>
        <v>0.78793981481481479</v>
      </c>
      <c r="E118" s="25">
        <f>+[1]SULyn!E107</f>
        <v>2458162.3435999998</v>
      </c>
      <c r="F118" s="25" t="str">
        <f>+[1]SULyn!F107</f>
        <v>OGA</v>
      </c>
      <c r="G118" s="25" t="str">
        <f>+[1]SULyn!G107</f>
        <v>OTO-FR</v>
      </c>
      <c r="H118" s="25" t="str">
        <f>+[1]SULyn!H107</f>
        <v>RC400+eShel_460EX</v>
      </c>
      <c r="I118" s="25">
        <f>+[1]SULyn!I107</f>
        <v>9000</v>
      </c>
      <c r="J118" s="7">
        <f>+[1]SULyn!J107</f>
        <v>0</v>
      </c>
      <c r="K118" s="7">
        <f>+[1]SULyn!K107</f>
        <v>0</v>
      </c>
    </row>
    <row r="119" spans="2:11" ht="15.75" x14ac:dyDescent="0.25">
      <c r="B119" s="25">
        <f>+[1]SULyn!B108</f>
        <v>96</v>
      </c>
      <c r="C119" s="26">
        <f>+[1]SULyn!C108</f>
        <v>43143</v>
      </c>
      <c r="D119" s="25">
        <f>+[1]SULyn!D108</f>
        <v>0.87979166666666664</v>
      </c>
      <c r="E119" s="25">
        <f>+[1]SULyn!E108</f>
        <v>2458162.4046999998</v>
      </c>
      <c r="F119" s="25" t="str">
        <f>+[1]SULyn!F108</f>
        <v>DBO</v>
      </c>
      <c r="G119" s="25" t="str">
        <f>+[1]SULyn!G108</f>
        <v>WCO-UK</v>
      </c>
      <c r="H119" s="25" t="str">
        <f>+[1]SULyn!H108</f>
        <v>C11+Lisa+SXVR-H</v>
      </c>
      <c r="I119" s="25">
        <f>+[1]SULyn!I108</f>
        <v>1086</v>
      </c>
      <c r="J119" s="7">
        <f>+[1]SULyn!J108</f>
        <v>0</v>
      </c>
      <c r="K119" s="7">
        <f>+[1]SULyn!K108</f>
        <v>0</v>
      </c>
    </row>
    <row r="120" spans="2:11" ht="15.75" x14ac:dyDescent="0.25">
      <c r="B120" s="25">
        <f>+[1]SULyn!B109</f>
        <v>97</v>
      </c>
      <c r="C120" s="26">
        <f>+[1]SULyn!C109</f>
        <v>43146</v>
      </c>
      <c r="D120" s="25">
        <f>+[1]SULyn!D109</f>
        <v>1.5925925925925927E-2</v>
      </c>
      <c r="E120" s="25">
        <f>+[1]SULyn!E109</f>
        <v>2458164.5775000001</v>
      </c>
      <c r="F120" s="25" t="str">
        <f>+[1]SULyn!F109</f>
        <v>LES</v>
      </c>
      <c r="G120" s="25" t="str">
        <f>+[1]SULyn!G109</f>
        <v>MRO-CA</v>
      </c>
      <c r="H120" s="25" t="str">
        <f>+[1]SULyn!H109</f>
        <v>DK310+Echelle_ESSAT</v>
      </c>
      <c r="I120" s="25">
        <f>+[1]SULyn!I109</f>
        <v>14000</v>
      </c>
      <c r="J120" s="7">
        <f>+[1]SULyn!J109</f>
        <v>0</v>
      </c>
      <c r="K120" s="7">
        <f>+[1]SULyn!K109</f>
        <v>0</v>
      </c>
    </row>
    <row r="121" spans="2:11" ht="15.75" x14ac:dyDescent="0.25">
      <c r="B121" s="25">
        <f>+[1]SULyn!B110</f>
        <v>98</v>
      </c>
      <c r="C121" s="26">
        <f>+[1]SULyn!C110</f>
        <v>43154</v>
      </c>
      <c r="D121" s="25">
        <f>+[1]SULyn!D110</f>
        <v>0.78071759259259255</v>
      </c>
      <c r="E121" s="25">
        <f>+[1]SULyn!E110</f>
        <v>2458173.2911999999</v>
      </c>
      <c r="F121" s="25" t="str">
        <f>+[1]SULyn!F110</f>
        <v xml:space="preserve">FMT </v>
      </c>
      <c r="G121" s="25" t="str">
        <f>+[1]SULyn!G110</f>
        <v>ORS-FR</v>
      </c>
      <c r="H121" s="25" t="str">
        <f>+[1]SULyn!H110</f>
        <v>SC14+eShel+Atik460ex</v>
      </c>
      <c r="I121" s="25">
        <f>+[1]SULyn!I110</f>
        <v>11000</v>
      </c>
      <c r="J121" s="7">
        <f>+[1]SULyn!J110</f>
        <v>0</v>
      </c>
      <c r="K121" s="7">
        <f>+[1]SULyn!K110</f>
        <v>0</v>
      </c>
    </row>
    <row r="122" spans="2:11" ht="15.75" x14ac:dyDescent="0.25">
      <c r="B122" s="25">
        <f>+[1]SULyn!B111</f>
        <v>99</v>
      </c>
      <c r="C122" s="26">
        <f>+[1]SULyn!C111</f>
        <v>43155</v>
      </c>
      <c r="D122" s="25">
        <f>+[1]SULyn!D111</f>
        <v>0.82111111111111112</v>
      </c>
      <c r="E122" s="25">
        <f>+[1]SULyn!E111</f>
        <v>2458174.3350999998</v>
      </c>
      <c r="F122" s="25" t="str">
        <f>+[1]SULyn!F111</f>
        <v>FBO</v>
      </c>
      <c r="G122" s="25" t="str">
        <f>+[1]SULyn!G111</f>
        <v>OPL-FR</v>
      </c>
      <c r="H122" s="25" t="str">
        <f>+[1]SULyn!H111</f>
        <v>SC8+Lisa+ATIK314L+</v>
      </c>
      <c r="I122" s="25">
        <f>+[1]SULyn!I111</f>
        <v>1000</v>
      </c>
      <c r="J122" s="7">
        <f>+[1]SULyn!J111</f>
        <v>0</v>
      </c>
      <c r="K122" s="7">
        <f>+[1]SULyn!K111</f>
        <v>0</v>
      </c>
    </row>
    <row r="123" spans="2:11" ht="15.75" x14ac:dyDescent="0.25">
      <c r="B123" s="25">
        <f>+[1]SULyn!B112</f>
        <v>100</v>
      </c>
      <c r="C123" s="26">
        <f>+[1]SULyn!C112</f>
        <v>43155</v>
      </c>
      <c r="D123" s="25">
        <f>+[1]SULyn!D112</f>
        <v>0.91612268518518514</v>
      </c>
      <c r="E123" s="25">
        <f>+[1]SULyn!E112</f>
        <v>2458174.4720000001</v>
      </c>
      <c r="F123" s="25" t="str">
        <f>+[1]SULyn!F112</f>
        <v>JGF</v>
      </c>
      <c r="G123" s="25" t="str">
        <f>+[1]SULyn!G112</f>
        <v>SMM-SP</v>
      </c>
      <c r="H123" s="25" t="str">
        <f>+[1]SULyn!H112</f>
        <v>T16+Echelle+Atik460</v>
      </c>
      <c r="I123" s="25">
        <f>+[1]SULyn!I112</f>
        <v>9000</v>
      </c>
      <c r="J123" s="7">
        <f>+[1]SULyn!J112</f>
        <v>0</v>
      </c>
      <c r="K123" s="7">
        <f>+[1]SULyn!K112</f>
        <v>0</v>
      </c>
    </row>
    <row r="124" spans="2:11" ht="15.75" x14ac:dyDescent="0.25">
      <c r="B124" s="25">
        <f>+[1]SULyn!B113</f>
        <v>101</v>
      </c>
      <c r="C124" s="26">
        <f>+[1]SULyn!C113</f>
        <v>43156</v>
      </c>
      <c r="D124" s="25">
        <f>+[1]SULyn!D113</f>
        <v>0.86229166666666668</v>
      </c>
      <c r="E124" s="25">
        <f>+[1]SULyn!E113</f>
        <v>2458175.3835</v>
      </c>
      <c r="F124" s="25" t="str">
        <f>+[1]SULyn!F113</f>
        <v>DBO</v>
      </c>
      <c r="G124" s="25" t="str">
        <f>+[1]SULyn!G113</f>
        <v>WCO-UK</v>
      </c>
      <c r="H124" s="25" t="str">
        <f>+[1]SULyn!H113</f>
        <v>C11+Lisa+SXVR-H</v>
      </c>
      <c r="I124" s="25">
        <f>+[1]SULyn!I113</f>
        <v>1011</v>
      </c>
      <c r="J124" s="7">
        <f>+[1]SULyn!J113</f>
        <v>0</v>
      </c>
      <c r="K124" s="7">
        <f>+[1]SULyn!K113</f>
        <v>0</v>
      </c>
    </row>
    <row r="125" spans="2:11" ht="15.75" x14ac:dyDescent="0.25">
      <c r="B125" s="25">
        <f>+[1]SULyn!B114</f>
        <v>102</v>
      </c>
      <c r="C125" s="26">
        <f>+[1]SULyn!C114</f>
        <v>43156</v>
      </c>
      <c r="D125" s="25">
        <f>+[1]SULyn!D114</f>
        <v>0.87858796296296304</v>
      </c>
      <c r="E125" s="25">
        <f>+[1]SULyn!E114</f>
        <v>2458175.389</v>
      </c>
      <c r="F125" s="25" t="str">
        <f>+[1]SULyn!F114</f>
        <v>FCA</v>
      </c>
      <c r="G125" s="25" t="str">
        <f>+[1]SULyn!G114</f>
        <v>PAG-SP</v>
      </c>
      <c r="H125" s="25" t="str">
        <f>+[1]SULyn!H114</f>
        <v>RC-350f/8DADOS-</v>
      </c>
      <c r="I125" s="25">
        <f>+[1]SULyn!I114</f>
        <v>821</v>
      </c>
      <c r="J125" s="7">
        <f>+[1]SULyn!J114</f>
        <v>0</v>
      </c>
      <c r="K125" s="7">
        <f>+[1]SULyn!K114</f>
        <v>0</v>
      </c>
    </row>
    <row r="126" spans="2:11" ht="15.75" x14ac:dyDescent="0.25">
      <c r="B126" s="25">
        <f>+[1]SULyn!B115</f>
        <v>103</v>
      </c>
      <c r="C126" s="26">
        <f>+[1]SULyn!C115</f>
        <v>43162</v>
      </c>
      <c r="D126" s="25">
        <f>+[1]SULyn!D115</f>
        <v>0.28458333333333335</v>
      </c>
      <c r="E126" s="25">
        <f>+[1]SULyn!E115</f>
        <v>2458180.7933999998</v>
      </c>
      <c r="F126" s="25" t="str">
        <f>+[1]SULyn!F115</f>
        <v>FAS</v>
      </c>
      <c r="G126" s="25" t="str">
        <f>+[1]SULyn!G115</f>
        <v>DCO-US</v>
      </c>
      <c r="H126" s="25" t="str">
        <f>+[1]SULyn!H115</f>
        <v>DK14+Lisa+Atik414ex</v>
      </c>
      <c r="I126" s="25">
        <f>+[1]SULyn!I115</f>
        <v>1019</v>
      </c>
      <c r="J126" s="7">
        <f>+[1]SULyn!J115</f>
        <v>0</v>
      </c>
      <c r="K126" s="7">
        <f>+[1]SULyn!K115</f>
        <v>0</v>
      </c>
    </row>
    <row r="127" spans="2:11" ht="15.75" x14ac:dyDescent="0.25">
      <c r="B127" s="25">
        <f>+[1]SULyn!B116</f>
        <v>104</v>
      </c>
      <c r="C127" s="26">
        <f>+[1]SULyn!C116</f>
        <v>43167</v>
      </c>
      <c r="D127" s="25">
        <f>+[1]SULyn!D116</f>
        <v>0.81792824074074078</v>
      </c>
      <c r="E127" s="25">
        <f>+[1]SULyn!E116</f>
        <v>2458186.3391</v>
      </c>
      <c r="F127" s="25" t="str">
        <f>+[1]SULyn!F116</f>
        <v xml:space="preserve">FMT </v>
      </c>
      <c r="G127" s="25" t="str">
        <f>+[1]SULyn!G116</f>
        <v>ORS-FR</v>
      </c>
      <c r="H127" s="25" t="str">
        <f>+[1]SULyn!H116</f>
        <v>SC14+eShel+Atik460ex</v>
      </c>
      <c r="I127" s="25">
        <f>+[1]SULyn!I116</f>
        <v>11000</v>
      </c>
      <c r="J127" s="7">
        <f>+[1]SULyn!J116</f>
        <v>0</v>
      </c>
      <c r="K127" s="7">
        <f>+[1]SULyn!K116</f>
        <v>0</v>
      </c>
    </row>
    <row r="128" spans="2:11" ht="15.75" x14ac:dyDescent="0.25">
      <c r="B128" s="25">
        <f>+[1]SULyn!B117</f>
        <v>105</v>
      </c>
      <c r="C128" s="26">
        <f>+[1]SULyn!C117</f>
        <v>43168</v>
      </c>
      <c r="D128" s="25">
        <f>+[1]SULyn!D117</f>
        <v>0.92820601851851858</v>
      </c>
      <c r="E128" s="25">
        <f>+[1]SULyn!E117</f>
        <v>2458187.4638999999</v>
      </c>
      <c r="F128" s="25" t="str">
        <f>+[1]SULyn!F117</f>
        <v>SOL</v>
      </c>
      <c r="G128" s="25" t="str">
        <f>+[1]SULyn!G117</f>
        <v>AQL-IT</v>
      </c>
      <c r="H128" s="25" t="str">
        <f>+[1]SULyn!H117</f>
        <v>SC9+Spectro_JGF1+SbigST-8300</v>
      </c>
      <c r="I128" s="25">
        <f>+[1]SULyn!I117</f>
        <v>8128</v>
      </c>
      <c r="J128" s="7">
        <f>+[1]SULyn!J117</f>
        <v>0</v>
      </c>
      <c r="K128" s="7">
        <f>+[1]SULyn!K117</f>
        <v>0</v>
      </c>
    </row>
    <row r="129" spans="2:11" ht="15.75" x14ac:dyDescent="0.25">
      <c r="B129" s="25">
        <f>+[1]SULyn!B118</f>
        <v>106</v>
      </c>
      <c r="C129" s="26">
        <f>+[1]SULyn!C118</f>
        <v>43172</v>
      </c>
      <c r="D129" s="25">
        <f>+[1]SULyn!D118</f>
        <v>0.83785879629629623</v>
      </c>
      <c r="E129" s="25">
        <f>+[1]SULyn!E118</f>
        <v>2458191.3796000001</v>
      </c>
      <c r="F129" s="25" t="str">
        <f>+[1]SULyn!F118</f>
        <v>OGA</v>
      </c>
      <c r="G129" s="25" t="str">
        <f>+[1]SULyn!G118</f>
        <v>OTO-FR</v>
      </c>
      <c r="H129" s="25" t="str">
        <f>+[1]SULyn!H118</f>
        <v>RC400+eShel_460EX</v>
      </c>
      <c r="I129" s="25">
        <f>+[1]SULyn!I118</f>
        <v>11000</v>
      </c>
      <c r="J129" s="7">
        <f>+[1]SULyn!J118</f>
        <v>0</v>
      </c>
      <c r="K129" s="7">
        <f>+[1]SULyn!K118</f>
        <v>0</v>
      </c>
    </row>
    <row r="130" spans="2:11" ht="15.75" x14ac:dyDescent="0.25">
      <c r="B130" s="25">
        <f>+[1]SULyn!B119</f>
        <v>107</v>
      </c>
      <c r="C130" s="26">
        <f>+[1]SULyn!C119</f>
        <v>43179</v>
      </c>
      <c r="D130" s="25">
        <f>+[1]SULyn!D119</f>
        <v>0.19659722222222223</v>
      </c>
      <c r="E130" s="25">
        <f>+[1]SULyn!E119</f>
        <v>2458197.7036000001</v>
      </c>
      <c r="F130" s="25" t="str">
        <f>+[1]SULyn!F119</f>
        <v>FAS</v>
      </c>
      <c r="G130" s="25" t="str">
        <f>+[1]SULyn!G119</f>
        <v>DCO-US</v>
      </c>
      <c r="H130" s="25" t="str">
        <f>+[1]SULyn!H119</f>
        <v>DK14+Lisa+Atik414ex</v>
      </c>
      <c r="I130" s="25">
        <f>+[1]SULyn!I119</f>
        <v>988</v>
      </c>
      <c r="J130" s="7">
        <f>+[1]SULyn!J119</f>
        <v>0</v>
      </c>
      <c r="K130" s="7">
        <f>+[1]SULyn!K119</f>
        <v>0</v>
      </c>
    </row>
    <row r="131" spans="2:11" ht="15.75" x14ac:dyDescent="0.25">
      <c r="B131" s="25">
        <f>+[1]SULyn!B120</f>
        <v>108</v>
      </c>
      <c r="C131" s="26">
        <f>+[1]SULyn!C120</f>
        <v>43179</v>
      </c>
      <c r="D131" s="25">
        <f>+[1]SULyn!D120</f>
        <v>0.80592592592592593</v>
      </c>
      <c r="E131" s="25">
        <f>+[1]SULyn!E120</f>
        <v>2458198.3341000001</v>
      </c>
      <c r="F131" s="25" t="str">
        <f>+[1]SULyn!F120</f>
        <v xml:space="preserve">FMT </v>
      </c>
      <c r="G131" s="25" t="str">
        <f>+[1]SULyn!G120</f>
        <v>ORS-FR</v>
      </c>
      <c r="H131" s="25" t="str">
        <f>+[1]SULyn!H120</f>
        <v>SC14+eShel+Atik460ex</v>
      </c>
      <c r="I131" s="25">
        <f>+[1]SULyn!I120</f>
        <v>11000</v>
      </c>
      <c r="J131" s="7">
        <f>+[1]SULyn!J120</f>
        <v>0</v>
      </c>
      <c r="K131" s="7">
        <f>+[1]SULyn!K120</f>
        <v>0</v>
      </c>
    </row>
    <row r="132" spans="2:11" ht="15.75" x14ac:dyDescent="0.25">
      <c r="B132" s="25">
        <f>+[1]SULyn!B121</f>
        <v>109</v>
      </c>
      <c r="C132" s="26">
        <f>+[1]SULyn!C121</f>
        <v>43179</v>
      </c>
      <c r="D132" s="25">
        <f>+[1]SULyn!D121</f>
        <v>0.88384259259259268</v>
      </c>
      <c r="E132" s="25">
        <f>+[1]SULyn!E121</f>
        <v>2458198.4325999999</v>
      </c>
      <c r="F132" s="25" t="str">
        <f>+[1]SULyn!F121</f>
        <v>JGF</v>
      </c>
      <c r="G132" s="25" t="str">
        <f>+[1]SULyn!G121</f>
        <v>SMM-SP</v>
      </c>
      <c r="H132" s="25" t="str">
        <f>+[1]SULyn!H121</f>
        <v>T16+Echelle+Atik460</v>
      </c>
      <c r="I132" s="25">
        <f>+[1]SULyn!I121</f>
        <v>9000</v>
      </c>
      <c r="J132" s="7">
        <f>+[1]SULyn!J121</f>
        <v>0</v>
      </c>
      <c r="K132" s="7">
        <f>+[1]SULyn!K121</f>
        <v>0</v>
      </c>
    </row>
    <row r="133" spans="2:11" ht="15.75" x14ac:dyDescent="0.25">
      <c r="B133" s="25">
        <f>+[1]SULyn!B122</f>
        <v>110</v>
      </c>
      <c r="C133" s="26">
        <f>+[1]SULyn!C122</f>
        <v>43202</v>
      </c>
      <c r="D133" s="25">
        <f>+[1]SULyn!D122</f>
        <v>0.14619212962962963</v>
      </c>
      <c r="E133" s="25">
        <f>+[1]SULyn!E122</f>
        <v>2458220.6532000001</v>
      </c>
      <c r="F133" s="25" t="str">
        <f>+[1]SULyn!F122</f>
        <v>FAS</v>
      </c>
      <c r="G133" s="25" t="str">
        <f>+[1]SULyn!G122</f>
        <v>DCO-US</v>
      </c>
      <c r="H133" s="25" t="str">
        <f>+[1]SULyn!H122</f>
        <v>DK14+Lisa+Atik414ex</v>
      </c>
      <c r="I133" s="25">
        <f>+[1]SULyn!I122</f>
        <v>904</v>
      </c>
      <c r="J133" s="7">
        <f>+[1]SULyn!J122</f>
        <v>0</v>
      </c>
      <c r="K133" s="7">
        <f>+[1]SULyn!K122</f>
        <v>0</v>
      </c>
    </row>
    <row r="134" spans="2:11" ht="15.75" x14ac:dyDescent="0.25">
      <c r="B134" s="25">
        <f>+[1]SULyn!B123</f>
        <v>111</v>
      </c>
      <c r="C134" s="26">
        <f>+[1]SULyn!C123</f>
        <v>43208</v>
      </c>
      <c r="D134" s="25">
        <f>+[1]SULyn!D123</f>
        <v>0.91980324074074071</v>
      </c>
      <c r="E134" s="25">
        <f>+[1]SULyn!E123</f>
        <v>2458227.4445000002</v>
      </c>
      <c r="F134" s="25" t="str">
        <f>+[1]SULyn!F123</f>
        <v>DBO</v>
      </c>
      <c r="G134" s="25" t="str">
        <f>+[1]SULyn!G123</f>
        <v>WCO-UK</v>
      </c>
      <c r="H134" s="25" t="str">
        <f>+[1]SULyn!H123</f>
        <v>C11+Lisa+SXVR-H</v>
      </c>
      <c r="I134" s="25">
        <f>+[1]SULyn!I123</f>
        <v>1020</v>
      </c>
      <c r="J134" s="7">
        <f>+[1]SULyn!J123</f>
        <v>0</v>
      </c>
      <c r="K134" s="7">
        <f>+[1]SULyn!K123</f>
        <v>0</v>
      </c>
    </row>
    <row r="135" spans="2:11" ht="15.75" x14ac:dyDescent="0.25">
      <c r="B135" s="25">
        <f>+[1]SULyn!B124</f>
        <v>112</v>
      </c>
      <c r="C135" s="26">
        <f>+[1]SULyn!C124</f>
        <v>43210</v>
      </c>
      <c r="D135" s="25">
        <f>+[1]SULyn!D124</f>
        <v>0.82576388888888896</v>
      </c>
      <c r="E135" s="25">
        <f>+[1]SULyn!E124</f>
        <v>2458229.3596000001</v>
      </c>
      <c r="F135" s="25" t="str">
        <f>+[1]SULyn!F124</f>
        <v>SOL</v>
      </c>
      <c r="G135" s="25" t="str">
        <f>+[1]SULyn!G124</f>
        <v>AQL-IT</v>
      </c>
      <c r="H135" s="25" t="str">
        <f>+[1]SULyn!H124</f>
        <v>SC9+Spectro_JGF1+SbigST-8300</v>
      </c>
      <c r="I135" s="25">
        <f>+[1]SULyn!I124</f>
        <v>6973</v>
      </c>
      <c r="J135" s="7">
        <f>+[1]SULyn!J124</f>
        <v>0</v>
      </c>
      <c r="K135" s="7">
        <f>+[1]SULyn!K124</f>
        <v>0</v>
      </c>
    </row>
    <row r="136" spans="2:11" ht="15.75" x14ac:dyDescent="0.25">
      <c r="B136" s="25">
        <f>+[1]SULyn!B125</f>
        <v>113</v>
      </c>
      <c r="C136" s="26">
        <f>+[1]SULyn!C125</f>
        <v>43211</v>
      </c>
      <c r="D136" s="25">
        <f>+[1]SULyn!D125</f>
        <v>3.9456018518518522E-2</v>
      </c>
      <c r="E136" s="25">
        <f>+[1]SULyn!E125</f>
        <v>2458229.5885999999</v>
      </c>
      <c r="F136" s="25" t="str">
        <f>+[1]SULyn!F125</f>
        <v>LES</v>
      </c>
      <c r="G136" s="25" t="str">
        <f>+[1]SULyn!G125</f>
        <v>MRO-CA</v>
      </c>
      <c r="H136" s="25" t="str">
        <f>+[1]SULyn!H125</f>
        <v>DK310+Echelle_ESSAT</v>
      </c>
      <c r="I136" s="25">
        <f>+[1]SULyn!I125</f>
        <v>13000</v>
      </c>
      <c r="J136" s="7">
        <f>+[1]SULyn!J125</f>
        <v>0</v>
      </c>
      <c r="K136" s="7">
        <f>+[1]SULyn!K125</f>
        <v>0</v>
      </c>
    </row>
    <row r="137" spans="2:11" ht="15.75" x14ac:dyDescent="0.25">
      <c r="B137" s="25">
        <f>+[1]SULyn!B126</f>
        <v>114</v>
      </c>
      <c r="C137" s="26">
        <f>+[1]SULyn!C126</f>
        <v>43233</v>
      </c>
      <c r="D137" s="25">
        <f>+[1]SULyn!D126</f>
        <v>6.3148148148148148E-2</v>
      </c>
      <c r="E137" s="25">
        <f>+[1]SULyn!E126</f>
        <v>2458251.5983000002</v>
      </c>
      <c r="F137" s="25" t="str">
        <f>+[1]SULyn!F126</f>
        <v>LES</v>
      </c>
      <c r="G137" s="25" t="str">
        <f>+[1]SULyn!G126</f>
        <v>MRO-CA</v>
      </c>
      <c r="H137" s="25" t="str">
        <f>+[1]SULyn!H126</f>
        <v>DK310+Echelle_ESSAT</v>
      </c>
      <c r="I137" s="25">
        <f>+[1]SULyn!I126</f>
        <v>13000</v>
      </c>
      <c r="J137" s="7">
        <f>+[1]SULyn!J126</f>
        <v>0</v>
      </c>
      <c r="K137" s="7">
        <f>+[1]SULyn!K126</f>
        <v>0</v>
      </c>
    </row>
    <row r="138" spans="2:11" ht="15.75" x14ac:dyDescent="0.25">
      <c r="B138" s="25">
        <f>+[1]SULyn!B127</f>
        <v>115</v>
      </c>
      <c r="C138" s="26">
        <f>+[1]SULyn!C127</f>
        <v>43233</v>
      </c>
      <c r="D138" s="25">
        <f>+[1]SULyn!D127</f>
        <v>0.94732638888888887</v>
      </c>
      <c r="E138" s="25">
        <f>+[1]SULyn!E127</f>
        <v>2458252.4701</v>
      </c>
      <c r="F138" s="25" t="str">
        <f>+[1]SULyn!F127</f>
        <v>DBO</v>
      </c>
      <c r="G138" s="25" t="str">
        <f>+[1]SULyn!G127</f>
        <v>WCO-UK</v>
      </c>
      <c r="H138" s="25" t="str">
        <f>+[1]SULyn!H127</f>
        <v>C11+Lisa+SXVR-H</v>
      </c>
      <c r="I138" s="25">
        <f>+[1]SULyn!I127</f>
        <v>1073</v>
      </c>
      <c r="J138" s="7">
        <f>+[1]SULyn!J127</f>
        <v>0</v>
      </c>
      <c r="K138" s="7">
        <f>+[1]SULyn!K127</f>
        <v>0</v>
      </c>
    </row>
    <row r="139" spans="2:11" ht="15.75" x14ac:dyDescent="0.25">
      <c r="B139" s="25">
        <f>+[1]SULyn!B128</f>
        <v>116</v>
      </c>
      <c r="C139" s="26">
        <f>+[1]SULyn!C128</f>
        <v>43429</v>
      </c>
      <c r="D139" s="25">
        <f>+[1]SULyn!D128</f>
        <v>0.51921296296296293</v>
      </c>
      <c r="E139" s="25">
        <f>+[1]SULyn!E128</f>
        <v>2458448.0255999998</v>
      </c>
      <c r="F139" s="25" t="str">
        <f>+[1]SULyn!F128</f>
        <v>JRF</v>
      </c>
      <c r="G139" s="25" t="str">
        <f>+[1]SULyn!G128</f>
        <v>UHO-US</v>
      </c>
      <c r="H139" s="25" t="str">
        <f>+[1]SULyn!H128</f>
        <v>CC13LISAATIK460EX</v>
      </c>
      <c r="I139" s="25">
        <f>+[1]SULyn!I128</f>
        <v>956</v>
      </c>
      <c r="J139" s="7">
        <f>+[1]SULyn!J128</f>
        <v>0</v>
      </c>
      <c r="K139" s="7">
        <f>+[1]SULyn!K128</f>
        <v>0</v>
      </c>
    </row>
    <row r="140" spans="2:11" ht="15.75" x14ac:dyDescent="0.25">
      <c r="B140" s="25">
        <f>+[1]SULyn!B129</f>
        <v>117</v>
      </c>
      <c r="C140" s="26">
        <f>+[1]SULyn!C129</f>
        <v>43432</v>
      </c>
      <c r="D140" s="25">
        <f>+[1]SULyn!D129</f>
        <v>0.47475694444444444</v>
      </c>
      <c r="E140" s="25">
        <f>+[1]SULyn!E129</f>
        <v>2458450.9772000001</v>
      </c>
      <c r="F140" s="25" t="str">
        <f>+[1]SULyn!F129</f>
        <v>JRF</v>
      </c>
      <c r="G140" s="25" t="str">
        <f>+[1]SULyn!G129</f>
        <v>UHO-US</v>
      </c>
      <c r="H140" s="25" t="str">
        <f>+[1]SULyn!H129</f>
        <v>CC13ALPY600ATIK460EX</v>
      </c>
      <c r="I140" s="25">
        <f>+[1]SULyn!I129</f>
        <v>560</v>
      </c>
      <c r="J140" s="7"/>
      <c r="K140" s="7"/>
    </row>
    <row r="141" spans="2:11" ht="15.75" x14ac:dyDescent="0.25">
      <c r="B141" s="25">
        <f>+[1]SULyn!B130</f>
        <v>118</v>
      </c>
      <c r="C141" s="26">
        <f>+[1]SULyn!C130</f>
        <v>43444</v>
      </c>
      <c r="D141" s="25">
        <f>+[1]SULyn!D130</f>
        <v>3.3854166666666664E-2</v>
      </c>
      <c r="E141" s="25">
        <f>+[1]SULyn!E130</f>
        <v>2458462.5383000001</v>
      </c>
      <c r="F141" s="25" t="str">
        <f>+[1]SULyn!F130</f>
        <v>JCO</v>
      </c>
      <c r="G141" s="25" t="str">
        <f>+[1]SULyn!G130</f>
        <v>STO-UK</v>
      </c>
      <c r="H141" s="25" t="str">
        <f>+[1]SULyn!H130</f>
        <v>C80.7xFR+ALPY600+Atik460EX</v>
      </c>
      <c r="I141" s="25">
        <f>+[1]SULyn!I130</f>
        <v>562</v>
      </c>
      <c r="J141" s="7"/>
      <c r="K141" s="7"/>
    </row>
    <row r="142" spans="2:11" ht="15.75" x14ac:dyDescent="0.25">
      <c r="B142" s="25">
        <f>+[1]SULyn!B131</f>
        <v>119</v>
      </c>
      <c r="C142" s="26">
        <f>+[1]SULyn!C131</f>
        <v>43448</v>
      </c>
      <c r="D142" s="25">
        <f>+[1]SULyn!D131</f>
        <v>0.2663773148148148</v>
      </c>
      <c r="E142" s="25">
        <f>+[1]SULyn!E131</f>
        <v>2458466.7757000001</v>
      </c>
      <c r="F142" s="25" t="str">
        <f>+[1]SULyn!F131</f>
        <v>FAS</v>
      </c>
      <c r="G142" s="25" t="str">
        <f>+[1]SULyn!G131</f>
        <v>DCO-US</v>
      </c>
      <c r="H142" s="25" t="str">
        <f>+[1]SULyn!H131</f>
        <v>CDK14LISAAtik414ex</v>
      </c>
      <c r="I142" s="25">
        <f>+[1]SULyn!I131</f>
        <v>962</v>
      </c>
    </row>
    <row r="143" spans="2:11" ht="15.75" x14ac:dyDescent="0.25">
      <c r="B143" s="25">
        <f>+[1]SULyn!B132</f>
        <v>120</v>
      </c>
      <c r="C143" s="26">
        <f>+[1]SULyn!C132</f>
        <v>43465</v>
      </c>
      <c r="D143" s="25">
        <f>+[1]SULyn!D132</f>
        <v>0.19874999999999998</v>
      </c>
      <c r="E143" s="25">
        <f>+[1]SULyn!E132</f>
        <v>2458483.7113999999</v>
      </c>
      <c r="F143" s="25" t="str">
        <f>+[1]SULyn!F132</f>
        <v>FAS</v>
      </c>
      <c r="G143" s="25" t="str">
        <f>+[1]SULyn!G132</f>
        <v>DCO-US</v>
      </c>
      <c r="H143" s="25" t="str">
        <f>+[1]SULyn!H132</f>
        <v>CDK14LISAAtik414ex</v>
      </c>
      <c r="I143" s="25">
        <f>+[1]SULyn!I132</f>
        <v>948</v>
      </c>
    </row>
    <row r="144" spans="2:11" ht="15.75" x14ac:dyDescent="0.25">
      <c r="B144" s="25">
        <f>+[1]SULyn!B133</f>
        <v>121</v>
      </c>
      <c r="C144" s="26">
        <f>+[1]SULyn!C133</f>
        <v>43472</v>
      </c>
      <c r="D144" s="25">
        <f>+[1]SULyn!D133</f>
        <v>0.86353009259259261</v>
      </c>
      <c r="E144" s="25">
        <f>+[1]SULyn!E133</f>
        <v>2458491.3879</v>
      </c>
      <c r="F144" s="25" t="str">
        <f>+[1]SULyn!F133</f>
        <v>FCA</v>
      </c>
      <c r="G144" s="25" t="str">
        <f>+[1]SULyn!G133</f>
        <v>PAG-SP</v>
      </c>
      <c r="H144" s="25" t="str">
        <f>+[1]SULyn!H133</f>
        <v>N-200f</v>
      </c>
      <c r="I144" s="25">
        <f>+[1]SULyn!I133</f>
        <v>794</v>
      </c>
    </row>
    <row r="145" spans="2:9" ht="15.75" x14ac:dyDescent="0.25">
      <c r="B145" s="25">
        <f>+[1]SULyn!B134</f>
        <v>122</v>
      </c>
      <c r="C145" s="26">
        <f>+[1]SULyn!C134</f>
        <v>43475</v>
      </c>
      <c r="D145" s="25">
        <f>+[1]SULyn!D134</f>
        <v>0.7952662037037036</v>
      </c>
      <c r="E145" s="25">
        <f>+[1]SULyn!E134</f>
        <v>2458494.3317999998</v>
      </c>
      <c r="F145" s="25" t="str">
        <f>+[1]SULyn!F134</f>
        <v>FCA</v>
      </c>
      <c r="G145" s="25" t="str">
        <f>+[1]SULyn!G134</f>
        <v>PAG-SP</v>
      </c>
      <c r="H145" s="25" t="str">
        <f>+[1]SULyn!H134</f>
        <v>N-200f</v>
      </c>
      <c r="I145" s="25">
        <f>+[1]SULyn!I134</f>
        <v>4821</v>
      </c>
    </row>
    <row r="146" spans="2:9" ht="15.75" x14ac:dyDescent="0.25">
      <c r="B146" s="25">
        <f>+[1]SULyn!B135</f>
        <v>123</v>
      </c>
      <c r="C146" s="26">
        <f>+[1]SULyn!C135</f>
        <v>43476</v>
      </c>
      <c r="D146" s="25">
        <f>+[1]SULyn!D135</f>
        <v>0.17726851851851852</v>
      </c>
      <c r="E146" s="25">
        <f>+[1]SULyn!E135</f>
        <v>2458494.6899000001</v>
      </c>
      <c r="F146" s="25" t="str">
        <f>+[1]SULyn!F135</f>
        <v>FAS</v>
      </c>
      <c r="G146" s="25" t="str">
        <f>+[1]SULyn!G135</f>
        <v>DCO-US</v>
      </c>
      <c r="H146" s="25" t="str">
        <f>+[1]SULyn!H135</f>
        <v>CDK14LISAAtik414ex</v>
      </c>
      <c r="I146" s="25">
        <f>+[1]SULyn!I135</f>
        <v>889</v>
      </c>
    </row>
    <row r="147" spans="2:9" ht="15.75" x14ac:dyDescent="0.25">
      <c r="B147" s="25">
        <f>+[1]SULyn!B136</f>
        <v>124</v>
      </c>
      <c r="C147" s="26">
        <f>+[1]SULyn!C136</f>
        <v>43485</v>
      </c>
      <c r="D147" s="25">
        <f>+[1]SULyn!D136</f>
        <v>0.15304398148148149</v>
      </c>
      <c r="E147" s="25">
        <f>+[1]SULyn!E136</f>
        <v>2458503.6656999998</v>
      </c>
      <c r="F147" s="25" t="str">
        <f>+[1]SULyn!F136</f>
        <v>FAS</v>
      </c>
      <c r="G147" s="25" t="str">
        <f>+[1]SULyn!G136</f>
        <v>DCO-US</v>
      </c>
      <c r="H147" s="25" t="str">
        <f>+[1]SULyn!H136</f>
        <v>CDK14LISAAtik414ex</v>
      </c>
      <c r="I147" s="25">
        <f>+[1]SULyn!I136</f>
        <v>858</v>
      </c>
    </row>
    <row r="148" spans="2:9" ht="15.75" x14ac:dyDescent="0.25">
      <c r="B148" s="25">
        <f>+[1]SULyn!B137</f>
        <v>125</v>
      </c>
      <c r="C148" s="26">
        <f>+[1]SULyn!C137</f>
        <v>43491</v>
      </c>
      <c r="D148" s="25">
        <f>+[1]SULyn!D137</f>
        <v>0.8784953703703704</v>
      </c>
      <c r="E148" s="25">
        <f>+[1]SULyn!E137</f>
        <v>2458510.4090999998</v>
      </c>
      <c r="F148" s="25" t="str">
        <f>+[1]SULyn!F137</f>
        <v>JGF</v>
      </c>
      <c r="G148" s="25" t="str">
        <f>+[1]SULyn!G137</f>
        <v>SMM-SP</v>
      </c>
      <c r="H148" s="25" t="str">
        <f>+[1]SULyn!H137</f>
        <v>16REMOTLINX460EX</v>
      </c>
      <c r="I148" s="25">
        <f>+[1]SULyn!I137</f>
        <v>9000</v>
      </c>
    </row>
    <row r="149" spans="2:9" ht="15.75" x14ac:dyDescent="0.25">
      <c r="B149" s="25">
        <f>+[1]SULyn!B138</f>
        <v>126</v>
      </c>
      <c r="C149" s="26">
        <f>+[1]SULyn!C138</f>
        <v>43499</v>
      </c>
      <c r="D149" s="25">
        <f>+[1]SULyn!D138</f>
        <v>0.78149305555555559</v>
      </c>
      <c r="E149" s="25">
        <f>+[1]SULyn!E138</f>
        <v>2458518.3059</v>
      </c>
      <c r="F149" s="25" t="str">
        <f>+[1]SULyn!F138</f>
        <v xml:space="preserve">FMT </v>
      </c>
      <c r="G149" s="25" t="str">
        <f>+[1]SULyn!G138</f>
        <v>ORS-FR</v>
      </c>
      <c r="H149" s="25" t="str">
        <f>+[1]SULyn!H138</f>
        <v>SC14+eShel+460EX_b2</v>
      </c>
      <c r="I149" s="25">
        <f>+[1]SULyn!I138</f>
        <v>11000</v>
      </c>
    </row>
    <row r="150" spans="2:9" ht="15.75" x14ac:dyDescent="0.25">
      <c r="B150" s="25">
        <f>+[1]SULyn!B139</f>
        <v>127</v>
      </c>
      <c r="C150" s="26">
        <f>+[1]SULyn!C139</f>
        <v>43504</v>
      </c>
      <c r="D150" s="25">
        <f>+[1]SULyn!D139</f>
        <v>0.25842592592592589</v>
      </c>
      <c r="E150" s="25">
        <f>+[1]SULyn!E139</f>
        <v>2458522.7711</v>
      </c>
      <c r="F150" s="25" t="str">
        <f>+[1]SULyn!F139</f>
        <v>FAS</v>
      </c>
      <c r="G150" s="25" t="str">
        <f>+[1]SULyn!G139</f>
        <v>DCO-US</v>
      </c>
      <c r="H150" s="25" t="str">
        <f>+[1]SULyn!H139</f>
        <v>CDK14LISAAtik414ex</v>
      </c>
      <c r="I150" s="25">
        <f>+[1]SULyn!I139</f>
        <v>954</v>
      </c>
    </row>
    <row r="151" spans="2:9" ht="15.75" x14ac:dyDescent="0.25">
      <c r="B151" s="25">
        <f>+[1]SULyn!B140</f>
        <v>128</v>
      </c>
      <c r="C151" s="26">
        <f>+[1]SULyn!C140</f>
        <v>43504</v>
      </c>
      <c r="D151" s="25">
        <f>+[1]SULyn!D140</f>
        <v>0.78098379629629633</v>
      </c>
      <c r="E151" s="25">
        <f>+[1]SULyn!E140</f>
        <v>2458523.3270999999</v>
      </c>
      <c r="F151" s="25" t="str">
        <f>+[1]SULyn!F140</f>
        <v>SOL</v>
      </c>
      <c r="G151" s="25" t="str">
        <f>+[1]SULyn!G140</f>
        <v>AQL-IT</v>
      </c>
      <c r="H151" s="25" t="str">
        <f>+[1]SULyn!H140</f>
        <v>JGF1C9.25ST-8300</v>
      </c>
      <c r="I151" s="25">
        <f>+[1]SULyn!I140</f>
        <v>8710</v>
      </c>
    </row>
    <row r="152" spans="2:9" ht="15.75" x14ac:dyDescent="0.25">
      <c r="B152" s="25">
        <f>+[1]SULyn!B141</f>
        <v>129</v>
      </c>
      <c r="C152" s="26">
        <f>+[1]SULyn!C141</f>
        <v>43505</v>
      </c>
      <c r="D152" s="25">
        <f>+[1]SULyn!D141</f>
        <v>0.96824074074074085</v>
      </c>
      <c r="E152" s="25">
        <f>+[1]SULyn!E141</f>
        <v>2458524.4944000002</v>
      </c>
      <c r="F152" s="25" t="str">
        <f>+[1]SULyn!F141</f>
        <v>JGF</v>
      </c>
      <c r="G152" s="25" t="str">
        <f>+[1]SULyn!G141</f>
        <v>SMM-SP</v>
      </c>
      <c r="H152" s="25" t="str">
        <f>+[1]SULyn!H141</f>
        <v>16REMOTLINX460EX</v>
      </c>
      <c r="I152" s="25">
        <f>+[1]SULyn!I141</f>
        <v>9000</v>
      </c>
    </row>
    <row r="153" spans="2:9" ht="15.75" x14ac:dyDescent="0.25">
      <c r="B153" s="25">
        <f>+[1]SULyn!B142</f>
        <v>130</v>
      </c>
      <c r="C153" s="26">
        <f>+[1]SULyn!C142</f>
        <v>43508</v>
      </c>
      <c r="D153" s="25">
        <f>+[1]SULyn!D142</f>
        <v>0.29481481481481481</v>
      </c>
      <c r="E153" s="25">
        <f>+[1]SULyn!E142</f>
        <v>2458526.8028000002</v>
      </c>
      <c r="F153" s="25" t="str">
        <f>+[1]SULyn!F142</f>
        <v>FAS</v>
      </c>
      <c r="G153" s="25" t="str">
        <f>+[1]SULyn!G142</f>
        <v>DCO-US</v>
      </c>
      <c r="H153" s="25" t="str">
        <f>+[1]SULyn!H142</f>
        <v>CDK14LISAAtik414ex</v>
      </c>
      <c r="I153" s="25">
        <f>+[1]SULyn!I142</f>
        <v>967</v>
      </c>
    </row>
    <row r="154" spans="2:9" ht="15.75" x14ac:dyDescent="0.25">
      <c r="B154" s="25">
        <f>+[1]SULyn!B143</f>
        <v>131</v>
      </c>
      <c r="C154" s="26">
        <f>+[1]SULyn!C143</f>
        <v>43509</v>
      </c>
      <c r="D154" s="25">
        <f>+[1]SULyn!D143</f>
        <v>0.77194444444444443</v>
      </c>
      <c r="E154" s="25">
        <f>+[1]SULyn!E143</f>
        <v>2458528.3001999999</v>
      </c>
      <c r="F154" s="25" t="str">
        <f>+[1]SULyn!F143</f>
        <v xml:space="preserve">FMT </v>
      </c>
      <c r="G154" s="25" t="str">
        <f>+[1]SULyn!G143</f>
        <v>ORS-FR</v>
      </c>
      <c r="H154" s="25" t="str">
        <f>+[1]SULyn!H143</f>
        <v>SC14+eShel+460EX_b2</v>
      </c>
      <c r="I154" s="25">
        <f>+[1]SULyn!I143</f>
        <v>11000</v>
      </c>
    </row>
    <row r="155" spans="2:9" ht="15.75" x14ac:dyDescent="0.25">
      <c r="B155" s="25">
        <f>+[1]SULyn!B144</f>
        <v>132</v>
      </c>
      <c r="C155" s="26">
        <f>+[1]SULyn!C144</f>
        <v>43512</v>
      </c>
      <c r="D155" s="25">
        <f>+[1]SULyn!D144</f>
        <v>2.9247685185185186E-2</v>
      </c>
      <c r="E155" s="25">
        <f>+[1]SULyn!E144</f>
        <v>2458530.5432000002</v>
      </c>
      <c r="F155" s="25" t="str">
        <f>+[1]SULyn!F144</f>
        <v>CBO</v>
      </c>
      <c r="G155" s="25" t="str">
        <f>+[1]SULyn!G144</f>
        <v>OCT-FR</v>
      </c>
      <c r="H155" s="25" t="str">
        <f>+[1]SULyn!H144</f>
        <v>N200mmF</v>
      </c>
      <c r="I155" s="25">
        <f>+[1]SULyn!I144</f>
        <v>502</v>
      </c>
    </row>
    <row r="156" spans="2:9" ht="15.75" x14ac:dyDescent="0.25">
      <c r="B156" s="25">
        <f>+[1]SULyn!B145</f>
        <v>133</v>
      </c>
      <c r="C156" s="26">
        <f>+[1]SULyn!C145</f>
        <v>43512</v>
      </c>
      <c r="D156" s="25">
        <f>+[1]SULyn!D145</f>
        <v>0.90445601851851853</v>
      </c>
      <c r="E156" s="25">
        <f>+[1]SULyn!E145</f>
        <v>2458531.4358000001</v>
      </c>
      <c r="F156" s="25" t="str">
        <f>+[1]SULyn!F145</f>
        <v>JGF</v>
      </c>
      <c r="G156" s="25" t="str">
        <f>+[1]SULyn!G145</f>
        <v>SMM-SP</v>
      </c>
      <c r="H156" s="25" t="str">
        <f>+[1]SULyn!H145</f>
        <v>16REMOTLINX460EX</v>
      </c>
      <c r="I156" s="25">
        <f>+[1]SULyn!I145</f>
        <v>9000</v>
      </c>
    </row>
    <row r="157" spans="2:9" ht="15.75" x14ac:dyDescent="0.25">
      <c r="B157" s="25">
        <f>+[1]SULyn!B146</f>
        <v>134</v>
      </c>
      <c r="C157" s="26">
        <f>+[1]SULyn!C146</f>
        <v>43517</v>
      </c>
      <c r="D157" s="25">
        <f>+[1]SULyn!D146</f>
        <v>0.80268518518518517</v>
      </c>
      <c r="E157" s="25">
        <f>+[1]SULyn!E146</f>
        <v>2458536.3297000001</v>
      </c>
      <c r="F157" s="25" t="str">
        <f>+[1]SULyn!F146</f>
        <v>DBO</v>
      </c>
      <c r="G157" s="25" t="str">
        <f>+[1]SULyn!G146</f>
        <v>WCO-UK</v>
      </c>
      <c r="H157" s="25" t="str">
        <f>+[1]SULyn!H146</f>
        <v>C11+LISA+SXVR-H694</v>
      </c>
      <c r="I157" s="25">
        <f>+[1]SULyn!I146</f>
        <v>1084</v>
      </c>
    </row>
    <row r="158" spans="2:9" ht="15.75" x14ac:dyDescent="0.25">
      <c r="B158" s="25">
        <f>+[1]SULyn!B147</f>
        <v>135</v>
      </c>
      <c r="C158" s="26">
        <f>+[1]SULyn!C147</f>
        <v>43521</v>
      </c>
      <c r="D158" s="25">
        <f>+[1]SULyn!D147</f>
        <v>0.80087962962962955</v>
      </c>
      <c r="E158" s="25">
        <f>+[1]SULyn!E147</f>
        <v>2458540.3514999999</v>
      </c>
      <c r="F158" s="25" t="str">
        <f>+[1]SULyn!F147</f>
        <v xml:space="preserve">FMT </v>
      </c>
      <c r="G158" s="25" t="str">
        <f>+[1]SULyn!G147</f>
        <v>ORS-FR</v>
      </c>
      <c r="H158" s="25" t="str">
        <f>+[1]SULyn!H147</f>
        <v>SC14+eShel+460EX_b2</v>
      </c>
      <c r="I158" s="25">
        <f>+[1]SULyn!I147</f>
        <v>11000</v>
      </c>
    </row>
    <row r="159" spans="2:9" ht="15.75" x14ac:dyDescent="0.25">
      <c r="B159" s="25">
        <f>+[1]SULyn!B148</f>
        <v>136</v>
      </c>
      <c r="C159" s="26">
        <f>+[1]SULyn!C148</f>
        <v>43522</v>
      </c>
      <c r="D159" s="25">
        <f>+[1]SULyn!D148</f>
        <v>0.96516203703703696</v>
      </c>
      <c r="E159" s="25">
        <f>+[1]SULyn!E148</f>
        <v>2458541.4791000001</v>
      </c>
      <c r="F159" s="25" t="str">
        <f>+[1]SULyn!F148</f>
        <v>CBO</v>
      </c>
      <c r="G159" s="25" t="str">
        <f>+[1]SULyn!G148</f>
        <v>OCT-FR</v>
      </c>
      <c r="H159" s="25" t="str">
        <f>+[1]SULyn!H148</f>
        <v>N200mmF</v>
      </c>
      <c r="I159" s="25">
        <f>+[1]SULyn!I148</f>
        <v>501</v>
      </c>
    </row>
    <row r="160" spans="2:9" ht="15.75" x14ac:dyDescent="0.25">
      <c r="B160" s="25">
        <f>+[1]SULyn!B149</f>
        <v>137</v>
      </c>
      <c r="C160" s="26">
        <f>+[1]SULyn!C149</f>
        <v>43526</v>
      </c>
      <c r="D160" s="25">
        <f>+[1]SULyn!D149</f>
        <v>0.87621527777777775</v>
      </c>
      <c r="E160" s="25">
        <f>+[1]SULyn!E149</f>
        <v>2458545.4180000001</v>
      </c>
      <c r="F160" s="25" t="str">
        <f>+[1]SULyn!F149</f>
        <v>JGF</v>
      </c>
      <c r="G160" s="25" t="str">
        <f>+[1]SULyn!G149</f>
        <v>SMM-SP</v>
      </c>
      <c r="H160" s="25" t="str">
        <f>+[1]SULyn!H149</f>
        <v>16REMOTLINX460EX</v>
      </c>
      <c r="I160" s="25">
        <f>+[1]SULyn!I149</f>
        <v>9000</v>
      </c>
    </row>
    <row r="161" spans="2:9" ht="15.75" x14ac:dyDescent="0.25">
      <c r="B161" s="25">
        <f>+[1]SULyn!B150</f>
        <v>138</v>
      </c>
      <c r="C161" s="26">
        <f>+[1]SULyn!C150</f>
        <v>43531</v>
      </c>
      <c r="D161" s="25">
        <f>+[1]SULyn!D150</f>
        <v>0.78339120370370363</v>
      </c>
      <c r="E161" s="25">
        <f>+[1]SULyn!E150</f>
        <v>2458550.3128</v>
      </c>
      <c r="F161" s="25" t="str">
        <f>+[1]SULyn!F150</f>
        <v xml:space="preserve">FMT </v>
      </c>
      <c r="G161" s="25" t="str">
        <f>+[1]SULyn!G150</f>
        <v>ORS-FR</v>
      </c>
      <c r="H161" s="25" t="str">
        <f>+[1]SULyn!H150</f>
        <v>SC14+eShel+460EX_b2</v>
      </c>
      <c r="I161" s="25">
        <f>+[1]SULyn!I150</f>
        <v>11000</v>
      </c>
    </row>
    <row r="162" spans="2:9" ht="15.75" x14ac:dyDescent="0.25">
      <c r="B162" s="25">
        <f>+[1]SULyn!B151</f>
        <v>139</v>
      </c>
      <c r="C162" s="26">
        <f>+[1]SULyn!C151</f>
        <v>43533</v>
      </c>
      <c r="D162" s="25">
        <f>+[1]SULyn!D151</f>
        <v>0.13697916666666668</v>
      </c>
      <c r="E162" s="25">
        <f>+[1]SULyn!E151</f>
        <v>2458551.6653</v>
      </c>
      <c r="F162" s="25" t="str">
        <f>+[1]SULyn!F151</f>
        <v>LES</v>
      </c>
      <c r="G162" s="25" t="str">
        <f>+[1]SULyn!G151</f>
        <v>MRO-CA</v>
      </c>
      <c r="H162" s="25" t="str">
        <f>+[1]SULyn!H151</f>
        <v>31cmDK+ESSAT</v>
      </c>
      <c r="I162" s="25">
        <f>+[1]SULyn!I151</f>
        <v>14000</v>
      </c>
    </row>
    <row r="163" spans="2:9" ht="15.75" x14ac:dyDescent="0.25">
      <c r="B163" s="25">
        <f>+[1]SULyn!B152</f>
        <v>140</v>
      </c>
      <c r="C163" s="26">
        <f>+[1]SULyn!C152</f>
        <v>43534</v>
      </c>
      <c r="D163" s="25">
        <f>+[1]SULyn!D152</f>
        <v>0.78070601851851851</v>
      </c>
      <c r="E163" s="25">
        <f>+[1]SULyn!E152</f>
        <v>2458553.3365000002</v>
      </c>
      <c r="F163" s="25" t="str">
        <f>+[1]SULyn!F152</f>
        <v>JGF</v>
      </c>
      <c r="G163" s="25" t="str">
        <f>+[1]SULyn!G152</f>
        <v>SMM-SP</v>
      </c>
      <c r="H163" s="25" t="str">
        <f>+[1]SULyn!H152</f>
        <v>16REMOTATIK460EXNEN</v>
      </c>
      <c r="I163" s="25">
        <f>+[1]SULyn!I152</f>
        <v>9000</v>
      </c>
    </row>
    <row r="164" spans="2:9" ht="15.75" x14ac:dyDescent="0.25">
      <c r="B164" s="25">
        <f>+[1]SULyn!B153</f>
        <v>141</v>
      </c>
      <c r="C164" s="26">
        <f>+[1]SULyn!C153</f>
        <v>43538</v>
      </c>
      <c r="D164" s="25">
        <f>+[1]SULyn!D153</f>
        <v>0.91718749999999993</v>
      </c>
      <c r="E164" s="25">
        <f>+[1]SULyn!E153</f>
        <v>2458557.4449999998</v>
      </c>
      <c r="F164" s="25" t="str">
        <f>+[1]SULyn!F153</f>
        <v>FCA</v>
      </c>
      <c r="G164" s="25" t="str">
        <f>+[1]SULyn!G153</f>
        <v>PAG-SP</v>
      </c>
      <c r="H164" s="25" t="str">
        <f>+[1]SULyn!H153</f>
        <v>N-200f4.7+Barlow2XDADOS-1200ATIK314L+</v>
      </c>
      <c r="I164" s="25">
        <f>+[1]SULyn!I153</f>
        <v>6761</v>
      </c>
    </row>
    <row r="165" spans="2:9" ht="15.75" x14ac:dyDescent="0.25">
      <c r="B165" s="25">
        <f>+[1]SULyn!B154</f>
        <v>142</v>
      </c>
      <c r="C165" s="26">
        <f>+[1]SULyn!C154</f>
        <v>43542</v>
      </c>
      <c r="D165" s="25">
        <f>+[1]SULyn!D154</f>
        <v>0.22503472222222221</v>
      </c>
      <c r="E165" s="25">
        <f>+[1]SULyn!E154</f>
        <v>2458560.7373000002</v>
      </c>
      <c r="F165" s="25" t="str">
        <f>+[1]SULyn!F154</f>
        <v>FAS</v>
      </c>
      <c r="G165" s="25" t="str">
        <f>+[1]SULyn!G154</f>
        <v>DCO-US</v>
      </c>
      <c r="H165" s="25" t="str">
        <f>+[1]SULyn!H154</f>
        <v>CDK14LISAAtik414ex</v>
      </c>
      <c r="I165" s="25">
        <f>+[1]SULyn!I154</f>
        <v>985</v>
      </c>
    </row>
    <row r="166" spans="2:9" ht="15.75" x14ac:dyDescent="0.25">
      <c r="B166" s="25">
        <f>+[1]SULyn!B155</f>
        <v>143</v>
      </c>
      <c r="C166" s="26">
        <f>+[1]SULyn!C155</f>
        <v>43544</v>
      </c>
      <c r="D166" s="25">
        <f>+[1]SULyn!D155</f>
        <v>0.77302083333333327</v>
      </c>
      <c r="E166" s="25">
        <f>+[1]SULyn!E155</f>
        <v>2458563.3217000002</v>
      </c>
      <c r="F166" s="25" t="str">
        <f>+[1]SULyn!F155</f>
        <v>OGA</v>
      </c>
      <c r="G166" s="25" t="str">
        <f>+[1]SULyn!G155</f>
        <v>OTO-FR</v>
      </c>
      <c r="H166" s="25" t="str">
        <f>+[1]SULyn!H155</f>
        <v>RC400Astrosib-Eshel-ATIK460EX</v>
      </c>
      <c r="I166" s="25">
        <f>+[1]SULyn!I155</f>
        <v>11000</v>
      </c>
    </row>
    <row r="167" spans="2:9" ht="15.75" x14ac:dyDescent="0.25">
      <c r="B167" s="25">
        <f>+[1]SULyn!B156</f>
        <v>144</v>
      </c>
      <c r="C167" s="26">
        <f>+[1]SULyn!C156</f>
        <v>43548</v>
      </c>
      <c r="D167" s="25">
        <f>+[1]SULyn!D156</f>
        <v>9.780092592592592E-3</v>
      </c>
      <c r="E167" s="25">
        <f>+[1]SULyn!E156</f>
        <v>2458566.5602000002</v>
      </c>
      <c r="F167" s="25" t="str">
        <f>+[1]SULyn!F156</f>
        <v>LES</v>
      </c>
      <c r="G167" s="25" t="str">
        <f>+[1]SULyn!G156</f>
        <v>MRO-CA</v>
      </c>
      <c r="H167" s="25" t="str">
        <f>+[1]SULyn!H156</f>
        <v>31cmDK+ESSAT</v>
      </c>
      <c r="I167" s="25">
        <f>+[1]SULyn!I156</f>
        <v>14000</v>
      </c>
    </row>
    <row r="168" spans="2:9" ht="15.75" x14ac:dyDescent="0.25">
      <c r="B168" s="25">
        <f>+[1]SULyn!B157</f>
        <v>145</v>
      </c>
      <c r="C168" s="26">
        <f>+[1]SULyn!C157</f>
        <v>43549</v>
      </c>
      <c r="D168" s="25">
        <f>+[1]SULyn!D157</f>
        <v>0.81770833333333337</v>
      </c>
      <c r="E168" s="25">
        <f>+[1]SULyn!E157</f>
        <v>2458568.3594999998</v>
      </c>
      <c r="F168" s="25" t="str">
        <f>+[1]SULyn!F157</f>
        <v>JGF</v>
      </c>
      <c r="G168" s="25" t="str">
        <f>+[1]SULyn!G157</f>
        <v>PIE-SP</v>
      </c>
      <c r="H168" s="25" t="str">
        <f>+[1]SULyn!H157</f>
        <v>MUSSOL</v>
      </c>
      <c r="I168" s="25">
        <f>+[1]SULyn!I157</f>
        <v>9000</v>
      </c>
    </row>
    <row r="169" spans="2:9" ht="15.75" x14ac:dyDescent="0.25">
      <c r="B169" s="25">
        <f>+[1]SULyn!B158</f>
        <v>146</v>
      </c>
      <c r="C169" s="26">
        <f>+[1]SULyn!C158</f>
        <v>43553</v>
      </c>
      <c r="D169" s="25">
        <f>+[1]SULyn!D158</f>
        <v>0.95890046296296294</v>
      </c>
      <c r="E169" s="25">
        <f>+[1]SULyn!E158</f>
        <v>2458572.4728999999</v>
      </c>
      <c r="F169" s="25" t="str">
        <f>+[1]SULyn!F158</f>
        <v>CBO</v>
      </c>
      <c r="G169" s="25" t="str">
        <f>+[1]SULyn!G158</f>
        <v>OCT-FR</v>
      </c>
      <c r="H169" s="25" t="str">
        <f>+[1]SULyn!H158</f>
        <v>N200mmF</v>
      </c>
      <c r="I169" s="25">
        <f>+[1]SULyn!I158</f>
        <v>506</v>
      </c>
    </row>
    <row r="170" spans="2:9" ht="15.75" x14ac:dyDescent="0.25">
      <c r="B170" s="25">
        <f>+[1]SULyn!B159</f>
        <v>147</v>
      </c>
      <c r="C170" s="26">
        <f>+[1]SULyn!C159</f>
        <v>43555</v>
      </c>
      <c r="D170" s="25">
        <f>+[1]SULyn!D159</f>
        <v>0.80914351851851851</v>
      </c>
      <c r="E170" s="25">
        <f>+[1]SULyn!E159</f>
        <v>2458574.3314</v>
      </c>
      <c r="F170" s="25" t="str">
        <f>+[1]SULyn!F159</f>
        <v>JMI</v>
      </c>
      <c r="G170" s="25" t="str">
        <f>+[1]SULyn!G159</f>
        <v>CLX-FR</v>
      </c>
      <c r="H170" s="25" t="str">
        <f>+[1]SULyn!H159</f>
        <v>C11-Lisa-Atik460EX</v>
      </c>
      <c r="I170" s="25">
        <f>+[1]SULyn!I159</f>
        <v>578</v>
      </c>
    </row>
    <row r="171" spans="2:9" ht="15.75" x14ac:dyDescent="0.25">
      <c r="B171" s="25">
        <f>+[1]SULyn!B160</f>
        <v>148</v>
      </c>
      <c r="C171" s="26">
        <f>+[1]SULyn!C160</f>
        <v>43555</v>
      </c>
      <c r="D171" s="25">
        <f>+[1]SULyn!D160</f>
        <v>0.82659722222222232</v>
      </c>
      <c r="E171" s="25">
        <f>+[1]SULyn!E160</f>
        <v>2458574.3615000001</v>
      </c>
      <c r="F171" s="25" t="str">
        <f>+[1]SULyn!F160</f>
        <v>SCH</v>
      </c>
      <c r="G171" s="25" t="str">
        <f>+[1]SULyn!G160</f>
        <v>DUR-FR</v>
      </c>
      <c r="H171" s="25" t="str">
        <f>+[1]SULyn!H160</f>
        <v>T500F5-AP3600EC2Eshel#112ATIK460EX</v>
      </c>
      <c r="I171" s="25">
        <f>+[1]SULyn!I160</f>
        <v>11000</v>
      </c>
    </row>
    <row r="172" spans="2:9" ht="15.75" x14ac:dyDescent="0.25">
      <c r="B172" s="25">
        <f>+[1]SULyn!B161</f>
        <v>149</v>
      </c>
      <c r="C172" s="26">
        <f>+[1]SULyn!C161</f>
        <v>43566</v>
      </c>
      <c r="D172" s="25">
        <f>+[1]SULyn!D161</f>
        <v>0.83641203703703704</v>
      </c>
      <c r="E172" s="25">
        <f>+[1]SULyn!E161</f>
        <v>2458585.3714000001</v>
      </c>
      <c r="F172" s="25" t="str">
        <f>+[1]SULyn!F161</f>
        <v>SCH</v>
      </c>
      <c r="G172" s="25" t="str">
        <f>+[1]SULyn!G161</f>
        <v>DUR-FR</v>
      </c>
      <c r="H172" s="25" t="str">
        <f>+[1]SULyn!H161</f>
        <v>T500F5-AP3600EC2Eshel#112ATIK460EX</v>
      </c>
      <c r="I172" s="25">
        <f>+[1]SULyn!I161</f>
        <v>11000</v>
      </c>
    </row>
    <row r="173" spans="2:9" ht="15.75" x14ac:dyDescent="0.25">
      <c r="B173" s="25">
        <f>+[1]SULyn!B162</f>
        <v>150</v>
      </c>
      <c r="C173" s="26">
        <f>+[1]SULyn!C162</f>
        <v>43566</v>
      </c>
      <c r="D173" s="25">
        <f>+[1]SULyn!D162</f>
        <v>0.91723379629629631</v>
      </c>
      <c r="E173" s="25">
        <f>+[1]SULyn!E162</f>
        <v>2458585.4312</v>
      </c>
      <c r="F173" s="25" t="str">
        <f>+[1]SULyn!F162</f>
        <v>CBO</v>
      </c>
      <c r="G173" s="25" t="str">
        <f>+[1]SULyn!G162</f>
        <v>OCT-FR</v>
      </c>
      <c r="H173" s="25" t="str">
        <f>+[1]SULyn!H162</f>
        <v>N200mmF</v>
      </c>
      <c r="I173" s="25">
        <f>+[1]SULyn!I162</f>
        <v>501</v>
      </c>
    </row>
    <row r="174" spans="2:9" ht="15.75" x14ac:dyDescent="0.25">
      <c r="B174" s="25">
        <f>+[1]SULyn!B163</f>
        <v>151</v>
      </c>
      <c r="C174" s="26">
        <f>+[1]SULyn!C163</f>
        <v>43568</v>
      </c>
      <c r="D174" s="25">
        <f>+[1]SULyn!D163</f>
        <v>0.89901620370370372</v>
      </c>
      <c r="E174" s="25">
        <f>+[1]SULyn!E163</f>
        <v>2458587.4454999999</v>
      </c>
      <c r="F174" s="25" t="str">
        <f>+[1]SULyn!F163</f>
        <v>JGF</v>
      </c>
      <c r="G174" s="25" t="str">
        <f>+[1]SULyn!G163</f>
        <v>SMM-SP</v>
      </c>
      <c r="H174" s="25" t="str">
        <f>+[1]SULyn!H163</f>
        <v>16REMOTLINX460EX</v>
      </c>
      <c r="I174" s="25">
        <f>+[1]SULyn!I163</f>
        <v>9000</v>
      </c>
    </row>
    <row r="175" spans="2:9" ht="15.75" x14ac:dyDescent="0.25">
      <c r="B175" s="25">
        <f>+[1]SULyn!B164</f>
        <v>152</v>
      </c>
      <c r="C175" s="26">
        <f>+[1]SULyn!C164</f>
        <v>43575</v>
      </c>
      <c r="D175" s="25">
        <f>+[1]SULyn!D164</f>
        <v>0.84638888888888886</v>
      </c>
      <c r="E175" s="25">
        <f>+[1]SULyn!E164</f>
        <v>2458594.3813</v>
      </c>
      <c r="F175" s="25" t="str">
        <f>+[1]SULyn!F164</f>
        <v>SCH</v>
      </c>
      <c r="G175" s="25" t="str">
        <f>+[1]SULyn!G164</f>
        <v>DUR-FR</v>
      </c>
      <c r="H175" s="25" t="str">
        <f>+[1]SULyn!H164</f>
        <v>T500F5-AP3600EC2Eshel#112ATIK460EX</v>
      </c>
      <c r="I175" s="25">
        <f>+[1]SULyn!I164</f>
        <v>11000</v>
      </c>
    </row>
    <row r="176" spans="2:9" ht="15.75" x14ac:dyDescent="0.25">
      <c r="B176" s="25">
        <f>+[1]SULyn!B165</f>
        <v>153</v>
      </c>
      <c r="C176" s="26">
        <f>+[1]SULyn!C165</f>
        <v>43575</v>
      </c>
      <c r="D176" s="25">
        <f>+[1]SULyn!D165</f>
        <v>0.92254629629629636</v>
      </c>
      <c r="E176" s="25">
        <f>+[1]SULyn!E165</f>
        <v>2458594.4364999998</v>
      </c>
      <c r="F176" s="25" t="str">
        <f>+[1]SULyn!F165</f>
        <v>CBO</v>
      </c>
      <c r="G176" s="25" t="str">
        <f>+[1]SULyn!G165</f>
        <v>OCT-FR</v>
      </c>
      <c r="H176" s="25" t="str">
        <f>+[1]SULyn!H165</f>
        <v>N200mmF</v>
      </c>
      <c r="I176" s="25">
        <f>+[1]SULyn!I165</f>
        <v>503</v>
      </c>
    </row>
    <row r="177" spans="2:9" ht="15.75" x14ac:dyDescent="0.25">
      <c r="B177" s="25">
        <f>+[1]SULyn!B166</f>
        <v>154</v>
      </c>
      <c r="C177" s="26">
        <f>+[1]SULyn!C166</f>
        <v>43577</v>
      </c>
      <c r="D177" s="25">
        <f>+[1]SULyn!D166</f>
        <v>4.9548611111111113E-2</v>
      </c>
      <c r="E177" s="25">
        <f>+[1]SULyn!E166</f>
        <v>2458595.585</v>
      </c>
      <c r="F177" s="25" t="str">
        <f>+[1]SULyn!F166</f>
        <v>LES</v>
      </c>
      <c r="G177" s="25" t="str">
        <f>+[1]SULyn!G166</f>
        <v>MRO-CA</v>
      </c>
      <c r="H177" s="25" t="str">
        <f>+[1]SULyn!H166</f>
        <v>31cmDK+ESSAT</v>
      </c>
      <c r="I177" s="25">
        <f>+[1]SULyn!I166</f>
        <v>14000</v>
      </c>
    </row>
    <row r="178" spans="2:9" ht="15.75" x14ac:dyDescent="0.25">
      <c r="B178" s="25">
        <f>+[1]SULyn!B167</f>
        <v>155</v>
      </c>
      <c r="C178" s="26">
        <f>+[1]SULyn!C167</f>
        <v>43584</v>
      </c>
      <c r="D178" s="25">
        <f>+[1]SULyn!D167</f>
        <v>0.86695601851851845</v>
      </c>
      <c r="E178" s="25">
        <f>+[1]SULyn!E167</f>
        <v>2458603.3816999998</v>
      </c>
      <c r="F178" s="25" t="str">
        <f>+[1]SULyn!F167</f>
        <v xml:space="preserve">FMT </v>
      </c>
      <c r="G178" s="25" t="str">
        <f>+[1]SULyn!G167</f>
        <v>ORS-FR</v>
      </c>
      <c r="H178" s="25" t="str">
        <f>+[1]SULyn!H167</f>
        <v>SC14+eShel+460EX_b2</v>
      </c>
      <c r="I178" s="25">
        <f>+[1]SULyn!I167</f>
        <v>11000</v>
      </c>
    </row>
    <row r="179" spans="2:9" ht="15.75" x14ac:dyDescent="0.25">
      <c r="B179" s="25">
        <f>+[1]SULyn!B168</f>
        <v>156</v>
      </c>
      <c r="C179" s="26">
        <f>+[1]SULyn!C168</f>
        <v>43585</v>
      </c>
      <c r="D179" s="25">
        <f>+[1]SULyn!D168</f>
        <v>0.87859953703703697</v>
      </c>
      <c r="E179" s="25">
        <f>+[1]SULyn!E168</f>
        <v>2458604.3925999999</v>
      </c>
      <c r="F179" s="25" t="str">
        <f>+[1]SULyn!F168</f>
        <v>CBO</v>
      </c>
      <c r="G179" s="25" t="str">
        <f>+[1]SULyn!G168</f>
        <v>OCT-FR</v>
      </c>
      <c r="H179" s="25" t="str">
        <f>+[1]SULyn!H168</f>
        <v>N200mmF</v>
      </c>
      <c r="I179" s="25">
        <f>+[1]SULyn!I168</f>
        <v>505</v>
      </c>
    </row>
    <row r="180" spans="2:9" ht="15.75" x14ac:dyDescent="0.25">
      <c r="B180" s="25">
        <f>+[1]SULyn!B169</f>
        <v>157</v>
      </c>
      <c r="C180" s="26">
        <f>+[1]SULyn!C169</f>
        <v>43585</v>
      </c>
      <c r="D180" s="25">
        <f>+[1]SULyn!D169</f>
        <v>0.92540509259259263</v>
      </c>
      <c r="E180" s="25">
        <f>+[1]SULyn!E169</f>
        <v>2458604.4394</v>
      </c>
      <c r="F180" s="25" t="str">
        <f>+[1]SULyn!F169</f>
        <v>JCO</v>
      </c>
      <c r="G180" s="25" t="str">
        <f>+[1]SULyn!G169</f>
        <v>STO-UK</v>
      </c>
      <c r="H180" s="25" t="str">
        <f>+[1]SULyn!H169</f>
        <v>C80.7xFR+ALPY600+Atik460EX</v>
      </c>
      <c r="I180" s="25">
        <f>+[1]SULyn!I169</f>
        <v>559</v>
      </c>
    </row>
    <row r="181" spans="2:9" ht="15.75" x14ac:dyDescent="0.25">
      <c r="B181" s="25">
        <f>+[1]SULyn!B170</f>
        <v>158</v>
      </c>
      <c r="C181" s="26">
        <f>+[1]SULyn!C170</f>
        <v>43751</v>
      </c>
      <c r="D181" s="25">
        <f>+[1]SULyn!D170</f>
        <v>0.38086805555555553</v>
      </c>
      <c r="E181" s="25">
        <f>+[1]SULyn!E170</f>
        <v>2458769.8919000002</v>
      </c>
      <c r="F181" s="25" t="str">
        <f>+[1]SULyn!F170</f>
        <v>FAS</v>
      </c>
      <c r="G181" s="25" t="str">
        <f>+[1]SULyn!G170</f>
        <v>DCO-US</v>
      </c>
      <c r="H181" s="25" t="str">
        <f>+[1]SULyn!H170</f>
        <v>CDK14LISAAtik414ex</v>
      </c>
      <c r="I181" s="25">
        <f>+[1]SULyn!I170</f>
        <v>945</v>
      </c>
    </row>
    <row r="182" spans="2:9" ht="15.75" x14ac:dyDescent="0.25">
      <c r="B182" s="25">
        <f>+[1]SULyn!B171</f>
        <v>159</v>
      </c>
      <c r="C182" s="26">
        <f>+[1]SULyn!C171</f>
        <v>43765</v>
      </c>
      <c r="D182" s="25">
        <f>+[1]SULyn!D171</f>
        <v>0.95611111111111102</v>
      </c>
      <c r="E182" s="25">
        <f>+[1]SULyn!E171</f>
        <v>2458784.4775999999</v>
      </c>
      <c r="F182" s="25" t="str">
        <f>+[1]SULyn!F171</f>
        <v>DBO</v>
      </c>
      <c r="G182" s="25" t="str">
        <f>+[1]SULyn!G171</f>
        <v>WCO-UK</v>
      </c>
      <c r="H182" s="25" t="str">
        <f>+[1]SULyn!H171</f>
        <v>C11+LISA+SXVR-H694</v>
      </c>
      <c r="I182" s="25">
        <f>+[1]SULyn!I171</f>
        <v>1067</v>
      </c>
    </row>
    <row r="183" spans="2:9" ht="15.75" x14ac:dyDescent="0.25">
      <c r="B183" s="25">
        <f>+[1]SULyn!B172</f>
        <v>160</v>
      </c>
      <c r="C183" s="26">
        <f>+[1]SULyn!C172</f>
        <v>43787</v>
      </c>
      <c r="D183" s="25">
        <f>+[1]SULyn!D172</f>
        <v>0.23618055555555553</v>
      </c>
      <c r="E183" s="25">
        <f>+[1]SULyn!E172</f>
        <v>2458805.7472000001</v>
      </c>
      <c r="F183" s="25" t="str">
        <f>+[1]SULyn!F172</f>
        <v>FAS</v>
      </c>
      <c r="G183" s="25" t="str">
        <f>+[1]SULyn!G172</f>
        <v>DCO-US</v>
      </c>
      <c r="H183" s="25" t="str">
        <f>+[1]SULyn!H172</f>
        <v>CDK14LISAAtik414ex</v>
      </c>
      <c r="I183" s="25">
        <f>+[1]SULyn!I172</f>
        <v>1026</v>
      </c>
    </row>
    <row r="184" spans="2:9" ht="15.75" x14ac:dyDescent="0.25">
      <c r="B184" s="25">
        <f>+[1]SULyn!B173</f>
        <v>161</v>
      </c>
      <c r="C184" s="26">
        <f>+[1]SULyn!C173</f>
        <v>43800</v>
      </c>
      <c r="D184" s="25">
        <f>+[1]SULyn!D173</f>
        <v>0.85749999999999993</v>
      </c>
      <c r="E184" s="25">
        <f>+[1]SULyn!E173</f>
        <v>2458819.3842000002</v>
      </c>
      <c r="F184" s="25" t="str">
        <f>+[1]SULyn!F173</f>
        <v>DBO</v>
      </c>
      <c r="G184" s="25" t="str">
        <f>+[1]SULyn!G173</f>
        <v>WCO-UK</v>
      </c>
      <c r="H184" s="25" t="str">
        <f>+[1]SULyn!H173</f>
        <v>C11+LISA+SXVR-H694</v>
      </c>
      <c r="I184" s="25">
        <f>+[1]SULyn!I173</f>
        <v>1086</v>
      </c>
    </row>
    <row r="185" spans="2:9" ht="15.75" x14ac:dyDescent="0.25">
      <c r="B185" s="25">
        <f>+[1]SULyn!B174</f>
        <v>162</v>
      </c>
      <c r="C185" s="26">
        <f>+[1]SULyn!C174</f>
        <v>43800</v>
      </c>
      <c r="D185" s="25">
        <f>+[1]SULyn!D174</f>
        <v>0.87297453703703709</v>
      </c>
      <c r="E185" s="25">
        <f>+[1]SULyn!E174</f>
        <v>2458819.3941000002</v>
      </c>
      <c r="F185" s="25" t="str">
        <f>+[1]SULyn!F174</f>
        <v xml:space="preserve">FMT </v>
      </c>
      <c r="G185" s="25" t="str">
        <f>+[1]SULyn!G174</f>
        <v>SMM-SP</v>
      </c>
      <c r="H185" s="25" t="str">
        <f>+[1]SULyn!H174</f>
        <v>SC16+Echelle9000+Atik460EX</v>
      </c>
      <c r="I185" s="25">
        <f>+[1]SULyn!I174</f>
        <v>9000</v>
      </c>
    </row>
    <row r="186" spans="2:9" ht="15.75" x14ac:dyDescent="0.25">
      <c r="B186" s="25">
        <f>+[1]SULyn!B175</f>
        <v>163</v>
      </c>
      <c r="C186" s="26">
        <f>+[1]SULyn!C175</f>
        <v>43820</v>
      </c>
      <c r="D186" s="25">
        <f>+[1]SULyn!D175</f>
        <v>0.35069444444444442</v>
      </c>
      <c r="E186" s="25">
        <f>+[1]SULyn!E175</f>
        <v>2458838.8618000001</v>
      </c>
      <c r="F186" s="25" t="str">
        <f>+[1]SULyn!F175</f>
        <v>FAS</v>
      </c>
      <c r="G186" s="25" t="str">
        <f>+[1]SULyn!G175</f>
        <v>DCO-US</v>
      </c>
      <c r="H186" s="25" t="str">
        <f>+[1]SULyn!H175</f>
        <v>CDK14LISAAtik414ex</v>
      </c>
      <c r="I186" s="25">
        <f>+[1]SULyn!I175</f>
        <v>981</v>
      </c>
    </row>
    <row r="187" spans="2:9" ht="15.75" x14ac:dyDescent="0.25">
      <c r="B187" s="25">
        <f>+[1]SULyn!B176</f>
        <v>164</v>
      </c>
      <c r="C187" s="26">
        <f>+[1]SULyn!C176</f>
        <v>43829</v>
      </c>
      <c r="D187" s="25">
        <f>+[1]SULyn!D176</f>
        <v>0.87143518518518526</v>
      </c>
      <c r="E187" s="25">
        <f>+[1]SULyn!E176</f>
        <v>2458848.4131999998</v>
      </c>
      <c r="F187" s="25" t="str">
        <f>+[1]SULyn!F176</f>
        <v>OGA</v>
      </c>
      <c r="G187" s="25" t="str">
        <f>+[1]SULyn!G176</f>
        <v>OTO-FR</v>
      </c>
      <c r="H187" s="25" t="str">
        <f>+[1]SULyn!H176</f>
        <v>RC400Astrosib-Eshel-ATIK460EX</v>
      </c>
      <c r="I187" s="25">
        <f>+[1]SULyn!I176</f>
        <v>11000</v>
      </c>
    </row>
    <row r="188" spans="2:9" ht="15.75" x14ac:dyDescent="0.25">
      <c r="B188" s="25">
        <f>+[1]SULyn!B177</f>
        <v>165</v>
      </c>
      <c r="C188" s="26">
        <f>+[1]SULyn!C177</f>
        <v>43829</v>
      </c>
      <c r="D188" s="25">
        <f>+[1]SULyn!D177</f>
        <v>0.89796296296296296</v>
      </c>
      <c r="E188" s="25">
        <f>+[1]SULyn!E177</f>
        <v>2458848.4158000001</v>
      </c>
      <c r="F188" s="25" t="str">
        <f>+[1]SULyn!F177</f>
        <v>DBO</v>
      </c>
      <c r="G188" s="25" t="str">
        <f>+[1]SULyn!G177</f>
        <v>WCO-UK</v>
      </c>
      <c r="H188" s="25" t="str">
        <f>+[1]SULyn!H177</f>
        <v>C11+LISA+SXVR-H694</v>
      </c>
      <c r="I188" s="25">
        <f>+[1]SULyn!I177</f>
        <v>1027</v>
      </c>
    </row>
    <row r="189" spans="2:9" ht="15.75" x14ac:dyDescent="0.25">
      <c r="B189" s="27">
        <v>185</v>
      </c>
      <c r="C189" s="28">
        <v>43936</v>
      </c>
      <c r="D189" s="27">
        <v>0.83879629629629626</v>
      </c>
      <c r="E189" s="27">
        <v>2458955.3632999999</v>
      </c>
      <c r="F189" s="27" t="s">
        <v>26</v>
      </c>
      <c r="G189" s="27" t="s">
        <v>110</v>
      </c>
      <c r="H189" s="27" t="s">
        <v>122</v>
      </c>
      <c r="I189" s="27">
        <v>11000</v>
      </c>
    </row>
    <row r="190" spans="2:9" ht="15.75" x14ac:dyDescent="0.25">
      <c r="B190" s="27">
        <v>179</v>
      </c>
      <c r="C190" s="28">
        <v>43916</v>
      </c>
      <c r="D190" s="27">
        <v>0.79901620370370363</v>
      </c>
      <c r="E190" s="27">
        <v>2458935.3114999998</v>
      </c>
      <c r="F190" s="27" t="s">
        <v>26</v>
      </c>
      <c r="G190" s="27" t="s">
        <v>121</v>
      </c>
      <c r="H190" s="27" t="s">
        <v>122</v>
      </c>
      <c r="I190" s="27">
        <v>11000</v>
      </c>
    </row>
    <row r="191" spans="2:9" ht="15.75" x14ac:dyDescent="0.25">
      <c r="B191" s="27">
        <v>178</v>
      </c>
      <c r="C191" s="28">
        <v>43915</v>
      </c>
      <c r="D191" s="27">
        <v>4.7349537037037037E-2</v>
      </c>
      <c r="E191" s="27">
        <v>2458933.5901000001</v>
      </c>
      <c r="F191" s="27" t="s">
        <v>116</v>
      </c>
      <c r="G191" s="27" t="s">
        <v>117</v>
      </c>
      <c r="H191" s="27" t="s">
        <v>136</v>
      </c>
      <c r="I191" s="27">
        <v>14000</v>
      </c>
    </row>
    <row r="192" spans="2:9" ht="15.75" x14ac:dyDescent="0.25">
      <c r="B192" s="27">
        <v>175</v>
      </c>
      <c r="C192" s="28">
        <v>43904</v>
      </c>
      <c r="D192" s="27">
        <v>0.82553240740740741</v>
      </c>
      <c r="E192" s="27">
        <v>2458923.3415999999</v>
      </c>
      <c r="F192" s="27" t="s">
        <v>26</v>
      </c>
      <c r="G192" s="27" t="s">
        <v>121</v>
      </c>
      <c r="H192" s="27" t="s">
        <v>122</v>
      </c>
      <c r="I192" s="27">
        <v>11000</v>
      </c>
    </row>
    <row r="193" spans="2:9" ht="15.75" x14ac:dyDescent="0.25">
      <c r="B193" s="27">
        <v>172</v>
      </c>
      <c r="C193" s="28">
        <v>43876</v>
      </c>
      <c r="D193" s="27">
        <v>0.79538194444444443</v>
      </c>
      <c r="E193" s="27">
        <v>2458895.3165000002</v>
      </c>
      <c r="F193" s="27" t="s">
        <v>26</v>
      </c>
      <c r="G193" s="27" t="s">
        <v>111</v>
      </c>
      <c r="H193" s="27" t="s">
        <v>129</v>
      </c>
      <c r="I193" s="27">
        <v>9000</v>
      </c>
    </row>
    <row r="194" spans="2:9" ht="15.75" x14ac:dyDescent="0.25">
      <c r="B194" s="27">
        <v>171</v>
      </c>
      <c r="C194" s="28">
        <v>43866</v>
      </c>
      <c r="D194" s="27">
        <v>0.92803240740740733</v>
      </c>
      <c r="E194" s="27">
        <v>2458885.4559999998</v>
      </c>
      <c r="F194" s="27" t="s">
        <v>126</v>
      </c>
      <c r="G194" s="27" t="s">
        <v>127</v>
      </c>
      <c r="H194" s="27" t="s">
        <v>128</v>
      </c>
      <c r="I194" s="27">
        <v>11000</v>
      </c>
    </row>
    <row r="195" spans="2:9" ht="15.75" x14ac:dyDescent="0.25">
      <c r="B195" s="27">
        <v>168</v>
      </c>
      <c r="C195" s="28">
        <v>43849</v>
      </c>
      <c r="D195" s="27">
        <v>0.76061342592592596</v>
      </c>
      <c r="E195" s="27">
        <v>2458868.2952000001</v>
      </c>
      <c r="F195" s="27" t="s">
        <v>26</v>
      </c>
      <c r="G195" s="27" t="s">
        <v>121</v>
      </c>
      <c r="H195" s="27" t="s">
        <v>122</v>
      </c>
      <c r="I195" s="27">
        <v>11000</v>
      </c>
    </row>
    <row r="196" spans="2:9" ht="15.75" x14ac:dyDescent="0.25">
      <c r="B196" s="27">
        <v>167</v>
      </c>
      <c r="C196" s="28">
        <v>43842</v>
      </c>
      <c r="D196" s="27">
        <v>0.78134259259259264</v>
      </c>
      <c r="E196" s="27">
        <v>2458861.3110000002</v>
      </c>
      <c r="F196" s="27" t="s">
        <v>26</v>
      </c>
      <c r="G196" s="27" t="s">
        <v>121</v>
      </c>
      <c r="H196" s="27" t="s">
        <v>122</v>
      </c>
      <c r="I196" s="27">
        <v>11000</v>
      </c>
    </row>
    <row r="197" spans="2:9" ht="15.75" x14ac:dyDescent="0.25">
      <c r="B197" s="23">
        <v>166</v>
      </c>
      <c r="C197" s="24">
        <v>43832</v>
      </c>
      <c r="D197" s="23">
        <v>1.5439814814814816E-2</v>
      </c>
      <c r="E197" s="23">
        <v>2458850.5260000001</v>
      </c>
      <c r="F197" s="23" t="s">
        <v>118</v>
      </c>
      <c r="G197" s="23" t="s">
        <v>119</v>
      </c>
      <c r="H197" s="23" t="s">
        <v>120</v>
      </c>
      <c r="I197" s="23">
        <v>808</v>
      </c>
    </row>
    <row r="198" spans="2:9" ht="15.75" x14ac:dyDescent="0.25">
      <c r="B198" s="23">
        <v>169</v>
      </c>
      <c r="C198" s="24">
        <v>43855</v>
      </c>
      <c r="D198" s="23">
        <v>0.1252662037037037</v>
      </c>
      <c r="E198" s="23">
        <v>2458873.6362999999</v>
      </c>
      <c r="F198" s="23" t="s">
        <v>123</v>
      </c>
      <c r="G198" s="23" t="s">
        <v>124</v>
      </c>
      <c r="H198" s="23" t="s">
        <v>125</v>
      </c>
      <c r="I198" s="23">
        <v>999</v>
      </c>
    </row>
    <row r="199" spans="2:9" ht="15.75" x14ac:dyDescent="0.25">
      <c r="B199" s="23">
        <v>170</v>
      </c>
      <c r="C199" s="24">
        <v>43859</v>
      </c>
      <c r="D199" s="23">
        <v>0.13892361111111109</v>
      </c>
      <c r="E199" s="23">
        <v>2458877.65</v>
      </c>
      <c r="F199" s="23" t="s">
        <v>123</v>
      </c>
      <c r="G199" s="23" t="s">
        <v>124</v>
      </c>
      <c r="H199" s="23" t="s">
        <v>125</v>
      </c>
      <c r="I199" s="23">
        <v>1034</v>
      </c>
    </row>
    <row r="200" spans="2:9" ht="15.75" x14ac:dyDescent="0.25">
      <c r="B200" s="23">
        <v>173</v>
      </c>
      <c r="C200" s="24">
        <v>43878</v>
      </c>
      <c r="D200" s="23">
        <v>0.24112268518518518</v>
      </c>
      <c r="E200" s="23">
        <v>2458896.7522</v>
      </c>
      <c r="F200" s="23" t="s">
        <v>123</v>
      </c>
      <c r="G200" s="23" t="s">
        <v>124</v>
      </c>
      <c r="H200" s="23" t="s">
        <v>125</v>
      </c>
      <c r="I200" s="23">
        <v>1043</v>
      </c>
    </row>
    <row r="201" spans="2:9" ht="15.75" x14ac:dyDescent="0.25">
      <c r="B201" s="23">
        <v>176</v>
      </c>
      <c r="C201" s="24">
        <v>43905</v>
      </c>
      <c r="D201" s="23">
        <v>1.9628703703703705E-3</v>
      </c>
      <c r="E201" s="23">
        <v>0</v>
      </c>
      <c r="F201" s="23" t="s">
        <v>133</v>
      </c>
      <c r="G201" s="23" t="s">
        <v>134</v>
      </c>
      <c r="H201" s="23" t="s">
        <v>135</v>
      </c>
      <c r="I201" s="23">
        <v>808</v>
      </c>
    </row>
    <row r="202" spans="2:9" ht="15.75" x14ac:dyDescent="0.25">
      <c r="B202" s="23">
        <v>180</v>
      </c>
      <c r="C202" s="24">
        <v>43918</v>
      </c>
      <c r="D202" s="23">
        <v>0.19157407407407409</v>
      </c>
      <c r="E202" s="23">
        <v>2458936.7026</v>
      </c>
      <c r="F202" s="23" t="s">
        <v>123</v>
      </c>
      <c r="G202" s="23" t="s">
        <v>124</v>
      </c>
      <c r="H202" s="23" t="s">
        <v>125</v>
      </c>
      <c r="I202" s="23">
        <v>1037</v>
      </c>
    </row>
    <row r="203" spans="2:9" ht="15.75" x14ac:dyDescent="0.25">
      <c r="B203" s="23">
        <v>183</v>
      </c>
      <c r="C203" s="24">
        <v>43930</v>
      </c>
      <c r="D203" s="23">
        <v>0.86603009259259256</v>
      </c>
      <c r="E203" s="23">
        <v>2458949.3856000002</v>
      </c>
      <c r="F203" s="23" t="s">
        <v>25</v>
      </c>
      <c r="G203" s="23" t="s">
        <v>140</v>
      </c>
      <c r="H203" s="23" t="s">
        <v>141</v>
      </c>
      <c r="I203" s="23">
        <v>1082</v>
      </c>
    </row>
    <row r="204" spans="2:9" ht="15.75" x14ac:dyDescent="0.25">
      <c r="B204" s="23">
        <v>184</v>
      </c>
      <c r="C204" s="24">
        <v>43931</v>
      </c>
      <c r="D204" s="23">
        <v>0.17156249999999998</v>
      </c>
      <c r="E204" s="23">
        <v>2458949.6825999999</v>
      </c>
      <c r="F204" s="23" t="s">
        <v>123</v>
      </c>
      <c r="G204" s="23" t="s">
        <v>124</v>
      </c>
      <c r="H204" s="23" t="s">
        <v>125</v>
      </c>
      <c r="I204" s="23">
        <v>963</v>
      </c>
    </row>
    <row r="205" spans="2:9" ht="15.75" x14ac:dyDescent="0.25">
      <c r="B205" s="23">
        <v>186</v>
      </c>
      <c r="C205" s="24">
        <v>43936</v>
      </c>
      <c r="D205" s="23">
        <v>0.90791666666666659</v>
      </c>
      <c r="E205" s="23">
        <v>2458955.4295000001</v>
      </c>
      <c r="F205" s="23" t="s">
        <v>25</v>
      </c>
      <c r="G205" s="23" t="s">
        <v>140</v>
      </c>
      <c r="H205" s="23" t="s">
        <v>141</v>
      </c>
      <c r="I205" s="23">
        <v>982</v>
      </c>
    </row>
    <row r="206" spans="2:9" ht="15.75" x14ac:dyDescent="0.25">
      <c r="B206" s="23">
        <v>187</v>
      </c>
      <c r="C206" s="24">
        <v>43938</v>
      </c>
      <c r="D206" s="23">
        <v>0.13177083333333334</v>
      </c>
      <c r="E206" s="23">
        <v>2458956.6428</v>
      </c>
      <c r="F206" s="23" t="s">
        <v>123</v>
      </c>
      <c r="G206" s="23" t="s">
        <v>124</v>
      </c>
      <c r="H206" s="23" t="s">
        <v>125</v>
      </c>
      <c r="I206" s="23">
        <v>992</v>
      </c>
    </row>
    <row r="207" spans="2:9" ht="15.75" x14ac:dyDescent="0.25">
      <c r="B207" s="27">
        <v>181</v>
      </c>
      <c r="C207" s="28">
        <v>43921</v>
      </c>
      <c r="D207" s="27">
        <v>0.9375</v>
      </c>
      <c r="E207" s="27">
        <v>2458940.4528000001</v>
      </c>
      <c r="F207" s="27" t="s">
        <v>137</v>
      </c>
      <c r="G207" s="27" t="s">
        <v>138</v>
      </c>
      <c r="H207" s="27" t="s">
        <v>139</v>
      </c>
      <c r="I207" s="27">
        <v>988</v>
      </c>
    </row>
    <row r="208" spans="2:9" ht="15.75" x14ac:dyDescent="0.25">
      <c r="B208" s="27">
        <v>177</v>
      </c>
      <c r="C208" s="28">
        <v>43913</v>
      </c>
      <c r="D208" s="27">
        <v>0.93414351851851851</v>
      </c>
      <c r="E208" s="27">
        <v>2458932.4481000002</v>
      </c>
      <c r="F208" s="27" t="s">
        <v>130</v>
      </c>
      <c r="G208" s="27" t="s">
        <v>131</v>
      </c>
      <c r="H208" s="27" t="s">
        <v>132</v>
      </c>
      <c r="I208" s="27">
        <v>506</v>
      </c>
    </row>
    <row r="209" spans="2:9" ht="15.75" x14ac:dyDescent="0.25">
      <c r="B209" s="27">
        <v>174</v>
      </c>
      <c r="C209" s="28">
        <v>43902</v>
      </c>
      <c r="D209" s="27">
        <v>0.98666666666666669</v>
      </c>
      <c r="E209" s="27">
        <v>2458921.4978999998</v>
      </c>
      <c r="F209" s="27" t="s">
        <v>130</v>
      </c>
      <c r="G209" s="27" t="s">
        <v>131</v>
      </c>
      <c r="H209" s="27" t="s">
        <v>132</v>
      </c>
      <c r="I209" s="27">
        <v>504</v>
      </c>
    </row>
    <row r="210" spans="2:9" ht="15.75" x14ac:dyDescent="0.25">
      <c r="B210" s="27">
        <v>182</v>
      </c>
      <c r="C210" s="28">
        <v>43925</v>
      </c>
      <c r="D210" s="27">
        <v>0.94776620370370368</v>
      </c>
      <c r="E210" s="27">
        <v>2458944.4616999999</v>
      </c>
      <c r="F210" s="27" t="s">
        <v>130</v>
      </c>
      <c r="G210" s="27" t="s">
        <v>131</v>
      </c>
      <c r="H210" s="27" t="s">
        <v>132</v>
      </c>
      <c r="I210" s="27">
        <v>502</v>
      </c>
    </row>
    <row r="211" spans="2:9" ht="15.75" x14ac:dyDescent="0.25">
      <c r="B211" s="23">
        <f>+[1]SULyn!B200</f>
        <v>0</v>
      </c>
      <c r="C211" s="24">
        <f>+[1]SULyn!C200</f>
        <v>0</v>
      </c>
      <c r="D211" s="23">
        <f>+[1]SULyn!D200</f>
        <v>0</v>
      </c>
      <c r="E211" s="23">
        <f>+[1]SULyn!E200</f>
        <v>0</v>
      </c>
      <c r="F211" s="23">
        <f>+[1]SULyn!F200</f>
        <v>0</v>
      </c>
      <c r="G211" s="23">
        <f>+[1]SULyn!G200</f>
        <v>0</v>
      </c>
      <c r="H211" s="23">
        <f>+[1]SULyn!H200</f>
        <v>0</v>
      </c>
      <c r="I211" s="23">
        <f>+[1]SULyn!I200</f>
        <v>0</v>
      </c>
    </row>
  </sheetData>
  <sortState xmlns:xlrd2="http://schemas.microsoft.com/office/spreadsheetml/2017/richdata2" ref="B197:I206">
    <sortCondition ref="C197:C206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3"/>
  <sheetViews>
    <sheetView workbookViewId="0">
      <selection activeCell="J16" sqref="J16"/>
    </sheetView>
  </sheetViews>
  <sheetFormatPr baseColWidth="10" defaultRowHeight="15" x14ac:dyDescent="0.25"/>
  <cols>
    <col min="1" max="1" width="3" style="8" bestFit="1" customWidth="1"/>
    <col min="2" max="2" width="11.42578125" style="9"/>
    <col min="3" max="3" width="11.42578125" style="8"/>
    <col min="4" max="4" width="5.140625" style="8" bestFit="1" customWidth="1"/>
    <col min="5" max="5" width="6" style="8" bestFit="1" customWidth="1"/>
    <col min="6" max="7" width="5" style="8" bestFit="1" customWidth="1"/>
  </cols>
  <sheetData>
    <row r="1" spans="1:7" ht="15.75" x14ac:dyDescent="0.3">
      <c r="A1" s="10" t="s">
        <v>31</v>
      </c>
      <c r="B1" s="11" t="s">
        <v>32</v>
      </c>
      <c r="C1" s="10" t="s">
        <v>33</v>
      </c>
      <c r="D1" s="10" t="s">
        <v>34</v>
      </c>
      <c r="E1" s="10" t="s">
        <v>35</v>
      </c>
      <c r="F1" s="22" t="s">
        <v>36</v>
      </c>
      <c r="G1" s="22"/>
    </row>
    <row r="2" spans="1:7" x14ac:dyDescent="0.25">
      <c r="A2" s="12">
        <v>22</v>
      </c>
      <c r="B2" s="13">
        <v>42824</v>
      </c>
      <c r="C2" s="12">
        <v>2457843.3245999999</v>
      </c>
      <c r="D2" s="12" t="s">
        <v>29</v>
      </c>
      <c r="E2" s="12">
        <v>16528</v>
      </c>
      <c r="F2" s="12">
        <v>6481</v>
      </c>
      <c r="G2" s="12">
        <v>6634</v>
      </c>
    </row>
    <row r="3" spans="1:7" x14ac:dyDescent="0.25">
      <c r="A3" s="12">
        <v>17</v>
      </c>
      <c r="B3" s="13">
        <v>42821</v>
      </c>
      <c r="C3" s="12">
        <v>2457840.3536</v>
      </c>
      <c r="D3" s="12" t="s">
        <v>26</v>
      </c>
      <c r="E3" s="12">
        <v>11000</v>
      </c>
      <c r="F3" s="12">
        <v>4208</v>
      </c>
      <c r="G3" s="12">
        <v>7396</v>
      </c>
    </row>
    <row r="4" spans="1:7" x14ac:dyDescent="0.25">
      <c r="A4" s="12">
        <v>19</v>
      </c>
      <c r="B4" s="13">
        <v>42822</v>
      </c>
      <c r="C4" s="12">
        <v>2457841.4338000002</v>
      </c>
      <c r="D4" s="12" t="s">
        <v>28</v>
      </c>
      <c r="E4" s="12">
        <v>11000</v>
      </c>
      <c r="F4" s="12">
        <v>4185</v>
      </c>
      <c r="G4" s="12">
        <v>7313</v>
      </c>
    </row>
    <row r="5" spans="1:7" x14ac:dyDescent="0.25">
      <c r="A5" s="12">
        <v>20</v>
      </c>
      <c r="B5" s="13">
        <v>42823</v>
      </c>
      <c r="C5" s="12">
        <v>2457842.33</v>
      </c>
      <c r="D5" s="12" t="s">
        <v>23</v>
      </c>
      <c r="E5" s="12">
        <v>11000</v>
      </c>
      <c r="F5" s="12">
        <v>3979</v>
      </c>
      <c r="G5" s="12">
        <v>7497</v>
      </c>
    </row>
    <row r="6" spans="1:7" x14ac:dyDescent="0.25">
      <c r="A6" s="12">
        <v>21</v>
      </c>
      <c r="B6" s="13">
        <v>42823</v>
      </c>
      <c r="C6" s="12">
        <v>2457842.3690999998</v>
      </c>
      <c r="D6" s="12" t="s">
        <v>29</v>
      </c>
      <c r="E6" s="12">
        <v>5766</v>
      </c>
      <c r="F6" s="12">
        <v>6325</v>
      </c>
      <c r="G6" s="12">
        <v>6797</v>
      </c>
    </row>
    <row r="7" spans="1:7" x14ac:dyDescent="0.25">
      <c r="A7" s="12">
        <v>11</v>
      </c>
      <c r="B7" s="13">
        <v>42805</v>
      </c>
      <c r="C7" s="12">
        <v>2457824.3273</v>
      </c>
      <c r="D7" s="12" t="s">
        <v>23</v>
      </c>
      <c r="E7" s="12">
        <v>992</v>
      </c>
      <c r="F7" s="12">
        <v>3745</v>
      </c>
      <c r="G7" s="12">
        <v>7419</v>
      </c>
    </row>
    <row r="8" spans="1:7" x14ac:dyDescent="0.25">
      <c r="A8" s="12">
        <v>12</v>
      </c>
      <c r="B8" s="13">
        <v>42809</v>
      </c>
      <c r="C8" s="12">
        <v>2457828.3292999999</v>
      </c>
      <c r="D8" s="12" t="s">
        <v>23</v>
      </c>
      <c r="E8" s="12">
        <v>953</v>
      </c>
      <c r="F8" s="12">
        <v>3629</v>
      </c>
      <c r="G8" s="12">
        <v>7419</v>
      </c>
    </row>
    <row r="9" spans="1:7" x14ac:dyDescent="0.25">
      <c r="A9" s="12">
        <v>13</v>
      </c>
      <c r="B9" s="13">
        <v>42812</v>
      </c>
      <c r="C9" s="12">
        <v>2457831.3051</v>
      </c>
      <c r="D9" s="12" t="s">
        <v>23</v>
      </c>
      <c r="E9" s="12">
        <v>1148</v>
      </c>
      <c r="F9" s="12">
        <v>3837</v>
      </c>
      <c r="G9" s="12">
        <v>7394</v>
      </c>
    </row>
    <row r="10" spans="1:7" x14ac:dyDescent="0.25">
      <c r="A10" s="12">
        <v>14</v>
      </c>
      <c r="B10" s="13">
        <v>42814</v>
      </c>
      <c r="C10" s="12">
        <v>2457833.3982000002</v>
      </c>
      <c r="D10" s="12" t="s">
        <v>24</v>
      </c>
      <c r="E10" s="12">
        <v>876</v>
      </c>
      <c r="F10" s="12">
        <v>3906</v>
      </c>
      <c r="G10" s="12">
        <v>7463</v>
      </c>
    </row>
    <row r="11" spans="1:7" x14ac:dyDescent="0.25">
      <c r="A11" s="12">
        <v>16</v>
      </c>
      <c r="B11" s="13">
        <v>42816</v>
      </c>
      <c r="C11" s="12">
        <v>2457835.3824999998</v>
      </c>
      <c r="D11" s="12" t="s">
        <v>25</v>
      </c>
      <c r="E11" s="12">
        <v>1000</v>
      </c>
      <c r="F11" s="12">
        <v>3901</v>
      </c>
      <c r="G11" s="12">
        <v>7370</v>
      </c>
    </row>
    <row r="12" spans="1:7" x14ac:dyDescent="0.25">
      <c r="A12" s="12">
        <v>18</v>
      </c>
      <c r="B12" s="13">
        <v>42822</v>
      </c>
      <c r="C12" s="12">
        <v>2457841.3316000002</v>
      </c>
      <c r="D12" s="12" t="s">
        <v>27</v>
      </c>
      <c r="E12" s="12">
        <v>1000</v>
      </c>
      <c r="F12" s="12">
        <v>4000</v>
      </c>
      <c r="G12" s="12">
        <v>7501</v>
      </c>
    </row>
    <row r="13" spans="1:7" x14ac:dyDescent="0.25">
      <c r="A13" s="12">
        <v>23</v>
      </c>
      <c r="B13" s="13">
        <v>42824</v>
      </c>
      <c r="C13" s="12">
        <v>2457843.3396000001</v>
      </c>
      <c r="D13" s="12" t="s">
        <v>30</v>
      </c>
      <c r="E13" s="12">
        <v>916</v>
      </c>
      <c r="F13" s="12">
        <v>3568</v>
      </c>
      <c r="G13" s="12">
        <v>7372</v>
      </c>
    </row>
  </sheetData>
  <sortState xmlns:xlrd2="http://schemas.microsoft.com/office/spreadsheetml/2017/richdata2" ref="A7:G13">
    <sortCondition ref="B7:B13"/>
  </sortState>
  <mergeCells count="1">
    <mergeCell ref="F1:G1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1167"/>
  <sheetViews>
    <sheetView workbookViewId="0">
      <selection activeCell="B20" sqref="B20"/>
    </sheetView>
  </sheetViews>
  <sheetFormatPr baseColWidth="10" defaultRowHeight="15" x14ac:dyDescent="0.25"/>
  <cols>
    <col min="1" max="1" width="13.5703125" bestFit="1" customWidth="1"/>
    <col min="2" max="2" width="16.28515625" customWidth="1"/>
    <col min="3" max="3" width="22.28515625" customWidth="1"/>
    <col min="4" max="4" width="8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2457293.3524199999</v>
      </c>
      <c r="B1" s="1" t="s">
        <v>5</v>
      </c>
      <c r="C1" s="1">
        <v>12.754</v>
      </c>
      <c r="D1" s="1">
        <v>1.0999999999999999E-2</v>
      </c>
      <c r="E1" s="1" t="s">
        <v>6</v>
      </c>
      <c r="F1" s="1" t="s">
        <v>7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8" customHeight="1" x14ac:dyDescent="0.25">
      <c r="A2" s="1">
        <v>2457381.3533399999</v>
      </c>
      <c r="B2" s="1" t="s">
        <v>8</v>
      </c>
      <c r="C2" s="1">
        <v>12.552</v>
      </c>
      <c r="D2" s="1">
        <v>6.0000000000000001E-3</v>
      </c>
      <c r="E2" s="1" t="s">
        <v>6</v>
      </c>
      <c r="F2" s="1" t="s">
        <v>7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25">
      <c r="A3" s="1">
        <v>2457403.3113799999</v>
      </c>
      <c r="B3" s="1" t="s">
        <v>9</v>
      </c>
      <c r="C3" s="1">
        <v>12.388</v>
      </c>
      <c r="D3" s="1">
        <v>8.9999999999999993E-3</v>
      </c>
      <c r="E3" s="1" t="s">
        <v>6</v>
      </c>
      <c r="F3" s="1" t="s">
        <v>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8" customHeight="1" x14ac:dyDescent="0.25">
      <c r="A4" s="1">
        <v>2457407.3226299998</v>
      </c>
      <c r="B4" s="1" t="s">
        <v>10</v>
      </c>
      <c r="C4" s="1">
        <v>12.37</v>
      </c>
      <c r="D4" s="1">
        <v>6.0000000000000001E-3</v>
      </c>
      <c r="E4" s="1" t="s">
        <v>6</v>
      </c>
      <c r="F4" s="1" t="s">
        <v>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 x14ac:dyDescent="0.25">
      <c r="A5" s="1">
        <v>2457433.2971100002</v>
      </c>
      <c r="B5" s="1" t="s">
        <v>11</v>
      </c>
      <c r="C5" s="1">
        <v>12.154</v>
      </c>
      <c r="D5" s="1">
        <v>4.0000000000000001E-3</v>
      </c>
      <c r="E5" s="1" t="s">
        <v>6</v>
      </c>
      <c r="F5" s="1" t="s">
        <v>7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customHeight="1" x14ac:dyDescent="0.25">
      <c r="A6" s="1">
        <v>2457437.3412100002</v>
      </c>
      <c r="B6" s="1" t="s">
        <v>12</v>
      </c>
      <c r="C6" s="1">
        <v>12.131</v>
      </c>
      <c r="D6" s="1">
        <v>1.0999999999999999E-2</v>
      </c>
      <c r="E6" s="1" t="s">
        <v>6</v>
      </c>
      <c r="F6" s="1" t="s">
        <v>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customHeight="1" x14ac:dyDescent="0.25">
      <c r="A7" s="1">
        <v>2457594.4492199998</v>
      </c>
      <c r="B7" s="1" t="s">
        <v>13</v>
      </c>
      <c r="C7" s="1">
        <v>12.791</v>
      </c>
      <c r="D7" s="1">
        <v>8.9999999999999993E-3</v>
      </c>
      <c r="E7" s="1" t="s">
        <v>6</v>
      </c>
      <c r="F7" s="1" t="s">
        <v>7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customHeight="1" x14ac:dyDescent="0.25">
      <c r="A8" s="1">
        <v>2457612.5353799998</v>
      </c>
      <c r="B8" s="1" t="s">
        <v>14</v>
      </c>
      <c r="C8" s="1">
        <v>12.898999999999999</v>
      </c>
      <c r="D8" s="1">
        <v>8.0000000000000002E-3</v>
      </c>
      <c r="E8" s="1" t="s">
        <v>6</v>
      </c>
      <c r="F8" s="1" t="s">
        <v>7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customHeight="1" x14ac:dyDescent="0.25">
      <c r="A9" s="1">
        <v>2457617.4938099999</v>
      </c>
      <c r="B9" s="1" t="s">
        <v>15</v>
      </c>
      <c r="C9" s="1">
        <v>12.932</v>
      </c>
      <c r="D9" s="1">
        <v>1.2E-2</v>
      </c>
      <c r="E9" s="1" t="s">
        <v>6</v>
      </c>
      <c r="F9" s="1" t="s">
        <v>7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customHeight="1" x14ac:dyDescent="0.25">
      <c r="A10" s="1">
        <v>2457631.46741</v>
      </c>
      <c r="B10" s="1" t="s">
        <v>16</v>
      </c>
      <c r="C10" s="1">
        <v>12.93</v>
      </c>
      <c r="D10" s="1">
        <v>4.0000000000000001E-3</v>
      </c>
      <c r="E10" s="1" t="s">
        <v>6</v>
      </c>
      <c r="F10" s="1" t="s">
        <v>7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customHeight="1" x14ac:dyDescent="0.25">
      <c r="A11" s="1">
        <v>2457698.3840899998</v>
      </c>
      <c r="B11" s="1" t="s">
        <v>17</v>
      </c>
      <c r="C11" s="1">
        <v>12.677</v>
      </c>
      <c r="D11" s="1">
        <v>5.0000000000000001E-3</v>
      </c>
      <c r="E11" s="1" t="s">
        <v>6</v>
      </c>
      <c r="F11" s="1" t="s">
        <v>7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customHeight="1" x14ac:dyDescent="0.25">
      <c r="A12" s="1">
        <v>2457746.3717399999</v>
      </c>
      <c r="B12" s="1" t="s">
        <v>18</v>
      </c>
      <c r="C12" s="1">
        <v>12.169</v>
      </c>
      <c r="D12" s="1">
        <v>6.0000000000000001E-3</v>
      </c>
      <c r="E12" s="1" t="s">
        <v>6</v>
      </c>
      <c r="F12" s="1" t="s">
        <v>7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customHeight="1" x14ac:dyDescent="0.25">
      <c r="A13" s="1">
        <v>2457774.2984099998</v>
      </c>
      <c r="B13" s="1" t="s">
        <v>19</v>
      </c>
      <c r="C13" s="1">
        <v>12.151999999999999</v>
      </c>
      <c r="D13" s="1">
        <v>8.9999999999999993E-3</v>
      </c>
      <c r="E13" s="1" t="s">
        <v>6</v>
      </c>
      <c r="F13" s="1" t="s">
        <v>7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customHeight="1" x14ac:dyDescent="0.25">
      <c r="A14" s="1">
        <v>2457803.4049999998</v>
      </c>
      <c r="B14" s="1" t="s">
        <v>20</v>
      </c>
      <c r="C14" s="1">
        <v>12.17</v>
      </c>
      <c r="D14" s="1"/>
      <c r="E14" s="1"/>
      <c r="F14" s="1" t="s">
        <v>7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customHeight="1" x14ac:dyDescent="0.25">
      <c r="A15" s="1">
        <v>2457837.31067</v>
      </c>
      <c r="B15" s="1" t="s">
        <v>21</v>
      </c>
      <c r="C15" s="1">
        <v>11.997999999999999</v>
      </c>
      <c r="D15" s="1">
        <v>1.7000000000000001E-2</v>
      </c>
      <c r="E15" s="1" t="s">
        <v>6</v>
      </c>
      <c r="F15" s="1" t="s">
        <v>7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</sheetData>
  <sortState xmlns:xlrd2="http://schemas.microsoft.com/office/spreadsheetml/2017/richdata2" ref="A1:F1316">
    <sortCondition ref="F1:F131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425"/>
  <sheetViews>
    <sheetView workbookViewId="0">
      <selection sqref="A1:C1048576"/>
    </sheetView>
  </sheetViews>
  <sheetFormatPr baseColWidth="10" defaultColWidth="13.85546875" defaultRowHeight="15" x14ac:dyDescent="0.25"/>
  <sheetData>
    <row r="1" spans="1:4" x14ac:dyDescent="0.25">
      <c r="A1" s="1"/>
      <c r="B1" s="1"/>
      <c r="C1" s="1"/>
      <c r="D1" s="1"/>
    </row>
    <row r="2" spans="1:4" x14ac:dyDescent="0.25">
      <c r="A2" s="1"/>
      <c r="B2" s="1"/>
      <c r="C2" s="1"/>
      <c r="D2" s="1"/>
    </row>
    <row r="3" spans="1:4" x14ac:dyDescent="0.25">
      <c r="A3" s="1"/>
      <c r="B3" s="1"/>
      <c r="C3" s="1"/>
      <c r="D3" s="1"/>
    </row>
    <row r="4" spans="1:4" x14ac:dyDescent="0.25">
      <c r="A4" s="1"/>
      <c r="B4" s="1"/>
      <c r="C4" s="1"/>
      <c r="D4" s="1"/>
    </row>
    <row r="5" spans="1:4" x14ac:dyDescent="0.25">
      <c r="A5" s="1"/>
      <c r="B5" s="1"/>
      <c r="C5" s="1"/>
      <c r="D5" s="1"/>
    </row>
    <row r="6" spans="1:4" x14ac:dyDescent="0.25">
      <c r="A6" s="1"/>
      <c r="B6" s="1"/>
      <c r="C6" s="1"/>
      <c r="D6" s="1"/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  <row r="37" spans="1:4" x14ac:dyDescent="0.25">
      <c r="A37" s="1"/>
      <c r="B37" s="1"/>
      <c r="C37" s="1"/>
      <c r="D37" s="1"/>
    </row>
    <row r="38" spans="1:4" x14ac:dyDescent="0.25">
      <c r="A38" s="1"/>
      <c r="B38" s="1"/>
      <c r="C38" s="1"/>
      <c r="D38" s="1"/>
    </row>
    <row r="39" spans="1:4" x14ac:dyDescent="0.25">
      <c r="A39" s="1"/>
      <c r="B39" s="1"/>
      <c r="C39" s="1"/>
      <c r="D39" s="1"/>
    </row>
    <row r="40" spans="1:4" x14ac:dyDescent="0.25">
      <c r="A40" s="1"/>
      <c r="B40" s="1"/>
      <c r="C40" s="1"/>
      <c r="D40" s="1"/>
    </row>
    <row r="41" spans="1:4" x14ac:dyDescent="0.25">
      <c r="A41" s="1"/>
      <c r="B41" s="1"/>
      <c r="C41" s="1"/>
      <c r="D41" s="1"/>
    </row>
    <row r="42" spans="1:4" x14ac:dyDescent="0.25">
      <c r="A42" s="1"/>
      <c r="B42" s="1"/>
      <c r="C42" s="1"/>
      <c r="D42" s="1"/>
    </row>
    <row r="43" spans="1:4" x14ac:dyDescent="0.25">
      <c r="A43" s="1"/>
      <c r="B43" s="1"/>
      <c r="C43" s="1"/>
      <c r="D43" s="1"/>
    </row>
    <row r="44" spans="1:4" x14ac:dyDescent="0.25">
      <c r="A44" s="1"/>
      <c r="B44" s="1"/>
      <c r="C44" s="1"/>
      <c r="D44" s="1"/>
    </row>
    <row r="45" spans="1:4" x14ac:dyDescent="0.25">
      <c r="A45" s="1"/>
      <c r="B45" s="1"/>
      <c r="C45" s="1"/>
      <c r="D45" s="1"/>
    </row>
    <row r="46" spans="1:4" x14ac:dyDescent="0.25">
      <c r="A46" s="1"/>
      <c r="B46" s="1"/>
      <c r="C46" s="1"/>
      <c r="D46" s="1"/>
    </row>
    <row r="47" spans="1:4" x14ac:dyDescent="0.25">
      <c r="A47" s="1"/>
      <c r="B47" s="1"/>
      <c r="C47" s="1"/>
      <c r="D47" s="1"/>
    </row>
    <row r="48" spans="1:4" x14ac:dyDescent="0.25">
      <c r="A48" s="1"/>
      <c r="B48" s="1"/>
      <c r="C48" s="1"/>
      <c r="D48" s="1"/>
    </row>
    <row r="49" spans="1:4" x14ac:dyDescent="0.25">
      <c r="A49" s="1"/>
      <c r="B49" s="1"/>
      <c r="C49" s="1"/>
      <c r="D49" s="1"/>
    </row>
    <row r="50" spans="1:4" x14ac:dyDescent="0.25">
      <c r="A50" s="1"/>
      <c r="B50" s="1"/>
      <c r="C50" s="1"/>
      <c r="D50" s="1"/>
    </row>
    <row r="51" spans="1:4" x14ac:dyDescent="0.25">
      <c r="A51" s="1"/>
      <c r="B51" s="1"/>
      <c r="C51" s="1"/>
      <c r="D51" s="1"/>
    </row>
    <row r="52" spans="1:4" x14ac:dyDescent="0.25">
      <c r="A52" s="1"/>
      <c r="B52" s="1"/>
      <c r="C52" s="1"/>
      <c r="D52" s="1"/>
    </row>
    <row r="53" spans="1:4" x14ac:dyDescent="0.25">
      <c r="A53" s="1"/>
      <c r="B53" s="1"/>
      <c r="C53" s="1"/>
      <c r="D53" s="1"/>
    </row>
    <row r="54" spans="1:4" x14ac:dyDescent="0.25">
      <c r="A54" s="1"/>
      <c r="B54" s="1"/>
      <c r="C54" s="1"/>
      <c r="D54" s="1"/>
    </row>
    <row r="55" spans="1:4" x14ac:dyDescent="0.25">
      <c r="A55" s="1"/>
      <c r="B55" s="1"/>
      <c r="C55" s="1"/>
      <c r="D55" s="1"/>
    </row>
    <row r="56" spans="1:4" x14ac:dyDescent="0.25">
      <c r="A56" s="1"/>
      <c r="B56" s="1"/>
      <c r="C56" s="1"/>
      <c r="D56" s="1"/>
    </row>
    <row r="57" spans="1:4" x14ac:dyDescent="0.25">
      <c r="A57" s="1"/>
      <c r="B57" s="1"/>
      <c r="C57" s="1"/>
      <c r="D57" s="1"/>
    </row>
    <row r="58" spans="1:4" x14ac:dyDescent="0.25">
      <c r="A58" s="1"/>
      <c r="B58" s="1"/>
      <c r="C58" s="1"/>
      <c r="D58" s="1"/>
    </row>
    <row r="59" spans="1:4" x14ac:dyDescent="0.25">
      <c r="A59" s="1"/>
      <c r="B59" s="1"/>
      <c r="C59" s="1"/>
      <c r="D59" s="1"/>
    </row>
    <row r="60" spans="1:4" x14ac:dyDescent="0.25">
      <c r="A60" s="1"/>
      <c r="B60" s="1"/>
      <c r="C60" s="1"/>
      <c r="D60" s="1"/>
    </row>
    <row r="61" spans="1:4" x14ac:dyDescent="0.25">
      <c r="A61" s="1"/>
      <c r="B61" s="1"/>
      <c r="C61" s="1"/>
      <c r="D61" s="1"/>
    </row>
    <row r="62" spans="1:4" x14ac:dyDescent="0.25">
      <c r="A62" s="1"/>
      <c r="B62" s="1"/>
      <c r="C62" s="1"/>
      <c r="D62" s="1"/>
    </row>
    <row r="63" spans="1:4" x14ac:dyDescent="0.25">
      <c r="A63" s="1"/>
      <c r="B63" s="1"/>
      <c r="C63" s="1"/>
      <c r="D63" s="1"/>
    </row>
    <row r="64" spans="1:4" x14ac:dyDescent="0.25">
      <c r="A64" s="1"/>
      <c r="B64" s="1"/>
      <c r="C64" s="1"/>
      <c r="D64" s="1"/>
    </row>
    <row r="65" spans="1:4" x14ac:dyDescent="0.25">
      <c r="A65" s="1"/>
      <c r="B65" s="1"/>
      <c r="C65" s="1"/>
      <c r="D65" s="1"/>
    </row>
    <row r="66" spans="1:4" x14ac:dyDescent="0.25">
      <c r="A66" s="1"/>
      <c r="B66" s="1"/>
      <c r="C66" s="1"/>
      <c r="D66" s="1"/>
    </row>
    <row r="67" spans="1:4" x14ac:dyDescent="0.25">
      <c r="A67" s="1"/>
      <c r="B67" s="1"/>
      <c r="C67" s="1"/>
      <c r="D67" s="1"/>
    </row>
    <row r="68" spans="1:4" x14ac:dyDescent="0.25">
      <c r="A68" s="1"/>
      <c r="B68" s="1"/>
      <c r="C68" s="1"/>
      <c r="D68" s="1"/>
    </row>
    <row r="69" spans="1:4" x14ac:dyDescent="0.25">
      <c r="A69" s="1"/>
      <c r="B69" s="1"/>
      <c r="C69" s="1"/>
      <c r="D69" s="1"/>
    </row>
    <row r="70" spans="1:4" x14ac:dyDescent="0.25">
      <c r="A70" s="1"/>
      <c r="B70" s="1"/>
      <c r="C70" s="1"/>
      <c r="D70" s="1"/>
    </row>
    <row r="71" spans="1:4" x14ac:dyDescent="0.25">
      <c r="A71" s="1"/>
      <c r="B71" s="1"/>
      <c r="C71" s="1"/>
      <c r="D71" s="1"/>
    </row>
    <row r="72" spans="1:4" x14ac:dyDescent="0.25">
      <c r="A72" s="1"/>
      <c r="B72" s="1"/>
      <c r="C72" s="1"/>
      <c r="D72" s="1"/>
    </row>
    <row r="73" spans="1:4" x14ac:dyDescent="0.25">
      <c r="A73" s="1"/>
      <c r="B73" s="1"/>
      <c r="C73" s="1"/>
      <c r="D73" s="1"/>
    </row>
    <row r="74" spans="1:4" x14ac:dyDescent="0.25">
      <c r="A74" s="1"/>
      <c r="B74" s="1"/>
      <c r="C74" s="1"/>
      <c r="D74" s="1"/>
    </row>
    <row r="75" spans="1:4" x14ac:dyDescent="0.25">
      <c r="A75" s="1"/>
      <c r="B75" s="1"/>
      <c r="C75" s="1"/>
      <c r="D75" s="1"/>
    </row>
    <row r="76" spans="1:4" x14ac:dyDescent="0.25">
      <c r="A76" s="1"/>
      <c r="B76" s="1"/>
      <c r="C76" s="1"/>
      <c r="D76" s="1"/>
    </row>
    <row r="77" spans="1:4" x14ac:dyDescent="0.25">
      <c r="A77" s="1"/>
      <c r="B77" s="1"/>
      <c r="C77" s="1"/>
      <c r="D77" s="1"/>
    </row>
    <row r="78" spans="1:4" x14ac:dyDescent="0.25">
      <c r="A78" s="1"/>
      <c r="B78" s="1"/>
      <c r="C78" s="1"/>
      <c r="D78" s="1"/>
    </row>
    <row r="79" spans="1:4" x14ac:dyDescent="0.25">
      <c r="A79" s="1"/>
      <c r="B79" s="1"/>
      <c r="C79" s="1"/>
      <c r="D79" s="1"/>
    </row>
    <row r="80" spans="1:4" x14ac:dyDescent="0.25">
      <c r="A80" s="1"/>
      <c r="B80" s="1"/>
      <c r="C80" s="1"/>
      <c r="D80" s="1"/>
    </row>
    <row r="81" spans="1:4" x14ac:dyDescent="0.25">
      <c r="A81" s="1"/>
      <c r="B81" s="1"/>
      <c r="C81" s="1"/>
      <c r="D81" s="1"/>
    </row>
    <row r="82" spans="1:4" x14ac:dyDescent="0.25">
      <c r="A82" s="1"/>
      <c r="B82" s="1"/>
      <c r="C82" s="1"/>
      <c r="D82" s="1"/>
    </row>
    <row r="83" spans="1:4" x14ac:dyDescent="0.25">
      <c r="A83" s="1"/>
      <c r="B83" s="1"/>
      <c r="C83" s="1"/>
      <c r="D83" s="1"/>
    </row>
    <row r="84" spans="1:4" x14ac:dyDescent="0.25">
      <c r="A84" s="1"/>
      <c r="B84" s="1"/>
      <c r="C84" s="1"/>
      <c r="D84" s="1"/>
    </row>
    <row r="85" spans="1:4" x14ac:dyDescent="0.25">
      <c r="A85" s="1"/>
      <c r="B85" s="1"/>
      <c r="C85" s="1"/>
      <c r="D85" s="1"/>
    </row>
    <row r="86" spans="1:4" x14ac:dyDescent="0.25">
      <c r="A86" s="1"/>
      <c r="B86" s="1"/>
      <c r="C86" s="1"/>
      <c r="D86" s="1"/>
    </row>
    <row r="87" spans="1:4" x14ac:dyDescent="0.25">
      <c r="A87" s="1"/>
      <c r="B87" s="1"/>
      <c r="C87" s="1"/>
      <c r="D87" s="1"/>
    </row>
    <row r="88" spans="1:4" x14ac:dyDescent="0.25">
      <c r="A88" s="1"/>
      <c r="B88" s="1"/>
      <c r="C88" s="1"/>
      <c r="D88" s="1"/>
    </row>
    <row r="89" spans="1:4" x14ac:dyDescent="0.25">
      <c r="A89" s="1"/>
      <c r="B89" s="1"/>
      <c r="C89" s="1"/>
      <c r="D89" s="1"/>
    </row>
    <row r="90" spans="1:4" x14ac:dyDescent="0.25">
      <c r="A90" s="1"/>
      <c r="B90" s="1"/>
      <c r="C90" s="1"/>
      <c r="D90" s="1"/>
    </row>
    <row r="91" spans="1:4" x14ac:dyDescent="0.25">
      <c r="A91" s="1"/>
      <c r="B91" s="1"/>
      <c r="C91" s="1"/>
      <c r="D91" s="1"/>
    </row>
    <row r="92" spans="1:4" x14ac:dyDescent="0.25">
      <c r="A92" s="1"/>
      <c r="B92" s="1"/>
      <c r="C92" s="1"/>
      <c r="D92" s="1"/>
    </row>
    <row r="93" spans="1:4" x14ac:dyDescent="0.25">
      <c r="A93" s="1"/>
      <c r="B93" s="1"/>
      <c r="C93" s="1"/>
      <c r="D93" s="1"/>
    </row>
    <row r="94" spans="1:4" x14ac:dyDescent="0.25">
      <c r="A94" s="1"/>
      <c r="B94" s="1"/>
      <c r="C94" s="1"/>
      <c r="D94" s="1"/>
    </row>
    <row r="95" spans="1:4" x14ac:dyDescent="0.25">
      <c r="A95" s="1"/>
      <c r="B95" s="1"/>
      <c r="C95" s="1"/>
      <c r="D95" s="1"/>
    </row>
    <row r="96" spans="1:4" x14ac:dyDescent="0.25">
      <c r="A96" s="1"/>
      <c r="B96" s="1"/>
      <c r="C96" s="1"/>
      <c r="D96" s="1"/>
    </row>
    <row r="97" spans="1:4" x14ac:dyDescent="0.25">
      <c r="A97" s="1"/>
      <c r="B97" s="1"/>
      <c r="C97" s="1"/>
      <c r="D97" s="1"/>
    </row>
    <row r="98" spans="1:4" x14ac:dyDescent="0.25">
      <c r="A98" s="1"/>
      <c r="B98" s="1"/>
      <c r="C98" s="1"/>
      <c r="D98" s="1"/>
    </row>
    <row r="99" spans="1:4" x14ac:dyDescent="0.25">
      <c r="A99" s="1"/>
      <c r="B99" s="1"/>
      <c r="C99" s="1"/>
      <c r="D99" s="1"/>
    </row>
    <row r="100" spans="1:4" x14ac:dyDescent="0.25">
      <c r="A100" s="1"/>
      <c r="B100" s="1"/>
      <c r="C100" s="1"/>
      <c r="D100" s="1"/>
    </row>
    <row r="101" spans="1:4" x14ac:dyDescent="0.25">
      <c r="A101" s="1"/>
      <c r="B101" s="1"/>
      <c r="C101" s="1"/>
      <c r="D101" s="1"/>
    </row>
    <row r="102" spans="1:4" x14ac:dyDescent="0.25">
      <c r="A102" s="1"/>
      <c r="B102" s="1"/>
      <c r="C102" s="1"/>
      <c r="D102" s="1"/>
    </row>
    <row r="103" spans="1:4" x14ac:dyDescent="0.25">
      <c r="A103" s="1"/>
      <c r="B103" s="1"/>
      <c r="C103" s="1"/>
      <c r="D103" s="1"/>
    </row>
    <row r="104" spans="1:4" x14ac:dyDescent="0.25">
      <c r="A104" s="1"/>
      <c r="B104" s="1"/>
      <c r="C104" s="1"/>
      <c r="D104" s="1"/>
    </row>
    <row r="105" spans="1:4" x14ac:dyDescent="0.25">
      <c r="A105" s="1"/>
      <c r="B105" s="1"/>
      <c r="C105" s="1"/>
      <c r="D105" s="1"/>
    </row>
    <row r="106" spans="1:4" x14ac:dyDescent="0.25">
      <c r="A106" s="1"/>
      <c r="B106" s="1"/>
      <c r="C106" s="1"/>
      <c r="D106" s="1"/>
    </row>
    <row r="107" spans="1:4" x14ac:dyDescent="0.25">
      <c r="A107" s="1"/>
      <c r="B107" s="1"/>
      <c r="C107" s="1"/>
      <c r="D107" s="1"/>
    </row>
    <row r="108" spans="1:4" x14ac:dyDescent="0.25">
      <c r="A108" s="1"/>
      <c r="B108" s="1"/>
      <c r="C108" s="1"/>
      <c r="D108" s="1"/>
    </row>
    <row r="109" spans="1:4" x14ac:dyDescent="0.25">
      <c r="A109" s="1"/>
      <c r="B109" s="1"/>
      <c r="C109" s="1"/>
      <c r="D109" s="1"/>
    </row>
    <row r="110" spans="1:4" x14ac:dyDescent="0.25">
      <c r="A110" s="1"/>
      <c r="B110" s="1"/>
      <c r="C110" s="1"/>
      <c r="D110" s="1"/>
    </row>
    <row r="111" spans="1:4" x14ac:dyDescent="0.25">
      <c r="A111" s="1"/>
      <c r="B111" s="1"/>
      <c r="C111" s="1"/>
      <c r="D111" s="1"/>
    </row>
    <row r="112" spans="1:4" x14ac:dyDescent="0.25">
      <c r="A112" s="1"/>
      <c r="B112" s="1"/>
      <c r="C112" s="1"/>
      <c r="D112" s="1"/>
    </row>
    <row r="113" spans="1:4" x14ac:dyDescent="0.25">
      <c r="A113" s="1"/>
      <c r="B113" s="1"/>
      <c r="C113" s="1"/>
      <c r="D113" s="1"/>
    </row>
    <row r="114" spans="1:4" x14ac:dyDescent="0.25">
      <c r="A114" s="1"/>
      <c r="B114" s="1"/>
      <c r="C114" s="1"/>
      <c r="D114" s="1"/>
    </row>
    <row r="115" spans="1:4" x14ac:dyDescent="0.25">
      <c r="A115" s="1"/>
      <c r="B115" s="1"/>
      <c r="C115" s="1"/>
      <c r="D115" s="1"/>
    </row>
    <row r="116" spans="1:4" x14ac:dyDescent="0.25">
      <c r="A116" s="1"/>
      <c r="B116" s="1"/>
      <c r="C116" s="1"/>
      <c r="D116" s="1"/>
    </row>
    <row r="117" spans="1:4" x14ac:dyDescent="0.25">
      <c r="A117" s="1"/>
      <c r="B117" s="1"/>
      <c r="C117" s="1"/>
      <c r="D117" s="1"/>
    </row>
    <row r="118" spans="1:4" x14ac:dyDescent="0.25">
      <c r="A118" s="1"/>
      <c r="B118" s="1"/>
      <c r="C118" s="1"/>
      <c r="D118" s="1"/>
    </row>
    <row r="119" spans="1:4" x14ac:dyDescent="0.25">
      <c r="A119" s="1"/>
      <c r="B119" s="1"/>
      <c r="C119" s="1"/>
      <c r="D119" s="1"/>
    </row>
    <row r="120" spans="1:4" x14ac:dyDescent="0.25">
      <c r="A120" s="1"/>
      <c r="B120" s="1"/>
      <c r="C120" s="1"/>
      <c r="D120" s="1"/>
    </row>
    <row r="121" spans="1:4" x14ac:dyDescent="0.25">
      <c r="A121" s="1"/>
      <c r="B121" s="1"/>
      <c r="C121" s="1"/>
      <c r="D121" s="1"/>
    </row>
    <row r="122" spans="1:4" x14ac:dyDescent="0.25">
      <c r="A122" s="1"/>
      <c r="B122" s="1"/>
      <c r="C122" s="1"/>
      <c r="D122" s="1"/>
    </row>
    <row r="123" spans="1:4" x14ac:dyDescent="0.25">
      <c r="A123" s="1"/>
      <c r="B123" s="1"/>
      <c r="C123" s="1"/>
      <c r="D123" s="1"/>
    </row>
    <row r="124" spans="1:4" x14ac:dyDescent="0.25">
      <c r="A124" s="1"/>
      <c r="B124" s="1"/>
      <c r="C124" s="1"/>
      <c r="D124" s="1"/>
    </row>
    <row r="125" spans="1:4" x14ac:dyDescent="0.25">
      <c r="A125" s="1"/>
      <c r="B125" s="1"/>
      <c r="C125" s="1"/>
      <c r="D125" s="1"/>
    </row>
    <row r="126" spans="1:4" x14ac:dyDescent="0.25">
      <c r="A126" s="1"/>
      <c r="B126" s="1"/>
      <c r="C126" s="1"/>
      <c r="D126" s="1"/>
    </row>
    <row r="127" spans="1:4" x14ac:dyDescent="0.25">
      <c r="A127" s="1"/>
      <c r="B127" s="1"/>
      <c r="C127" s="1"/>
      <c r="D127" s="1"/>
    </row>
    <row r="128" spans="1:4" x14ac:dyDescent="0.25">
      <c r="A128" s="1"/>
      <c r="B128" s="1"/>
      <c r="C128" s="1"/>
      <c r="D128" s="1"/>
    </row>
    <row r="129" spans="1:4" x14ac:dyDescent="0.25">
      <c r="A129" s="1"/>
      <c r="B129" s="1"/>
      <c r="C129" s="1"/>
      <c r="D129" s="1"/>
    </row>
    <row r="130" spans="1:4" x14ac:dyDescent="0.25">
      <c r="A130" s="1"/>
      <c r="B130" s="1"/>
      <c r="C130" s="1"/>
      <c r="D130" s="1"/>
    </row>
    <row r="131" spans="1:4" x14ac:dyDescent="0.25">
      <c r="A131" s="1"/>
      <c r="B131" s="1"/>
      <c r="C131" s="1"/>
      <c r="D131" s="1"/>
    </row>
    <row r="132" spans="1:4" x14ac:dyDescent="0.25">
      <c r="A132" s="1"/>
      <c r="B132" s="1"/>
      <c r="C132" s="1"/>
      <c r="D132" s="1"/>
    </row>
    <row r="133" spans="1:4" x14ac:dyDescent="0.25">
      <c r="A133" s="1"/>
      <c r="B133" s="1"/>
      <c r="C133" s="1"/>
      <c r="D133" s="1"/>
    </row>
    <row r="134" spans="1:4" x14ac:dyDescent="0.25">
      <c r="A134" s="1"/>
      <c r="B134" s="1"/>
      <c r="C134" s="1"/>
      <c r="D134" s="1"/>
    </row>
    <row r="135" spans="1:4" x14ac:dyDescent="0.25">
      <c r="A135" s="1"/>
      <c r="B135" s="1"/>
      <c r="C135" s="1"/>
      <c r="D135" s="1"/>
    </row>
    <row r="136" spans="1:4" x14ac:dyDescent="0.25">
      <c r="A136" s="1"/>
      <c r="B136" s="1"/>
      <c r="C136" s="1"/>
      <c r="D136" s="1"/>
    </row>
    <row r="137" spans="1:4" x14ac:dyDescent="0.25">
      <c r="A137" s="1"/>
      <c r="B137" s="1"/>
      <c r="C137" s="1"/>
      <c r="D137" s="1"/>
    </row>
    <row r="138" spans="1:4" x14ac:dyDescent="0.25">
      <c r="A138" s="1"/>
      <c r="B138" s="1"/>
      <c r="C138" s="1"/>
      <c r="D138" s="1"/>
    </row>
    <row r="139" spans="1:4" x14ac:dyDescent="0.25">
      <c r="A139" s="1"/>
      <c r="B139" s="1"/>
      <c r="C139" s="1"/>
      <c r="D139" s="1"/>
    </row>
    <row r="140" spans="1:4" x14ac:dyDescent="0.25">
      <c r="A140" s="1"/>
      <c r="B140" s="1"/>
      <c r="C140" s="1"/>
      <c r="D140" s="1"/>
    </row>
    <row r="141" spans="1:4" x14ac:dyDescent="0.25">
      <c r="A141" s="1"/>
      <c r="B141" s="1"/>
      <c r="C141" s="1"/>
      <c r="D141" s="1"/>
    </row>
    <row r="142" spans="1:4" x14ac:dyDescent="0.25">
      <c r="A142" s="1"/>
      <c r="B142" s="1"/>
      <c r="C142" s="1"/>
      <c r="D142" s="1"/>
    </row>
    <row r="143" spans="1:4" x14ac:dyDescent="0.25">
      <c r="A143" s="1"/>
      <c r="B143" s="1"/>
      <c r="C143" s="1"/>
      <c r="D143" s="1"/>
    </row>
    <row r="144" spans="1:4" x14ac:dyDescent="0.25">
      <c r="A144" s="1"/>
      <c r="B144" s="1"/>
      <c r="C144" s="1"/>
      <c r="D144" s="1"/>
    </row>
    <row r="145" spans="1:4" x14ac:dyDescent="0.25">
      <c r="A145" s="1"/>
      <c r="B145" s="1"/>
      <c r="C145" s="1"/>
      <c r="D145" s="1"/>
    </row>
    <row r="146" spans="1:4" x14ac:dyDescent="0.25">
      <c r="A146" s="1"/>
      <c r="B146" s="1"/>
      <c r="C146" s="1"/>
      <c r="D146" s="1"/>
    </row>
    <row r="147" spans="1:4" x14ac:dyDescent="0.25">
      <c r="A147" s="1"/>
      <c r="B147" s="1"/>
      <c r="C147" s="1"/>
      <c r="D147" s="1"/>
    </row>
    <row r="148" spans="1:4" x14ac:dyDescent="0.25">
      <c r="A148" s="1"/>
      <c r="B148" s="1"/>
      <c r="C148" s="1"/>
      <c r="D148" s="1"/>
    </row>
    <row r="149" spans="1:4" x14ac:dyDescent="0.25">
      <c r="A149" s="1"/>
      <c r="B149" s="1"/>
      <c r="C149" s="1"/>
      <c r="D149" s="1"/>
    </row>
    <row r="150" spans="1:4" x14ac:dyDescent="0.25">
      <c r="A150" s="1"/>
      <c r="B150" s="1"/>
      <c r="C150" s="1"/>
      <c r="D150" s="1"/>
    </row>
    <row r="151" spans="1:4" x14ac:dyDescent="0.25">
      <c r="A151" s="1"/>
      <c r="B151" s="1"/>
      <c r="C151" s="1"/>
      <c r="D151" s="1"/>
    </row>
    <row r="152" spans="1:4" x14ac:dyDescent="0.25">
      <c r="A152" s="1"/>
      <c r="B152" s="1"/>
      <c r="C152" s="1"/>
      <c r="D152" s="1"/>
    </row>
    <row r="153" spans="1:4" x14ac:dyDescent="0.25">
      <c r="A153" s="1"/>
      <c r="B153" s="1"/>
      <c r="C153" s="1"/>
      <c r="D153" s="1"/>
    </row>
    <row r="154" spans="1:4" x14ac:dyDescent="0.25">
      <c r="A154" s="1"/>
      <c r="B154" s="1"/>
      <c r="C154" s="1"/>
      <c r="D154" s="1"/>
    </row>
    <row r="155" spans="1:4" x14ac:dyDescent="0.25">
      <c r="A155" s="1"/>
      <c r="B155" s="1"/>
      <c r="C155" s="1"/>
      <c r="D155" s="1"/>
    </row>
    <row r="156" spans="1:4" x14ac:dyDescent="0.25">
      <c r="A156" s="1"/>
      <c r="B156" s="1"/>
      <c r="C156" s="1"/>
      <c r="D156" s="1"/>
    </row>
    <row r="157" spans="1:4" x14ac:dyDescent="0.25">
      <c r="A157" s="1"/>
      <c r="B157" s="1"/>
      <c r="C157" s="1"/>
      <c r="D157" s="1"/>
    </row>
    <row r="158" spans="1:4" x14ac:dyDescent="0.25">
      <c r="A158" s="1"/>
      <c r="B158" s="1"/>
      <c r="C158" s="1"/>
      <c r="D158" s="1"/>
    </row>
    <row r="159" spans="1:4" x14ac:dyDescent="0.25">
      <c r="A159" s="1"/>
      <c r="B159" s="1"/>
      <c r="C159" s="1"/>
      <c r="D159" s="1"/>
    </row>
    <row r="160" spans="1:4" x14ac:dyDescent="0.25">
      <c r="A160" s="1"/>
      <c r="B160" s="1"/>
      <c r="C160" s="1"/>
      <c r="D160" s="1"/>
    </row>
    <row r="161" spans="1:4" x14ac:dyDescent="0.25">
      <c r="A161" s="1"/>
      <c r="B161" s="1"/>
      <c r="C161" s="1"/>
      <c r="D161" s="1"/>
    </row>
    <row r="162" spans="1:4" x14ac:dyDescent="0.25">
      <c r="A162" s="1"/>
      <c r="B162" s="1"/>
      <c r="C162" s="1"/>
      <c r="D162" s="1"/>
    </row>
    <row r="163" spans="1:4" x14ac:dyDescent="0.25">
      <c r="A163" s="1"/>
      <c r="B163" s="1"/>
      <c r="C163" s="1"/>
      <c r="D163" s="1"/>
    </row>
    <row r="164" spans="1:4" x14ac:dyDescent="0.25">
      <c r="A164" s="1"/>
      <c r="B164" s="1"/>
      <c r="C164" s="1"/>
      <c r="D164" s="1"/>
    </row>
    <row r="165" spans="1:4" x14ac:dyDescent="0.25">
      <c r="A165" s="1"/>
      <c r="B165" s="1"/>
      <c r="C165" s="1"/>
      <c r="D165" s="1"/>
    </row>
    <row r="166" spans="1:4" x14ac:dyDescent="0.25">
      <c r="A166" s="1"/>
      <c r="B166" s="1"/>
      <c r="C166" s="1"/>
      <c r="D166" s="1"/>
    </row>
    <row r="167" spans="1:4" x14ac:dyDescent="0.25">
      <c r="A167" s="1"/>
      <c r="B167" s="1"/>
      <c r="C167" s="1"/>
      <c r="D167" s="1"/>
    </row>
    <row r="168" spans="1:4" x14ac:dyDescent="0.25">
      <c r="A168" s="1"/>
      <c r="B168" s="1"/>
      <c r="C168" s="1"/>
      <c r="D168" s="1"/>
    </row>
    <row r="169" spans="1:4" x14ac:dyDescent="0.25">
      <c r="A169" s="1"/>
      <c r="B169" s="1"/>
      <c r="C169" s="1"/>
      <c r="D169" s="1"/>
    </row>
    <row r="170" spans="1:4" x14ac:dyDescent="0.25">
      <c r="A170" s="1"/>
      <c r="B170" s="1"/>
      <c r="C170" s="1"/>
      <c r="D170" s="1"/>
    </row>
    <row r="171" spans="1:4" x14ac:dyDescent="0.25">
      <c r="A171" s="1"/>
      <c r="B171" s="1"/>
      <c r="C171" s="1"/>
      <c r="D171" s="1"/>
    </row>
    <row r="172" spans="1:4" x14ac:dyDescent="0.25">
      <c r="A172" s="1"/>
      <c r="B172" s="1"/>
      <c r="C172" s="1"/>
      <c r="D172" s="1"/>
    </row>
    <row r="173" spans="1:4" x14ac:dyDescent="0.25">
      <c r="A173" s="1"/>
      <c r="B173" s="1"/>
      <c r="C173" s="1"/>
      <c r="D173" s="1"/>
    </row>
    <row r="174" spans="1:4" x14ac:dyDescent="0.25">
      <c r="A174" s="1"/>
      <c r="B174" s="1"/>
      <c r="C174" s="1"/>
      <c r="D174" s="1"/>
    </row>
    <row r="175" spans="1:4" x14ac:dyDescent="0.25">
      <c r="A175" s="1"/>
      <c r="B175" s="1"/>
      <c r="C175" s="1"/>
      <c r="D175" s="1"/>
    </row>
    <row r="176" spans="1:4" x14ac:dyDescent="0.25">
      <c r="A176" s="1"/>
      <c r="B176" s="1"/>
      <c r="C176" s="1"/>
      <c r="D176" s="1"/>
    </row>
    <row r="177" spans="1:4" x14ac:dyDescent="0.25">
      <c r="A177" s="1"/>
      <c r="B177" s="1"/>
      <c r="C177" s="1"/>
      <c r="D177" s="1"/>
    </row>
    <row r="178" spans="1:4" x14ac:dyDescent="0.25">
      <c r="A178" s="1"/>
      <c r="B178" s="1"/>
      <c r="C178" s="1"/>
      <c r="D178" s="1"/>
    </row>
    <row r="179" spans="1:4" x14ac:dyDescent="0.25">
      <c r="A179" s="1"/>
      <c r="B179" s="1"/>
      <c r="C179" s="1"/>
      <c r="D179" s="1"/>
    </row>
    <row r="180" spans="1:4" x14ac:dyDescent="0.25">
      <c r="A180" s="1"/>
      <c r="B180" s="1"/>
      <c r="C180" s="1"/>
      <c r="D180" s="1"/>
    </row>
    <row r="181" spans="1:4" x14ac:dyDescent="0.25">
      <c r="A181" s="1"/>
      <c r="B181" s="1"/>
      <c r="C181" s="1"/>
      <c r="D181" s="1"/>
    </row>
    <row r="182" spans="1:4" x14ac:dyDescent="0.25">
      <c r="A182" s="1"/>
      <c r="B182" s="1"/>
      <c r="C182" s="1"/>
      <c r="D182" s="1"/>
    </row>
    <row r="183" spans="1:4" x14ac:dyDescent="0.25">
      <c r="A183" s="1"/>
      <c r="B183" s="1"/>
      <c r="C183" s="1"/>
      <c r="D183" s="1"/>
    </row>
    <row r="184" spans="1:4" x14ac:dyDescent="0.25">
      <c r="A184" s="1"/>
      <c r="B184" s="1"/>
      <c r="C184" s="1"/>
      <c r="D184" s="1"/>
    </row>
    <row r="185" spans="1:4" x14ac:dyDescent="0.25">
      <c r="A185" s="1"/>
      <c r="B185" s="1"/>
      <c r="C185" s="1"/>
      <c r="D185" s="1"/>
    </row>
    <row r="186" spans="1:4" x14ac:dyDescent="0.25">
      <c r="A186" s="1"/>
      <c r="B186" s="1"/>
      <c r="C186" s="1"/>
      <c r="D186" s="1"/>
    </row>
    <row r="187" spans="1:4" x14ac:dyDescent="0.25">
      <c r="A187" s="1"/>
      <c r="B187" s="1"/>
      <c r="C187" s="1"/>
      <c r="D187" s="1"/>
    </row>
    <row r="188" spans="1:4" x14ac:dyDescent="0.25">
      <c r="A188" s="1"/>
      <c r="B188" s="1"/>
      <c r="C188" s="1"/>
      <c r="D188" s="1"/>
    </row>
    <row r="189" spans="1:4" x14ac:dyDescent="0.25">
      <c r="A189" s="1"/>
      <c r="B189" s="1"/>
      <c r="C189" s="1"/>
      <c r="D189" s="1"/>
    </row>
    <row r="190" spans="1:4" x14ac:dyDescent="0.25">
      <c r="A190" s="1"/>
      <c r="B190" s="1"/>
      <c r="C190" s="1"/>
      <c r="D190" s="1"/>
    </row>
    <row r="191" spans="1:4" x14ac:dyDescent="0.25">
      <c r="A191" s="1"/>
      <c r="B191" s="1"/>
      <c r="C191" s="1"/>
      <c r="D191" s="1"/>
    </row>
    <row r="192" spans="1:4" x14ac:dyDescent="0.25">
      <c r="A192" s="1"/>
      <c r="B192" s="1"/>
      <c r="C192" s="1"/>
      <c r="D192" s="1"/>
    </row>
    <row r="193" spans="1:4" x14ac:dyDescent="0.25">
      <c r="A193" s="1"/>
      <c r="B193" s="1"/>
      <c r="C193" s="1"/>
      <c r="D193" s="1"/>
    </row>
    <row r="194" spans="1:4" x14ac:dyDescent="0.25">
      <c r="A194" s="1"/>
      <c r="B194" s="1"/>
      <c r="C194" s="1"/>
      <c r="D194" s="1"/>
    </row>
    <row r="195" spans="1:4" x14ac:dyDescent="0.25">
      <c r="A195" s="1"/>
      <c r="B195" s="1"/>
      <c r="C195" s="1"/>
      <c r="D195" s="1"/>
    </row>
    <row r="196" spans="1:4" x14ac:dyDescent="0.25">
      <c r="A196" s="1"/>
      <c r="B196" s="1"/>
      <c r="C196" s="1"/>
      <c r="D196" s="1"/>
    </row>
    <row r="197" spans="1:4" x14ac:dyDescent="0.25">
      <c r="A197" s="1"/>
      <c r="B197" s="1"/>
      <c r="C197" s="1"/>
      <c r="D197" s="1"/>
    </row>
    <row r="198" spans="1:4" x14ac:dyDescent="0.25">
      <c r="A198" s="1"/>
      <c r="B198" s="1"/>
      <c r="C198" s="1"/>
      <c r="D198" s="1"/>
    </row>
    <row r="199" spans="1:4" x14ac:dyDescent="0.25">
      <c r="A199" s="1"/>
      <c r="B199" s="1"/>
      <c r="C199" s="1"/>
      <c r="D199" s="1"/>
    </row>
    <row r="200" spans="1:4" x14ac:dyDescent="0.25">
      <c r="A200" s="1"/>
      <c r="B200" s="1"/>
      <c r="C200" s="1"/>
      <c r="D200" s="1"/>
    </row>
    <row r="201" spans="1:4" x14ac:dyDescent="0.25">
      <c r="A201" s="1"/>
      <c r="B201" s="1"/>
      <c r="C201" s="1"/>
      <c r="D201" s="1"/>
    </row>
    <row r="202" spans="1:4" x14ac:dyDescent="0.25">
      <c r="A202" s="1"/>
      <c r="B202" s="1"/>
      <c r="C202" s="1"/>
      <c r="D202" s="1"/>
    </row>
    <row r="203" spans="1:4" x14ac:dyDescent="0.25">
      <c r="A203" s="1"/>
      <c r="B203" s="1"/>
      <c r="C203" s="1"/>
      <c r="D203" s="1"/>
    </row>
    <row r="204" spans="1:4" x14ac:dyDescent="0.25">
      <c r="A204" s="1"/>
      <c r="B204" s="1"/>
      <c r="C204" s="1"/>
      <c r="D204" s="1"/>
    </row>
    <row r="205" spans="1:4" x14ac:dyDescent="0.25">
      <c r="A205" s="1"/>
      <c r="B205" s="1"/>
      <c r="C205" s="1"/>
      <c r="D205" s="1"/>
    </row>
    <row r="206" spans="1:4" x14ac:dyDescent="0.25">
      <c r="A206" s="1"/>
      <c r="B206" s="1"/>
      <c r="C206" s="1"/>
      <c r="D206" s="1"/>
    </row>
    <row r="207" spans="1:4" x14ac:dyDescent="0.25">
      <c r="A207" s="1"/>
      <c r="B207" s="1"/>
      <c r="C207" s="1"/>
      <c r="D207" s="1"/>
    </row>
    <row r="208" spans="1:4" x14ac:dyDescent="0.25">
      <c r="A208" s="1"/>
      <c r="B208" s="1"/>
      <c r="C208" s="1"/>
      <c r="D208" s="1"/>
    </row>
    <row r="209" spans="1:4" x14ac:dyDescent="0.25">
      <c r="A209" s="1"/>
      <c r="B209" s="1"/>
      <c r="C209" s="1"/>
      <c r="D209" s="1"/>
    </row>
    <row r="210" spans="1:4" x14ac:dyDescent="0.25">
      <c r="A210" s="1"/>
      <c r="B210" s="1"/>
      <c r="C210" s="1"/>
      <c r="D210" s="1"/>
    </row>
    <row r="211" spans="1:4" x14ac:dyDescent="0.25">
      <c r="A211" s="1"/>
      <c r="B211" s="1"/>
      <c r="C211" s="1"/>
      <c r="D211" s="1"/>
    </row>
    <row r="212" spans="1:4" x14ac:dyDescent="0.25">
      <c r="A212" s="1"/>
      <c r="B212" s="1"/>
      <c r="C212" s="1"/>
      <c r="D212" s="1"/>
    </row>
    <row r="213" spans="1:4" x14ac:dyDescent="0.25">
      <c r="A213" s="1"/>
      <c r="B213" s="1"/>
      <c r="C213" s="1"/>
      <c r="D213" s="1"/>
    </row>
    <row r="214" spans="1:4" x14ac:dyDescent="0.25">
      <c r="A214" s="1"/>
      <c r="B214" s="1"/>
      <c r="C214" s="1"/>
      <c r="D214" s="1"/>
    </row>
    <row r="215" spans="1:4" x14ac:dyDescent="0.25">
      <c r="A215" s="1"/>
      <c r="B215" s="1"/>
      <c r="C215" s="1"/>
      <c r="D215" s="1"/>
    </row>
    <row r="216" spans="1:4" x14ac:dyDescent="0.25">
      <c r="A216" s="1"/>
      <c r="B216" s="1"/>
      <c r="C216" s="1"/>
      <c r="D216" s="1"/>
    </row>
    <row r="217" spans="1:4" x14ac:dyDescent="0.25">
      <c r="A217" s="1"/>
      <c r="B217" s="1"/>
      <c r="C217" s="1"/>
      <c r="D217" s="1"/>
    </row>
    <row r="218" spans="1:4" x14ac:dyDescent="0.25">
      <c r="A218" s="1"/>
      <c r="B218" s="1"/>
      <c r="C218" s="1"/>
      <c r="D218" s="1"/>
    </row>
    <row r="219" spans="1:4" x14ac:dyDescent="0.25">
      <c r="A219" s="1"/>
      <c r="B219" s="1"/>
      <c r="C219" s="1"/>
      <c r="D219" s="1"/>
    </row>
    <row r="220" spans="1:4" x14ac:dyDescent="0.25">
      <c r="A220" s="1"/>
      <c r="B220" s="1"/>
      <c r="C220" s="1"/>
      <c r="D220" s="1"/>
    </row>
    <row r="221" spans="1:4" x14ac:dyDescent="0.25">
      <c r="A221" s="1"/>
      <c r="B221" s="1"/>
      <c r="C221" s="1"/>
      <c r="D221" s="1"/>
    </row>
    <row r="222" spans="1:4" x14ac:dyDescent="0.25">
      <c r="A222" s="1"/>
      <c r="B222" s="1"/>
      <c r="C222" s="1"/>
      <c r="D222" s="1"/>
    </row>
    <row r="223" spans="1:4" x14ac:dyDescent="0.25">
      <c r="A223" s="1"/>
      <c r="B223" s="1"/>
      <c r="C223" s="1"/>
      <c r="D223" s="1"/>
    </row>
    <row r="224" spans="1:4" x14ac:dyDescent="0.25">
      <c r="A224" s="1"/>
      <c r="B224" s="1"/>
      <c r="C224" s="1"/>
      <c r="D224" s="1"/>
    </row>
    <row r="225" spans="1:4" x14ac:dyDescent="0.25">
      <c r="A225" s="1"/>
      <c r="B225" s="1"/>
      <c r="C225" s="1"/>
      <c r="D225" s="1"/>
    </row>
    <row r="226" spans="1:4" x14ac:dyDescent="0.25">
      <c r="A226" s="1"/>
      <c r="B226" s="1"/>
      <c r="C226" s="1"/>
      <c r="D226" s="1"/>
    </row>
    <row r="227" spans="1:4" x14ac:dyDescent="0.25">
      <c r="A227" s="1"/>
      <c r="B227" s="1"/>
      <c r="C227" s="1"/>
      <c r="D227" s="1"/>
    </row>
    <row r="228" spans="1:4" x14ac:dyDescent="0.25">
      <c r="A228" s="1"/>
      <c r="B228" s="1"/>
      <c r="C228" s="1"/>
      <c r="D228" s="1"/>
    </row>
    <row r="229" spans="1:4" x14ac:dyDescent="0.25">
      <c r="A229" s="1"/>
      <c r="B229" s="1"/>
      <c r="C229" s="1"/>
      <c r="D229" s="1"/>
    </row>
    <row r="230" spans="1:4" x14ac:dyDescent="0.25">
      <c r="A230" s="1"/>
      <c r="B230" s="1"/>
      <c r="C230" s="1"/>
      <c r="D230" s="1"/>
    </row>
    <row r="231" spans="1:4" x14ac:dyDescent="0.25">
      <c r="A231" s="1"/>
      <c r="B231" s="1"/>
      <c r="C231" s="1"/>
      <c r="D231" s="1"/>
    </row>
    <row r="232" spans="1:4" x14ac:dyDescent="0.25">
      <c r="A232" s="1"/>
      <c r="B232" s="1"/>
      <c r="C232" s="1"/>
      <c r="D232" s="1"/>
    </row>
    <row r="233" spans="1:4" x14ac:dyDescent="0.25">
      <c r="A233" s="1"/>
      <c r="B233" s="1"/>
      <c r="C233" s="1"/>
      <c r="D233" s="1"/>
    </row>
    <row r="234" spans="1:4" x14ac:dyDescent="0.25">
      <c r="A234" s="1"/>
      <c r="B234" s="1"/>
      <c r="C234" s="1"/>
      <c r="D234" s="1"/>
    </row>
    <row r="235" spans="1:4" x14ac:dyDescent="0.25">
      <c r="A235" s="1"/>
      <c r="B235" s="1"/>
      <c r="C235" s="1"/>
      <c r="D235" s="1"/>
    </row>
    <row r="236" spans="1:4" x14ac:dyDescent="0.25">
      <c r="A236" s="1"/>
      <c r="B236" s="1"/>
      <c r="C236" s="1"/>
      <c r="D236" s="1"/>
    </row>
    <row r="237" spans="1:4" x14ac:dyDescent="0.25">
      <c r="A237" s="1"/>
      <c r="B237" s="1"/>
      <c r="C237" s="1"/>
      <c r="D237" s="1"/>
    </row>
    <row r="238" spans="1:4" x14ac:dyDescent="0.25">
      <c r="A238" s="1"/>
      <c r="B238" s="1"/>
      <c r="C238" s="1"/>
      <c r="D238" s="1"/>
    </row>
    <row r="239" spans="1:4" x14ac:dyDescent="0.25">
      <c r="A239" s="1"/>
      <c r="B239" s="1"/>
      <c r="C239" s="1"/>
      <c r="D239" s="1"/>
    </row>
    <row r="240" spans="1:4" x14ac:dyDescent="0.25">
      <c r="A240" s="1"/>
      <c r="B240" s="1"/>
      <c r="C240" s="1"/>
      <c r="D240" s="1"/>
    </row>
    <row r="241" spans="1:4" x14ac:dyDescent="0.25">
      <c r="A241" s="1"/>
      <c r="B241" s="1"/>
      <c r="C241" s="1"/>
      <c r="D241" s="1"/>
    </row>
    <row r="242" spans="1:4" x14ac:dyDescent="0.25">
      <c r="A242" s="1"/>
      <c r="B242" s="1"/>
      <c r="C242" s="1"/>
      <c r="D242" s="1"/>
    </row>
    <row r="243" spans="1:4" x14ac:dyDescent="0.25">
      <c r="A243" s="1"/>
      <c r="B243" s="1"/>
      <c r="C243" s="1"/>
      <c r="D243" s="1"/>
    </row>
    <row r="244" spans="1:4" x14ac:dyDescent="0.25">
      <c r="A244" s="1"/>
      <c r="B244" s="1"/>
      <c r="C244" s="1"/>
      <c r="D244" s="1"/>
    </row>
    <row r="245" spans="1:4" x14ac:dyDescent="0.25">
      <c r="A245" s="1"/>
      <c r="B245" s="1"/>
      <c r="C245" s="1"/>
      <c r="D245" s="1"/>
    </row>
    <row r="246" spans="1:4" x14ac:dyDescent="0.25">
      <c r="A246" s="1"/>
      <c r="B246" s="1"/>
      <c r="C246" s="1"/>
      <c r="D246" s="1"/>
    </row>
    <row r="247" spans="1:4" x14ac:dyDescent="0.25">
      <c r="A247" s="1"/>
      <c r="B247" s="1"/>
      <c r="C247" s="1"/>
      <c r="D247" s="1"/>
    </row>
    <row r="248" spans="1:4" x14ac:dyDescent="0.25">
      <c r="A248" s="1"/>
      <c r="B248" s="1"/>
      <c r="C248" s="1"/>
      <c r="D248" s="1"/>
    </row>
    <row r="249" spans="1:4" x14ac:dyDescent="0.25">
      <c r="A249" s="1"/>
      <c r="B249" s="1"/>
      <c r="C249" s="1"/>
      <c r="D249" s="1"/>
    </row>
    <row r="250" spans="1:4" x14ac:dyDescent="0.25">
      <c r="A250" s="1"/>
      <c r="B250" s="1"/>
      <c r="C250" s="1"/>
      <c r="D250" s="1"/>
    </row>
    <row r="251" spans="1:4" x14ac:dyDescent="0.25">
      <c r="A251" s="1"/>
      <c r="B251" s="1"/>
      <c r="C251" s="1"/>
      <c r="D251" s="1"/>
    </row>
    <row r="252" spans="1:4" x14ac:dyDescent="0.25">
      <c r="A252" s="1"/>
      <c r="B252" s="1"/>
      <c r="C252" s="1"/>
      <c r="D252" s="1"/>
    </row>
    <row r="253" spans="1:4" x14ac:dyDescent="0.25">
      <c r="A253" s="1"/>
      <c r="B253" s="1"/>
      <c r="C253" s="1"/>
      <c r="D253" s="1"/>
    </row>
    <row r="254" spans="1:4" x14ac:dyDescent="0.25">
      <c r="A254" s="1"/>
      <c r="B254" s="1"/>
      <c r="C254" s="1"/>
      <c r="D254" s="1"/>
    </row>
    <row r="255" spans="1:4" x14ac:dyDescent="0.25">
      <c r="A255" s="1"/>
      <c r="B255" s="1"/>
      <c r="C255" s="1"/>
      <c r="D255" s="1"/>
    </row>
    <row r="256" spans="1:4" x14ac:dyDescent="0.25">
      <c r="A256" s="1"/>
      <c r="B256" s="1"/>
      <c r="C256" s="1"/>
      <c r="D256" s="1"/>
    </row>
    <row r="257" spans="1:4" x14ac:dyDescent="0.25">
      <c r="A257" s="1"/>
      <c r="B257" s="1"/>
      <c r="C257" s="1"/>
      <c r="D257" s="1"/>
    </row>
    <row r="258" spans="1:4" x14ac:dyDescent="0.25">
      <c r="A258" s="1"/>
      <c r="B258" s="1"/>
      <c r="C258" s="1"/>
      <c r="D258" s="1"/>
    </row>
    <row r="259" spans="1:4" x14ac:dyDescent="0.25">
      <c r="A259" s="1"/>
      <c r="B259" s="1"/>
      <c r="C259" s="1"/>
      <c r="D259" s="1"/>
    </row>
    <row r="260" spans="1:4" x14ac:dyDescent="0.25">
      <c r="A260" s="1"/>
      <c r="B260" s="1"/>
      <c r="C260" s="1"/>
      <c r="D260" s="1"/>
    </row>
    <row r="261" spans="1:4" x14ac:dyDescent="0.25">
      <c r="A261" s="1"/>
      <c r="B261" s="1"/>
      <c r="C261" s="1"/>
      <c r="D261" s="1"/>
    </row>
    <row r="262" spans="1:4" x14ac:dyDescent="0.25">
      <c r="A262" s="1"/>
      <c r="B262" s="1"/>
      <c r="C262" s="1"/>
      <c r="D262" s="1"/>
    </row>
    <row r="263" spans="1:4" x14ac:dyDescent="0.25">
      <c r="A263" s="1"/>
      <c r="B263" s="1"/>
      <c r="C263" s="1"/>
      <c r="D263" s="1"/>
    </row>
    <row r="264" spans="1:4" x14ac:dyDescent="0.25">
      <c r="A264" s="1"/>
      <c r="B264" s="1"/>
      <c r="C264" s="1"/>
      <c r="D264" s="1"/>
    </row>
    <row r="265" spans="1:4" x14ac:dyDescent="0.25">
      <c r="A265" s="1"/>
      <c r="B265" s="1"/>
      <c r="C265" s="1"/>
      <c r="D265" s="1"/>
    </row>
    <row r="266" spans="1:4" x14ac:dyDescent="0.25">
      <c r="A266" s="1"/>
      <c r="B266" s="1"/>
      <c r="C266" s="1"/>
      <c r="D266" s="1"/>
    </row>
    <row r="267" spans="1:4" x14ac:dyDescent="0.25">
      <c r="A267" s="1"/>
      <c r="B267" s="1"/>
      <c r="C267" s="1"/>
      <c r="D267" s="1"/>
    </row>
    <row r="268" spans="1:4" x14ac:dyDescent="0.25">
      <c r="A268" s="1"/>
      <c r="B268" s="1"/>
      <c r="C268" s="1"/>
      <c r="D268" s="1"/>
    </row>
    <row r="269" spans="1:4" x14ac:dyDescent="0.25">
      <c r="A269" s="1"/>
      <c r="B269" s="1"/>
      <c r="C269" s="1"/>
      <c r="D269" s="1"/>
    </row>
    <row r="270" spans="1:4" x14ac:dyDescent="0.25">
      <c r="A270" s="1"/>
      <c r="B270" s="1"/>
      <c r="C270" s="1"/>
      <c r="D270" s="1"/>
    </row>
    <row r="271" spans="1:4" x14ac:dyDescent="0.25">
      <c r="A271" s="1"/>
      <c r="B271" s="1"/>
      <c r="C271" s="1"/>
      <c r="D271" s="1"/>
    </row>
    <row r="272" spans="1:4" x14ac:dyDescent="0.25">
      <c r="A272" s="1"/>
      <c r="B272" s="1"/>
      <c r="C272" s="1"/>
      <c r="D272" s="1"/>
    </row>
    <row r="273" spans="1:4" x14ac:dyDescent="0.25">
      <c r="A273" s="1"/>
      <c r="B273" s="1"/>
      <c r="C273" s="1"/>
      <c r="D273" s="1"/>
    </row>
    <row r="274" spans="1:4" x14ac:dyDescent="0.25">
      <c r="A274" s="1"/>
      <c r="B274" s="1"/>
      <c r="C274" s="1"/>
      <c r="D274" s="1"/>
    </row>
    <row r="275" spans="1:4" x14ac:dyDescent="0.25">
      <c r="A275" s="1"/>
      <c r="B275" s="1"/>
      <c r="C275" s="1"/>
      <c r="D275" s="1"/>
    </row>
    <row r="276" spans="1:4" x14ac:dyDescent="0.25">
      <c r="A276" s="1"/>
      <c r="B276" s="1"/>
      <c r="C276" s="1"/>
      <c r="D276" s="1"/>
    </row>
    <row r="277" spans="1:4" x14ac:dyDescent="0.25">
      <c r="A277" s="1"/>
      <c r="B277" s="1"/>
      <c r="C277" s="1"/>
      <c r="D277" s="1"/>
    </row>
    <row r="278" spans="1:4" x14ac:dyDescent="0.25">
      <c r="A278" s="1"/>
      <c r="B278" s="1"/>
      <c r="C278" s="1"/>
      <c r="D278" s="1"/>
    </row>
    <row r="279" spans="1:4" x14ac:dyDescent="0.25">
      <c r="A279" s="1"/>
      <c r="B279" s="1"/>
      <c r="C279" s="1"/>
      <c r="D279" s="1"/>
    </row>
    <row r="280" spans="1:4" x14ac:dyDescent="0.25">
      <c r="A280" s="1"/>
      <c r="B280" s="1"/>
      <c r="C280" s="1"/>
      <c r="D280" s="1"/>
    </row>
    <row r="281" spans="1:4" x14ac:dyDescent="0.25">
      <c r="A281" s="1"/>
      <c r="B281" s="1"/>
      <c r="C281" s="1"/>
      <c r="D281" s="1"/>
    </row>
    <row r="282" spans="1:4" x14ac:dyDescent="0.25">
      <c r="A282" s="1"/>
      <c r="B282" s="1"/>
      <c r="C282" s="1"/>
      <c r="D282" s="1"/>
    </row>
    <row r="283" spans="1:4" x14ac:dyDescent="0.25">
      <c r="A283" s="1"/>
      <c r="B283" s="1"/>
      <c r="C283" s="1"/>
      <c r="D283" s="1"/>
    </row>
    <row r="284" spans="1:4" x14ac:dyDescent="0.25">
      <c r="A284" s="1"/>
      <c r="B284" s="1"/>
      <c r="C284" s="1"/>
      <c r="D284" s="1"/>
    </row>
    <row r="285" spans="1:4" x14ac:dyDescent="0.25">
      <c r="A285" s="1"/>
      <c r="B285" s="1"/>
      <c r="C285" s="1"/>
      <c r="D285" s="1"/>
    </row>
    <row r="286" spans="1:4" x14ac:dyDescent="0.25">
      <c r="A286" s="1"/>
      <c r="B286" s="1"/>
      <c r="C286" s="1"/>
      <c r="D286" s="1"/>
    </row>
    <row r="287" spans="1:4" x14ac:dyDescent="0.25">
      <c r="A287" s="1"/>
      <c r="B287" s="1"/>
      <c r="C287" s="1"/>
      <c r="D287" s="1"/>
    </row>
    <row r="288" spans="1:4" x14ac:dyDescent="0.25">
      <c r="A288" s="1"/>
      <c r="B288" s="1"/>
      <c r="C288" s="1"/>
      <c r="D288" s="1"/>
    </row>
    <row r="289" spans="1:4" x14ac:dyDescent="0.25">
      <c r="A289" s="1"/>
      <c r="B289" s="1"/>
      <c r="C289" s="1"/>
      <c r="D289" s="1"/>
    </row>
    <row r="290" spans="1:4" x14ac:dyDescent="0.25">
      <c r="A290" s="1"/>
      <c r="B290" s="1"/>
      <c r="C290" s="1"/>
      <c r="D290" s="1"/>
    </row>
    <row r="291" spans="1:4" x14ac:dyDescent="0.25">
      <c r="A291" s="1"/>
      <c r="B291" s="1"/>
      <c r="C291" s="1"/>
      <c r="D291" s="1"/>
    </row>
    <row r="292" spans="1:4" x14ac:dyDescent="0.25">
      <c r="A292" s="1"/>
      <c r="B292" s="1"/>
      <c r="C292" s="1"/>
      <c r="D292" s="1"/>
    </row>
    <row r="293" spans="1:4" x14ac:dyDescent="0.25">
      <c r="A293" s="1"/>
      <c r="B293" s="1"/>
      <c r="C293" s="1"/>
      <c r="D293" s="1"/>
    </row>
    <row r="294" spans="1:4" x14ac:dyDescent="0.25">
      <c r="A294" s="1"/>
      <c r="B294" s="1"/>
      <c r="C294" s="1"/>
      <c r="D294" s="1"/>
    </row>
    <row r="295" spans="1:4" x14ac:dyDescent="0.25">
      <c r="A295" s="1"/>
      <c r="B295" s="1"/>
      <c r="C295" s="1"/>
      <c r="D295" s="1"/>
    </row>
    <row r="296" spans="1:4" x14ac:dyDescent="0.25">
      <c r="A296" s="1"/>
      <c r="B296" s="1"/>
      <c r="C296" s="1"/>
      <c r="D296" s="1"/>
    </row>
    <row r="297" spans="1:4" x14ac:dyDescent="0.25">
      <c r="A297" s="1"/>
      <c r="B297" s="1"/>
      <c r="C297" s="1"/>
      <c r="D297" s="1"/>
    </row>
    <row r="298" spans="1:4" x14ac:dyDescent="0.25">
      <c r="A298" s="1"/>
      <c r="B298" s="1"/>
      <c r="C298" s="1"/>
      <c r="D298" s="1"/>
    </row>
    <row r="299" spans="1:4" x14ac:dyDescent="0.25">
      <c r="A299" s="1"/>
      <c r="B299" s="1"/>
      <c r="C299" s="1"/>
      <c r="D299" s="1"/>
    </row>
    <row r="300" spans="1:4" x14ac:dyDescent="0.25">
      <c r="A300" s="1"/>
      <c r="B300" s="1"/>
      <c r="C300" s="1"/>
      <c r="D300" s="1"/>
    </row>
    <row r="301" spans="1:4" x14ac:dyDescent="0.25">
      <c r="A301" s="1"/>
      <c r="B301" s="1"/>
      <c r="C301" s="1"/>
      <c r="D301" s="1"/>
    </row>
    <row r="302" spans="1:4" x14ac:dyDescent="0.25">
      <c r="A302" s="1"/>
      <c r="B302" s="1"/>
      <c r="C302" s="1"/>
      <c r="D302" s="1"/>
    </row>
    <row r="303" spans="1:4" x14ac:dyDescent="0.25">
      <c r="A303" s="1"/>
      <c r="B303" s="1"/>
      <c r="C303" s="1"/>
      <c r="D303" s="1"/>
    </row>
    <row r="304" spans="1:4" x14ac:dyDescent="0.25">
      <c r="A304" s="1"/>
      <c r="B304" s="1"/>
      <c r="C304" s="1"/>
      <c r="D304" s="1"/>
    </row>
    <row r="305" spans="1:4" x14ac:dyDescent="0.25">
      <c r="A305" s="1"/>
      <c r="B305" s="1"/>
      <c r="C305" s="1"/>
      <c r="D305" s="1"/>
    </row>
    <row r="306" spans="1:4" x14ac:dyDescent="0.25">
      <c r="A306" s="1"/>
      <c r="B306" s="1"/>
      <c r="C306" s="1"/>
      <c r="D306" s="1"/>
    </row>
    <row r="307" spans="1:4" x14ac:dyDescent="0.25">
      <c r="A307" s="1"/>
      <c r="B307" s="1"/>
      <c r="C307" s="1"/>
      <c r="D307" s="1"/>
    </row>
    <row r="308" spans="1:4" x14ac:dyDescent="0.25">
      <c r="A308" s="1"/>
      <c r="B308" s="1"/>
      <c r="C308" s="1"/>
      <c r="D308" s="1"/>
    </row>
    <row r="309" spans="1:4" x14ac:dyDescent="0.25">
      <c r="A309" s="1"/>
      <c r="B309" s="1"/>
      <c r="C309" s="1"/>
      <c r="D309" s="1"/>
    </row>
    <row r="310" spans="1:4" x14ac:dyDescent="0.25">
      <c r="A310" s="1"/>
      <c r="B310" s="1"/>
      <c r="C310" s="1"/>
      <c r="D310" s="1"/>
    </row>
    <row r="311" spans="1:4" x14ac:dyDescent="0.25">
      <c r="A311" s="1"/>
      <c r="B311" s="1"/>
      <c r="C311" s="1"/>
      <c r="D311" s="1"/>
    </row>
    <row r="312" spans="1:4" x14ac:dyDescent="0.25">
      <c r="A312" s="1"/>
      <c r="B312" s="1"/>
      <c r="C312" s="1"/>
      <c r="D312" s="1"/>
    </row>
    <row r="313" spans="1:4" x14ac:dyDescent="0.25">
      <c r="A313" s="1"/>
      <c r="B313" s="1"/>
      <c r="C313" s="1"/>
      <c r="D313" s="1"/>
    </row>
    <row r="314" spans="1:4" x14ac:dyDescent="0.25">
      <c r="A314" s="1"/>
      <c r="B314" s="1"/>
      <c r="C314" s="1"/>
      <c r="D314" s="1"/>
    </row>
    <row r="315" spans="1:4" x14ac:dyDescent="0.25">
      <c r="A315" s="1"/>
      <c r="B315" s="1"/>
      <c r="C315" s="1"/>
      <c r="D315" s="1"/>
    </row>
    <row r="316" spans="1:4" x14ac:dyDescent="0.25">
      <c r="A316" s="1"/>
      <c r="B316" s="1"/>
      <c r="C316" s="1"/>
      <c r="D316" s="1"/>
    </row>
    <row r="317" spans="1:4" x14ac:dyDescent="0.25">
      <c r="A317" s="1"/>
      <c r="B317" s="1"/>
      <c r="C317" s="1"/>
      <c r="D317" s="1"/>
    </row>
    <row r="318" spans="1:4" x14ac:dyDescent="0.25">
      <c r="A318" s="1"/>
      <c r="B318" s="1"/>
      <c r="C318" s="1"/>
      <c r="D318" s="1"/>
    </row>
    <row r="319" spans="1:4" x14ac:dyDescent="0.25">
      <c r="A319" s="1"/>
      <c r="B319" s="1"/>
      <c r="C319" s="1"/>
      <c r="D319" s="1"/>
    </row>
    <row r="320" spans="1:4" x14ac:dyDescent="0.25">
      <c r="A320" s="1"/>
      <c r="B320" s="1"/>
      <c r="C320" s="1"/>
      <c r="D320" s="1"/>
    </row>
    <row r="321" spans="1:4" x14ac:dyDescent="0.25">
      <c r="A321" s="1"/>
      <c r="B321" s="1"/>
      <c r="C321" s="1"/>
      <c r="D321" s="1"/>
    </row>
    <row r="322" spans="1:4" x14ac:dyDescent="0.25">
      <c r="A322" s="1"/>
      <c r="B322" s="1"/>
      <c r="C322" s="1"/>
      <c r="D322" s="1"/>
    </row>
    <row r="323" spans="1:4" x14ac:dyDescent="0.25">
      <c r="A323" s="1"/>
      <c r="B323" s="1"/>
      <c r="C323" s="1"/>
      <c r="D323" s="1"/>
    </row>
    <row r="324" spans="1:4" x14ac:dyDescent="0.25">
      <c r="A324" s="1"/>
      <c r="B324" s="1"/>
      <c r="C324" s="1"/>
      <c r="D324" s="1"/>
    </row>
    <row r="325" spans="1:4" x14ac:dyDescent="0.25">
      <c r="A325" s="1"/>
      <c r="B325" s="1"/>
      <c r="C325" s="1"/>
      <c r="D325" s="1"/>
    </row>
    <row r="326" spans="1:4" x14ac:dyDescent="0.25">
      <c r="A326" s="1"/>
      <c r="B326" s="1"/>
      <c r="C326" s="1"/>
      <c r="D326" s="1"/>
    </row>
    <row r="327" spans="1:4" x14ac:dyDescent="0.25">
      <c r="A327" s="1"/>
      <c r="B327" s="1"/>
      <c r="C327" s="1"/>
      <c r="D327" s="1"/>
    </row>
    <row r="328" spans="1:4" x14ac:dyDescent="0.25">
      <c r="A328" s="1"/>
      <c r="B328" s="1"/>
      <c r="C328" s="1"/>
      <c r="D328" s="1"/>
    </row>
    <row r="329" spans="1:4" x14ac:dyDescent="0.25">
      <c r="A329" s="1"/>
      <c r="B329" s="1"/>
      <c r="C329" s="1"/>
      <c r="D329" s="1"/>
    </row>
    <row r="330" spans="1:4" x14ac:dyDescent="0.25">
      <c r="A330" s="1"/>
      <c r="B330" s="1"/>
      <c r="C330" s="1"/>
      <c r="D330" s="1"/>
    </row>
    <row r="331" spans="1:4" x14ac:dyDescent="0.25">
      <c r="A331" s="1"/>
      <c r="B331" s="1"/>
      <c r="C331" s="1"/>
      <c r="D331" s="1"/>
    </row>
    <row r="332" spans="1:4" x14ac:dyDescent="0.25">
      <c r="A332" s="1"/>
      <c r="B332" s="1"/>
      <c r="C332" s="1"/>
      <c r="D332" s="1"/>
    </row>
    <row r="333" spans="1:4" x14ac:dyDescent="0.25">
      <c r="A333" s="1"/>
      <c r="B333" s="1"/>
      <c r="C333" s="1"/>
      <c r="D333" s="1"/>
    </row>
    <row r="334" spans="1:4" x14ac:dyDescent="0.25">
      <c r="A334" s="1"/>
      <c r="B334" s="1"/>
      <c r="C334" s="1"/>
      <c r="D334" s="1"/>
    </row>
    <row r="335" spans="1:4" x14ac:dyDescent="0.25">
      <c r="A335" s="1"/>
      <c r="B335" s="1"/>
      <c r="C335" s="1"/>
      <c r="D335" s="1"/>
    </row>
    <row r="336" spans="1:4" x14ac:dyDescent="0.25">
      <c r="A336" s="1"/>
      <c r="B336" s="1"/>
      <c r="C336" s="1"/>
      <c r="D336" s="1"/>
    </row>
    <row r="337" spans="1:4" x14ac:dyDescent="0.25">
      <c r="A337" s="1"/>
      <c r="B337" s="1"/>
      <c r="C337" s="1"/>
      <c r="D337" s="1"/>
    </row>
    <row r="338" spans="1:4" x14ac:dyDescent="0.25">
      <c r="A338" s="1"/>
      <c r="B338" s="1"/>
      <c r="C338" s="1"/>
      <c r="D338" s="1"/>
    </row>
    <row r="339" spans="1:4" x14ac:dyDescent="0.25">
      <c r="A339" s="1"/>
      <c r="B339" s="1"/>
      <c r="C339" s="1"/>
      <c r="D339" s="1"/>
    </row>
    <row r="340" spans="1:4" x14ac:dyDescent="0.25">
      <c r="A340" s="1"/>
      <c r="B340" s="1"/>
      <c r="C340" s="1"/>
      <c r="D340" s="1"/>
    </row>
    <row r="341" spans="1:4" x14ac:dyDescent="0.25">
      <c r="A341" s="1"/>
      <c r="B341" s="1"/>
      <c r="C341" s="1"/>
      <c r="D341" s="1"/>
    </row>
    <row r="342" spans="1:4" x14ac:dyDescent="0.25">
      <c r="A342" s="1"/>
      <c r="B342" s="1"/>
      <c r="C342" s="1"/>
      <c r="D342" s="1"/>
    </row>
    <row r="343" spans="1:4" x14ac:dyDescent="0.25">
      <c r="A343" s="1"/>
      <c r="B343" s="1"/>
      <c r="C343" s="1"/>
      <c r="D343" s="1"/>
    </row>
    <row r="344" spans="1:4" x14ac:dyDescent="0.25">
      <c r="A344" s="1"/>
      <c r="B344" s="1"/>
      <c r="C344" s="1"/>
      <c r="D344" s="1"/>
    </row>
    <row r="345" spans="1:4" x14ac:dyDescent="0.25">
      <c r="A345" s="1"/>
      <c r="B345" s="1"/>
      <c r="C345" s="1"/>
      <c r="D345" s="1"/>
    </row>
    <row r="346" spans="1:4" x14ac:dyDescent="0.25">
      <c r="A346" s="1"/>
      <c r="B346" s="1"/>
      <c r="C346" s="1"/>
      <c r="D346" s="1"/>
    </row>
    <row r="347" spans="1:4" x14ac:dyDescent="0.25">
      <c r="A347" s="1"/>
      <c r="B347" s="1"/>
      <c r="C347" s="1"/>
      <c r="D347" s="1"/>
    </row>
    <row r="348" spans="1:4" x14ac:dyDescent="0.25">
      <c r="A348" s="1"/>
      <c r="B348" s="1"/>
      <c r="C348" s="1"/>
      <c r="D348" s="1"/>
    </row>
    <row r="349" spans="1:4" x14ac:dyDescent="0.25">
      <c r="A349" s="1"/>
      <c r="B349" s="1"/>
      <c r="C349" s="1"/>
      <c r="D349" s="1"/>
    </row>
    <row r="350" spans="1:4" x14ac:dyDescent="0.25">
      <c r="A350" s="1"/>
      <c r="B350" s="1"/>
      <c r="C350" s="1"/>
      <c r="D350" s="1"/>
    </row>
    <row r="351" spans="1:4" x14ac:dyDescent="0.25">
      <c r="A351" s="1"/>
      <c r="B351" s="1"/>
      <c r="C351" s="1"/>
      <c r="D351" s="1"/>
    </row>
    <row r="352" spans="1:4" x14ac:dyDescent="0.25">
      <c r="A352" s="1"/>
      <c r="B352" s="1"/>
      <c r="C352" s="1"/>
      <c r="D352" s="1"/>
    </row>
    <row r="353" spans="1:4" x14ac:dyDescent="0.25">
      <c r="A353" s="1"/>
      <c r="B353" s="1"/>
      <c r="C353" s="1"/>
      <c r="D353" s="1"/>
    </row>
    <row r="354" spans="1:4" x14ac:dyDescent="0.25">
      <c r="A354" s="1"/>
      <c r="B354" s="1"/>
      <c r="C354" s="1"/>
      <c r="D354" s="1"/>
    </row>
    <row r="355" spans="1:4" x14ac:dyDescent="0.25">
      <c r="A355" s="1"/>
      <c r="B355" s="1"/>
      <c r="C355" s="1"/>
      <c r="D355" s="1"/>
    </row>
    <row r="356" spans="1:4" x14ac:dyDescent="0.25">
      <c r="A356" s="1"/>
      <c r="B356" s="1"/>
      <c r="C356" s="1"/>
      <c r="D356" s="1"/>
    </row>
    <row r="357" spans="1:4" x14ac:dyDescent="0.25">
      <c r="A357" s="1"/>
      <c r="B357" s="1"/>
      <c r="C357" s="1"/>
      <c r="D357" s="1"/>
    </row>
    <row r="358" spans="1:4" x14ac:dyDescent="0.25">
      <c r="A358" s="1"/>
      <c r="B358" s="1"/>
      <c r="C358" s="1"/>
      <c r="D358" s="1"/>
    </row>
    <row r="359" spans="1:4" x14ac:dyDescent="0.25">
      <c r="A359" s="1"/>
      <c r="B359" s="1"/>
      <c r="C359" s="1"/>
      <c r="D359" s="1"/>
    </row>
    <row r="360" spans="1:4" x14ac:dyDescent="0.25">
      <c r="A360" s="1"/>
      <c r="B360" s="1"/>
      <c r="C360" s="1"/>
      <c r="D360" s="1"/>
    </row>
    <row r="361" spans="1:4" x14ac:dyDescent="0.25">
      <c r="A361" s="1"/>
      <c r="B361" s="1"/>
      <c r="C361" s="1"/>
      <c r="D361" s="1"/>
    </row>
    <row r="362" spans="1:4" x14ac:dyDescent="0.25">
      <c r="A362" s="1"/>
      <c r="B362" s="1"/>
      <c r="C362" s="1"/>
      <c r="D362" s="1"/>
    </row>
    <row r="363" spans="1:4" x14ac:dyDescent="0.25">
      <c r="A363" s="1"/>
      <c r="B363" s="1"/>
      <c r="C363" s="1"/>
      <c r="D363" s="1"/>
    </row>
    <row r="364" spans="1:4" x14ac:dyDescent="0.25">
      <c r="A364" s="1"/>
      <c r="B364" s="1"/>
      <c r="C364" s="1"/>
      <c r="D364" s="1"/>
    </row>
    <row r="365" spans="1:4" x14ac:dyDescent="0.25">
      <c r="A365" s="1"/>
      <c r="B365" s="1"/>
      <c r="C365" s="1"/>
      <c r="D365" s="1"/>
    </row>
    <row r="366" spans="1:4" x14ac:dyDescent="0.25">
      <c r="A366" s="1"/>
      <c r="B366" s="1"/>
      <c r="C366" s="1"/>
      <c r="D366" s="1"/>
    </row>
    <row r="367" spans="1:4" x14ac:dyDescent="0.25">
      <c r="A367" s="1"/>
      <c r="B367" s="1"/>
      <c r="C367" s="1"/>
      <c r="D367" s="1"/>
    </row>
    <row r="368" spans="1:4" x14ac:dyDescent="0.25">
      <c r="A368" s="1"/>
      <c r="B368" s="1"/>
      <c r="C368" s="1"/>
      <c r="D368" s="1"/>
    </row>
    <row r="369" spans="1:4" x14ac:dyDescent="0.25">
      <c r="A369" s="1"/>
      <c r="B369" s="1"/>
      <c r="C369" s="1"/>
      <c r="D369" s="1"/>
    </row>
    <row r="370" spans="1:4" x14ac:dyDescent="0.25">
      <c r="A370" s="1"/>
      <c r="B370" s="1"/>
      <c r="C370" s="1"/>
      <c r="D370" s="1"/>
    </row>
    <row r="371" spans="1:4" x14ac:dyDescent="0.25">
      <c r="A371" s="1"/>
      <c r="B371" s="1"/>
      <c r="C371" s="1"/>
      <c r="D371" s="1"/>
    </row>
    <row r="372" spans="1:4" x14ac:dyDescent="0.25">
      <c r="A372" s="1"/>
      <c r="B372" s="1"/>
      <c r="C372" s="1"/>
      <c r="D372" s="1"/>
    </row>
    <row r="373" spans="1:4" x14ac:dyDescent="0.25">
      <c r="A373" s="1"/>
      <c r="B373" s="1"/>
      <c r="C373" s="1"/>
      <c r="D373" s="1"/>
    </row>
    <row r="374" spans="1:4" x14ac:dyDescent="0.25">
      <c r="A374" s="1"/>
      <c r="B374" s="1"/>
      <c r="C374" s="1"/>
      <c r="D374" s="1"/>
    </row>
    <row r="375" spans="1:4" x14ac:dyDescent="0.25">
      <c r="A375" s="1"/>
      <c r="B375" s="1"/>
      <c r="C375" s="1"/>
      <c r="D375" s="1"/>
    </row>
    <row r="376" spans="1:4" x14ac:dyDescent="0.25">
      <c r="A376" s="1"/>
      <c r="B376" s="1"/>
      <c r="C376" s="1"/>
      <c r="D376" s="1"/>
    </row>
    <row r="377" spans="1:4" x14ac:dyDescent="0.25">
      <c r="A377" s="1"/>
      <c r="B377" s="1"/>
      <c r="C377" s="1"/>
      <c r="D377" s="1"/>
    </row>
    <row r="378" spans="1:4" x14ac:dyDescent="0.25">
      <c r="A378" s="1"/>
      <c r="B378" s="1"/>
      <c r="C378" s="1"/>
      <c r="D378" s="1"/>
    </row>
    <row r="379" spans="1:4" x14ac:dyDescent="0.25">
      <c r="A379" s="1"/>
      <c r="B379" s="1"/>
      <c r="C379" s="1"/>
      <c r="D379" s="1"/>
    </row>
    <row r="380" spans="1:4" x14ac:dyDescent="0.25">
      <c r="A380" s="1"/>
      <c r="B380" s="1"/>
      <c r="C380" s="1"/>
      <c r="D380" s="1"/>
    </row>
    <row r="381" spans="1:4" x14ac:dyDescent="0.25">
      <c r="A381" s="1"/>
      <c r="B381" s="1"/>
      <c r="C381" s="1"/>
      <c r="D381" s="1"/>
    </row>
    <row r="382" spans="1:4" x14ac:dyDescent="0.25">
      <c r="A382" s="1"/>
      <c r="B382" s="1"/>
      <c r="C382" s="1"/>
      <c r="D382" s="1"/>
    </row>
    <row r="383" spans="1:4" x14ac:dyDescent="0.25">
      <c r="A383" s="1"/>
      <c r="B383" s="1"/>
      <c r="C383" s="1"/>
      <c r="D383" s="1"/>
    </row>
    <row r="384" spans="1:4" x14ac:dyDescent="0.25">
      <c r="A384" s="1"/>
      <c r="B384" s="1"/>
      <c r="C384" s="1"/>
      <c r="D384" s="1"/>
    </row>
    <row r="385" spans="1:4" x14ac:dyDescent="0.25">
      <c r="A385" s="1"/>
      <c r="B385" s="1"/>
      <c r="C385" s="1"/>
      <c r="D385" s="1"/>
    </row>
    <row r="386" spans="1:4" x14ac:dyDescent="0.25">
      <c r="A386" s="1"/>
      <c r="B386" s="1"/>
      <c r="C386" s="1"/>
      <c r="D386" s="1"/>
    </row>
    <row r="387" spans="1:4" x14ac:dyDescent="0.25">
      <c r="A387" s="1"/>
      <c r="B387" s="1"/>
      <c r="C387" s="1"/>
      <c r="D387" s="1"/>
    </row>
    <row r="388" spans="1:4" x14ac:dyDescent="0.25">
      <c r="A388" s="1"/>
      <c r="B388" s="1"/>
      <c r="C388" s="1"/>
      <c r="D388" s="1"/>
    </row>
    <row r="389" spans="1:4" x14ac:dyDescent="0.25">
      <c r="A389" s="1"/>
      <c r="B389" s="1"/>
      <c r="C389" s="1"/>
      <c r="D389" s="1"/>
    </row>
    <row r="390" spans="1:4" x14ac:dyDescent="0.25">
      <c r="A390" s="1"/>
      <c r="B390" s="1"/>
      <c r="C390" s="1"/>
      <c r="D390" s="1"/>
    </row>
    <row r="391" spans="1:4" x14ac:dyDescent="0.25">
      <c r="A391" s="1"/>
      <c r="B391" s="1"/>
      <c r="C391" s="1"/>
      <c r="D391" s="1"/>
    </row>
    <row r="392" spans="1:4" x14ac:dyDescent="0.25">
      <c r="A392" s="1"/>
      <c r="B392" s="1"/>
      <c r="C392" s="1"/>
      <c r="D392" s="1"/>
    </row>
    <row r="393" spans="1:4" x14ac:dyDescent="0.25">
      <c r="A393" s="1"/>
      <c r="B393" s="1"/>
      <c r="C393" s="1"/>
      <c r="D393" s="1"/>
    </row>
    <row r="394" spans="1:4" x14ac:dyDescent="0.25">
      <c r="A394" s="1"/>
      <c r="B394" s="1"/>
      <c r="C394" s="1"/>
      <c r="D394" s="1"/>
    </row>
    <row r="395" spans="1:4" x14ac:dyDescent="0.25">
      <c r="A395" s="1"/>
      <c r="B395" s="1"/>
      <c r="C395" s="1"/>
      <c r="D395" s="1"/>
    </row>
    <row r="396" spans="1:4" x14ac:dyDescent="0.25">
      <c r="A396" s="1"/>
      <c r="B396" s="1"/>
      <c r="C396" s="1"/>
      <c r="D396" s="1"/>
    </row>
    <row r="397" spans="1:4" x14ac:dyDescent="0.25">
      <c r="A397" s="1"/>
      <c r="B397" s="1"/>
      <c r="C397" s="1"/>
      <c r="D397" s="1"/>
    </row>
    <row r="398" spans="1:4" x14ac:dyDescent="0.25">
      <c r="A398" s="1"/>
      <c r="B398" s="1"/>
      <c r="C398" s="1"/>
      <c r="D398" s="1"/>
    </row>
    <row r="399" spans="1:4" x14ac:dyDescent="0.25">
      <c r="A399" s="1"/>
      <c r="B399" s="1"/>
      <c r="C399" s="1"/>
      <c r="D399" s="1"/>
    </row>
    <row r="400" spans="1:4" x14ac:dyDescent="0.25">
      <c r="A400" s="1"/>
      <c r="B400" s="1"/>
      <c r="C400" s="1"/>
      <c r="D400" s="1"/>
    </row>
    <row r="401" spans="1:4" x14ac:dyDescent="0.25">
      <c r="A401" s="1"/>
      <c r="B401" s="1"/>
      <c r="C401" s="1"/>
      <c r="D401" s="1"/>
    </row>
    <row r="402" spans="1:4" x14ac:dyDescent="0.25">
      <c r="A402" s="1"/>
      <c r="B402" s="1"/>
      <c r="C402" s="1"/>
      <c r="D402" s="1"/>
    </row>
    <row r="403" spans="1:4" x14ac:dyDescent="0.25">
      <c r="A403" s="1"/>
      <c r="B403" s="1"/>
      <c r="C403" s="1"/>
      <c r="D403" s="1"/>
    </row>
    <row r="404" spans="1:4" x14ac:dyDescent="0.25">
      <c r="A404" s="1"/>
      <c r="B404" s="1"/>
      <c r="C404" s="1"/>
      <c r="D404" s="1"/>
    </row>
    <row r="405" spans="1:4" x14ac:dyDescent="0.25">
      <c r="A405" s="1"/>
      <c r="B405" s="1"/>
      <c r="C405" s="1"/>
      <c r="D405" s="1"/>
    </row>
    <row r="406" spans="1:4" x14ac:dyDescent="0.25">
      <c r="A406" s="1"/>
      <c r="B406" s="1"/>
      <c r="C406" s="1"/>
      <c r="D406" s="1"/>
    </row>
    <row r="407" spans="1:4" x14ac:dyDescent="0.25">
      <c r="A407" s="1"/>
      <c r="B407" s="1"/>
      <c r="C407" s="1"/>
      <c r="D407" s="1"/>
    </row>
    <row r="408" spans="1:4" x14ac:dyDescent="0.25">
      <c r="A408" s="1"/>
      <c r="B408" s="1"/>
      <c r="C408" s="1"/>
      <c r="D408" s="1"/>
    </row>
    <row r="409" spans="1:4" x14ac:dyDescent="0.25">
      <c r="A409" s="1"/>
      <c r="B409" s="1"/>
      <c r="C409" s="1"/>
      <c r="D409" s="1"/>
    </row>
    <row r="410" spans="1:4" x14ac:dyDescent="0.25">
      <c r="A410" s="1"/>
      <c r="B410" s="1"/>
      <c r="C410" s="1"/>
      <c r="D410" s="1"/>
    </row>
    <row r="411" spans="1:4" x14ac:dyDescent="0.25">
      <c r="A411" s="1"/>
      <c r="B411" s="1"/>
      <c r="C411" s="1"/>
      <c r="D411" s="1"/>
    </row>
    <row r="412" spans="1:4" x14ac:dyDescent="0.25">
      <c r="A412" s="1"/>
      <c r="B412" s="1"/>
      <c r="C412" s="1"/>
      <c r="D412" s="1"/>
    </row>
    <row r="413" spans="1:4" x14ac:dyDescent="0.25">
      <c r="A413" s="1"/>
      <c r="B413" s="1"/>
      <c r="C413" s="1"/>
      <c r="D413" s="1"/>
    </row>
    <row r="414" spans="1:4" x14ac:dyDescent="0.25">
      <c r="A414" s="1"/>
      <c r="B414" s="1"/>
      <c r="C414" s="1"/>
      <c r="D414" s="1"/>
    </row>
    <row r="415" spans="1:4" x14ac:dyDescent="0.25">
      <c r="A415" s="1"/>
      <c r="B415" s="1"/>
      <c r="C415" s="1"/>
      <c r="D415" s="1"/>
    </row>
    <row r="416" spans="1:4" x14ac:dyDescent="0.25">
      <c r="A416" s="1"/>
      <c r="B416" s="1"/>
      <c r="C416" s="1"/>
      <c r="D416" s="1"/>
    </row>
    <row r="417" spans="1:4" x14ac:dyDescent="0.25">
      <c r="A417" s="1"/>
      <c r="B417" s="1"/>
      <c r="C417" s="1"/>
      <c r="D417" s="1"/>
    </row>
    <row r="418" spans="1:4" x14ac:dyDescent="0.25">
      <c r="A418" s="1"/>
      <c r="B418" s="1"/>
      <c r="C418" s="1"/>
      <c r="D418" s="1"/>
    </row>
    <row r="419" spans="1:4" x14ac:dyDescent="0.25">
      <c r="A419" s="1"/>
      <c r="B419" s="1"/>
      <c r="C419" s="1"/>
      <c r="D419" s="1"/>
    </row>
    <row r="420" spans="1:4" x14ac:dyDescent="0.25">
      <c r="A420" s="1"/>
      <c r="B420" s="1"/>
      <c r="C420" s="1"/>
      <c r="D420" s="1"/>
    </row>
    <row r="421" spans="1:4" x14ac:dyDescent="0.25">
      <c r="A421" s="1"/>
      <c r="B421" s="1"/>
      <c r="C421" s="1"/>
      <c r="D421" s="1"/>
    </row>
    <row r="422" spans="1:4" x14ac:dyDescent="0.25">
      <c r="A422" s="1"/>
      <c r="B422" s="1"/>
      <c r="C422" s="1"/>
      <c r="D422" s="1"/>
    </row>
    <row r="423" spans="1:4" x14ac:dyDescent="0.25">
      <c r="A423" s="1"/>
      <c r="B423" s="1"/>
      <c r="C423" s="1"/>
      <c r="D423" s="1"/>
    </row>
    <row r="424" spans="1:4" x14ac:dyDescent="0.25">
      <c r="A424" s="1"/>
      <c r="B424" s="1"/>
      <c r="C424" s="1"/>
      <c r="D424" s="1"/>
    </row>
    <row r="425" spans="1:4" x14ac:dyDescent="0.25">
      <c r="A425" s="1"/>
      <c r="B425" s="1"/>
      <c r="C425" s="1"/>
      <c r="D425" s="1"/>
    </row>
    <row r="426" spans="1:4" x14ac:dyDescent="0.25">
      <c r="A426" s="1"/>
      <c r="B426" s="1"/>
      <c r="C426" s="1"/>
      <c r="D426" s="1"/>
    </row>
    <row r="427" spans="1:4" x14ac:dyDescent="0.25">
      <c r="A427" s="1"/>
      <c r="B427" s="1"/>
      <c r="C427" s="1"/>
      <c r="D427" s="1"/>
    </row>
    <row r="428" spans="1:4" x14ac:dyDescent="0.25">
      <c r="A428" s="1"/>
      <c r="B428" s="1"/>
      <c r="C428" s="1"/>
      <c r="D428" s="1"/>
    </row>
    <row r="429" spans="1:4" x14ac:dyDescent="0.25">
      <c r="A429" s="1"/>
      <c r="B429" s="1"/>
      <c r="C429" s="1"/>
      <c r="D429" s="1"/>
    </row>
    <row r="430" spans="1:4" x14ac:dyDescent="0.25">
      <c r="A430" s="1"/>
      <c r="B430" s="1"/>
      <c r="C430" s="1"/>
      <c r="D430" s="1"/>
    </row>
    <row r="431" spans="1:4" x14ac:dyDescent="0.25">
      <c r="A431" s="1"/>
      <c r="B431" s="1"/>
      <c r="C431" s="1"/>
      <c r="D431" s="1"/>
    </row>
    <row r="432" spans="1:4" x14ac:dyDescent="0.25">
      <c r="A432" s="1"/>
      <c r="B432" s="1"/>
      <c r="C432" s="1"/>
      <c r="D432" s="1"/>
    </row>
    <row r="433" spans="1:4" x14ac:dyDescent="0.25">
      <c r="A433" s="1"/>
      <c r="B433" s="1"/>
      <c r="C433" s="1"/>
      <c r="D433" s="1"/>
    </row>
    <row r="434" spans="1:4" x14ac:dyDescent="0.25">
      <c r="A434" s="1"/>
      <c r="B434" s="1"/>
      <c r="C434" s="1"/>
      <c r="D434" s="1"/>
    </row>
    <row r="435" spans="1:4" x14ac:dyDescent="0.25">
      <c r="A435" s="1"/>
      <c r="B435" s="1"/>
      <c r="C435" s="1"/>
      <c r="D435" s="1"/>
    </row>
    <row r="436" spans="1:4" x14ac:dyDescent="0.25">
      <c r="A436" s="1"/>
      <c r="B436" s="1"/>
      <c r="C436" s="1"/>
      <c r="D436" s="1"/>
    </row>
    <row r="437" spans="1:4" x14ac:dyDescent="0.25">
      <c r="A437" s="1"/>
      <c r="B437" s="1"/>
      <c r="C437" s="1"/>
      <c r="D437" s="1"/>
    </row>
    <row r="438" spans="1:4" x14ac:dyDescent="0.25">
      <c r="A438" s="1"/>
      <c r="B438" s="1"/>
      <c r="C438" s="1"/>
      <c r="D438" s="1"/>
    </row>
    <row r="439" spans="1:4" x14ac:dyDescent="0.25">
      <c r="A439" s="1"/>
      <c r="B439" s="1"/>
      <c r="C439" s="1"/>
      <c r="D439" s="1"/>
    </row>
    <row r="440" spans="1:4" x14ac:dyDescent="0.25">
      <c r="A440" s="1"/>
      <c r="B440" s="1"/>
      <c r="C440" s="1"/>
      <c r="D440" s="1"/>
    </row>
    <row r="441" spans="1:4" x14ac:dyDescent="0.25">
      <c r="A441" s="1"/>
      <c r="B441" s="1"/>
      <c r="C441" s="1"/>
      <c r="D441" s="1"/>
    </row>
    <row r="442" spans="1:4" x14ac:dyDescent="0.25">
      <c r="A442" s="1"/>
      <c r="B442" s="1"/>
      <c r="C442" s="1"/>
      <c r="D442" s="1"/>
    </row>
    <row r="443" spans="1:4" x14ac:dyDescent="0.25">
      <c r="A443" s="1"/>
      <c r="B443" s="1"/>
      <c r="C443" s="1"/>
      <c r="D443" s="1"/>
    </row>
    <row r="444" spans="1:4" x14ac:dyDescent="0.25">
      <c r="A444" s="1"/>
      <c r="B444" s="1"/>
      <c r="C444" s="1"/>
      <c r="D444" s="1"/>
    </row>
    <row r="445" spans="1:4" x14ac:dyDescent="0.25">
      <c r="A445" s="1"/>
      <c r="B445" s="1"/>
      <c r="C445" s="1"/>
      <c r="D445" s="1"/>
    </row>
    <row r="446" spans="1:4" x14ac:dyDescent="0.25">
      <c r="A446" s="1"/>
      <c r="B446" s="1"/>
      <c r="C446" s="1"/>
      <c r="D446" s="1"/>
    </row>
    <row r="447" spans="1:4" x14ac:dyDescent="0.25">
      <c r="A447" s="1"/>
      <c r="B447" s="1"/>
      <c r="C447" s="1"/>
      <c r="D447" s="1"/>
    </row>
    <row r="448" spans="1:4" x14ac:dyDescent="0.25">
      <c r="A448" s="1"/>
      <c r="B448" s="1"/>
      <c r="C448" s="1"/>
      <c r="D448" s="1"/>
    </row>
    <row r="449" spans="1:4" x14ac:dyDescent="0.25">
      <c r="A449" s="1"/>
      <c r="B449" s="1"/>
      <c r="C449" s="1"/>
      <c r="D449" s="1"/>
    </row>
    <row r="450" spans="1:4" x14ac:dyDescent="0.25">
      <c r="A450" s="1"/>
      <c r="B450" s="1"/>
      <c r="C450" s="1"/>
      <c r="D450" s="1"/>
    </row>
    <row r="451" spans="1:4" x14ac:dyDescent="0.25">
      <c r="A451" s="1"/>
      <c r="B451" s="1"/>
      <c r="C451" s="1"/>
      <c r="D451" s="1"/>
    </row>
    <row r="452" spans="1:4" x14ac:dyDescent="0.25">
      <c r="A452" s="1"/>
      <c r="B452" s="1"/>
      <c r="C452" s="1"/>
      <c r="D452" s="1"/>
    </row>
    <row r="453" spans="1:4" x14ac:dyDescent="0.25">
      <c r="A453" s="1"/>
      <c r="B453" s="1"/>
      <c r="C453" s="1"/>
      <c r="D453" s="1"/>
    </row>
    <row r="454" spans="1:4" x14ac:dyDescent="0.25">
      <c r="A454" s="1"/>
      <c r="B454" s="1"/>
      <c r="C454" s="1"/>
      <c r="D454" s="1"/>
    </row>
    <row r="455" spans="1:4" x14ac:dyDescent="0.25">
      <c r="A455" s="1"/>
      <c r="B455" s="1"/>
      <c r="C455" s="1"/>
      <c r="D455" s="1"/>
    </row>
    <row r="456" spans="1:4" x14ac:dyDescent="0.25">
      <c r="A456" s="1"/>
      <c r="B456" s="1"/>
      <c r="C456" s="1"/>
      <c r="D456" s="1"/>
    </row>
    <row r="457" spans="1:4" x14ac:dyDescent="0.25">
      <c r="A457" s="1"/>
      <c r="B457" s="1"/>
      <c r="C457" s="1"/>
      <c r="D457" s="1"/>
    </row>
    <row r="458" spans="1:4" x14ac:dyDescent="0.25">
      <c r="A458" s="1"/>
      <c r="B458" s="1"/>
      <c r="C458" s="1"/>
      <c r="D458" s="1"/>
    </row>
    <row r="459" spans="1:4" x14ac:dyDescent="0.25">
      <c r="A459" s="1"/>
      <c r="B459" s="1"/>
      <c r="C459" s="1"/>
      <c r="D459" s="1"/>
    </row>
    <row r="460" spans="1:4" x14ac:dyDescent="0.25">
      <c r="A460" s="1"/>
      <c r="B460" s="1"/>
      <c r="C460" s="1"/>
      <c r="D460" s="1"/>
    </row>
    <row r="461" spans="1:4" x14ac:dyDescent="0.25">
      <c r="A461" s="1"/>
      <c r="B461" s="1"/>
      <c r="C461" s="1"/>
      <c r="D461" s="1"/>
    </row>
    <row r="462" spans="1:4" x14ac:dyDescent="0.25">
      <c r="A462" s="1"/>
      <c r="B462" s="1"/>
      <c r="C462" s="1"/>
      <c r="D462" s="1"/>
    </row>
    <row r="463" spans="1:4" x14ac:dyDescent="0.25">
      <c r="A463" s="1"/>
      <c r="B463" s="1"/>
      <c r="C463" s="1"/>
      <c r="D463" s="1"/>
    </row>
    <row r="464" spans="1:4" x14ac:dyDescent="0.25">
      <c r="A464" s="1"/>
      <c r="B464" s="1"/>
      <c r="C464" s="1"/>
      <c r="D464" s="1"/>
    </row>
    <row r="465" spans="1:4" x14ac:dyDescent="0.25">
      <c r="A465" s="1"/>
      <c r="B465" s="1"/>
      <c r="C465" s="1"/>
      <c r="D465" s="1"/>
    </row>
    <row r="466" spans="1:4" x14ac:dyDescent="0.25">
      <c r="A466" s="1"/>
      <c r="B466" s="1"/>
      <c r="C466" s="1"/>
      <c r="D466" s="1"/>
    </row>
    <row r="467" spans="1:4" x14ac:dyDescent="0.25">
      <c r="A467" s="1"/>
      <c r="B467" s="1"/>
      <c r="C467" s="1"/>
      <c r="D467" s="1"/>
    </row>
    <row r="468" spans="1:4" x14ac:dyDescent="0.25">
      <c r="A468" s="1"/>
      <c r="B468" s="1"/>
      <c r="C468" s="1"/>
      <c r="D468" s="1"/>
    </row>
    <row r="469" spans="1:4" x14ac:dyDescent="0.25">
      <c r="A469" s="1"/>
      <c r="B469" s="1"/>
      <c r="C469" s="1"/>
      <c r="D469" s="1"/>
    </row>
    <row r="470" spans="1:4" x14ac:dyDescent="0.25">
      <c r="A470" s="1"/>
      <c r="B470" s="1"/>
      <c r="C470" s="1"/>
      <c r="D470" s="1"/>
    </row>
    <row r="471" spans="1:4" x14ac:dyDescent="0.25">
      <c r="A471" s="1"/>
      <c r="B471" s="1"/>
      <c r="C471" s="1"/>
      <c r="D471" s="1"/>
    </row>
    <row r="472" spans="1:4" x14ac:dyDescent="0.25">
      <c r="A472" s="1"/>
      <c r="B472" s="1"/>
      <c r="C472" s="1"/>
      <c r="D472" s="1"/>
    </row>
    <row r="473" spans="1:4" x14ac:dyDescent="0.25">
      <c r="A473" s="1"/>
      <c r="B473" s="1"/>
      <c r="C473" s="1"/>
      <c r="D473" s="1"/>
    </row>
    <row r="474" spans="1:4" x14ac:dyDescent="0.25">
      <c r="A474" s="1"/>
      <c r="B474" s="1"/>
      <c r="C474" s="1"/>
      <c r="D474" s="1"/>
    </row>
    <row r="475" spans="1:4" x14ac:dyDescent="0.25">
      <c r="A475" s="1"/>
      <c r="B475" s="1"/>
      <c r="C475" s="1"/>
      <c r="D475" s="1"/>
    </row>
    <row r="476" spans="1:4" x14ac:dyDescent="0.25">
      <c r="A476" s="1"/>
      <c r="B476" s="1"/>
      <c r="C476" s="1"/>
      <c r="D476" s="1"/>
    </row>
    <row r="477" spans="1:4" x14ac:dyDescent="0.25">
      <c r="A477" s="1"/>
      <c r="B477" s="1"/>
      <c r="C477" s="1"/>
      <c r="D477" s="1"/>
    </row>
    <row r="478" spans="1:4" x14ac:dyDescent="0.25">
      <c r="A478" s="1"/>
      <c r="B478" s="1"/>
      <c r="C478" s="1"/>
      <c r="D478" s="1"/>
    </row>
    <row r="479" spans="1:4" x14ac:dyDescent="0.25">
      <c r="A479" s="1"/>
      <c r="B479" s="1"/>
      <c r="C479" s="1"/>
      <c r="D479" s="1"/>
    </row>
    <row r="480" spans="1:4" x14ac:dyDescent="0.25">
      <c r="A480" s="1"/>
      <c r="B480" s="1"/>
      <c r="C480" s="1"/>
      <c r="D480" s="1"/>
    </row>
    <row r="481" spans="1:4" x14ac:dyDescent="0.25">
      <c r="A481" s="1"/>
      <c r="B481" s="1"/>
      <c r="C481" s="1"/>
      <c r="D481" s="1"/>
    </row>
    <row r="482" spans="1:4" x14ac:dyDescent="0.25">
      <c r="A482" s="1"/>
      <c r="B482" s="1"/>
      <c r="C482" s="1"/>
      <c r="D482" s="1"/>
    </row>
    <row r="483" spans="1:4" x14ac:dyDescent="0.25">
      <c r="A483" s="1"/>
      <c r="B483" s="1"/>
      <c r="C483" s="1"/>
      <c r="D483" s="1"/>
    </row>
    <row r="484" spans="1:4" x14ac:dyDescent="0.25">
      <c r="A484" s="1"/>
      <c r="B484" s="1"/>
      <c r="C484" s="1"/>
      <c r="D484" s="1"/>
    </row>
    <row r="485" spans="1:4" x14ac:dyDescent="0.25">
      <c r="A485" s="1"/>
      <c r="B485" s="1"/>
      <c r="C485" s="1"/>
      <c r="D485" s="1"/>
    </row>
    <row r="486" spans="1:4" x14ac:dyDescent="0.25">
      <c r="A486" s="1"/>
      <c r="B486" s="1"/>
      <c r="C486" s="1"/>
      <c r="D486" s="1"/>
    </row>
    <row r="487" spans="1:4" x14ac:dyDescent="0.25">
      <c r="A487" s="1"/>
      <c r="B487" s="1"/>
      <c r="C487" s="1"/>
      <c r="D487" s="1"/>
    </row>
    <row r="488" spans="1:4" x14ac:dyDescent="0.25">
      <c r="A488" s="1"/>
      <c r="B488" s="1"/>
      <c r="C488" s="1"/>
      <c r="D488" s="1"/>
    </row>
    <row r="489" spans="1:4" x14ac:dyDescent="0.25">
      <c r="A489" s="1"/>
      <c r="B489" s="1"/>
      <c r="C489" s="1"/>
      <c r="D489" s="1"/>
    </row>
    <row r="490" spans="1:4" x14ac:dyDescent="0.25">
      <c r="A490" s="1"/>
      <c r="B490" s="1"/>
      <c r="C490" s="1"/>
      <c r="D490" s="1"/>
    </row>
    <row r="491" spans="1:4" x14ac:dyDescent="0.25">
      <c r="A491" s="1"/>
      <c r="B491" s="1"/>
      <c r="C491" s="1"/>
      <c r="D491" s="1"/>
    </row>
    <row r="492" spans="1:4" x14ac:dyDescent="0.25">
      <c r="A492" s="1"/>
      <c r="B492" s="1"/>
      <c r="C492" s="1"/>
      <c r="D492" s="1"/>
    </row>
    <row r="493" spans="1:4" x14ac:dyDescent="0.25">
      <c r="A493" s="1"/>
      <c r="B493" s="1"/>
      <c r="C493" s="1"/>
      <c r="D493" s="1"/>
    </row>
    <row r="494" spans="1:4" x14ac:dyDescent="0.25">
      <c r="A494" s="1"/>
      <c r="B494" s="1"/>
      <c r="C494" s="1"/>
      <c r="D494" s="1"/>
    </row>
    <row r="495" spans="1:4" x14ac:dyDescent="0.25">
      <c r="A495" s="1"/>
      <c r="B495" s="1"/>
      <c r="C495" s="1"/>
      <c r="D495" s="1"/>
    </row>
    <row r="496" spans="1:4" x14ac:dyDescent="0.25">
      <c r="A496" s="1"/>
      <c r="B496" s="1"/>
      <c r="C496" s="1"/>
      <c r="D496" s="1"/>
    </row>
    <row r="497" spans="1:4" x14ac:dyDescent="0.25">
      <c r="A497" s="1"/>
      <c r="B497" s="1"/>
      <c r="C497" s="1"/>
      <c r="D497" s="1"/>
    </row>
    <row r="498" spans="1:4" x14ac:dyDescent="0.25">
      <c r="A498" s="1"/>
      <c r="B498" s="1"/>
      <c r="C498" s="1"/>
      <c r="D498" s="1"/>
    </row>
    <row r="499" spans="1:4" x14ac:dyDescent="0.25">
      <c r="A499" s="1"/>
      <c r="B499" s="1"/>
      <c r="C499" s="1"/>
      <c r="D499" s="1"/>
    </row>
    <row r="500" spans="1:4" x14ac:dyDescent="0.25">
      <c r="A500" s="1"/>
      <c r="B500" s="1"/>
      <c r="C500" s="1"/>
      <c r="D500" s="1"/>
    </row>
    <row r="501" spans="1:4" x14ac:dyDescent="0.25">
      <c r="A501" s="1"/>
      <c r="B501" s="1"/>
      <c r="C501" s="1"/>
      <c r="D501" s="1"/>
    </row>
    <row r="502" spans="1:4" x14ac:dyDescent="0.25">
      <c r="A502" s="1"/>
      <c r="B502" s="1"/>
      <c r="C502" s="1"/>
      <c r="D502" s="1"/>
    </row>
    <row r="503" spans="1:4" x14ac:dyDescent="0.25">
      <c r="A503" s="1"/>
      <c r="B503" s="1"/>
      <c r="C503" s="1"/>
      <c r="D503" s="1"/>
    </row>
    <row r="504" spans="1:4" x14ac:dyDescent="0.25">
      <c r="A504" s="1"/>
      <c r="B504" s="1"/>
      <c r="C504" s="1"/>
      <c r="D504" s="1"/>
    </row>
    <row r="505" spans="1:4" x14ac:dyDescent="0.25">
      <c r="A505" s="1"/>
      <c r="B505" s="1"/>
      <c r="C505" s="1"/>
      <c r="D505" s="1"/>
    </row>
    <row r="506" spans="1:4" x14ac:dyDescent="0.25">
      <c r="A506" s="1"/>
      <c r="B506" s="1"/>
      <c r="C506" s="1"/>
      <c r="D506" s="1"/>
    </row>
    <row r="507" spans="1:4" x14ac:dyDescent="0.25">
      <c r="A507" s="1"/>
      <c r="B507" s="1"/>
      <c r="C507" s="1"/>
      <c r="D507" s="1"/>
    </row>
    <row r="508" spans="1:4" x14ac:dyDescent="0.25">
      <c r="A508" s="1"/>
      <c r="B508" s="1"/>
      <c r="C508" s="1"/>
      <c r="D508" s="1"/>
    </row>
    <row r="509" spans="1:4" x14ac:dyDescent="0.25">
      <c r="A509" s="1"/>
      <c r="B509" s="1"/>
      <c r="C509" s="1"/>
      <c r="D509" s="1"/>
    </row>
    <row r="510" spans="1:4" x14ac:dyDescent="0.25">
      <c r="A510" s="1"/>
      <c r="B510" s="1"/>
      <c r="C510" s="1"/>
      <c r="D510" s="1"/>
    </row>
    <row r="511" spans="1:4" x14ac:dyDescent="0.25">
      <c r="A511" s="1"/>
      <c r="B511" s="1"/>
      <c r="C511" s="1"/>
      <c r="D511" s="1"/>
    </row>
    <row r="512" spans="1:4" x14ac:dyDescent="0.25">
      <c r="A512" s="1"/>
      <c r="B512" s="1"/>
      <c r="C512" s="1"/>
      <c r="D512" s="1"/>
    </row>
    <row r="513" spans="1:4" x14ac:dyDescent="0.25">
      <c r="A513" s="1"/>
      <c r="B513" s="1"/>
      <c r="C513" s="1"/>
      <c r="D513" s="1"/>
    </row>
    <row r="514" spans="1:4" x14ac:dyDescent="0.25">
      <c r="A514" s="1"/>
      <c r="B514" s="1"/>
      <c r="C514" s="1"/>
      <c r="D514" s="1"/>
    </row>
    <row r="515" spans="1:4" x14ac:dyDescent="0.25">
      <c r="A515" s="1"/>
      <c r="B515" s="1"/>
      <c r="C515" s="1"/>
      <c r="D515" s="1"/>
    </row>
    <row r="516" spans="1:4" x14ac:dyDescent="0.25">
      <c r="A516" s="1"/>
      <c r="B516" s="1"/>
      <c r="C516" s="1"/>
      <c r="D516" s="1"/>
    </row>
    <row r="517" spans="1:4" x14ac:dyDescent="0.25">
      <c r="A517" s="1"/>
      <c r="B517" s="1"/>
      <c r="C517" s="1"/>
      <c r="D517" s="1"/>
    </row>
    <row r="518" spans="1:4" x14ac:dyDescent="0.25">
      <c r="A518" s="1"/>
      <c r="B518" s="1"/>
      <c r="C518" s="1"/>
      <c r="D518" s="1"/>
    </row>
    <row r="519" spans="1:4" x14ac:dyDescent="0.25">
      <c r="A519" s="1"/>
      <c r="B519" s="1"/>
      <c r="C519" s="1"/>
      <c r="D519" s="1"/>
    </row>
    <row r="520" spans="1:4" x14ac:dyDescent="0.25">
      <c r="A520" s="1"/>
      <c r="B520" s="1"/>
      <c r="C520" s="1"/>
      <c r="D520" s="1"/>
    </row>
    <row r="521" spans="1:4" x14ac:dyDescent="0.25">
      <c r="A521" s="1"/>
      <c r="B521" s="1"/>
      <c r="C521" s="1"/>
      <c r="D521" s="1"/>
    </row>
    <row r="522" spans="1:4" x14ac:dyDescent="0.25">
      <c r="A522" s="1"/>
      <c r="B522" s="1"/>
      <c r="C522" s="1"/>
      <c r="D522" s="1"/>
    </row>
    <row r="523" spans="1:4" x14ac:dyDescent="0.25">
      <c r="A523" s="1"/>
      <c r="B523" s="1"/>
      <c r="C523" s="1"/>
      <c r="D523" s="1"/>
    </row>
    <row r="524" spans="1:4" x14ac:dyDescent="0.25">
      <c r="A524" s="1"/>
      <c r="B524" s="1"/>
      <c r="C524" s="1"/>
      <c r="D524" s="1"/>
    </row>
    <row r="525" spans="1:4" x14ac:dyDescent="0.25">
      <c r="A525" s="1"/>
      <c r="B525" s="1"/>
      <c r="C525" s="1"/>
      <c r="D525" s="1"/>
    </row>
    <row r="526" spans="1:4" x14ac:dyDescent="0.25">
      <c r="A526" s="1"/>
      <c r="B526" s="1"/>
      <c r="C526" s="1"/>
      <c r="D526" s="1"/>
    </row>
    <row r="527" spans="1:4" x14ac:dyDescent="0.25">
      <c r="A527" s="1"/>
      <c r="B527" s="1"/>
      <c r="C527" s="1"/>
      <c r="D527" s="1"/>
    </row>
    <row r="528" spans="1:4" x14ac:dyDescent="0.25">
      <c r="A528" s="1"/>
      <c r="B528" s="1"/>
      <c r="C528" s="1"/>
      <c r="D528" s="1"/>
    </row>
    <row r="529" spans="1:4" x14ac:dyDescent="0.25">
      <c r="A529" s="1"/>
      <c r="B529" s="1"/>
      <c r="C529" s="1"/>
      <c r="D529" s="1"/>
    </row>
    <row r="530" spans="1:4" x14ac:dyDescent="0.25">
      <c r="A530" s="1"/>
      <c r="B530" s="1"/>
      <c r="C530" s="1"/>
      <c r="D530" s="1"/>
    </row>
    <row r="531" spans="1:4" x14ac:dyDescent="0.25">
      <c r="A531" s="1"/>
      <c r="B531" s="1"/>
      <c r="C531" s="1"/>
      <c r="D531" s="1"/>
    </row>
    <row r="532" spans="1:4" x14ac:dyDescent="0.25">
      <c r="A532" s="1"/>
      <c r="B532" s="1"/>
      <c r="C532" s="1"/>
      <c r="D532" s="1"/>
    </row>
    <row r="533" spans="1:4" x14ac:dyDescent="0.25">
      <c r="A533" s="1"/>
      <c r="B533" s="1"/>
      <c r="C533" s="1"/>
      <c r="D533" s="1"/>
    </row>
    <row r="534" spans="1:4" x14ac:dyDescent="0.25">
      <c r="A534" s="1"/>
      <c r="B534" s="1"/>
      <c r="C534" s="1"/>
      <c r="D534" s="1"/>
    </row>
    <row r="535" spans="1:4" x14ac:dyDescent="0.25">
      <c r="A535" s="1"/>
      <c r="B535" s="1"/>
      <c r="C535" s="1"/>
      <c r="D535" s="1"/>
    </row>
    <row r="536" spans="1:4" x14ac:dyDescent="0.25">
      <c r="A536" s="1"/>
      <c r="B536" s="1"/>
      <c r="C536" s="1"/>
      <c r="D536" s="1"/>
    </row>
    <row r="537" spans="1:4" x14ac:dyDescent="0.25">
      <c r="A537" s="1"/>
      <c r="B537" s="1"/>
      <c r="C537" s="1"/>
      <c r="D537" s="1"/>
    </row>
    <row r="538" spans="1:4" x14ac:dyDescent="0.25">
      <c r="A538" s="1"/>
      <c r="B538" s="1"/>
      <c r="C538" s="1"/>
      <c r="D538" s="1"/>
    </row>
    <row r="539" spans="1:4" x14ac:dyDescent="0.25">
      <c r="A539" s="1"/>
      <c r="B539" s="1"/>
      <c r="C539" s="1"/>
      <c r="D539" s="1"/>
    </row>
    <row r="540" spans="1:4" x14ac:dyDescent="0.25">
      <c r="A540" s="1"/>
      <c r="B540" s="1"/>
      <c r="C540" s="1"/>
      <c r="D540" s="1"/>
    </row>
    <row r="541" spans="1:4" x14ac:dyDescent="0.25">
      <c r="A541" s="1"/>
      <c r="B541" s="1"/>
      <c r="C541" s="1"/>
      <c r="D541" s="1"/>
    </row>
    <row r="542" spans="1:4" x14ac:dyDescent="0.25">
      <c r="A542" s="1"/>
      <c r="B542" s="1"/>
      <c r="C542" s="1"/>
      <c r="D542" s="1"/>
    </row>
    <row r="543" spans="1:4" x14ac:dyDescent="0.25">
      <c r="A543" s="1"/>
      <c r="B543" s="1"/>
      <c r="C543" s="1"/>
      <c r="D543" s="1"/>
    </row>
    <row r="544" spans="1:4" x14ac:dyDescent="0.25">
      <c r="A544" s="1"/>
      <c r="B544" s="1"/>
      <c r="C544" s="1"/>
      <c r="D544" s="1"/>
    </row>
    <row r="545" spans="1:4" x14ac:dyDescent="0.25">
      <c r="A545" s="1"/>
      <c r="B545" s="1"/>
      <c r="C545" s="1"/>
      <c r="D545" s="1"/>
    </row>
    <row r="546" spans="1:4" x14ac:dyDescent="0.25">
      <c r="A546" s="1"/>
      <c r="B546" s="1"/>
      <c r="C546" s="1"/>
      <c r="D546" s="1"/>
    </row>
    <row r="547" spans="1:4" x14ac:dyDescent="0.25">
      <c r="A547" s="1"/>
      <c r="B547" s="1"/>
      <c r="C547" s="1"/>
      <c r="D547" s="1"/>
    </row>
    <row r="548" spans="1:4" x14ac:dyDescent="0.25">
      <c r="A548" s="1"/>
      <c r="B548" s="1"/>
      <c r="C548" s="1"/>
      <c r="D548" s="1"/>
    </row>
    <row r="549" spans="1:4" x14ac:dyDescent="0.25">
      <c r="A549" s="1"/>
      <c r="B549" s="1"/>
      <c r="C549" s="1"/>
      <c r="D549" s="1"/>
    </row>
    <row r="550" spans="1:4" x14ac:dyDescent="0.25">
      <c r="A550" s="1"/>
      <c r="B550" s="1"/>
      <c r="C550" s="1"/>
      <c r="D550" s="1"/>
    </row>
    <row r="551" spans="1:4" x14ac:dyDescent="0.25">
      <c r="A551" s="1"/>
      <c r="B551" s="1"/>
      <c r="C551" s="1"/>
      <c r="D551" s="1"/>
    </row>
    <row r="552" spans="1:4" x14ac:dyDescent="0.25">
      <c r="A552" s="1"/>
      <c r="B552" s="1"/>
      <c r="C552" s="1"/>
      <c r="D552" s="1"/>
    </row>
    <row r="553" spans="1:4" x14ac:dyDescent="0.25">
      <c r="A553" s="1"/>
      <c r="B553" s="1"/>
      <c r="C553" s="1"/>
      <c r="D553" s="1"/>
    </row>
    <row r="554" spans="1:4" x14ac:dyDescent="0.25">
      <c r="A554" s="1"/>
      <c r="B554" s="1"/>
      <c r="C554" s="1"/>
      <c r="D554" s="1"/>
    </row>
    <row r="555" spans="1:4" x14ac:dyDescent="0.25">
      <c r="A555" s="1"/>
      <c r="B555" s="1"/>
      <c r="C555" s="1"/>
      <c r="D555" s="1"/>
    </row>
    <row r="556" spans="1:4" x14ac:dyDescent="0.25">
      <c r="A556" s="1"/>
      <c r="B556" s="1"/>
      <c r="C556" s="1"/>
      <c r="D556" s="1"/>
    </row>
    <row r="557" spans="1:4" x14ac:dyDescent="0.25">
      <c r="A557" s="1"/>
      <c r="B557" s="1"/>
      <c r="C557" s="1"/>
      <c r="D557" s="1"/>
    </row>
    <row r="558" spans="1:4" x14ac:dyDescent="0.25">
      <c r="A558" s="1"/>
      <c r="B558" s="1"/>
      <c r="C558" s="1"/>
      <c r="D558" s="1"/>
    </row>
    <row r="559" spans="1:4" x14ac:dyDescent="0.25">
      <c r="A559" s="1"/>
      <c r="B559" s="1"/>
      <c r="C559" s="1"/>
      <c r="D559" s="1"/>
    </row>
    <row r="560" spans="1:4" x14ac:dyDescent="0.25">
      <c r="A560" s="1"/>
      <c r="B560" s="1"/>
      <c r="C560" s="1"/>
      <c r="D560" s="1"/>
    </row>
    <row r="561" spans="1:4" x14ac:dyDescent="0.25">
      <c r="A561" s="1"/>
      <c r="B561" s="1"/>
      <c r="C561" s="1"/>
      <c r="D561" s="1"/>
    </row>
    <row r="562" spans="1:4" x14ac:dyDescent="0.25">
      <c r="A562" s="1"/>
      <c r="B562" s="1"/>
      <c r="C562" s="1"/>
      <c r="D562" s="1"/>
    </row>
    <row r="563" spans="1:4" x14ac:dyDescent="0.25">
      <c r="A563" s="1"/>
      <c r="B563" s="1"/>
      <c r="C563" s="1"/>
      <c r="D563" s="1"/>
    </row>
    <row r="564" spans="1:4" x14ac:dyDescent="0.25">
      <c r="A564" s="1"/>
      <c r="B564" s="1"/>
      <c r="C564" s="1"/>
      <c r="D564" s="1"/>
    </row>
    <row r="565" spans="1:4" x14ac:dyDescent="0.25">
      <c r="A565" s="1"/>
      <c r="B565" s="1"/>
      <c r="C565" s="1"/>
      <c r="D565" s="1"/>
    </row>
    <row r="566" spans="1:4" x14ac:dyDescent="0.25">
      <c r="A566" s="1"/>
      <c r="B566" s="1"/>
      <c r="C566" s="1"/>
      <c r="D566" s="1"/>
    </row>
    <row r="567" spans="1:4" x14ac:dyDescent="0.25">
      <c r="A567" s="1"/>
      <c r="B567" s="1"/>
      <c r="C567" s="1"/>
      <c r="D567" s="1"/>
    </row>
    <row r="568" spans="1:4" x14ac:dyDescent="0.25">
      <c r="A568" s="1"/>
      <c r="B568" s="1"/>
      <c r="C568" s="1"/>
      <c r="D568" s="1"/>
    </row>
    <row r="569" spans="1:4" x14ac:dyDescent="0.25">
      <c r="A569" s="1"/>
      <c r="B569" s="1"/>
      <c r="C569" s="1"/>
      <c r="D569" s="1"/>
    </row>
    <row r="570" spans="1:4" x14ac:dyDescent="0.25">
      <c r="A570" s="1"/>
      <c r="B570" s="1"/>
      <c r="C570" s="1"/>
      <c r="D570" s="1"/>
    </row>
    <row r="571" spans="1:4" x14ac:dyDescent="0.25">
      <c r="A571" s="1"/>
      <c r="B571" s="1"/>
      <c r="C571" s="1"/>
      <c r="D571" s="1"/>
    </row>
    <row r="572" spans="1:4" x14ac:dyDescent="0.25">
      <c r="A572" s="1"/>
      <c r="B572" s="1"/>
      <c r="C572" s="1"/>
      <c r="D572" s="1"/>
    </row>
    <row r="573" spans="1:4" x14ac:dyDescent="0.25">
      <c r="A573" s="1"/>
      <c r="B573" s="1"/>
      <c r="C573" s="1"/>
      <c r="D573" s="1"/>
    </row>
    <row r="574" spans="1:4" x14ac:dyDescent="0.25">
      <c r="A574" s="1"/>
      <c r="B574" s="1"/>
      <c r="C574" s="1"/>
      <c r="D574" s="1"/>
    </row>
    <row r="575" spans="1:4" x14ac:dyDescent="0.25">
      <c r="A575" s="1"/>
      <c r="B575" s="1"/>
      <c r="C575" s="1"/>
      <c r="D575" s="1"/>
    </row>
    <row r="576" spans="1:4" x14ac:dyDescent="0.25">
      <c r="A576" s="1"/>
      <c r="B576" s="1"/>
      <c r="C576" s="1"/>
      <c r="D576" s="1"/>
    </row>
    <row r="577" spans="1:4" x14ac:dyDescent="0.25">
      <c r="A577" s="1"/>
      <c r="B577" s="1"/>
      <c r="C577" s="1"/>
      <c r="D577" s="1"/>
    </row>
    <row r="578" spans="1:4" x14ac:dyDescent="0.25">
      <c r="A578" s="1"/>
      <c r="B578" s="1"/>
      <c r="C578" s="1"/>
      <c r="D578" s="1"/>
    </row>
    <row r="579" spans="1:4" x14ac:dyDescent="0.25">
      <c r="A579" s="1"/>
      <c r="B579" s="1"/>
      <c r="C579" s="1"/>
      <c r="D579" s="1"/>
    </row>
    <row r="580" spans="1:4" x14ac:dyDescent="0.25">
      <c r="A580" s="1"/>
      <c r="B580" s="1"/>
      <c r="C580" s="1"/>
      <c r="D580" s="1"/>
    </row>
    <row r="581" spans="1:4" x14ac:dyDescent="0.25">
      <c r="A581" s="1"/>
      <c r="B581" s="1"/>
      <c r="C581" s="1"/>
      <c r="D581" s="1"/>
    </row>
    <row r="582" spans="1:4" x14ac:dyDescent="0.25">
      <c r="A582" s="1"/>
      <c r="B582" s="1"/>
      <c r="C582" s="1"/>
      <c r="D582" s="1"/>
    </row>
    <row r="583" spans="1:4" x14ac:dyDescent="0.25">
      <c r="A583" s="1"/>
      <c r="B583" s="1"/>
      <c r="C583" s="1"/>
      <c r="D583" s="1"/>
    </row>
    <row r="584" spans="1:4" x14ac:dyDescent="0.25">
      <c r="A584" s="1"/>
      <c r="B584" s="1"/>
      <c r="C584" s="1"/>
      <c r="D584" s="1"/>
    </row>
    <row r="585" spans="1:4" x14ac:dyDescent="0.25">
      <c r="A585" s="1"/>
      <c r="B585" s="1"/>
      <c r="C585" s="1"/>
      <c r="D585" s="1"/>
    </row>
    <row r="586" spans="1:4" x14ac:dyDescent="0.25">
      <c r="A586" s="1"/>
      <c r="B586" s="1"/>
      <c r="C586" s="1"/>
      <c r="D586" s="1"/>
    </row>
    <row r="587" spans="1:4" x14ac:dyDescent="0.25">
      <c r="A587" s="1"/>
      <c r="B587" s="1"/>
      <c r="C587" s="1"/>
      <c r="D587" s="1"/>
    </row>
    <row r="588" spans="1:4" x14ac:dyDescent="0.25">
      <c r="A588" s="1"/>
      <c r="B588" s="1"/>
      <c r="C588" s="1"/>
      <c r="D588" s="1"/>
    </row>
    <row r="589" spans="1:4" x14ac:dyDescent="0.25">
      <c r="A589" s="1"/>
      <c r="B589" s="1"/>
      <c r="C589" s="1"/>
      <c r="D589" s="1"/>
    </row>
    <row r="590" spans="1:4" x14ac:dyDescent="0.25">
      <c r="A590" s="1"/>
      <c r="B590" s="1"/>
      <c r="C590" s="1"/>
      <c r="D590" s="1"/>
    </row>
    <row r="591" spans="1:4" x14ac:dyDescent="0.25">
      <c r="A591" s="1"/>
      <c r="B591" s="1"/>
      <c r="C591" s="1"/>
      <c r="D591" s="1"/>
    </row>
    <row r="592" spans="1:4" x14ac:dyDescent="0.25">
      <c r="A592" s="1"/>
      <c r="B592" s="1"/>
      <c r="C592" s="1"/>
      <c r="D592" s="1"/>
    </row>
    <row r="593" spans="1:4" x14ac:dyDescent="0.25">
      <c r="A593" s="1"/>
      <c r="B593" s="1"/>
      <c r="C593" s="1"/>
      <c r="D593" s="1"/>
    </row>
    <row r="594" spans="1:4" x14ac:dyDescent="0.25">
      <c r="A594" s="1"/>
      <c r="B594" s="1"/>
      <c r="C594" s="1"/>
      <c r="D594" s="1"/>
    </row>
    <row r="595" spans="1:4" x14ac:dyDescent="0.25">
      <c r="A595" s="1"/>
      <c r="B595" s="1"/>
      <c r="C595" s="1"/>
      <c r="D595" s="1"/>
    </row>
    <row r="596" spans="1:4" x14ac:dyDescent="0.25">
      <c r="A596" s="1"/>
      <c r="B596" s="1"/>
      <c r="C596" s="1"/>
      <c r="D596" s="1"/>
    </row>
    <row r="597" spans="1:4" x14ac:dyDescent="0.25">
      <c r="A597" s="1"/>
      <c r="B597" s="1"/>
      <c r="C597" s="1"/>
      <c r="D597" s="1"/>
    </row>
    <row r="598" spans="1:4" x14ac:dyDescent="0.25">
      <c r="A598" s="1"/>
      <c r="B598" s="1"/>
      <c r="C598" s="1"/>
      <c r="D598" s="1"/>
    </row>
    <row r="599" spans="1:4" x14ac:dyDescent="0.25">
      <c r="A599" s="1"/>
      <c r="B599" s="1"/>
      <c r="C599" s="1"/>
      <c r="D599" s="1"/>
    </row>
    <row r="600" spans="1:4" x14ac:dyDescent="0.25">
      <c r="A600" s="1"/>
      <c r="B600" s="1"/>
      <c r="C600" s="1"/>
      <c r="D600" s="1"/>
    </row>
    <row r="601" spans="1:4" x14ac:dyDescent="0.25">
      <c r="A601" s="1"/>
      <c r="B601" s="1"/>
      <c r="C601" s="1"/>
      <c r="D601" s="1"/>
    </row>
    <row r="602" spans="1:4" x14ac:dyDescent="0.25">
      <c r="A602" s="1"/>
      <c r="B602" s="1"/>
      <c r="C602" s="1"/>
      <c r="D602" s="1"/>
    </row>
    <row r="603" spans="1:4" x14ac:dyDescent="0.25">
      <c r="A603" s="1"/>
      <c r="B603" s="1"/>
      <c r="C603" s="1"/>
      <c r="D603" s="1"/>
    </row>
    <row r="604" spans="1:4" x14ac:dyDescent="0.25">
      <c r="A604" s="1"/>
      <c r="B604" s="1"/>
      <c r="C604" s="1"/>
      <c r="D604" s="1"/>
    </row>
    <row r="605" spans="1:4" x14ac:dyDescent="0.25">
      <c r="A605" s="1"/>
      <c r="B605" s="1"/>
      <c r="C605" s="1"/>
      <c r="D605" s="1"/>
    </row>
    <row r="606" spans="1:4" x14ac:dyDescent="0.25">
      <c r="A606" s="1"/>
      <c r="B606" s="1"/>
      <c r="C606" s="1"/>
      <c r="D606" s="1"/>
    </row>
    <row r="607" spans="1:4" x14ac:dyDescent="0.25">
      <c r="A607" s="1"/>
      <c r="B607" s="1"/>
      <c r="C607" s="1"/>
      <c r="D607" s="1"/>
    </row>
    <row r="608" spans="1:4" x14ac:dyDescent="0.25">
      <c r="A608" s="1"/>
      <c r="B608" s="1"/>
      <c r="C608" s="1"/>
      <c r="D608" s="1"/>
    </row>
    <row r="609" spans="1:4" x14ac:dyDescent="0.25">
      <c r="A609" s="1"/>
      <c r="B609" s="1"/>
      <c r="C609" s="1"/>
      <c r="D609" s="1"/>
    </row>
    <row r="610" spans="1:4" x14ac:dyDescent="0.25">
      <c r="A610" s="1"/>
      <c r="B610" s="1"/>
      <c r="C610" s="1"/>
      <c r="D610" s="1"/>
    </row>
    <row r="611" spans="1:4" x14ac:dyDescent="0.25">
      <c r="A611" s="1"/>
      <c r="B611" s="1"/>
      <c r="C611" s="1"/>
      <c r="D611" s="1"/>
    </row>
    <row r="612" spans="1:4" x14ac:dyDescent="0.25">
      <c r="A612" s="1"/>
      <c r="B612" s="1"/>
      <c r="C612" s="1"/>
      <c r="D612" s="1"/>
    </row>
    <row r="613" spans="1:4" x14ac:dyDescent="0.25">
      <c r="A613" s="1"/>
      <c r="B613" s="1"/>
      <c r="C613" s="1"/>
      <c r="D613" s="1"/>
    </row>
    <row r="614" spans="1:4" x14ac:dyDescent="0.25">
      <c r="A614" s="1"/>
      <c r="B614" s="1"/>
      <c r="C614" s="1"/>
      <c r="D614" s="1"/>
    </row>
    <row r="615" spans="1:4" x14ac:dyDescent="0.25">
      <c r="A615" s="1"/>
      <c r="B615" s="1"/>
      <c r="C615" s="1"/>
      <c r="D615" s="1"/>
    </row>
    <row r="616" spans="1:4" x14ac:dyDescent="0.25">
      <c r="A616" s="1"/>
      <c r="B616" s="1"/>
      <c r="C616" s="1"/>
      <c r="D616" s="1"/>
    </row>
    <row r="617" spans="1:4" x14ac:dyDescent="0.25">
      <c r="A617" s="1"/>
      <c r="B617" s="1"/>
      <c r="C617" s="1"/>
      <c r="D617" s="1"/>
    </row>
    <row r="618" spans="1:4" x14ac:dyDescent="0.25">
      <c r="A618" s="1"/>
      <c r="B618" s="1"/>
      <c r="C618" s="1"/>
      <c r="D618" s="1"/>
    </row>
    <row r="619" spans="1:4" x14ac:dyDescent="0.25">
      <c r="A619" s="1"/>
      <c r="B619" s="1"/>
      <c r="C619" s="1"/>
      <c r="D619" s="1"/>
    </row>
    <row r="620" spans="1:4" x14ac:dyDescent="0.25">
      <c r="A620" s="1"/>
      <c r="B620" s="1"/>
      <c r="C620" s="1"/>
      <c r="D620" s="1"/>
    </row>
    <row r="621" spans="1:4" x14ac:dyDescent="0.25">
      <c r="A621" s="1"/>
      <c r="B621" s="1"/>
      <c r="C621" s="1"/>
      <c r="D621" s="1"/>
    </row>
    <row r="622" spans="1:4" x14ac:dyDescent="0.25">
      <c r="A622" s="1"/>
      <c r="B622" s="1"/>
      <c r="C622" s="1"/>
      <c r="D622" s="1"/>
    </row>
    <row r="623" spans="1:4" x14ac:dyDescent="0.25">
      <c r="A623" s="1"/>
      <c r="B623" s="1"/>
      <c r="C623" s="1"/>
      <c r="D623" s="1"/>
    </row>
    <row r="624" spans="1:4" x14ac:dyDescent="0.25">
      <c r="A624" s="1"/>
      <c r="B624" s="1"/>
      <c r="C624" s="1"/>
      <c r="D624" s="1"/>
    </row>
    <row r="625" spans="1:4" x14ac:dyDescent="0.25">
      <c r="A625" s="1"/>
      <c r="B625" s="1"/>
      <c r="C625" s="1"/>
      <c r="D625" s="1"/>
    </row>
    <row r="626" spans="1:4" x14ac:dyDescent="0.25">
      <c r="A626" s="1"/>
      <c r="B626" s="1"/>
      <c r="C626" s="1"/>
      <c r="D626" s="1"/>
    </row>
    <row r="627" spans="1:4" x14ac:dyDescent="0.25">
      <c r="A627" s="1"/>
      <c r="B627" s="1"/>
      <c r="C627" s="1"/>
      <c r="D627" s="1"/>
    </row>
    <row r="628" spans="1:4" x14ac:dyDescent="0.25">
      <c r="A628" s="1"/>
      <c r="B628" s="1"/>
      <c r="C628" s="1"/>
      <c r="D628" s="1"/>
    </row>
    <row r="629" spans="1:4" x14ac:dyDescent="0.25">
      <c r="A629" s="1"/>
      <c r="B629" s="1"/>
      <c r="C629" s="1"/>
      <c r="D629" s="1"/>
    </row>
    <row r="630" spans="1:4" x14ac:dyDescent="0.25">
      <c r="A630" s="1"/>
      <c r="B630" s="1"/>
      <c r="C630" s="1"/>
      <c r="D630" s="1"/>
    </row>
    <row r="631" spans="1:4" x14ac:dyDescent="0.25">
      <c r="A631" s="1"/>
      <c r="B631" s="1"/>
      <c r="C631" s="1"/>
      <c r="D631" s="1"/>
    </row>
    <row r="632" spans="1:4" x14ac:dyDescent="0.25">
      <c r="A632" s="1"/>
      <c r="B632" s="1"/>
      <c r="C632" s="1"/>
      <c r="D632" s="1"/>
    </row>
    <row r="633" spans="1:4" x14ac:dyDescent="0.25">
      <c r="A633" s="1"/>
      <c r="B633" s="1"/>
      <c r="C633" s="1"/>
      <c r="D633" s="1"/>
    </row>
    <row r="634" spans="1:4" x14ac:dyDescent="0.25">
      <c r="A634" s="1"/>
      <c r="B634" s="1"/>
      <c r="C634" s="1"/>
      <c r="D634" s="1"/>
    </row>
    <row r="635" spans="1:4" x14ac:dyDescent="0.25">
      <c r="A635" s="1"/>
      <c r="B635" s="1"/>
      <c r="C635" s="1"/>
      <c r="D635" s="1"/>
    </row>
    <row r="636" spans="1:4" x14ac:dyDescent="0.25">
      <c r="A636" s="1"/>
      <c r="B636" s="1"/>
      <c r="C636" s="1"/>
      <c r="D636" s="1"/>
    </row>
    <row r="637" spans="1:4" x14ac:dyDescent="0.25">
      <c r="A637" s="1"/>
      <c r="B637" s="1"/>
      <c r="C637" s="1"/>
      <c r="D637" s="1"/>
    </row>
    <row r="638" spans="1:4" x14ac:dyDescent="0.25">
      <c r="A638" s="1"/>
      <c r="B638" s="1"/>
      <c r="C638" s="1"/>
      <c r="D638" s="1"/>
    </row>
    <row r="639" spans="1:4" x14ac:dyDescent="0.25">
      <c r="A639" s="1"/>
      <c r="B639" s="1"/>
      <c r="C639" s="1"/>
      <c r="D639" s="1"/>
    </row>
    <row r="640" spans="1:4" x14ac:dyDescent="0.25">
      <c r="A640" s="1"/>
      <c r="B640" s="1"/>
      <c r="C640" s="1"/>
      <c r="D640" s="1"/>
    </row>
    <row r="641" spans="1:4" x14ac:dyDescent="0.25">
      <c r="A641" s="1"/>
      <c r="B641" s="1"/>
      <c r="C641" s="1"/>
      <c r="D641" s="1"/>
    </row>
    <row r="642" spans="1:4" x14ac:dyDescent="0.25">
      <c r="A642" s="1"/>
      <c r="B642" s="1"/>
      <c r="C642" s="1"/>
      <c r="D642" s="1"/>
    </row>
    <row r="643" spans="1:4" x14ac:dyDescent="0.25">
      <c r="A643" s="1"/>
      <c r="B643" s="1"/>
      <c r="C643" s="1"/>
      <c r="D643" s="1"/>
    </row>
    <row r="644" spans="1:4" x14ac:dyDescent="0.25">
      <c r="A644" s="1"/>
      <c r="B644" s="1"/>
      <c r="C644" s="1"/>
      <c r="D644" s="1"/>
    </row>
    <row r="645" spans="1:4" x14ac:dyDescent="0.25">
      <c r="A645" s="1"/>
      <c r="B645" s="1"/>
      <c r="C645" s="1"/>
      <c r="D645" s="1"/>
    </row>
    <row r="646" spans="1:4" x14ac:dyDescent="0.25">
      <c r="A646" s="1"/>
      <c r="B646" s="1"/>
      <c r="C646" s="1"/>
      <c r="D646" s="1"/>
    </row>
    <row r="647" spans="1:4" x14ac:dyDescent="0.25">
      <c r="A647" s="1"/>
      <c r="B647" s="1"/>
      <c r="C647" s="1"/>
      <c r="D647" s="1"/>
    </row>
    <row r="648" spans="1:4" x14ac:dyDescent="0.25">
      <c r="A648" s="1"/>
      <c r="B648" s="1"/>
      <c r="C648" s="1"/>
      <c r="D648" s="1"/>
    </row>
    <row r="649" spans="1:4" x14ac:dyDescent="0.25">
      <c r="A649" s="1"/>
      <c r="B649" s="1"/>
      <c r="C649" s="1"/>
      <c r="D649" s="1"/>
    </row>
    <row r="650" spans="1:4" x14ac:dyDescent="0.25">
      <c r="A650" s="1"/>
      <c r="B650" s="1"/>
      <c r="C650" s="1"/>
      <c r="D650" s="1"/>
    </row>
    <row r="651" spans="1:4" x14ac:dyDescent="0.25">
      <c r="A651" s="1"/>
      <c r="B651" s="1"/>
      <c r="C651" s="1"/>
      <c r="D651" s="1"/>
    </row>
    <row r="652" spans="1:4" x14ac:dyDescent="0.25">
      <c r="A652" s="1"/>
      <c r="B652" s="1"/>
      <c r="C652" s="1"/>
      <c r="D652" s="1"/>
    </row>
    <row r="653" spans="1:4" x14ac:dyDescent="0.25">
      <c r="A653" s="1"/>
      <c r="B653" s="1"/>
      <c r="C653" s="1"/>
      <c r="D653" s="1"/>
    </row>
    <row r="654" spans="1:4" x14ac:dyDescent="0.25">
      <c r="A654" s="1"/>
      <c r="B654" s="1"/>
      <c r="C654" s="1"/>
      <c r="D654" s="1"/>
    </row>
    <row r="655" spans="1:4" x14ac:dyDescent="0.25">
      <c r="A655" s="1"/>
      <c r="B655" s="1"/>
      <c r="C655" s="1"/>
      <c r="D655" s="1"/>
    </row>
    <row r="656" spans="1:4" x14ac:dyDescent="0.25">
      <c r="A656" s="1"/>
      <c r="B656" s="1"/>
      <c r="C656" s="1"/>
      <c r="D656" s="1"/>
    </row>
    <row r="657" spans="1:4" x14ac:dyDescent="0.25">
      <c r="A657" s="1"/>
      <c r="B657" s="1"/>
      <c r="C657" s="1"/>
      <c r="D657" s="1"/>
    </row>
    <row r="658" spans="1:4" x14ac:dyDescent="0.25">
      <c r="A658" s="1"/>
      <c r="B658" s="1"/>
      <c r="C658" s="1"/>
      <c r="D658" s="1"/>
    </row>
    <row r="659" spans="1:4" x14ac:dyDescent="0.25">
      <c r="A659" s="1"/>
      <c r="B659" s="1"/>
      <c r="C659" s="1"/>
      <c r="D659" s="1"/>
    </row>
    <row r="660" spans="1:4" x14ac:dyDescent="0.25">
      <c r="A660" s="1"/>
      <c r="B660" s="1"/>
      <c r="C660" s="1"/>
      <c r="D660" s="1"/>
    </row>
    <row r="661" spans="1:4" x14ac:dyDescent="0.25">
      <c r="A661" s="1"/>
      <c r="B661" s="1"/>
      <c r="C661" s="1"/>
      <c r="D661" s="1"/>
    </row>
    <row r="662" spans="1:4" x14ac:dyDescent="0.25">
      <c r="A662" s="1"/>
      <c r="B662" s="1"/>
      <c r="C662" s="1"/>
      <c r="D662" s="1"/>
    </row>
    <row r="663" spans="1:4" x14ac:dyDescent="0.25">
      <c r="A663" s="1"/>
      <c r="B663" s="1"/>
      <c r="C663" s="1"/>
      <c r="D663" s="1"/>
    </row>
    <row r="664" spans="1:4" x14ac:dyDescent="0.25">
      <c r="A664" s="1"/>
      <c r="B664" s="1"/>
      <c r="C664" s="1"/>
      <c r="D664" s="1"/>
    </row>
    <row r="665" spans="1:4" x14ac:dyDescent="0.25">
      <c r="A665" s="1"/>
      <c r="B665" s="1"/>
      <c r="C665" s="1"/>
      <c r="D665" s="1"/>
    </row>
    <row r="666" spans="1:4" x14ac:dyDescent="0.25">
      <c r="A666" s="1"/>
      <c r="B666" s="1"/>
      <c r="C666" s="1"/>
      <c r="D666" s="1"/>
    </row>
    <row r="667" spans="1:4" x14ac:dyDescent="0.25">
      <c r="A667" s="1"/>
      <c r="B667" s="1"/>
      <c r="C667" s="1"/>
      <c r="D667" s="1"/>
    </row>
    <row r="668" spans="1:4" x14ac:dyDescent="0.25">
      <c r="A668" s="1"/>
      <c r="B668" s="1"/>
      <c r="C668" s="1"/>
      <c r="D668" s="1"/>
    </row>
    <row r="669" spans="1:4" x14ac:dyDescent="0.25">
      <c r="A669" s="1"/>
      <c r="B669" s="1"/>
      <c r="C669" s="1"/>
      <c r="D669" s="1"/>
    </row>
    <row r="670" spans="1:4" x14ac:dyDescent="0.25">
      <c r="A670" s="1"/>
      <c r="B670" s="1"/>
      <c r="C670" s="1"/>
      <c r="D670" s="1"/>
    </row>
    <row r="671" spans="1:4" x14ac:dyDescent="0.25">
      <c r="A671" s="1"/>
      <c r="B671" s="1"/>
      <c r="C671" s="1"/>
      <c r="D671" s="1"/>
    </row>
    <row r="672" spans="1:4" x14ac:dyDescent="0.25">
      <c r="A672" s="1"/>
      <c r="B672" s="1"/>
      <c r="C672" s="1"/>
      <c r="D672" s="1"/>
    </row>
    <row r="673" spans="1:4" x14ac:dyDescent="0.25">
      <c r="A673" s="1"/>
      <c r="B673" s="1"/>
      <c r="C673" s="1"/>
      <c r="D673" s="1"/>
    </row>
    <row r="674" spans="1:4" x14ac:dyDescent="0.25">
      <c r="A674" s="1"/>
      <c r="B674" s="1"/>
      <c r="C674" s="1"/>
      <c r="D674" s="1"/>
    </row>
    <row r="675" spans="1:4" x14ac:dyDescent="0.25">
      <c r="A675" s="1"/>
      <c r="B675" s="1"/>
      <c r="C675" s="1"/>
      <c r="D675" s="1"/>
    </row>
    <row r="676" spans="1:4" x14ac:dyDescent="0.25">
      <c r="A676" s="1"/>
      <c r="B676" s="1"/>
      <c r="C676" s="1"/>
      <c r="D676" s="1"/>
    </row>
    <row r="677" spans="1:4" x14ac:dyDescent="0.25">
      <c r="A677" s="1"/>
      <c r="B677" s="1"/>
      <c r="C677" s="1"/>
      <c r="D677" s="1"/>
    </row>
    <row r="678" spans="1:4" x14ac:dyDescent="0.25">
      <c r="A678" s="1"/>
      <c r="B678" s="1"/>
      <c r="C678" s="1"/>
      <c r="D678" s="1"/>
    </row>
    <row r="679" spans="1:4" x14ac:dyDescent="0.25">
      <c r="A679" s="1"/>
      <c r="B679" s="1"/>
      <c r="C679" s="1"/>
      <c r="D679" s="1"/>
    </row>
    <row r="680" spans="1:4" x14ac:dyDescent="0.25">
      <c r="A680" s="1"/>
      <c r="B680" s="1"/>
      <c r="C680" s="1"/>
      <c r="D680" s="1"/>
    </row>
    <row r="681" spans="1:4" x14ac:dyDescent="0.25">
      <c r="A681" s="1"/>
      <c r="B681" s="1"/>
      <c r="C681" s="1"/>
      <c r="D681" s="1"/>
    </row>
    <row r="682" spans="1:4" x14ac:dyDescent="0.25">
      <c r="A682" s="1"/>
      <c r="B682" s="1"/>
      <c r="C682" s="1"/>
      <c r="D682" s="1"/>
    </row>
    <row r="683" spans="1:4" x14ac:dyDescent="0.25">
      <c r="A683" s="1"/>
      <c r="B683" s="1"/>
      <c r="C683" s="1"/>
      <c r="D683" s="1"/>
    </row>
    <row r="684" spans="1:4" x14ac:dyDescent="0.25">
      <c r="A684" s="1"/>
      <c r="B684" s="1"/>
      <c r="C684" s="1"/>
      <c r="D684" s="1"/>
    </row>
    <row r="685" spans="1:4" x14ac:dyDescent="0.25">
      <c r="A685" s="1"/>
      <c r="B685" s="1"/>
      <c r="C685" s="1"/>
      <c r="D685" s="1"/>
    </row>
    <row r="686" spans="1:4" x14ac:dyDescent="0.25">
      <c r="A686" s="1"/>
      <c r="B686" s="1"/>
      <c r="C686" s="1"/>
      <c r="D686" s="1"/>
    </row>
    <row r="687" spans="1:4" x14ac:dyDescent="0.25">
      <c r="A687" s="1"/>
      <c r="B687" s="1"/>
      <c r="C687" s="1"/>
      <c r="D687" s="1"/>
    </row>
    <row r="688" spans="1:4" x14ac:dyDescent="0.25">
      <c r="A688" s="1"/>
      <c r="B688" s="1"/>
      <c r="C688" s="1"/>
      <c r="D688" s="1"/>
    </row>
    <row r="689" spans="1:4" x14ac:dyDescent="0.25">
      <c r="A689" s="1"/>
      <c r="B689" s="1"/>
      <c r="C689" s="1"/>
      <c r="D689" s="1"/>
    </row>
    <row r="690" spans="1:4" x14ac:dyDescent="0.25">
      <c r="A690" s="1"/>
      <c r="B690" s="1"/>
      <c r="C690" s="1"/>
      <c r="D690" s="1"/>
    </row>
    <row r="691" spans="1:4" x14ac:dyDescent="0.25">
      <c r="A691" s="1"/>
      <c r="B691" s="1"/>
      <c r="C691" s="1"/>
      <c r="D691" s="1"/>
    </row>
    <row r="692" spans="1:4" x14ac:dyDescent="0.25">
      <c r="A692" s="1"/>
      <c r="B692" s="1"/>
      <c r="C692" s="1"/>
      <c r="D692" s="1"/>
    </row>
    <row r="693" spans="1:4" x14ac:dyDescent="0.25">
      <c r="A693" s="1"/>
      <c r="B693" s="1"/>
      <c r="C693" s="1"/>
      <c r="D693" s="1"/>
    </row>
    <row r="694" spans="1:4" x14ac:dyDescent="0.25">
      <c r="A694" s="1"/>
      <c r="B694" s="1"/>
      <c r="C694" s="1"/>
      <c r="D694" s="1"/>
    </row>
    <row r="695" spans="1:4" x14ac:dyDescent="0.25">
      <c r="A695" s="1"/>
      <c r="B695" s="1"/>
      <c r="C695" s="1"/>
      <c r="D695" s="1"/>
    </row>
    <row r="696" spans="1:4" x14ac:dyDescent="0.25">
      <c r="A696" s="1"/>
      <c r="B696" s="1"/>
      <c r="C696" s="1"/>
      <c r="D696" s="1"/>
    </row>
    <row r="697" spans="1:4" x14ac:dyDescent="0.25">
      <c r="A697" s="1"/>
      <c r="B697" s="1"/>
      <c r="C697" s="1"/>
      <c r="D697" s="1"/>
    </row>
    <row r="698" spans="1:4" x14ac:dyDescent="0.25">
      <c r="A698" s="1"/>
      <c r="B698" s="1"/>
      <c r="C698" s="1"/>
      <c r="D698" s="1"/>
    </row>
    <row r="699" spans="1:4" x14ac:dyDescent="0.25">
      <c r="A699" s="1"/>
      <c r="B699" s="1"/>
      <c r="C699" s="1"/>
      <c r="D699" s="1"/>
    </row>
    <row r="700" spans="1:4" x14ac:dyDescent="0.25">
      <c r="A700" s="1"/>
      <c r="B700" s="1"/>
      <c r="C700" s="1"/>
      <c r="D700" s="1"/>
    </row>
    <row r="701" spans="1:4" x14ac:dyDescent="0.25">
      <c r="A701" s="1"/>
      <c r="B701" s="1"/>
      <c r="C701" s="1"/>
      <c r="D701" s="1"/>
    </row>
    <row r="702" spans="1:4" x14ac:dyDescent="0.25">
      <c r="A702" s="1"/>
      <c r="B702" s="1"/>
      <c r="C702" s="1"/>
      <c r="D702" s="1"/>
    </row>
    <row r="703" spans="1:4" x14ac:dyDescent="0.25">
      <c r="A703" s="1"/>
      <c r="B703" s="1"/>
      <c r="C703" s="1"/>
      <c r="D703" s="1"/>
    </row>
    <row r="704" spans="1:4" x14ac:dyDescent="0.25">
      <c r="A704" s="1"/>
      <c r="B704" s="1"/>
      <c r="C704" s="1"/>
      <c r="D704" s="1"/>
    </row>
    <row r="705" spans="1:4" x14ac:dyDescent="0.25">
      <c r="A705" s="1"/>
      <c r="B705" s="1"/>
      <c r="C705" s="1"/>
      <c r="D705" s="1"/>
    </row>
    <row r="706" spans="1:4" x14ac:dyDescent="0.25">
      <c r="A706" s="1"/>
      <c r="B706" s="1"/>
      <c r="C706" s="1"/>
      <c r="D706" s="1"/>
    </row>
    <row r="707" spans="1:4" x14ac:dyDescent="0.25">
      <c r="A707" s="1"/>
      <c r="B707" s="1"/>
      <c r="C707" s="1"/>
      <c r="D707" s="1"/>
    </row>
    <row r="708" spans="1:4" x14ac:dyDescent="0.25">
      <c r="A708" s="1"/>
      <c r="B708" s="1"/>
      <c r="C708" s="1"/>
      <c r="D708" s="1"/>
    </row>
    <row r="709" spans="1:4" x14ac:dyDescent="0.25">
      <c r="A709" s="1"/>
      <c r="B709" s="1"/>
      <c r="C709" s="1"/>
      <c r="D709" s="1"/>
    </row>
    <row r="710" spans="1:4" x14ac:dyDescent="0.25">
      <c r="A710" s="1"/>
      <c r="B710" s="1"/>
      <c r="C710" s="1"/>
      <c r="D710" s="1"/>
    </row>
    <row r="711" spans="1:4" x14ac:dyDescent="0.25">
      <c r="A711" s="1"/>
      <c r="B711" s="1"/>
      <c r="C711" s="1"/>
      <c r="D711" s="1"/>
    </row>
    <row r="712" spans="1:4" x14ac:dyDescent="0.25">
      <c r="A712" s="1"/>
      <c r="B712" s="1"/>
      <c r="C712" s="1"/>
      <c r="D712" s="1"/>
    </row>
    <row r="713" spans="1:4" x14ac:dyDescent="0.25">
      <c r="A713" s="1"/>
      <c r="B713" s="1"/>
      <c r="C713" s="1"/>
      <c r="D713" s="1"/>
    </row>
    <row r="714" spans="1:4" x14ac:dyDescent="0.25">
      <c r="A714" s="1"/>
      <c r="B714" s="1"/>
      <c r="C714" s="1"/>
      <c r="D714" s="1"/>
    </row>
    <row r="715" spans="1:4" x14ac:dyDescent="0.25">
      <c r="A715" s="1"/>
      <c r="B715" s="1"/>
      <c r="C715" s="1"/>
      <c r="D715" s="1"/>
    </row>
    <row r="716" spans="1:4" x14ac:dyDescent="0.25">
      <c r="A716" s="1"/>
      <c r="B716" s="1"/>
      <c r="C716" s="1"/>
      <c r="D716" s="1"/>
    </row>
    <row r="717" spans="1:4" x14ac:dyDescent="0.25">
      <c r="A717" s="1"/>
      <c r="B717" s="1"/>
      <c r="C717" s="1"/>
      <c r="D717" s="1"/>
    </row>
    <row r="718" spans="1:4" x14ac:dyDescent="0.25">
      <c r="A718" s="1"/>
      <c r="B718" s="1"/>
      <c r="C718" s="1"/>
      <c r="D718" s="1"/>
    </row>
    <row r="719" spans="1:4" x14ac:dyDescent="0.25">
      <c r="A719" s="1"/>
      <c r="B719" s="1"/>
      <c r="C719" s="1"/>
      <c r="D719" s="1"/>
    </row>
    <row r="720" spans="1:4" x14ac:dyDescent="0.25">
      <c r="A720" s="1"/>
      <c r="B720" s="1"/>
      <c r="C720" s="1"/>
      <c r="D720" s="1"/>
    </row>
    <row r="721" spans="1:4" x14ac:dyDescent="0.25">
      <c r="A721" s="1"/>
      <c r="B721" s="1"/>
      <c r="C721" s="1"/>
      <c r="D721" s="1"/>
    </row>
    <row r="722" spans="1:4" x14ac:dyDescent="0.25">
      <c r="A722" s="1"/>
      <c r="B722" s="1"/>
      <c r="C722" s="1"/>
      <c r="D722" s="1"/>
    </row>
    <row r="723" spans="1:4" x14ac:dyDescent="0.25">
      <c r="A723" s="1"/>
      <c r="B723" s="1"/>
      <c r="C723" s="1"/>
      <c r="D723" s="1"/>
    </row>
    <row r="724" spans="1:4" x14ac:dyDescent="0.25">
      <c r="A724" s="1"/>
      <c r="B724" s="1"/>
      <c r="C724" s="1"/>
      <c r="D724" s="1"/>
    </row>
    <row r="725" spans="1:4" x14ac:dyDescent="0.25">
      <c r="A725" s="1"/>
      <c r="B725" s="1"/>
      <c r="C725" s="1"/>
      <c r="D725" s="1"/>
    </row>
    <row r="726" spans="1:4" x14ac:dyDescent="0.25">
      <c r="A726" s="1"/>
      <c r="B726" s="1"/>
      <c r="C726" s="1"/>
      <c r="D726" s="1"/>
    </row>
    <row r="727" spans="1:4" x14ac:dyDescent="0.25">
      <c r="A727" s="1"/>
      <c r="B727" s="1"/>
      <c r="C727" s="1"/>
      <c r="D727" s="1"/>
    </row>
    <row r="728" spans="1:4" x14ac:dyDescent="0.25">
      <c r="A728" s="1"/>
      <c r="B728" s="1"/>
      <c r="C728" s="1"/>
      <c r="D728" s="1"/>
    </row>
    <row r="729" spans="1:4" x14ac:dyDescent="0.25">
      <c r="A729" s="1"/>
      <c r="B729" s="1"/>
      <c r="C729" s="1"/>
      <c r="D729" s="1"/>
    </row>
    <row r="730" spans="1:4" x14ac:dyDescent="0.25">
      <c r="A730" s="1"/>
      <c r="B730" s="1"/>
      <c r="C730" s="1"/>
      <c r="D730" s="1"/>
    </row>
    <row r="731" spans="1:4" x14ac:dyDescent="0.25">
      <c r="A731" s="1"/>
      <c r="B731" s="1"/>
      <c r="C731" s="1"/>
      <c r="D731" s="1"/>
    </row>
    <row r="732" spans="1:4" x14ac:dyDescent="0.25">
      <c r="A732" s="1"/>
      <c r="B732" s="1"/>
      <c r="C732" s="1"/>
      <c r="D732" s="1"/>
    </row>
    <row r="733" spans="1:4" x14ac:dyDescent="0.25">
      <c r="A733" s="1"/>
      <c r="B733" s="1"/>
      <c r="C733" s="1"/>
      <c r="D733" s="1"/>
    </row>
    <row r="734" spans="1:4" x14ac:dyDescent="0.25">
      <c r="A734" s="1"/>
      <c r="B734" s="1"/>
      <c r="C734" s="1"/>
      <c r="D734" s="1"/>
    </row>
    <row r="735" spans="1:4" x14ac:dyDescent="0.25">
      <c r="A735" s="1"/>
      <c r="B735" s="1"/>
      <c r="C735" s="1"/>
      <c r="D735" s="1"/>
    </row>
    <row r="736" spans="1:4" x14ac:dyDescent="0.25">
      <c r="A736" s="1"/>
      <c r="B736" s="1"/>
      <c r="C736" s="1"/>
      <c r="D736" s="1"/>
    </row>
    <row r="737" spans="1:4" x14ac:dyDescent="0.25">
      <c r="A737" s="1"/>
      <c r="B737" s="1"/>
      <c r="C737" s="1"/>
      <c r="D737" s="1"/>
    </row>
    <row r="738" spans="1:4" x14ac:dyDescent="0.25">
      <c r="A738" s="1"/>
      <c r="B738" s="1"/>
      <c r="C738" s="1"/>
      <c r="D738" s="1"/>
    </row>
    <row r="739" spans="1:4" x14ac:dyDescent="0.25">
      <c r="A739" s="1"/>
      <c r="B739" s="1"/>
      <c r="C739" s="1"/>
      <c r="D739" s="1"/>
    </row>
    <row r="740" spans="1:4" x14ac:dyDescent="0.25">
      <c r="A740" s="1"/>
      <c r="B740" s="1"/>
      <c r="C740" s="1"/>
      <c r="D740" s="1"/>
    </row>
    <row r="741" spans="1:4" x14ac:dyDescent="0.25">
      <c r="A741" s="1"/>
      <c r="B741" s="1"/>
      <c r="C741" s="1"/>
      <c r="D741" s="1"/>
    </row>
    <row r="742" spans="1:4" x14ac:dyDescent="0.25">
      <c r="A742" s="1"/>
      <c r="B742" s="1"/>
      <c r="C742" s="1"/>
      <c r="D742" s="1"/>
    </row>
    <row r="743" spans="1:4" x14ac:dyDescent="0.25">
      <c r="A743" s="1"/>
      <c r="B743" s="1"/>
      <c r="C743" s="1"/>
      <c r="D743" s="1"/>
    </row>
    <row r="744" spans="1:4" x14ac:dyDescent="0.25">
      <c r="A744" s="1"/>
      <c r="B744" s="1"/>
      <c r="C744" s="1"/>
      <c r="D744" s="1"/>
    </row>
    <row r="745" spans="1:4" x14ac:dyDescent="0.25">
      <c r="A745" s="1"/>
      <c r="B745" s="1"/>
      <c r="C745" s="1"/>
      <c r="D745" s="1"/>
    </row>
    <row r="746" spans="1:4" x14ac:dyDescent="0.25">
      <c r="A746" s="1"/>
      <c r="B746" s="1"/>
      <c r="C746" s="1"/>
      <c r="D746" s="1"/>
    </row>
    <row r="747" spans="1:4" x14ac:dyDescent="0.25">
      <c r="A747" s="1"/>
      <c r="B747" s="1"/>
      <c r="C747" s="1"/>
      <c r="D747" s="1"/>
    </row>
    <row r="748" spans="1:4" x14ac:dyDescent="0.25">
      <c r="A748" s="1"/>
      <c r="B748" s="1"/>
      <c r="C748" s="1"/>
      <c r="D748" s="1"/>
    </row>
    <row r="749" spans="1:4" x14ac:dyDescent="0.25">
      <c r="A749" s="1"/>
      <c r="B749" s="1"/>
      <c r="C749" s="1"/>
      <c r="D749" s="1"/>
    </row>
    <row r="750" spans="1:4" x14ac:dyDescent="0.25">
      <c r="A750" s="1"/>
      <c r="B750" s="1"/>
      <c r="C750" s="1"/>
      <c r="D750" s="1"/>
    </row>
    <row r="751" spans="1:4" x14ac:dyDescent="0.25">
      <c r="A751" s="1"/>
      <c r="B751" s="1"/>
      <c r="C751" s="1"/>
      <c r="D751" s="1"/>
    </row>
    <row r="752" spans="1:4" x14ac:dyDescent="0.25">
      <c r="A752" s="1"/>
      <c r="B752" s="1"/>
      <c r="C752" s="1"/>
      <c r="D752" s="1"/>
    </row>
    <row r="753" spans="1:4" x14ac:dyDescent="0.25">
      <c r="A753" s="1"/>
      <c r="B753" s="1"/>
      <c r="C753" s="1"/>
      <c r="D753" s="1"/>
    </row>
    <row r="754" spans="1:4" x14ac:dyDescent="0.25">
      <c r="A754" s="1"/>
      <c r="B754" s="1"/>
      <c r="C754" s="1"/>
      <c r="D754" s="1"/>
    </row>
    <row r="755" spans="1:4" x14ac:dyDescent="0.25">
      <c r="A755" s="1"/>
      <c r="B755" s="1"/>
      <c r="C755" s="1"/>
      <c r="D755" s="1"/>
    </row>
    <row r="756" spans="1:4" x14ac:dyDescent="0.25">
      <c r="A756" s="1"/>
      <c r="B756" s="1"/>
      <c r="C756" s="1"/>
      <c r="D756" s="1"/>
    </row>
    <row r="757" spans="1:4" x14ac:dyDescent="0.25">
      <c r="A757" s="1"/>
      <c r="B757" s="1"/>
      <c r="C757" s="1"/>
      <c r="D757" s="1"/>
    </row>
    <row r="758" spans="1:4" x14ac:dyDescent="0.25">
      <c r="A758" s="1"/>
      <c r="B758" s="1"/>
      <c r="C758" s="1"/>
      <c r="D758" s="1"/>
    </row>
    <row r="759" spans="1:4" x14ac:dyDescent="0.25">
      <c r="A759" s="1"/>
      <c r="B759" s="1"/>
      <c r="C759" s="1"/>
      <c r="D759" s="1"/>
    </row>
    <row r="760" spans="1:4" x14ac:dyDescent="0.25">
      <c r="A760" s="1"/>
      <c r="B760" s="1"/>
      <c r="C760" s="1"/>
      <c r="D760" s="1"/>
    </row>
    <row r="761" spans="1:4" x14ac:dyDescent="0.25">
      <c r="A761" s="1"/>
      <c r="B761" s="1"/>
      <c r="C761" s="1"/>
      <c r="D761" s="1"/>
    </row>
    <row r="762" spans="1:4" x14ac:dyDescent="0.25">
      <c r="A762" s="1"/>
      <c r="B762" s="1"/>
      <c r="C762" s="1"/>
      <c r="D762" s="1"/>
    </row>
    <row r="763" spans="1:4" x14ac:dyDescent="0.25">
      <c r="A763" s="1"/>
      <c r="B763" s="1"/>
      <c r="C763" s="1"/>
      <c r="D763" s="1"/>
    </row>
    <row r="764" spans="1:4" x14ac:dyDescent="0.25">
      <c r="A764" s="1"/>
      <c r="B764" s="1"/>
      <c r="C764" s="1"/>
      <c r="D764" s="1"/>
    </row>
    <row r="765" spans="1:4" x14ac:dyDescent="0.25">
      <c r="A765" s="1"/>
      <c r="B765" s="1"/>
      <c r="C765" s="1"/>
      <c r="D765" s="1"/>
    </row>
    <row r="766" spans="1:4" x14ac:dyDescent="0.25">
      <c r="A766" s="1"/>
      <c r="B766" s="1"/>
      <c r="C766" s="1"/>
      <c r="D766" s="1"/>
    </row>
    <row r="767" spans="1:4" x14ac:dyDescent="0.25">
      <c r="A767" s="1"/>
      <c r="B767" s="1"/>
      <c r="C767" s="1"/>
      <c r="D767" s="1"/>
    </row>
    <row r="768" spans="1:4" x14ac:dyDescent="0.25">
      <c r="A768" s="1"/>
      <c r="B768" s="1"/>
      <c r="C768" s="1"/>
      <c r="D768" s="1"/>
    </row>
    <row r="769" spans="1:4" x14ac:dyDescent="0.25">
      <c r="A769" s="1"/>
      <c r="B769" s="1"/>
      <c r="C769" s="1"/>
      <c r="D769" s="1"/>
    </row>
    <row r="770" spans="1:4" x14ac:dyDescent="0.25">
      <c r="A770" s="1"/>
      <c r="B770" s="1"/>
      <c r="C770" s="1"/>
      <c r="D770" s="1"/>
    </row>
    <row r="771" spans="1:4" x14ac:dyDescent="0.25">
      <c r="A771" s="1"/>
      <c r="B771" s="1"/>
      <c r="C771" s="1"/>
      <c r="D771" s="1"/>
    </row>
    <row r="772" spans="1:4" x14ac:dyDescent="0.25">
      <c r="A772" s="1"/>
      <c r="B772" s="1"/>
      <c r="C772" s="1"/>
      <c r="D772" s="1"/>
    </row>
    <row r="773" spans="1:4" x14ac:dyDescent="0.25">
      <c r="A773" s="1"/>
      <c r="B773" s="1"/>
      <c r="C773" s="1"/>
      <c r="D773" s="1"/>
    </row>
    <row r="774" spans="1:4" x14ac:dyDescent="0.25">
      <c r="A774" s="1"/>
      <c r="B774" s="1"/>
      <c r="C774" s="1"/>
      <c r="D774" s="1"/>
    </row>
    <row r="775" spans="1:4" x14ac:dyDescent="0.25">
      <c r="A775" s="1"/>
      <c r="B775" s="1"/>
      <c r="C775" s="1"/>
      <c r="D775" s="1"/>
    </row>
    <row r="776" spans="1:4" x14ac:dyDescent="0.25">
      <c r="A776" s="1"/>
      <c r="B776" s="1"/>
      <c r="C776" s="1"/>
      <c r="D776" s="1"/>
    </row>
    <row r="777" spans="1:4" x14ac:dyDescent="0.25">
      <c r="A777" s="1"/>
      <c r="B777" s="1"/>
      <c r="C777" s="1"/>
      <c r="D777" s="1"/>
    </row>
    <row r="778" spans="1:4" x14ac:dyDescent="0.25">
      <c r="A778" s="1"/>
      <c r="B778" s="1"/>
      <c r="C778" s="1"/>
      <c r="D778" s="1"/>
    </row>
    <row r="779" spans="1:4" x14ac:dyDescent="0.25">
      <c r="A779" s="1"/>
      <c r="B779" s="1"/>
      <c r="C779" s="1"/>
      <c r="D779" s="1"/>
    </row>
    <row r="780" spans="1:4" x14ac:dyDescent="0.25">
      <c r="A780" s="1"/>
      <c r="B780" s="1"/>
      <c r="C780" s="1"/>
      <c r="D780" s="1"/>
    </row>
    <row r="781" spans="1:4" x14ac:dyDescent="0.25">
      <c r="A781" s="1"/>
      <c r="B781" s="1"/>
      <c r="C781" s="1"/>
      <c r="D781" s="1"/>
    </row>
    <row r="782" spans="1:4" x14ac:dyDescent="0.25">
      <c r="A782" s="1"/>
      <c r="B782" s="1"/>
      <c r="C782" s="1"/>
      <c r="D782" s="1"/>
    </row>
    <row r="783" spans="1:4" x14ac:dyDescent="0.25">
      <c r="A783" s="1"/>
      <c r="B783" s="1"/>
      <c r="C783" s="1"/>
      <c r="D783" s="1"/>
    </row>
    <row r="784" spans="1:4" x14ac:dyDescent="0.25">
      <c r="A784" s="1"/>
      <c r="B784" s="1"/>
      <c r="C784" s="1"/>
      <c r="D784" s="1"/>
    </row>
    <row r="785" spans="1:4" x14ac:dyDescent="0.25">
      <c r="A785" s="1"/>
      <c r="B785" s="1"/>
      <c r="C785" s="1"/>
      <c r="D785" s="1"/>
    </row>
    <row r="786" spans="1:4" x14ac:dyDescent="0.25">
      <c r="A786" s="1"/>
      <c r="B786" s="1"/>
      <c r="C786" s="1"/>
      <c r="D786" s="1"/>
    </row>
    <row r="787" spans="1:4" x14ac:dyDescent="0.25">
      <c r="A787" s="1"/>
      <c r="B787" s="1"/>
      <c r="C787" s="1"/>
      <c r="D787" s="1"/>
    </row>
    <row r="788" spans="1:4" x14ac:dyDescent="0.25">
      <c r="A788" s="1"/>
      <c r="B788" s="1"/>
      <c r="C788" s="1"/>
      <c r="D788" s="1"/>
    </row>
    <row r="789" spans="1:4" x14ac:dyDescent="0.25">
      <c r="A789" s="1"/>
      <c r="B789" s="1"/>
      <c r="C789" s="1"/>
      <c r="D789" s="1"/>
    </row>
    <row r="790" spans="1:4" x14ac:dyDescent="0.25">
      <c r="A790" s="1"/>
      <c r="B790" s="1"/>
      <c r="C790" s="1"/>
      <c r="D790" s="1"/>
    </row>
    <row r="791" spans="1:4" x14ac:dyDescent="0.25">
      <c r="A791" s="1"/>
      <c r="B791" s="1"/>
      <c r="C791" s="1"/>
      <c r="D791" s="1"/>
    </row>
    <row r="792" spans="1:4" x14ac:dyDescent="0.25">
      <c r="A792" s="1"/>
      <c r="B792" s="1"/>
      <c r="C792" s="1"/>
      <c r="D792" s="1"/>
    </row>
    <row r="793" spans="1:4" x14ac:dyDescent="0.25">
      <c r="A793" s="1"/>
      <c r="B793" s="1"/>
      <c r="C793" s="1"/>
      <c r="D793" s="1"/>
    </row>
    <row r="794" spans="1:4" x14ac:dyDescent="0.25">
      <c r="A794" s="1"/>
      <c r="B794" s="1"/>
      <c r="C794" s="1"/>
      <c r="D794" s="1"/>
    </row>
    <row r="795" spans="1:4" x14ac:dyDescent="0.25">
      <c r="A795" s="1"/>
      <c r="B795" s="1"/>
      <c r="C795" s="1"/>
      <c r="D795" s="1"/>
    </row>
    <row r="796" spans="1:4" x14ac:dyDescent="0.25">
      <c r="A796" s="1"/>
      <c r="B796" s="1"/>
      <c r="C796" s="1"/>
      <c r="D796" s="1"/>
    </row>
    <row r="797" spans="1:4" x14ac:dyDescent="0.25">
      <c r="A797" s="1"/>
      <c r="B797" s="1"/>
      <c r="C797" s="1"/>
      <c r="D797" s="1"/>
    </row>
    <row r="798" spans="1:4" x14ac:dyDescent="0.25">
      <c r="A798" s="1"/>
      <c r="B798" s="1"/>
      <c r="C798" s="1"/>
      <c r="D798" s="1"/>
    </row>
    <row r="799" spans="1:4" x14ac:dyDescent="0.25">
      <c r="A799" s="1"/>
      <c r="B799" s="1"/>
      <c r="C799" s="1"/>
      <c r="D799" s="1"/>
    </row>
    <row r="800" spans="1:4" x14ac:dyDescent="0.25">
      <c r="A800" s="1"/>
      <c r="B800" s="1"/>
      <c r="C800" s="1"/>
      <c r="D800" s="1"/>
    </row>
    <row r="801" spans="1:4" x14ac:dyDescent="0.25">
      <c r="A801" s="1"/>
      <c r="B801" s="1"/>
      <c r="C801" s="1"/>
      <c r="D801" s="1"/>
    </row>
    <row r="802" spans="1:4" x14ac:dyDescent="0.25">
      <c r="A802" s="1"/>
      <c r="B802" s="1"/>
      <c r="C802" s="1"/>
      <c r="D802" s="1"/>
    </row>
    <row r="803" spans="1:4" x14ac:dyDescent="0.25">
      <c r="A803" s="1"/>
      <c r="B803" s="1"/>
      <c r="C803" s="1"/>
      <c r="D803" s="1"/>
    </row>
    <row r="804" spans="1:4" x14ac:dyDescent="0.25">
      <c r="A804" s="1"/>
      <c r="B804" s="1"/>
      <c r="C804" s="1"/>
      <c r="D804" s="1"/>
    </row>
    <row r="805" spans="1:4" x14ac:dyDescent="0.25">
      <c r="A805" s="1"/>
      <c r="B805" s="1"/>
      <c r="C805" s="1"/>
      <c r="D805" s="1"/>
    </row>
    <row r="806" spans="1:4" x14ac:dyDescent="0.25">
      <c r="A806" s="1"/>
      <c r="B806" s="1"/>
      <c r="C806" s="1"/>
      <c r="D806" s="1"/>
    </row>
    <row r="807" spans="1:4" x14ac:dyDescent="0.25">
      <c r="A807" s="1"/>
      <c r="B807" s="1"/>
      <c r="C807" s="1"/>
      <c r="D807" s="1"/>
    </row>
    <row r="808" spans="1:4" x14ac:dyDescent="0.25">
      <c r="A808" s="1"/>
      <c r="B808" s="1"/>
      <c r="C808" s="1"/>
      <c r="D808" s="1"/>
    </row>
    <row r="809" spans="1:4" x14ac:dyDescent="0.25">
      <c r="A809" s="1"/>
      <c r="B809" s="1"/>
      <c r="C809" s="1"/>
      <c r="D809" s="1"/>
    </row>
    <row r="810" spans="1:4" x14ac:dyDescent="0.25">
      <c r="A810" s="1"/>
      <c r="B810" s="1"/>
      <c r="C810" s="1"/>
      <c r="D810" s="1"/>
    </row>
    <row r="811" spans="1:4" x14ac:dyDescent="0.25">
      <c r="A811" s="1"/>
      <c r="B811" s="1"/>
      <c r="C811" s="1"/>
      <c r="D811" s="1"/>
    </row>
    <row r="812" spans="1:4" x14ac:dyDescent="0.25">
      <c r="A812" s="1"/>
      <c r="B812" s="1"/>
      <c r="C812" s="1"/>
      <c r="D812" s="1"/>
    </row>
    <row r="813" spans="1:4" x14ac:dyDescent="0.25">
      <c r="A813" s="1"/>
      <c r="B813" s="1"/>
      <c r="C813" s="1"/>
      <c r="D813" s="1"/>
    </row>
    <row r="814" spans="1:4" x14ac:dyDescent="0.25">
      <c r="A814" s="1"/>
      <c r="B814" s="1"/>
      <c r="C814" s="1"/>
      <c r="D814" s="1"/>
    </row>
    <row r="815" spans="1:4" x14ac:dyDescent="0.25">
      <c r="A815" s="1"/>
      <c r="B815" s="1"/>
      <c r="C815" s="1"/>
      <c r="D815" s="1"/>
    </row>
    <row r="816" spans="1:4" x14ac:dyDescent="0.25">
      <c r="A816" s="1"/>
      <c r="B816" s="1"/>
      <c r="C816" s="1"/>
      <c r="D816" s="1"/>
    </row>
    <row r="817" spans="1:4" x14ac:dyDescent="0.25">
      <c r="A817" s="1"/>
      <c r="B817" s="1"/>
      <c r="C817" s="1"/>
      <c r="D817" s="1"/>
    </row>
    <row r="818" spans="1:4" x14ac:dyDescent="0.25">
      <c r="A818" s="1"/>
      <c r="B818" s="1"/>
      <c r="C818" s="1"/>
      <c r="D818" s="1"/>
    </row>
    <row r="819" spans="1:4" x14ac:dyDescent="0.25">
      <c r="A819" s="1"/>
      <c r="B819" s="1"/>
      <c r="C819" s="1"/>
      <c r="D819" s="1"/>
    </row>
    <row r="820" spans="1:4" x14ac:dyDescent="0.25">
      <c r="A820" s="1"/>
      <c r="B820" s="1"/>
      <c r="C820" s="1"/>
      <c r="D820" s="1"/>
    </row>
    <row r="821" spans="1:4" x14ac:dyDescent="0.25">
      <c r="A821" s="1"/>
      <c r="B821" s="1"/>
      <c r="C821" s="1"/>
      <c r="D821" s="1"/>
    </row>
    <row r="822" spans="1:4" x14ac:dyDescent="0.25">
      <c r="A822" s="1"/>
      <c r="B822" s="1"/>
      <c r="C822" s="1"/>
      <c r="D822" s="1"/>
    </row>
    <row r="823" spans="1:4" x14ac:dyDescent="0.25">
      <c r="A823" s="1"/>
      <c r="B823" s="1"/>
      <c r="C823" s="1"/>
      <c r="D823" s="1"/>
    </row>
    <row r="824" spans="1:4" x14ac:dyDescent="0.25">
      <c r="A824" s="1"/>
      <c r="B824" s="1"/>
      <c r="C824" s="1"/>
      <c r="D824" s="1"/>
    </row>
    <row r="825" spans="1:4" x14ac:dyDescent="0.25">
      <c r="A825" s="1"/>
      <c r="B825" s="1"/>
      <c r="C825" s="1"/>
      <c r="D825" s="1"/>
    </row>
    <row r="826" spans="1:4" x14ac:dyDescent="0.25">
      <c r="A826" s="1"/>
      <c r="B826" s="1"/>
      <c r="C826" s="1"/>
      <c r="D826" s="1"/>
    </row>
    <row r="827" spans="1:4" x14ac:dyDescent="0.25">
      <c r="A827" s="1"/>
      <c r="B827" s="1"/>
      <c r="C827" s="1"/>
      <c r="D827" s="1"/>
    </row>
    <row r="828" spans="1:4" x14ac:dyDescent="0.25">
      <c r="A828" s="1"/>
      <c r="B828" s="1"/>
      <c r="C828" s="1"/>
      <c r="D828" s="1"/>
    </row>
    <row r="829" spans="1:4" x14ac:dyDescent="0.25">
      <c r="A829" s="1"/>
      <c r="B829" s="1"/>
      <c r="C829" s="1"/>
      <c r="D829" s="1"/>
    </row>
    <row r="830" spans="1:4" x14ac:dyDescent="0.25">
      <c r="A830" s="1"/>
      <c r="B830" s="1"/>
      <c r="C830" s="1"/>
      <c r="D830" s="1"/>
    </row>
    <row r="831" spans="1:4" x14ac:dyDescent="0.25">
      <c r="A831" s="1"/>
      <c r="B831" s="1"/>
      <c r="C831" s="1"/>
      <c r="D831" s="1"/>
    </row>
    <row r="832" spans="1:4" x14ac:dyDescent="0.25">
      <c r="A832" s="1"/>
      <c r="B832" s="1"/>
      <c r="C832" s="1"/>
      <c r="D832" s="1"/>
    </row>
    <row r="833" spans="1:4" x14ac:dyDescent="0.25">
      <c r="A833" s="1"/>
      <c r="B833" s="1"/>
      <c r="C833" s="1"/>
      <c r="D833" s="1"/>
    </row>
    <row r="834" spans="1:4" x14ac:dyDescent="0.25">
      <c r="A834" s="1"/>
      <c r="B834" s="1"/>
      <c r="C834" s="1"/>
      <c r="D834" s="1"/>
    </row>
    <row r="835" spans="1:4" x14ac:dyDescent="0.25">
      <c r="A835" s="1"/>
      <c r="B835" s="1"/>
      <c r="C835" s="1"/>
      <c r="D835" s="1"/>
    </row>
    <row r="836" spans="1:4" x14ac:dyDescent="0.25">
      <c r="A836" s="1"/>
      <c r="B836" s="1"/>
      <c r="C836" s="1"/>
      <c r="D836" s="1"/>
    </row>
    <row r="837" spans="1:4" x14ac:dyDescent="0.25">
      <c r="A837" s="1"/>
      <c r="B837" s="1"/>
      <c r="C837" s="1"/>
      <c r="D837" s="1"/>
    </row>
    <row r="838" spans="1:4" x14ac:dyDescent="0.25">
      <c r="A838" s="1"/>
      <c r="B838" s="1"/>
      <c r="C838" s="1"/>
      <c r="D838" s="1"/>
    </row>
    <row r="839" spans="1:4" x14ac:dyDescent="0.25">
      <c r="A839" s="1"/>
      <c r="B839" s="1"/>
      <c r="C839" s="1"/>
      <c r="D839" s="1"/>
    </row>
    <row r="840" spans="1:4" x14ac:dyDescent="0.25">
      <c r="A840" s="1"/>
      <c r="B840" s="1"/>
      <c r="C840" s="1"/>
      <c r="D840" s="1"/>
    </row>
    <row r="841" spans="1:4" x14ac:dyDescent="0.25">
      <c r="A841" s="1"/>
      <c r="B841" s="1"/>
      <c r="C841" s="1"/>
      <c r="D841" s="1"/>
    </row>
    <row r="842" spans="1:4" x14ac:dyDescent="0.25">
      <c r="A842" s="1"/>
      <c r="B842" s="1"/>
      <c r="C842" s="1"/>
      <c r="D842" s="1"/>
    </row>
    <row r="843" spans="1:4" x14ac:dyDescent="0.25">
      <c r="A843" s="1"/>
      <c r="B843" s="1"/>
      <c r="C843" s="1"/>
      <c r="D843" s="1"/>
    </row>
    <row r="844" spans="1:4" x14ac:dyDescent="0.25">
      <c r="A844" s="1"/>
      <c r="B844" s="1"/>
      <c r="C844" s="1"/>
      <c r="D844" s="1"/>
    </row>
    <row r="845" spans="1:4" x14ac:dyDescent="0.25">
      <c r="A845" s="1"/>
      <c r="B845" s="1"/>
      <c r="C845" s="1"/>
      <c r="D845" s="1"/>
    </row>
    <row r="846" spans="1:4" x14ac:dyDescent="0.25">
      <c r="A846" s="1"/>
      <c r="B846" s="1"/>
      <c r="C846" s="1"/>
      <c r="D846" s="1"/>
    </row>
    <row r="847" spans="1:4" x14ac:dyDescent="0.25">
      <c r="A847" s="1"/>
      <c r="B847" s="1"/>
      <c r="C847" s="1"/>
      <c r="D847" s="1"/>
    </row>
    <row r="848" spans="1:4" x14ac:dyDescent="0.25">
      <c r="A848" s="1"/>
      <c r="B848" s="1"/>
      <c r="C848" s="1"/>
      <c r="D848" s="1"/>
    </row>
    <row r="849" spans="1:4" x14ac:dyDescent="0.25">
      <c r="A849" s="1"/>
      <c r="B849" s="1"/>
      <c r="C849" s="1"/>
      <c r="D849" s="1"/>
    </row>
    <row r="850" spans="1:4" x14ac:dyDescent="0.25">
      <c r="A850" s="1"/>
      <c r="B850" s="1"/>
      <c r="C850" s="1"/>
      <c r="D850" s="1"/>
    </row>
    <row r="851" spans="1:4" x14ac:dyDescent="0.25">
      <c r="A851" s="1"/>
      <c r="B851" s="1"/>
      <c r="C851" s="1"/>
      <c r="D851" s="1"/>
    </row>
    <row r="852" spans="1:4" x14ac:dyDescent="0.25">
      <c r="A852" s="1"/>
      <c r="B852" s="1"/>
      <c r="C852" s="1"/>
      <c r="D852" s="1"/>
    </row>
    <row r="853" spans="1:4" x14ac:dyDescent="0.25">
      <c r="A853" s="1"/>
      <c r="B853" s="1"/>
      <c r="C853" s="1"/>
      <c r="D853" s="1"/>
    </row>
    <row r="854" spans="1:4" x14ac:dyDescent="0.25">
      <c r="A854" s="1"/>
      <c r="B854" s="1"/>
      <c r="C854" s="1"/>
      <c r="D854" s="1"/>
    </row>
    <row r="855" spans="1:4" x14ac:dyDescent="0.25">
      <c r="A855" s="1"/>
      <c r="B855" s="1"/>
      <c r="C855" s="1"/>
      <c r="D855" s="1"/>
    </row>
    <row r="856" spans="1:4" x14ac:dyDescent="0.25">
      <c r="A856" s="1"/>
      <c r="B856" s="1"/>
      <c r="C856" s="1"/>
      <c r="D856" s="1"/>
    </row>
    <row r="857" spans="1:4" x14ac:dyDescent="0.25">
      <c r="A857" s="1"/>
      <c r="B857" s="1"/>
      <c r="C857" s="1"/>
      <c r="D857" s="1"/>
    </row>
    <row r="858" spans="1:4" x14ac:dyDescent="0.25">
      <c r="A858" s="1"/>
      <c r="B858" s="1"/>
      <c r="C858" s="1"/>
      <c r="D858" s="1"/>
    </row>
    <row r="859" spans="1:4" x14ac:dyDescent="0.25">
      <c r="A859" s="1"/>
      <c r="B859" s="1"/>
      <c r="C859" s="1"/>
      <c r="D859" s="1"/>
    </row>
    <row r="860" spans="1:4" x14ac:dyDescent="0.25">
      <c r="A860" s="1"/>
      <c r="B860" s="1"/>
      <c r="C860" s="1"/>
      <c r="D860" s="1"/>
    </row>
    <row r="861" spans="1:4" x14ac:dyDescent="0.25">
      <c r="A861" s="1"/>
      <c r="B861" s="1"/>
      <c r="C861" s="1"/>
      <c r="D861" s="1"/>
    </row>
    <row r="862" spans="1:4" x14ac:dyDescent="0.25">
      <c r="A862" s="1"/>
      <c r="B862" s="1"/>
      <c r="C862" s="1"/>
      <c r="D862" s="1"/>
    </row>
    <row r="863" spans="1:4" x14ac:dyDescent="0.25">
      <c r="A863" s="1"/>
      <c r="B863" s="1"/>
      <c r="C863" s="1"/>
      <c r="D863" s="1"/>
    </row>
    <row r="864" spans="1:4" x14ac:dyDescent="0.25">
      <c r="A864" s="1"/>
      <c r="B864" s="1"/>
      <c r="C864" s="1"/>
      <c r="D864" s="1"/>
    </row>
    <row r="865" spans="1:4" x14ac:dyDescent="0.25">
      <c r="A865" s="1"/>
      <c r="B865" s="1"/>
      <c r="C865" s="1"/>
      <c r="D865" s="1"/>
    </row>
    <row r="866" spans="1:4" x14ac:dyDescent="0.25">
      <c r="A866" s="1"/>
      <c r="B866" s="1"/>
      <c r="C866" s="1"/>
      <c r="D866" s="1"/>
    </row>
    <row r="867" spans="1:4" x14ac:dyDescent="0.25">
      <c r="A867" s="1"/>
      <c r="B867" s="1"/>
      <c r="C867" s="1"/>
      <c r="D867" s="1"/>
    </row>
    <row r="868" spans="1:4" x14ac:dyDescent="0.25">
      <c r="A868" s="1"/>
      <c r="B868" s="1"/>
      <c r="C868" s="1"/>
      <c r="D868" s="1"/>
    </row>
    <row r="869" spans="1:4" x14ac:dyDescent="0.25">
      <c r="A869" s="1"/>
      <c r="B869" s="1"/>
      <c r="C869" s="1"/>
      <c r="D869" s="1"/>
    </row>
    <row r="870" spans="1:4" x14ac:dyDescent="0.25">
      <c r="A870" s="1"/>
      <c r="B870" s="1"/>
      <c r="C870" s="1"/>
      <c r="D870" s="1"/>
    </row>
    <row r="871" spans="1:4" x14ac:dyDescent="0.25">
      <c r="A871" s="1"/>
      <c r="B871" s="1"/>
      <c r="C871" s="1"/>
      <c r="D871" s="1"/>
    </row>
    <row r="872" spans="1:4" x14ac:dyDescent="0.25">
      <c r="A872" s="1"/>
      <c r="B872" s="1"/>
      <c r="C872" s="1"/>
      <c r="D872" s="1"/>
    </row>
    <row r="873" spans="1:4" x14ac:dyDescent="0.25">
      <c r="A873" s="1"/>
      <c r="B873" s="1"/>
      <c r="C873" s="1"/>
      <c r="D873" s="1"/>
    </row>
    <row r="874" spans="1:4" x14ac:dyDescent="0.25">
      <c r="A874" s="1"/>
      <c r="B874" s="1"/>
      <c r="C874" s="1"/>
      <c r="D874" s="1"/>
    </row>
    <row r="875" spans="1:4" x14ac:dyDescent="0.25">
      <c r="A875" s="1"/>
      <c r="B875" s="1"/>
      <c r="C875" s="1"/>
      <c r="D875" s="1"/>
    </row>
    <row r="876" spans="1:4" x14ac:dyDescent="0.25">
      <c r="A876" s="1"/>
      <c r="B876" s="1"/>
      <c r="C876" s="1"/>
      <c r="D876" s="1"/>
    </row>
    <row r="877" spans="1:4" x14ac:dyDescent="0.25">
      <c r="A877" s="1"/>
      <c r="B877" s="1"/>
      <c r="C877" s="1"/>
      <c r="D877" s="1"/>
    </row>
    <row r="878" spans="1:4" x14ac:dyDescent="0.25">
      <c r="A878" s="1"/>
      <c r="B878" s="1"/>
      <c r="C878" s="1"/>
      <c r="D878" s="1"/>
    </row>
    <row r="879" spans="1:4" x14ac:dyDescent="0.25">
      <c r="A879" s="1"/>
      <c r="B879" s="1"/>
      <c r="C879" s="1"/>
      <c r="D879" s="1"/>
    </row>
    <row r="880" spans="1:4" x14ac:dyDescent="0.25">
      <c r="A880" s="1"/>
      <c r="B880" s="1"/>
      <c r="C880" s="1"/>
      <c r="D880" s="1"/>
    </row>
    <row r="881" spans="1:4" x14ac:dyDescent="0.25">
      <c r="A881" s="1"/>
      <c r="B881" s="1"/>
      <c r="C881" s="1"/>
      <c r="D881" s="1"/>
    </row>
    <row r="882" spans="1:4" x14ac:dyDescent="0.25">
      <c r="A882" s="1"/>
      <c r="B882" s="1"/>
      <c r="C882" s="1"/>
      <c r="D882" s="1"/>
    </row>
    <row r="883" spans="1:4" x14ac:dyDescent="0.25">
      <c r="A883" s="1"/>
      <c r="B883" s="1"/>
      <c r="C883" s="1"/>
      <c r="D883" s="1"/>
    </row>
    <row r="884" spans="1:4" x14ac:dyDescent="0.25">
      <c r="A884" s="1"/>
      <c r="B884" s="1"/>
      <c r="C884" s="1"/>
      <c r="D884" s="1"/>
    </row>
    <row r="885" spans="1:4" x14ac:dyDescent="0.25">
      <c r="A885" s="1"/>
      <c r="B885" s="1"/>
      <c r="C885" s="1"/>
      <c r="D885" s="1"/>
    </row>
    <row r="886" spans="1:4" x14ac:dyDescent="0.25">
      <c r="A886" s="1"/>
      <c r="B886" s="1"/>
      <c r="C886" s="1"/>
      <c r="D886" s="1"/>
    </row>
    <row r="887" spans="1:4" x14ac:dyDescent="0.25">
      <c r="A887" s="1"/>
      <c r="B887" s="1"/>
      <c r="C887" s="1"/>
      <c r="D887" s="1"/>
    </row>
    <row r="888" spans="1:4" x14ac:dyDescent="0.25">
      <c r="A888" s="1"/>
      <c r="B888" s="1"/>
      <c r="C888" s="1"/>
      <c r="D888" s="1"/>
    </row>
    <row r="889" spans="1:4" x14ac:dyDescent="0.25">
      <c r="A889" s="1"/>
      <c r="B889" s="1"/>
      <c r="C889" s="1"/>
      <c r="D889" s="1"/>
    </row>
    <row r="890" spans="1:4" x14ac:dyDescent="0.25">
      <c r="A890" s="1"/>
      <c r="B890" s="1"/>
      <c r="C890" s="1"/>
      <c r="D890" s="1"/>
    </row>
    <row r="891" spans="1:4" x14ac:dyDescent="0.25">
      <c r="A891" s="1"/>
      <c r="B891" s="1"/>
      <c r="C891" s="1"/>
      <c r="D891" s="1"/>
    </row>
    <row r="892" spans="1:4" x14ac:dyDescent="0.25">
      <c r="A892" s="1"/>
      <c r="B892" s="1"/>
      <c r="C892" s="1"/>
      <c r="D892" s="1"/>
    </row>
    <row r="893" spans="1:4" x14ac:dyDescent="0.25">
      <c r="A893" s="1"/>
      <c r="B893" s="1"/>
      <c r="C893" s="1"/>
      <c r="D893" s="1"/>
    </row>
    <row r="894" spans="1:4" x14ac:dyDescent="0.25">
      <c r="A894" s="1"/>
      <c r="B894" s="1"/>
      <c r="C894" s="1"/>
      <c r="D894" s="1"/>
    </row>
    <row r="895" spans="1:4" x14ac:dyDescent="0.25">
      <c r="A895" s="1"/>
      <c r="B895" s="1"/>
      <c r="C895" s="1"/>
      <c r="D895" s="1"/>
    </row>
    <row r="896" spans="1:4" x14ac:dyDescent="0.25">
      <c r="A896" s="1"/>
      <c r="B896" s="1"/>
      <c r="C896" s="1"/>
      <c r="D896" s="1"/>
    </row>
    <row r="897" spans="1:4" x14ac:dyDescent="0.25">
      <c r="A897" s="1"/>
      <c r="B897" s="1"/>
      <c r="C897" s="1"/>
      <c r="D897" s="1"/>
    </row>
    <row r="898" spans="1:4" x14ac:dyDescent="0.25">
      <c r="A898" s="1"/>
      <c r="B898" s="1"/>
      <c r="C898" s="1"/>
      <c r="D898" s="1"/>
    </row>
    <row r="899" spans="1:4" x14ac:dyDescent="0.25">
      <c r="A899" s="1"/>
      <c r="B899" s="1"/>
      <c r="C899" s="1"/>
      <c r="D899" s="1"/>
    </row>
    <row r="900" spans="1:4" x14ac:dyDescent="0.25">
      <c r="A900" s="1"/>
      <c r="B900" s="1"/>
      <c r="C900" s="1"/>
      <c r="D900" s="1"/>
    </row>
    <row r="901" spans="1:4" x14ac:dyDescent="0.25">
      <c r="A901" s="1"/>
      <c r="B901" s="1"/>
      <c r="C901" s="1"/>
      <c r="D901" s="1"/>
    </row>
    <row r="902" spans="1:4" x14ac:dyDescent="0.25">
      <c r="A902" s="1"/>
      <c r="B902" s="1"/>
      <c r="C902" s="1"/>
      <c r="D902" s="1"/>
    </row>
    <row r="903" spans="1:4" x14ac:dyDescent="0.25">
      <c r="A903" s="1"/>
      <c r="B903" s="1"/>
      <c r="C903" s="1"/>
      <c r="D903" s="1"/>
    </row>
    <row r="904" spans="1:4" x14ac:dyDescent="0.25">
      <c r="A904" s="1"/>
      <c r="B904" s="1"/>
      <c r="C904" s="1"/>
      <c r="D904" s="1"/>
    </row>
    <row r="905" spans="1:4" x14ac:dyDescent="0.25">
      <c r="A905" s="1"/>
      <c r="B905" s="1"/>
      <c r="C905" s="1"/>
      <c r="D905" s="1"/>
    </row>
    <row r="906" spans="1:4" x14ac:dyDescent="0.25">
      <c r="A906" s="1"/>
      <c r="B906" s="1"/>
      <c r="C906" s="1"/>
      <c r="D906" s="1"/>
    </row>
    <row r="907" spans="1:4" x14ac:dyDescent="0.25">
      <c r="A907" s="1"/>
      <c r="B907" s="1"/>
      <c r="C907" s="1"/>
      <c r="D907" s="1"/>
    </row>
    <row r="908" spans="1:4" x14ac:dyDescent="0.25">
      <c r="A908" s="1"/>
      <c r="B908" s="1"/>
      <c r="C908" s="1"/>
      <c r="D908" s="1"/>
    </row>
    <row r="909" spans="1:4" x14ac:dyDescent="0.25">
      <c r="A909" s="1"/>
      <c r="B909" s="1"/>
      <c r="C909" s="1"/>
      <c r="D909" s="1"/>
    </row>
    <row r="910" spans="1:4" x14ac:dyDescent="0.25">
      <c r="A910" s="1"/>
      <c r="B910" s="1"/>
      <c r="C910" s="1"/>
      <c r="D910" s="1"/>
    </row>
    <row r="911" spans="1:4" x14ac:dyDescent="0.25">
      <c r="A911" s="1"/>
      <c r="B911" s="1"/>
      <c r="C911" s="1"/>
      <c r="D911" s="1"/>
    </row>
    <row r="912" spans="1:4" x14ac:dyDescent="0.25">
      <c r="A912" s="1"/>
      <c r="B912" s="1"/>
      <c r="C912" s="1"/>
      <c r="D912" s="1"/>
    </row>
    <row r="913" spans="1:4" x14ac:dyDescent="0.25">
      <c r="A913" s="1"/>
      <c r="B913" s="1"/>
      <c r="C913" s="1"/>
      <c r="D913" s="1"/>
    </row>
    <row r="914" spans="1:4" x14ac:dyDescent="0.25">
      <c r="A914" s="1"/>
      <c r="B914" s="1"/>
      <c r="C914" s="1"/>
      <c r="D914" s="1"/>
    </row>
    <row r="915" spans="1:4" x14ac:dyDescent="0.25">
      <c r="A915" s="1"/>
      <c r="B915" s="1"/>
      <c r="C915" s="1"/>
      <c r="D915" s="1"/>
    </row>
    <row r="916" spans="1:4" x14ac:dyDescent="0.25">
      <c r="A916" s="1"/>
      <c r="B916" s="1"/>
      <c r="C916" s="1"/>
      <c r="D916" s="1"/>
    </row>
    <row r="917" spans="1:4" x14ac:dyDescent="0.25">
      <c r="A917" s="1"/>
      <c r="B917" s="1"/>
      <c r="C917" s="1"/>
      <c r="D917" s="1"/>
    </row>
    <row r="918" spans="1:4" x14ac:dyDescent="0.25">
      <c r="A918" s="1"/>
      <c r="B918" s="1"/>
      <c r="C918" s="1"/>
      <c r="D918" s="1"/>
    </row>
    <row r="919" spans="1:4" x14ac:dyDescent="0.25">
      <c r="A919" s="1"/>
      <c r="B919" s="1"/>
      <c r="C919" s="1"/>
      <c r="D919" s="1"/>
    </row>
    <row r="920" spans="1:4" x14ac:dyDescent="0.25">
      <c r="A920" s="1"/>
      <c r="B920" s="1"/>
      <c r="C920" s="1"/>
      <c r="D920" s="1"/>
    </row>
    <row r="921" spans="1:4" x14ac:dyDescent="0.25">
      <c r="A921" s="1"/>
      <c r="B921" s="1"/>
      <c r="C921" s="1"/>
      <c r="D921" s="1"/>
    </row>
    <row r="922" spans="1:4" x14ac:dyDescent="0.25">
      <c r="A922" s="1"/>
      <c r="B922" s="1"/>
      <c r="C922" s="1"/>
      <c r="D922" s="1"/>
    </row>
    <row r="923" spans="1:4" x14ac:dyDescent="0.25">
      <c r="A923" s="1"/>
      <c r="B923" s="1"/>
      <c r="C923" s="1"/>
      <c r="D923" s="1"/>
    </row>
    <row r="924" spans="1:4" x14ac:dyDescent="0.25">
      <c r="A924" s="1"/>
      <c r="B924" s="1"/>
      <c r="C924" s="1"/>
      <c r="D924" s="1"/>
    </row>
    <row r="925" spans="1:4" x14ac:dyDescent="0.25">
      <c r="A925" s="1"/>
      <c r="B925" s="1"/>
      <c r="C925" s="1"/>
      <c r="D925" s="1"/>
    </row>
    <row r="926" spans="1:4" x14ac:dyDescent="0.25">
      <c r="A926" s="1"/>
      <c r="B926" s="1"/>
      <c r="C926" s="1"/>
      <c r="D926" s="1"/>
    </row>
    <row r="927" spans="1:4" x14ac:dyDescent="0.25">
      <c r="A927" s="1"/>
      <c r="B927" s="1"/>
      <c r="C927" s="1"/>
      <c r="D927" s="1"/>
    </row>
    <row r="928" spans="1:4" x14ac:dyDescent="0.25">
      <c r="A928" s="1"/>
      <c r="B928" s="1"/>
      <c r="C928" s="1"/>
      <c r="D928" s="1"/>
    </row>
    <row r="929" spans="1:4" x14ac:dyDescent="0.25">
      <c r="A929" s="1"/>
      <c r="B929" s="1"/>
      <c r="C929" s="1"/>
      <c r="D929" s="1"/>
    </row>
    <row r="930" spans="1:4" x14ac:dyDescent="0.25">
      <c r="A930" s="1"/>
      <c r="B930" s="1"/>
      <c r="C930" s="1"/>
      <c r="D930" s="1"/>
    </row>
    <row r="931" spans="1:4" x14ac:dyDescent="0.25">
      <c r="A931" s="1"/>
      <c r="B931" s="1"/>
      <c r="C931" s="1"/>
      <c r="D931" s="1"/>
    </row>
    <row r="932" spans="1:4" x14ac:dyDescent="0.25">
      <c r="A932" s="1"/>
      <c r="B932" s="1"/>
      <c r="C932" s="1"/>
      <c r="D932" s="1"/>
    </row>
    <row r="933" spans="1:4" x14ac:dyDescent="0.25">
      <c r="A933" s="1"/>
      <c r="B933" s="1"/>
      <c r="C933" s="1"/>
      <c r="D933" s="1"/>
    </row>
    <row r="934" spans="1:4" x14ac:dyDescent="0.25">
      <c r="A934" s="1"/>
      <c r="B934" s="1"/>
      <c r="C934" s="1"/>
      <c r="D934" s="1"/>
    </row>
    <row r="935" spans="1:4" x14ac:dyDescent="0.25">
      <c r="A935" s="1"/>
      <c r="B935" s="1"/>
      <c r="C935" s="1"/>
      <c r="D935" s="1"/>
    </row>
    <row r="936" spans="1:4" x14ac:dyDescent="0.25">
      <c r="A936" s="1"/>
      <c r="B936" s="1"/>
      <c r="C936" s="1"/>
      <c r="D936" s="1"/>
    </row>
    <row r="937" spans="1:4" x14ac:dyDescent="0.25">
      <c r="A937" s="1"/>
      <c r="B937" s="1"/>
      <c r="C937" s="1"/>
      <c r="D937" s="1"/>
    </row>
    <row r="938" spans="1:4" x14ac:dyDescent="0.25">
      <c r="A938" s="1"/>
      <c r="B938" s="1"/>
      <c r="C938" s="1"/>
      <c r="D938" s="1"/>
    </row>
    <row r="939" spans="1:4" x14ac:dyDescent="0.25">
      <c r="A939" s="1"/>
      <c r="B939" s="1"/>
      <c r="C939" s="1"/>
      <c r="D939" s="1"/>
    </row>
    <row r="940" spans="1:4" x14ac:dyDescent="0.25">
      <c r="A940" s="1"/>
      <c r="B940" s="1"/>
      <c r="C940" s="1"/>
      <c r="D940" s="1"/>
    </row>
    <row r="941" spans="1:4" x14ac:dyDescent="0.25">
      <c r="A941" s="1"/>
      <c r="B941" s="1"/>
      <c r="C941" s="1"/>
      <c r="D941" s="1"/>
    </row>
    <row r="942" spans="1:4" x14ac:dyDescent="0.25">
      <c r="A942" s="1"/>
      <c r="B942" s="1"/>
      <c r="C942" s="1"/>
      <c r="D942" s="1"/>
    </row>
    <row r="943" spans="1:4" x14ac:dyDescent="0.25">
      <c r="A943" s="1"/>
      <c r="B943" s="1"/>
      <c r="C943" s="1"/>
      <c r="D943" s="1"/>
    </row>
    <row r="944" spans="1:4" x14ac:dyDescent="0.25">
      <c r="A944" s="1"/>
      <c r="B944" s="1"/>
      <c r="C944" s="1"/>
      <c r="D944" s="1"/>
    </row>
    <row r="945" spans="1:4" x14ac:dyDescent="0.25">
      <c r="A945" s="1"/>
      <c r="B945" s="1"/>
      <c r="C945" s="1"/>
      <c r="D945" s="1"/>
    </row>
    <row r="946" spans="1:4" x14ac:dyDescent="0.25">
      <c r="A946" s="1"/>
      <c r="B946" s="1"/>
      <c r="C946" s="1"/>
      <c r="D946" s="1"/>
    </row>
    <row r="947" spans="1:4" x14ac:dyDescent="0.25">
      <c r="A947" s="1"/>
      <c r="B947" s="1"/>
      <c r="C947" s="1"/>
      <c r="D947" s="1"/>
    </row>
    <row r="948" spans="1:4" x14ac:dyDescent="0.25">
      <c r="A948" s="1"/>
      <c r="B948" s="1"/>
      <c r="C948" s="1"/>
      <c r="D948" s="1"/>
    </row>
    <row r="949" spans="1:4" x14ac:dyDescent="0.25">
      <c r="A949" s="1"/>
      <c r="B949" s="1"/>
      <c r="C949" s="1"/>
      <c r="D949" s="1"/>
    </row>
    <row r="950" spans="1:4" x14ac:dyDescent="0.25">
      <c r="A950" s="1"/>
      <c r="B950" s="1"/>
      <c r="C950" s="1"/>
      <c r="D950" s="1"/>
    </row>
    <row r="951" spans="1:4" x14ac:dyDescent="0.25">
      <c r="A951" s="1"/>
      <c r="B951" s="1"/>
      <c r="C951" s="1"/>
      <c r="D951" s="1"/>
    </row>
    <row r="952" spans="1:4" x14ac:dyDescent="0.25">
      <c r="A952" s="1"/>
      <c r="B952" s="1"/>
      <c r="C952" s="1"/>
      <c r="D952" s="1"/>
    </row>
    <row r="953" spans="1:4" x14ac:dyDescent="0.25">
      <c r="A953" s="1"/>
      <c r="B953" s="1"/>
      <c r="C953" s="1"/>
      <c r="D953" s="1"/>
    </row>
    <row r="954" spans="1:4" x14ac:dyDescent="0.25">
      <c r="A954" s="1"/>
      <c r="B954" s="1"/>
      <c r="C954" s="1"/>
      <c r="D954" s="1"/>
    </row>
    <row r="955" spans="1:4" x14ac:dyDescent="0.25">
      <c r="A955" s="1"/>
      <c r="B955" s="1"/>
      <c r="C955" s="1"/>
      <c r="D955" s="1"/>
    </row>
    <row r="956" spans="1:4" x14ac:dyDescent="0.25">
      <c r="A956" s="1"/>
      <c r="B956" s="1"/>
      <c r="C956" s="1"/>
      <c r="D956" s="1"/>
    </row>
    <row r="957" spans="1:4" x14ac:dyDescent="0.25">
      <c r="A957" s="1"/>
      <c r="B957" s="1"/>
      <c r="C957" s="1"/>
      <c r="D957" s="1"/>
    </row>
    <row r="958" spans="1:4" x14ac:dyDescent="0.25">
      <c r="A958" s="1"/>
      <c r="B958" s="1"/>
      <c r="C958" s="1"/>
      <c r="D958" s="1"/>
    </row>
    <row r="959" spans="1:4" x14ac:dyDescent="0.25">
      <c r="A959" s="1"/>
      <c r="B959" s="1"/>
      <c r="C959" s="1"/>
      <c r="D959" s="1"/>
    </row>
    <row r="960" spans="1:4" x14ac:dyDescent="0.25">
      <c r="A960" s="1"/>
      <c r="B960" s="1"/>
      <c r="C960" s="1"/>
      <c r="D960" s="1"/>
    </row>
    <row r="961" spans="1:4" x14ac:dyDescent="0.25">
      <c r="A961" s="1"/>
      <c r="B961" s="1"/>
      <c r="C961" s="1"/>
      <c r="D961" s="1"/>
    </row>
    <row r="962" spans="1:4" x14ac:dyDescent="0.25">
      <c r="A962" s="1"/>
      <c r="B962" s="1"/>
      <c r="C962" s="1"/>
      <c r="D962" s="1"/>
    </row>
    <row r="963" spans="1:4" x14ac:dyDescent="0.25">
      <c r="A963" s="1"/>
      <c r="B963" s="1"/>
      <c r="C963" s="1"/>
      <c r="D963" s="1"/>
    </row>
    <row r="964" spans="1:4" x14ac:dyDescent="0.25">
      <c r="A964" s="1"/>
      <c r="B964" s="1"/>
      <c r="C964" s="1"/>
      <c r="D964" s="1"/>
    </row>
    <row r="965" spans="1:4" x14ac:dyDescent="0.25">
      <c r="A965" s="1"/>
      <c r="B965" s="1"/>
      <c r="C965" s="1"/>
      <c r="D965" s="1"/>
    </row>
    <row r="966" spans="1:4" x14ac:dyDescent="0.25">
      <c r="A966" s="1"/>
      <c r="B966" s="1"/>
      <c r="C966" s="1"/>
      <c r="D966" s="1"/>
    </row>
    <row r="967" spans="1:4" x14ac:dyDescent="0.25">
      <c r="A967" s="1"/>
      <c r="B967" s="1"/>
      <c r="C967" s="1"/>
      <c r="D967" s="1"/>
    </row>
    <row r="968" spans="1:4" x14ac:dyDescent="0.25">
      <c r="A968" s="1"/>
      <c r="B968" s="1"/>
      <c r="C968" s="1"/>
      <c r="D968" s="1"/>
    </row>
    <row r="969" spans="1:4" x14ac:dyDescent="0.25">
      <c r="A969" s="1"/>
      <c r="B969" s="1"/>
      <c r="C969" s="1"/>
      <c r="D969" s="1"/>
    </row>
    <row r="970" spans="1:4" x14ac:dyDescent="0.25">
      <c r="A970" s="1"/>
      <c r="B970" s="1"/>
      <c r="C970" s="1"/>
      <c r="D970" s="1"/>
    </row>
    <row r="971" spans="1:4" x14ac:dyDescent="0.25">
      <c r="A971" s="1"/>
      <c r="B971" s="1"/>
      <c r="C971" s="1"/>
      <c r="D971" s="1"/>
    </row>
    <row r="972" spans="1:4" x14ac:dyDescent="0.25">
      <c r="A972" s="1"/>
      <c r="B972" s="1"/>
      <c r="C972" s="1"/>
      <c r="D972" s="1"/>
    </row>
    <row r="973" spans="1:4" x14ac:dyDescent="0.25">
      <c r="A973" s="1"/>
      <c r="B973" s="1"/>
      <c r="C973" s="1"/>
      <c r="D973" s="1"/>
    </row>
    <row r="974" spans="1:4" x14ac:dyDescent="0.25">
      <c r="A974" s="1"/>
      <c r="B974" s="1"/>
      <c r="C974" s="1"/>
      <c r="D974" s="1"/>
    </row>
    <row r="975" spans="1:4" x14ac:dyDescent="0.25">
      <c r="A975" s="1"/>
      <c r="B975" s="1"/>
      <c r="C975" s="1"/>
      <c r="D975" s="1"/>
    </row>
    <row r="976" spans="1:4" x14ac:dyDescent="0.25">
      <c r="A976" s="1"/>
      <c r="B976" s="1"/>
      <c r="C976" s="1"/>
      <c r="D976" s="1"/>
    </row>
    <row r="977" spans="1:4" x14ac:dyDescent="0.25">
      <c r="A977" s="1"/>
      <c r="B977" s="1"/>
      <c r="C977" s="1"/>
      <c r="D977" s="1"/>
    </row>
    <row r="978" spans="1:4" x14ac:dyDescent="0.25">
      <c r="A978" s="1"/>
      <c r="B978" s="1"/>
      <c r="C978" s="1"/>
      <c r="D978" s="1"/>
    </row>
    <row r="979" spans="1:4" x14ac:dyDescent="0.25">
      <c r="A979" s="1"/>
      <c r="B979" s="1"/>
      <c r="C979" s="1"/>
      <c r="D979" s="1"/>
    </row>
    <row r="980" spans="1:4" x14ac:dyDescent="0.25">
      <c r="A980" s="1"/>
      <c r="B980" s="1"/>
      <c r="C980" s="1"/>
      <c r="D980" s="1"/>
    </row>
    <row r="981" spans="1:4" x14ac:dyDescent="0.25">
      <c r="A981" s="1"/>
      <c r="B981" s="1"/>
      <c r="C981" s="1"/>
      <c r="D981" s="1"/>
    </row>
    <row r="982" spans="1:4" x14ac:dyDescent="0.25">
      <c r="A982" s="1"/>
      <c r="B982" s="1"/>
      <c r="C982" s="1"/>
      <c r="D982" s="1"/>
    </row>
    <row r="983" spans="1:4" x14ac:dyDescent="0.25">
      <c r="A983" s="1"/>
      <c r="B983" s="1"/>
      <c r="C983" s="1"/>
      <c r="D983" s="1"/>
    </row>
    <row r="984" spans="1:4" x14ac:dyDescent="0.25">
      <c r="A984" s="1"/>
      <c r="B984" s="1"/>
      <c r="C984" s="1"/>
      <c r="D984" s="1"/>
    </row>
    <row r="985" spans="1:4" x14ac:dyDescent="0.25">
      <c r="A985" s="1"/>
      <c r="B985" s="1"/>
      <c r="C985" s="1"/>
      <c r="D985" s="1"/>
    </row>
    <row r="986" spans="1:4" x14ac:dyDescent="0.25">
      <c r="A986" s="1"/>
      <c r="B986" s="1"/>
      <c r="C986" s="1"/>
      <c r="D986" s="1"/>
    </row>
    <row r="987" spans="1:4" x14ac:dyDescent="0.25">
      <c r="A987" s="1"/>
      <c r="B987" s="1"/>
      <c r="C987" s="1"/>
      <c r="D987" s="1"/>
    </row>
    <row r="988" spans="1:4" x14ac:dyDescent="0.25">
      <c r="A988" s="1"/>
      <c r="B988" s="1"/>
      <c r="C988" s="1"/>
      <c r="D988" s="1"/>
    </row>
    <row r="989" spans="1:4" x14ac:dyDescent="0.25">
      <c r="A989" s="1"/>
      <c r="B989" s="1"/>
      <c r="C989" s="1"/>
      <c r="D989" s="1"/>
    </row>
    <row r="990" spans="1:4" x14ac:dyDescent="0.25">
      <c r="A990" s="1"/>
      <c r="B990" s="1"/>
      <c r="C990" s="1"/>
      <c r="D990" s="1"/>
    </row>
    <row r="991" spans="1:4" x14ac:dyDescent="0.25">
      <c r="A991" s="1"/>
      <c r="B991" s="1"/>
      <c r="C991" s="1"/>
      <c r="D991" s="1"/>
    </row>
    <row r="992" spans="1:4" x14ac:dyDescent="0.25">
      <c r="A992" s="1"/>
      <c r="B992" s="1"/>
      <c r="C992" s="1"/>
      <c r="D992" s="1"/>
    </row>
    <row r="993" spans="1:4" x14ac:dyDescent="0.25">
      <c r="A993" s="1"/>
      <c r="B993" s="1"/>
      <c r="C993" s="1"/>
      <c r="D993" s="1"/>
    </row>
    <row r="994" spans="1:4" x14ac:dyDescent="0.25">
      <c r="A994" s="1"/>
      <c r="B994" s="1"/>
      <c r="C994" s="1"/>
      <c r="D994" s="1"/>
    </row>
    <row r="995" spans="1:4" x14ac:dyDescent="0.25">
      <c r="A995" s="1"/>
      <c r="B995" s="1"/>
      <c r="C995" s="1"/>
      <c r="D995" s="1"/>
    </row>
    <row r="996" spans="1:4" x14ac:dyDescent="0.25">
      <c r="A996" s="1"/>
      <c r="B996" s="1"/>
      <c r="C996" s="1"/>
      <c r="D996" s="1"/>
    </row>
    <row r="997" spans="1:4" x14ac:dyDescent="0.25">
      <c r="A997" s="1"/>
      <c r="B997" s="1"/>
      <c r="C997" s="1"/>
      <c r="D997" s="1"/>
    </row>
    <row r="998" spans="1:4" x14ac:dyDescent="0.25">
      <c r="A998" s="1"/>
      <c r="B998" s="1"/>
      <c r="C998" s="1"/>
      <c r="D998" s="1"/>
    </row>
    <row r="999" spans="1:4" x14ac:dyDescent="0.25">
      <c r="A999" s="1"/>
      <c r="B999" s="1"/>
      <c r="C999" s="1"/>
      <c r="D999" s="1"/>
    </row>
    <row r="1000" spans="1:4" x14ac:dyDescent="0.25">
      <c r="A1000" s="1"/>
      <c r="B1000" s="1"/>
      <c r="C1000" s="1"/>
      <c r="D1000" s="1"/>
    </row>
    <row r="1001" spans="1:4" x14ac:dyDescent="0.25">
      <c r="A1001" s="1"/>
      <c r="B1001" s="1"/>
      <c r="C1001" s="1"/>
      <c r="D1001" s="1"/>
    </row>
    <row r="1002" spans="1:4" x14ac:dyDescent="0.25">
      <c r="A1002" s="1"/>
      <c r="B1002" s="1"/>
      <c r="C1002" s="1"/>
      <c r="D1002" s="1"/>
    </row>
    <row r="1003" spans="1:4" x14ac:dyDescent="0.25">
      <c r="A1003" s="1"/>
      <c r="B1003" s="1"/>
      <c r="C1003" s="1"/>
      <c r="D1003" s="1"/>
    </row>
    <row r="1004" spans="1:4" x14ac:dyDescent="0.25">
      <c r="A1004" s="1"/>
      <c r="B1004" s="1"/>
      <c r="C1004" s="1"/>
      <c r="D1004" s="1"/>
    </row>
    <row r="1005" spans="1:4" x14ac:dyDescent="0.25">
      <c r="A1005" s="1"/>
      <c r="B1005" s="1"/>
      <c r="C1005" s="1"/>
      <c r="D1005" s="1"/>
    </row>
    <row r="1006" spans="1:4" x14ac:dyDescent="0.25">
      <c r="A1006" s="1"/>
      <c r="B1006" s="1"/>
      <c r="C1006" s="1"/>
      <c r="D1006" s="1"/>
    </row>
    <row r="1007" spans="1:4" x14ac:dyDescent="0.25">
      <c r="A1007" s="1"/>
      <c r="B1007" s="1"/>
      <c r="C1007" s="1"/>
      <c r="D1007" s="1"/>
    </row>
    <row r="1008" spans="1:4" x14ac:dyDescent="0.25">
      <c r="A1008" s="1"/>
      <c r="B1008" s="1"/>
      <c r="C1008" s="1"/>
      <c r="D1008" s="1"/>
    </row>
    <row r="1009" spans="1:4" x14ac:dyDescent="0.25">
      <c r="A1009" s="1"/>
      <c r="B1009" s="1"/>
      <c r="C1009" s="1"/>
      <c r="D1009" s="1"/>
    </row>
    <row r="1010" spans="1:4" x14ac:dyDescent="0.25">
      <c r="A1010" s="1"/>
      <c r="B1010" s="1"/>
      <c r="C1010" s="1"/>
      <c r="D1010" s="1"/>
    </row>
    <row r="1011" spans="1:4" x14ac:dyDescent="0.25">
      <c r="A1011" s="1"/>
      <c r="B1011" s="1"/>
      <c r="C1011" s="1"/>
      <c r="D1011" s="1"/>
    </row>
    <row r="1012" spans="1:4" x14ac:dyDescent="0.25">
      <c r="A1012" s="1"/>
      <c r="B1012" s="1"/>
      <c r="C1012" s="1"/>
      <c r="D1012" s="1"/>
    </row>
    <row r="1013" spans="1:4" x14ac:dyDescent="0.25">
      <c r="A1013" s="1"/>
      <c r="B1013" s="1"/>
      <c r="C1013" s="1"/>
      <c r="D1013" s="1"/>
    </row>
    <row r="1014" spans="1:4" x14ac:dyDescent="0.25">
      <c r="A1014" s="1"/>
      <c r="B1014" s="1"/>
      <c r="C1014" s="1"/>
      <c r="D1014" s="1"/>
    </row>
    <row r="1015" spans="1:4" x14ac:dyDescent="0.25">
      <c r="A1015" s="1"/>
      <c r="B1015" s="1"/>
      <c r="C1015" s="1"/>
      <c r="D1015" s="1"/>
    </row>
    <row r="1016" spans="1:4" x14ac:dyDescent="0.25">
      <c r="A1016" s="1"/>
      <c r="B1016" s="1"/>
      <c r="C1016" s="1"/>
      <c r="D1016" s="1"/>
    </row>
    <row r="1017" spans="1:4" x14ac:dyDescent="0.25">
      <c r="A1017" s="1"/>
      <c r="B1017" s="1"/>
      <c r="C1017" s="1"/>
      <c r="D1017" s="1"/>
    </row>
    <row r="1018" spans="1:4" x14ac:dyDescent="0.25">
      <c r="A1018" s="1"/>
      <c r="B1018" s="1"/>
      <c r="C1018" s="1"/>
      <c r="D1018" s="1"/>
    </row>
    <row r="1019" spans="1:4" x14ac:dyDescent="0.25">
      <c r="A1019" s="1"/>
      <c r="B1019" s="1"/>
      <c r="C1019" s="1"/>
      <c r="D1019" s="1"/>
    </row>
    <row r="1020" spans="1:4" x14ac:dyDescent="0.25">
      <c r="A1020" s="1"/>
      <c r="B1020" s="1"/>
      <c r="C1020" s="1"/>
      <c r="D1020" s="1"/>
    </row>
    <row r="1021" spans="1:4" x14ac:dyDescent="0.25">
      <c r="A1021" s="1"/>
      <c r="B1021" s="1"/>
      <c r="C1021" s="1"/>
      <c r="D1021" s="1"/>
    </row>
    <row r="1022" spans="1:4" x14ac:dyDescent="0.25">
      <c r="A1022" s="1"/>
      <c r="B1022" s="1"/>
      <c r="C1022" s="1"/>
      <c r="D1022" s="1"/>
    </row>
    <row r="1023" spans="1:4" x14ac:dyDescent="0.25">
      <c r="A1023" s="1"/>
      <c r="B1023" s="1"/>
      <c r="C1023" s="1"/>
      <c r="D1023" s="1"/>
    </row>
    <row r="1024" spans="1:4" x14ac:dyDescent="0.25">
      <c r="A1024" s="1"/>
      <c r="B1024" s="1"/>
      <c r="C1024" s="1"/>
      <c r="D1024" s="1"/>
    </row>
    <row r="1025" spans="1:4" x14ac:dyDescent="0.25">
      <c r="A1025" s="1"/>
      <c r="B1025" s="1"/>
      <c r="C1025" s="1"/>
      <c r="D1025" s="1"/>
    </row>
    <row r="1026" spans="1:4" x14ac:dyDescent="0.25">
      <c r="A1026" s="1"/>
      <c r="B1026" s="1"/>
      <c r="C1026" s="1"/>
      <c r="D1026" s="1"/>
    </row>
    <row r="1027" spans="1:4" x14ac:dyDescent="0.25">
      <c r="A1027" s="1"/>
      <c r="B1027" s="1"/>
      <c r="C1027" s="1"/>
      <c r="D1027" s="1"/>
    </row>
    <row r="1028" spans="1:4" x14ac:dyDescent="0.25">
      <c r="A1028" s="1"/>
      <c r="B1028" s="1"/>
      <c r="C1028" s="1"/>
      <c r="D1028" s="1"/>
    </row>
    <row r="1029" spans="1:4" x14ac:dyDescent="0.25">
      <c r="A1029" s="1"/>
      <c r="B1029" s="1"/>
      <c r="C1029" s="1"/>
      <c r="D1029" s="1"/>
    </row>
    <row r="1030" spans="1:4" x14ac:dyDescent="0.25">
      <c r="A1030" s="1"/>
      <c r="B1030" s="1"/>
      <c r="C1030" s="1"/>
      <c r="D1030" s="1"/>
    </row>
    <row r="1031" spans="1:4" x14ac:dyDescent="0.25">
      <c r="A1031" s="1"/>
      <c r="B1031" s="1"/>
      <c r="C1031" s="1"/>
      <c r="D1031" s="1"/>
    </row>
    <row r="1032" spans="1:4" x14ac:dyDescent="0.25">
      <c r="A1032" s="1"/>
      <c r="B1032" s="1"/>
      <c r="C1032" s="1"/>
      <c r="D1032" s="1"/>
    </row>
    <row r="1033" spans="1:4" x14ac:dyDescent="0.25">
      <c r="A1033" s="1"/>
      <c r="B1033" s="1"/>
      <c r="C1033" s="1"/>
      <c r="D1033" s="1"/>
    </row>
    <row r="1034" spans="1:4" x14ac:dyDescent="0.25">
      <c r="A1034" s="1"/>
      <c r="B1034" s="1"/>
      <c r="C1034" s="1"/>
      <c r="D1034" s="1"/>
    </row>
    <row r="1035" spans="1:4" x14ac:dyDescent="0.25">
      <c r="A1035" s="1"/>
      <c r="B1035" s="1"/>
      <c r="C1035" s="1"/>
      <c r="D1035" s="1"/>
    </row>
    <row r="1036" spans="1:4" x14ac:dyDescent="0.25">
      <c r="A1036" s="1"/>
      <c r="B1036" s="1"/>
      <c r="C1036" s="1"/>
      <c r="D1036" s="1"/>
    </row>
    <row r="1037" spans="1:4" x14ac:dyDescent="0.25">
      <c r="A1037" s="1"/>
      <c r="B1037" s="1"/>
      <c r="C1037" s="1"/>
      <c r="D1037" s="1"/>
    </row>
    <row r="1038" spans="1:4" x14ac:dyDescent="0.25">
      <c r="A1038" s="1"/>
      <c r="B1038" s="1"/>
      <c r="C1038" s="1"/>
      <c r="D1038" s="1"/>
    </row>
    <row r="1039" spans="1:4" x14ac:dyDescent="0.25">
      <c r="A1039" s="1"/>
      <c r="B1039" s="1"/>
      <c r="C1039" s="1"/>
      <c r="D1039" s="1"/>
    </row>
    <row r="1040" spans="1:4" x14ac:dyDescent="0.25">
      <c r="A1040" s="1"/>
      <c r="B1040" s="1"/>
      <c r="C1040" s="1"/>
      <c r="D1040" s="1"/>
    </row>
    <row r="1041" spans="1:4" x14ac:dyDescent="0.25">
      <c r="A1041" s="1"/>
      <c r="B1041" s="1"/>
      <c r="C1041" s="1"/>
      <c r="D1041" s="1"/>
    </row>
    <row r="1042" spans="1:4" x14ac:dyDescent="0.25">
      <c r="A1042" s="1"/>
      <c r="B1042" s="1"/>
      <c r="C1042" s="1"/>
      <c r="D1042" s="1"/>
    </row>
    <row r="1043" spans="1:4" x14ac:dyDescent="0.25">
      <c r="A1043" s="1"/>
      <c r="B1043" s="1"/>
      <c r="C1043" s="1"/>
      <c r="D1043" s="1"/>
    </row>
    <row r="1044" spans="1:4" x14ac:dyDescent="0.25">
      <c r="A1044" s="1"/>
      <c r="B1044" s="1"/>
      <c r="C1044" s="1"/>
      <c r="D1044" s="1"/>
    </row>
    <row r="1045" spans="1:4" x14ac:dyDescent="0.25">
      <c r="A1045" s="1"/>
      <c r="B1045" s="1"/>
      <c r="C1045" s="1"/>
      <c r="D1045" s="1"/>
    </row>
    <row r="1046" spans="1:4" x14ac:dyDescent="0.25">
      <c r="A1046" s="1"/>
      <c r="B1046" s="1"/>
      <c r="C1046" s="1"/>
      <c r="D1046" s="1"/>
    </row>
    <row r="1047" spans="1:4" x14ac:dyDescent="0.25">
      <c r="A1047" s="1"/>
      <c r="B1047" s="1"/>
      <c r="C1047" s="1"/>
      <c r="D1047" s="1"/>
    </row>
    <row r="1048" spans="1:4" x14ac:dyDescent="0.25">
      <c r="A1048" s="1"/>
      <c r="B1048" s="1"/>
      <c r="C1048" s="1"/>
      <c r="D1048" s="1"/>
    </row>
    <row r="1049" spans="1:4" x14ac:dyDescent="0.25">
      <c r="A1049" s="1"/>
      <c r="B1049" s="1"/>
      <c r="C1049" s="1"/>
      <c r="D1049" s="1"/>
    </row>
    <row r="1050" spans="1:4" x14ac:dyDescent="0.25">
      <c r="A1050" s="1"/>
      <c r="B1050" s="1"/>
      <c r="C1050" s="1"/>
      <c r="D1050" s="1"/>
    </row>
    <row r="1051" spans="1:4" x14ac:dyDescent="0.25">
      <c r="A1051" s="1"/>
      <c r="B1051" s="1"/>
      <c r="C1051" s="1"/>
      <c r="D1051" s="1"/>
    </row>
    <row r="1052" spans="1:4" x14ac:dyDescent="0.25">
      <c r="A1052" s="1"/>
      <c r="B1052" s="1"/>
      <c r="C1052" s="1"/>
      <c r="D1052" s="1"/>
    </row>
    <row r="1053" spans="1:4" x14ac:dyDescent="0.25">
      <c r="A1053" s="1"/>
      <c r="B1053" s="1"/>
      <c r="C1053" s="1"/>
      <c r="D1053" s="1"/>
    </row>
    <row r="1054" spans="1:4" x14ac:dyDescent="0.25">
      <c r="A1054" s="1"/>
      <c r="B1054" s="1"/>
      <c r="C1054" s="1"/>
      <c r="D1054" s="1"/>
    </row>
    <row r="1055" spans="1:4" x14ac:dyDescent="0.25">
      <c r="A1055" s="1"/>
      <c r="B1055" s="1"/>
      <c r="C1055" s="1"/>
      <c r="D1055" s="1"/>
    </row>
    <row r="1056" spans="1:4" x14ac:dyDescent="0.25">
      <c r="A1056" s="1"/>
      <c r="B1056" s="1"/>
      <c r="C1056" s="1"/>
      <c r="D1056" s="1"/>
    </row>
    <row r="1057" spans="1:4" x14ac:dyDescent="0.25">
      <c r="A1057" s="1"/>
      <c r="B1057" s="1"/>
      <c r="C1057" s="1"/>
      <c r="D1057" s="1"/>
    </row>
    <row r="1058" spans="1:4" x14ac:dyDescent="0.25">
      <c r="A1058" s="1"/>
      <c r="B1058" s="1"/>
      <c r="C1058" s="1"/>
      <c r="D1058" s="1"/>
    </row>
    <row r="1059" spans="1:4" x14ac:dyDescent="0.25">
      <c r="A1059" s="1"/>
      <c r="B1059" s="1"/>
      <c r="C1059" s="1"/>
      <c r="D1059" s="1"/>
    </row>
    <row r="1060" spans="1:4" x14ac:dyDescent="0.25">
      <c r="A1060" s="1"/>
      <c r="B1060" s="1"/>
      <c r="C1060" s="1"/>
      <c r="D1060" s="1"/>
    </row>
    <row r="1061" spans="1:4" x14ac:dyDescent="0.25">
      <c r="A1061" s="1"/>
      <c r="B1061" s="1"/>
      <c r="C1061" s="1"/>
      <c r="D1061" s="1"/>
    </row>
    <row r="1062" spans="1:4" x14ac:dyDescent="0.25">
      <c r="A1062" s="1"/>
      <c r="B1062" s="1"/>
      <c r="C1062" s="1"/>
      <c r="D1062" s="1"/>
    </row>
    <row r="1063" spans="1:4" x14ac:dyDescent="0.25">
      <c r="A1063" s="1"/>
      <c r="B1063" s="1"/>
      <c r="C1063" s="1"/>
      <c r="D1063" s="1"/>
    </row>
    <row r="1064" spans="1:4" x14ac:dyDescent="0.25">
      <c r="A1064" s="1"/>
      <c r="B1064" s="1"/>
      <c r="C1064" s="1"/>
      <c r="D1064" s="1"/>
    </row>
    <row r="1065" spans="1:4" x14ac:dyDescent="0.25">
      <c r="A1065" s="1"/>
      <c r="B1065" s="1"/>
      <c r="C1065" s="1"/>
      <c r="D1065" s="1"/>
    </row>
    <row r="1066" spans="1:4" x14ac:dyDescent="0.25">
      <c r="A1066" s="1"/>
      <c r="B1066" s="1"/>
      <c r="C1066" s="1"/>
      <c r="D1066" s="1"/>
    </row>
    <row r="1067" spans="1:4" x14ac:dyDescent="0.25">
      <c r="A1067" s="1"/>
      <c r="B1067" s="1"/>
      <c r="C1067" s="1"/>
      <c r="D1067" s="1"/>
    </row>
    <row r="1068" spans="1:4" x14ac:dyDescent="0.25">
      <c r="A1068" s="1"/>
      <c r="B1068" s="1"/>
      <c r="C1068" s="1"/>
      <c r="D1068" s="1"/>
    </row>
    <row r="1069" spans="1:4" x14ac:dyDescent="0.25">
      <c r="A1069" s="1"/>
      <c r="B1069" s="1"/>
      <c r="C1069" s="1"/>
      <c r="D1069" s="1"/>
    </row>
    <row r="1070" spans="1:4" x14ac:dyDescent="0.25">
      <c r="A1070" s="1"/>
      <c r="B1070" s="1"/>
      <c r="C1070" s="1"/>
      <c r="D1070" s="1"/>
    </row>
    <row r="1071" spans="1:4" x14ac:dyDescent="0.25">
      <c r="A1071" s="1"/>
      <c r="B1071" s="1"/>
      <c r="C1071" s="1"/>
      <c r="D1071" s="1"/>
    </row>
    <row r="1072" spans="1:4" x14ac:dyDescent="0.25">
      <c r="A1072" s="1"/>
      <c r="B1072" s="1"/>
      <c r="C1072" s="1"/>
      <c r="D1072" s="1"/>
    </row>
    <row r="1073" spans="1:4" x14ac:dyDescent="0.25">
      <c r="A1073" s="1"/>
      <c r="B1073" s="1"/>
      <c r="C1073" s="1"/>
      <c r="D1073" s="1"/>
    </row>
    <row r="1074" spans="1:4" x14ac:dyDescent="0.25">
      <c r="A1074" s="1"/>
      <c r="B1074" s="1"/>
      <c r="C1074" s="1"/>
      <c r="D1074" s="1"/>
    </row>
    <row r="1075" spans="1:4" x14ac:dyDescent="0.25">
      <c r="A1075" s="1"/>
      <c r="B1075" s="1"/>
      <c r="C1075" s="1"/>
      <c r="D1075" s="1"/>
    </row>
    <row r="1076" spans="1:4" x14ac:dyDescent="0.25">
      <c r="A1076" s="1"/>
      <c r="B1076" s="1"/>
      <c r="C1076" s="1"/>
      <c r="D1076" s="1"/>
    </row>
    <row r="1077" spans="1:4" x14ac:dyDescent="0.25">
      <c r="A1077" s="1"/>
      <c r="B1077" s="1"/>
      <c r="C1077" s="1"/>
      <c r="D1077" s="1"/>
    </row>
    <row r="1078" spans="1:4" x14ac:dyDescent="0.25">
      <c r="A1078" s="1"/>
      <c r="B1078" s="1"/>
      <c r="C1078" s="1"/>
      <c r="D1078" s="1"/>
    </row>
    <row r="1079" spans="1:4" x14ac:dyDescent="0.25">
      <c r="A1079" s="1"/>
      <c r="B1079" s="1"/>
      <c r="C1079" s="1"/>
      <c r="D1079" s="1"/>
    </row>
    <row r="1080" spans="1:4" x14ac:dyDescent="0.25">
      <c r="A1080" s="1"/>
      <c r="B1080" s="1"/>
      <c r="C1080" s="1"/>
      <c r="D1080" s="1"/>
    </row>
    <row r="1081" spans="1:4" x14ac:dyDescent="0.25">
      <c r="A1081" s="1"/>
      <c r="B1081" s="1"/>
      <c r="C1081" s="1"/>
      <c r="D1081" s="1"/>
    </row>
    <row r="1082" spans="1:4" x14ac:dyDescent="0.25">
      <c r="A1082" s="1"/>
      <c r="B1082" s="1"/>
      <c r="C1082" s="1"/>
      <c r="D1082" s="1"/>
    </row>
    <row r="1083" spans="1:4" x14ac:dyDescent="0.25">
      <c r="A1083" s="1"/>
      <c r="B1083" s="1"/>
      <c r="C1083" s="1"/>
      <c r="D1083" s="1"/>
    </row>
    <row r="1084" spans="1:4" x14ac:dyDescent="0.25">
      <c r="A1084" s="1"/>
      <c r="B1084" s="1"/>
      <c r="C1084" s="1"/>
      <c r="D1084" s="1"/>
    </row>
    <row r="1085" spans="1:4" x14ac:dyDescent="0.25">
      <c r="A1085" s="1"/>
      <c r="B1085" s="1"/>
      <c r="C1085" s="1"/>
      <c r="D1085" s="1"/>
    </row>
    <row r="1086" spans="1:4" x14ac:dyDescent="0.25">
      <c r="A1086" s="1"/>
      <c r="B1086" s="1"/>
      <c r="C1086" s="1"/>
      <c r="D1086" s="1"/>
    </row>
    <row r="1087" spans="1:4" x14ac:dyDescent="0.25">
      <c r="A1087" s="1"/>
      <c r="B1087" s="1"/>
      <c r="C1087" s="1"/>
      <c r="D1087" s="1"/>
    </row>
    <row r="1088" spans="1:4" x14ac:dyDescent="0.25">
      <c r="A1088" s="1"/>
      <c r="B1088" s="1"/>
      <c r="C1088" s="1"/>
      <c r="D1088" s="1"/>
    </row>
    <row r="1089" spans="1:4" x14ac:dyDescent="0.25">
      <c r="A1089" s="1"/>
      <c r="B1089" s="1"/>
      <c r="C1089" s="1"/>
      <c r="D1089" s="1"/>
    </row>
    <row r="1090" spans="1:4" x14ac:dyDescent="0.25">
      <c r="A1090" s="1"/>
      <c r="B1090" s="1"/>
      <c r="C1090" s="1"/>
      <c r="D1090" s="1"/>
    </row>
    <row r="1091" spans="1:4" x14ac:dyDescent="0.25">
      <c r="A1091" s="1"/>
      <c r="B1091" s="1"/>
      <c r="C1091" s="1"/>
      <c r="D1091" s="1"/>
    </row>
    <row r="1092" spans="1:4" x14ac:dyDescent="0.25">
      <c r="A1092" s="1"/>
      <c r="B1092" s="1"/>
      <c r="C1092" s="1"/>
      <c r="D1092" s="1"/>
    </row>
    <row r="1093" spans="1:4" x14ac:dyDescent="0.25">
      <c r="A1093" s="1"/>
      <c r="B1093" s="1"/>
      <c r="C1093" s="1"/>
      <c r="D1093" s="1"/>
    </row>
    <row r="1094" spans="1:4" x14ac:dyDescent="0.25">
      <c r="A1094" s="1"/>
      <c r="B1094" s="1"/>
      <c r="C1094" s="1"/>
      <c r="D1094" s="1"/>
    </row>
    <row r="1095" spans="1:4" x14ac:dyDescent="0.25">
      <c r="A1095" s="1"/>
      <c r="B1095" s="1"/>
      <c r="C1095" s="1"/>
      <c r="D1095" s="1"/>
    </row>
    <row r="1096" spans="1:4" x14ac:dyDescent="0.25">
      <c r="A1096" s="1"/>
      <c r="B1096" s="1"/>
      <c r="C1096" s="1"/>
      <c r="D1096" s="1"/>
    </row>
    <row r="1097" spans="1:4" x14ac:dyDescent="0.25">
      <c r="A1097" s="1"/>
      <c r="B1097" s="1"/>
      <c r="C1097" s="1"/>
      <c r="D1097" s="1"/>
    </row>
    <row r="1098" spans="1:4" x14ac:dyDescent="0.25">
      <c r="A1098" s="1"/>
      <c r="B1098" s="1"/>
      <c r="C1098" s="1"/>
      <c r="D1098" s="1"/>
    </row>
    <row r="1099" spans="1:4" x14ac:dyDescent="0.25">
      <c r="A1099" s="1"/>
      <c r="B1099" s="1"/>
      <c r="C1099" s="1"/>
      <c r="D1099" s="1"/>
    </row>
    <row r="1100" spans="1:4" x14ac:dyDescent="0.25">
      <c r="A1100" s="1"/>
      <c r="B1100" s="1"/>
      <c r="C1100" s="1"/>
      <c r="D1100" s="1"/>
    </row>
    <row r="1101" spans="1:4" x14ac:dyDescent="0.25">
      <c r="A1101" s="1"/>
      <c r="B1101" s="1"/>
      <c r="C1101" s="1"/>
      <c r="D1101" s="1"/>
    </row>
    <row r="1102" spans="1:4" x14ac:dyDescent="0.25">
      <c r="A1102" s="1"/>
      <c r="B1102" s="1"/>
      <c r="C1102" s="1"/>
      <c r="D1102" s="1"/>
    </row>
    <row r="1103" spans="1:4" x14ac:dyDescent="0.25">
      <c r="A1103" s="1"/>
      <c r="B1103" s="1"/>
      <c r="C1103" s="1"/>
      <c r="D1103" s="1"/>
    </row>
    <row r="1104" spans="1:4" x14ac:dyDescent="0.25">
      <c r="A1104" s="1"/>
      <c r="B1104" s="1"/>
      <c r="C1104" s="1"/>
      <c r="D1104" s="1"/>
    </row>
    <row r="1105" spans="1:4" x14ac:dyDescent="0.25">
      <c r="A1105" s="1"/>
      <c r="B1105" s="1"/>
      <c r="C1105" s="1"/>
      <c r="D1105" s="1"/>
    </row>
    <row r="1106" spans="1:4" x14ac:dyDescent="0.25">
      <c r="A1106" s="1"/>
      <c r="B1106" s="1"/>
      <c r="C1106" s="1"/>
      <c r="D1106" s="1"/>
    </row>
    <row r="1107" spans="1:4" x14ac:dyDescent="0.25">
      <c r="A1107" s="1"/>
      <c r="B1107" s="1"/>
      <c r="C1107" s="1"/>
      <c r="D1107" s="1"/>
    </row>
    <row r="1108" spans="1:4" x14ac:dyDescent="0.25">
      <c r="A1108" s="1"/>
      <c r="B1108" s="1"/>
      <c r="C1108" s="1"/>
      <c r="D1108" s="1"/>
    </row>
    <row r="1109" spans="1:4" x14ac:dyDescent="0.25">
      <c r="A1109" s="1"/>
      <c r="B1109" s="1"/>
      <c r="C1109" s="1"/>
      <c r="D1109" s="1"/>
    </row>
    <row r="1110" spans="1:4" x14ac:dyDescent="0.25">
      <c r="A1110" s="1"/>
      <c r="B1110" s="1"/>
      <c r="C1110" s="1"/>
      <c r="D1110" s="1"/>
    </row>
    <row r="1111" spans="1:4" x14ac:dyDescent="0.25">
      <c r="A1111" s="1"/>
      <c r="B1111" s="1"/>
      <c r="C1111" s="1"/>
      <c r="D1111" s="1"/>
    </row>
    <row r="1112" spans="1:4" x14ac:dyDescent="0.25">
      <c r="A1112" s="1"/>
      <c r="B1112" s="1"/>
      <c r="C1112" s="1"/>
      <c r="D1112" s="1"/>
    </row>
    <row r="1113" spans="1:4" x14ac:dyDescent="0.25">
      <c r="A1113" s="1"/>
      <c r="B1113" s="1"/>
      <c r="C1113" s="1"/>
      <c r="D1113" s="1"/>
    </row>
    <row r="1114" spans="1:4" x14ac:dyDescent="0.25">
      <c r="A1114" s="1"/>
      <c r="B1114" s="1"/>
      <c r="C1114" s="1"/>
      <c r="D1114" s="1"/>
    </row>
    <row r="1115" spans="1:4" x14ac:dyDescent="0.25">
      <c r="A1115" s="1"/>
      <c r="B1115" s="1"/>
      <c r="C1115" s="1"/>
      <c r="D1115" s="1"/>
    </row>
    <row r="1116" spans="1:4" x14ac:dyDescent="0.25">
      <c r="A1116" s="1"/>
      <c r="B1116" s="1"/>
      <c r="C1116" s="1"/>
      <c r="D1116" s="1"/>
    </row>
    <row r="1117" spans="1:4" x14ac:dyDescent="0.25">
      <c r="A1117" s="1"/>
      <c r="B1117" s="1"/>
      <c r="C1117" s="1"/>
      <c r="D1117" s="1"/>
    </row>
    <row r="1118" spans="1:4" x14ac:dyDescent="0.25">
      <c r="A1118" s="1"/>
      <c r="B1118" s="1"/>
      <c r="C1118" s="1"/>
      <c r="D1118" s="1"/>
    </row>
    <row r="1119" spans="1:4" x14ac:dyDescent="0.25">
      <c r="A1119" s="1"/>
      <c r="B1119" s="1"/>
      <c r="C1119" s="1"/>
      <c r="D1119" s="1"/>
    </row>
    <row r="1120" spans="1:4" x14ac:dyDescent="0.25">
      <c r="A1120" s="1"/>
      <c r="B1120" s="1"/>
      <c r="C1120" s="1"/>
      <c r="D1120" s="1"/>
    </row>
    <row r="1121" spans="1:4" x14ac:dyDescent="0.25">
      <c r="A1121" s="1"/>
      <c r="B1121" s="1"/>
      <c r="C1121" s="1"/>
      <c r="D1121" s="1"/>
    </row>
    <row r="1122" spans="1:4" x14ac:dyDescent="0.25">
      <c r="A1122" s="1"/>
      <c r="B1122" s="1"/>
      <c r="C1122" s="1"/>
      <c r="D1122" s="1"/>
    </row>
    <row r="1123" spans="1:4" x14ac:dyDescent="0.25">
      <c r="A1123" s="1"/>
      <c r="B1123" s="1"/>
      <c r="C1123" s="1"/>
      <c r="D1123" s="1"/>
    </row>
    <row r="1124" spans="1:4" x14ac:dyDescent="0.25">
      <c r="A1124" s="1"/>
      <c r="B1124" s="1"/>
      <c r="C1124" s="1"/>
      <c r="D1124" s="1"/>
    </row>
    <row r="1125" spans="1:4" x14ac:dyDescent="0.25">
      <c r="A1125" s="1"/>
      <c r="B1125" s="1"/>
      <c r="C1125" s="1"/>
      <c r="D1125" s="1"/>
    </row>
    <row r="1126" spans="1:4" x14ac:dyDescent="0.25">
      <c r="A1126" s="1"/>
      <c r="B1126" s="1"/>
      <c r="C1126" s="1"/>
      <c r="D1126" s="1"/>
    </row>
    <row r="1127" spans="1:4" x14ac:dyDescent="0.25">
      <c r="A1127" s="1"/>
      <c r="B1127" s="1"/>
      <c r="C1127" s="1"/>
      <c r="D1127" s="1"/>
    </row>
    <row r="1128" spans="1:4" x14ac:dyDescent="0.25">
      <c r="A1128" s="1"/>
      <c r="B1128" s="1"/>
      <c r="C1128" s="1"/>
      <c r="D1128" s="1"/>
    </row>
    <row r="1129" spans="1:4" x14ac:dyDescent="0.25">
      <c r="A1129" s="1"/>
      <c r="B1129" s="1"/>
      <c r="C1129" s="1"/>
      <c r="D1129" s="1"/>
    </row>
    <row r="1130" spans="1:4" x14ac:dyDescent="0.25">
      <c r="A1130" s="1"/>
      <c r="B1130" s="1"/>
      <c r="C1130" s="1"/>
      <c r="D1130" s="1"/>
    </row>
    <row r="1131" spans="1:4" x14ac:dyDescent="0.25">
      <c r="A1131" s="1"/>
      <c r="B1131" s="1"/>
      <c r="C1131" s="1"/>
      <c r="D1131" s="1"/>
    </row>
    <row r="1132" spans="1:4" x14ac:dyDescent="0.25">
      <c r="A1132" s="1"/>
      <c r="B1132" s="1"/>
      <c r="C1132" s="1"/>
      <c r="D1132" s="1"/>
    </row>
    <row r="1133" spans="1:4" x14ac:dyDescent="0.25">
      <c r="A1133" s="1"/>
      <c r="B1133" s="1"/>
      <c r="C1133" s="1"/>
      <c r="D1133" s="1"/>
    </row>
    <row r="1134" spans="1:4" x14ac:dyDescent="0.25">
      <c r="A1134" s="1"/>
      <c r="B1134" s="1"/>
      <c r="C1134" s="1"/>
      <c r="D1134" s="1"/>
    </row>
    <row r="1135" spans="1:4" x14ac:dyDescent="0.25">
      <c r="A1135" s="1"/>
      <c r="B1135" s="1"/>
      <c r="C1135" s="1"/>
      <c r="D1135" s="1"/>
    </row>
    <row r="1136" spans="1:4" x14ac:dyDescent="0.25">
      <c r="A1136" s="1"/>
      <c r="B1136" s="1"/>
      <c r="C1136" s="1"/>
      <c r="D1136" s="1"/>
    </row>
    <row r="1137" spans="1:4" x14ac:dyDescent="0.25">
      <c r="A1137" s="1"/>
      <c r="B1137" s="1"/>
      <c r="C1137" s="1"/>
      <c r="D1137" s="1"/>
    </row>
    <row r="1138" spans="1:4" x14ac:dyDescent="0.25">
      <c r="A1138" s="1"/>
      <c r="B1138" s="1"/>
      <c r="C1138" s="1"/>
      <c r="D1138" s="1"/>
    </row>
    <row r="1139" spans="1:4" x14ac:dyDescent="0.25">
      <c r="A1139" s="1"/>
      <c r="B1139" s="1"/>
      <c r="C1139" s="1"/>
      <c r="D1139" s="1"/>
    </row>
    <row r="1140" spans="1:4" x14ac:dyDescent="0.25">
      <c r="A1140" s="1"/>
      <c r="B1140" s="1"/>
      <c r="C1140" s="1"/>
      <c r="D1140" s="1"/>
    </row>
    <row r="1141" spans="1:4" x14ac:dyDescent="0.25">
      <c r="A1141" s="1"/>
      <c r="B1141" s="1"/>
      <c r="C1141" s="1"/>
      <c r="D1141" s="1"/>
    </row>
    <row r="1142" spans="1:4" x14ac:dyDescent="0.25">
      <c r="A1142" s="1"/>
      <c r="B1142" s="1"/>
      <c r="C1142" s="1"/>
      <c r="D1142" s="1"/>
    </row>
    <row r="1143" spans="1:4" x14ac:dyDescent="0.25">
      <c r="A1143" s="1"/>
      <c r="B1143" s="1"/>
      <c r="C1143" s="1"/>
      <c r="D1143" s="1"/>
    </row>
    <row r="1144" spans="1:4" x14ac:dyDescent="0.25">
      <c r="A1144" s="1"/>
      <c r="B1144" s="1"/>
      <c r="C1144" s="1"/>
      <c r="D1144" s="1"/>
    </row>
    <row r="1145" spans="1:4" x14ac:dyDescent="0.25">
      <c r="A1145" s="1"/>
      <c r="B1145" s="1"/>
      <c r="C1145" s="1"/>
      <c r="D1145" s="1"/>
    </row>
    <row r="1146" spans="1:4" x14ac:dyDescent="0.25">
      <c r="A1146" s="1"/>
      <c r="B1146" s="1"/>
      <c r="C1146" s="1"/>
      <c r="D1146" s="1"/>
    </row>
    <row r="1147" spans="1:4" x14ac:dyDescent="0.25">
      <c r="A1147" s="1"/>
      <c r="B1147" s="1"/>
      <c r="C1147" s="1"/>
      <c r="D1147" s="1"/>
    </row>
    <row r="1148" spans="1:4" x14ac:dyDescent="0.25">
      <c r="A1148" s="1"/>
      <c r="B1148" s="1"/>
      <c r="C1148" s="1"/>
      <c r="D1148" s="1"/>
    </row>
    <row r="1149" spans="1:4" x14ac:dyDescent="0.25">
      <c r="A1149" s="1"/>
      <c r="B1149" s="1"/>
      <c r="C1149" s="1"/>
      <c r="D1149" s="1"/>
    </row>
    <row r="1150" spans="1:4" x14ac:dyDescent="0.25">
      <c r="A1150" s="1"/>
      <c r="B1150" s="1"/>
      <c r="C1150" s="1"/>
      <c r="D1150" s="1"/>
    </row>
    <row r="1151" spans="1:4" x14ac:dyDescent="0.25">
      <c r="A1151" s="1"/>
      <c r="B1151" s="1"/>
      <c r="C1151" s="1"/>
      <c r="D1151" s="1"/>
    </row>
    <row r="1152" spans="1:4" x14ac:dyDescent="0.25">
      <c r="A1152" s="1"/>
      <c r="B1152" s="1"/>
      <c r="C1152" s="1"/>
      <c r="D1152" s="1"/>
    </row>
    <row r="1153" spans="1:4" x14ac:dyDescent="0.25">
      <c r="A1153" s="1"/>
      <c r="B1153" s="1"/>
      <c r="C1153" s="1"/>
      <c r="D1153" s="1"/>
    </row>
    <row r="1154" spans="1:4" x14ac:dyDescent="0.25">
      <c r="A1154" s="1"/>
      <c r="B1154" s="1"/>
      <c r="C1154" s="1"/>
      <c r="D1154" s="1"/>
    </row>
    <row r="1155" spans="1:4" x14ac:dyDescent="0.25">
      <c r="A1155" s="1"/>
      <c r="B1155" s="1"/>
      <c r="C1155" s="1"/>
      <c r="D1155" s="1"/>
    </row>
    <row r="1156" spans="1:4" x14ac:dyDescent="0.25">
      <c r="A1156" s="1"/>
      <c r="B1156" s="1"/>
      <c r="C1156" s="1"/>
      <c r="D1156" s="1"/>
    </row>
    <row r="1157" spans="1:4" x14ac:dyDescent="0.25">
      <c r="A1157" s="1"/>
      <c r="B1157" s="1"/>
      <c r="C1157" s="1"/>
      <c r="D1157" s="1"/>
    </row>
    <row r="1158" spans="1:4" x14ac:dyDescent="0.25">
      <c r="A1158" s="1"/>
      <c r="B1158" s="1"/>
      <c r="C1158" s="1"/>
      <c r="D1158" s="1"/>
    </row>
    <row r="1159" spans="1:4" x14ac:dyDescent="0.25">
      <c r="A1159" s="1"/>
      <c r="B1159" s="1"/>
      <c r="C1159" s="1"/>
      <c r="D1159" s="1"/>
    </row>
    <row r="1160" spans="1:4" x14ac:dyDescent="0.25">
      <c r="A1160" s="1"/>
      <c r="B1160" s="1"/>
      <c r="C1160" s="1"/>
      <c r="D1160" s="1"/>
    </row>
    <row r="1161" spans="1:4" x14ac:dyDescent="0.25">
      <c r="A1161" s="1"/>
      <c r="B1161" s="1"/>
      <c r="C1161" s="1"/>
      <c r="D1161" s="1"/>
    </row>
    <row r="1162" spans="1:4" x14ac:dyDescent="0.25">
      <c r="A1162" s="1"/>
      <c r="B1162" s="1"/>
      <c r="C1162" s="1"/>
      <c r="D1162" s="1"/>
    </row>
    <row r="1163" spans="1:4" x14ac:dyDescent="0.25">
      <c r="A1163" s="1"/>
      <c r="B1163" s="1"/>
      <c r="C1163" s="1"/>
      <c r="D1163" s="1"/>
    </row>
    <row r="1164" spans="1:4" x14ac:dyDescent="0.25">
      <c r="A1164" s="1"/>
      <c r="B1164" s="1"/>
      <c r="C1164" s="1"/>
      <c r="D1164" s="1"/>
    </row>
    <row r="1165" spans="1:4" x14ac:dyDescent="0.25">
      <c r="A1165" s="1"/>
      <c r="B1165" s="1"/>
      <c r="C1165" s="1"/>
      <c r="D1165" s="1"/>
    </row>
    <row r="1166" spans="1:4" x14ac:dyDescent="0.25">
      <c r="A1166" s="1"/>
      <c r="B1166" s="1"/>
      <c r="C1166" s="1"/>
      <c r="D1166" s="1"/>
    </row>
    <row r="1167" spans="1:4" x14ac:dyDescent="0.25">
      <c r="A1167" s="1"/>
      <c r="B1167" s="1"/>
      <c r="C1167" s="1"/>
      <c r="D1167" s="1"/>
    </row>
    <row r="1168" spans="1:4" x14ac:dyDescent="0.25">
      <c r="A1168" s="1"/>
      <c r="B1168" s="1"/>
      <c r="C1168" s="1"/>
      <c r="D1168" s="1"/>
    </row>
    <row r="1169" spans="1:4" x14ac:dyDescent="0.25">
      <c r="A1169" s="1"/>
      <c r="B1169" s="1"/>
      <c r="C1169" s="1"/>
      <c r="D1169" s="1"/>
    </row>
    <row r="1170" spans="1:4" x14ac:dyDescent="0.25">
      <c r="A1170" s="1"/>
      <c r="B1170" s="1"/>
      <c r="C1170" s="1"/>
      <c r="D1170" s="1"/>
    </row>
    <row r="1171" spans="1:4" x14ac:dyDescent="0.25">
      <c r="A1171" s="1"/>
      <c r="B1171" s="1"/>
      <c r="C1171" s="1"/>
      <c r="D1171" s="1"/>
    </row>
    <row r="1172" spans="1:4" x14ac:dyDescent="0.25">
      <c r="A1172" s="1"/>
      <c r="B1172" s="1"/>
      <c r="C1172" s="1"/>
      <c r="D1172" s="1"/>
    </row>
    <row r="1173" spans="1:4" x14ac:dyDescent="0.25">
      <c r="A1173" s="1"/>
      <c r="B1173" s="1"/>
      <c r="C1173" s="1"/>
      <c r="D1173" s="1"/>
    </row>
    <row r="1174" spans="1:4" x14ac:dyDescent="0.25">
      <c r="A1174" s="1"/>
      <c r="B1174" s="1"/>
      <c r="C1174" s="1"/>
      <c r="D1174" s="1"/>
    </row>
    <row r="1175" spans="1:4" x14ac:dyDescent="0.25">
      <c r="A1175" s="1"/>
      <c r="B1175" s="1"/>
      <c r="C1175" s="1"/>
      <c r="D1175" s="1"/>
    </row>
    <row r="1176" spans="1:4" x14ac:dyDescent="0.25">
      <c r="A1176" s="1"/>
      <c r="B1176" s="1"/>
      <c r="C1176" s="1"/>
      <c r="D1176" s="1"/>
    </row>
    <row r="1177" spans="1:4" x14ac:dyDescent="0.25">
      <c r="A1177" s="1"/>
      <c r="B1177" s="1"/>
      <c r="C1177" s="1"/>
      <c r="D1177" s="1"/>
    </row>
    <row r="1178" spans="1:4" x14ac:dyDescent="0.25">
      <c r="A1178" s="1"/>
      <c r="B1178" s="1"/>
      <c r="C1178" s="1"/>
      <c r="D1178" s="1"/>
    </row>
    <row r="1179" spans="1:4" x14ac:dyDescent="0.25">
      <c r="A1179" s="1"/>
      <c r="B1179" s="1"/>
      <c r="C1179" s="1"/>
      <c r="D1179" s="1"/>
    </row>
    <row r="1180" spans="1:4" x14ac:dyDescent="0.25">
      <c r="A1180" s="1"/>
      <c r="B1180" s="1"/>
      <c r="C1180" s="1"/>
      <c r="D1180" s="1"/>
    </row>
    <row r="1181" spans="1:4" x14ac:dyDescent="0.25">
      <c r="A1181" s="1"/>
      <c r="B1181" s="1"/>
      <c r="C1181" s="1"/>
      <c r="D1181" s="1"/>
    </row>
    <row r="1182" spans="1:4" x14ac:dyDescent="0.25">
      <c r="A1182" s="1"/>
      <c r="B1182" s="1"/>
      <c r="C1182" s="1"/>
      <c r="D1182" s="1"/>
    </row>
    <row r="1183" spans="1:4" x14ac:dyDescent="0.25">
      <c r="A1183" s="1"/>
      <c r="B1183" s="1"/>
      <c r="C1183" s="1"/>
      <c r="D1183" s="1"/>
    </row>
    <row r="1184" spans="1:4" x14ac:dyDescent="0.25">
      <c r="A1184" s="1"/>
      <c r="B1184" s="1"/>
      <c r="C1184" s="1"/>
      <c r="D1184" s="1"/>
    </row>
    <row r="1185" spans="1:4" x14ac:dyDescent="0.25">
      <c r="A1185" s="1"/>
      <c r="B1185" s="1"/>
      <c r="C1185" s="1"/>
      <c r="D1185" s="1"/>
    </row>
    <row r="1186" spans="1:4" x14ac:dyDescent="0.25">
      <c r="A1186" s="1"/>
      <c r="B1186" s="1"/>
      <c r="C1186" s="1"/>
      <c r="D1186" s="1"/>
    </row>
    <row r="1187" spans="1:4" x14ac:dyDescent="0.25">
      <c r="A1187" s="1"/>
      <c r="B1187" s="1"/>
      <c r="C1187" s="1"/>
      <c r="D1187" s="1"/>
    </row>
    <row r="1188" spans="1:4" x14ac:dyDescent="0.25">
      <c r="A1188" s="1"/>
      <c r="B1188" s="1"/>
      <c r="C1188" s="1"/>
      <c r="D1188" s="1"/>
    </row>
    <row r="1189" spans="1:4" x14ac:dyDescent="0.25">
      <c r="A1189" s="1"/>
      <c r="B1189" s="1"/>
      <c r="C1189" s="1"/>
      <c r="D1189" s="1"/>
    </row>
    <row r="1190" spans="1:4" x14ac:dyDescent="0.25">
      <c r="A1190" s="1"/>
      <c r="B1190" s="1"/>
      <c r="C1190" s="1"/>
      <c r="D1190" s="1"/>
    </row>
    <row r="1191" spans="1:4" x14ac:dyDescent="0.25">
      <c r="A1191" s="1"/>
      <c r="B1191" s="1"/>
      <c r="C1191" s="1"/>
      <c r="D1191" s="1"/>
    </row>
    <row r="1192" spans="1:4" x14ac:dyDescent="0.25">
      <c r="A1192" s="1"/>
      <c r="B1192" s="1"/>
      <c r="C1192" s="1"/>
      <c r="D1192" s="1"/>
    </row>
    <row r="1193" spans="1:4" x14ac:dyDescent="0.25">
      <c r="A1193" s="1"/>
      <c r="B1193" s="1"/>
      <c r="C1193" s="1"/>
      <c r="D1193" s="1"/>
    </row>
    <row r="1194" spans="1:4" x14ac:dyDescent="0.25">
      <c r="A1194" s="1"/>
      <c r="B1194" s="1"/>
      <c r="C1194" s="1"/>
      <c r="D1194" s="1"/>
    </row>
    <row r="1195" spans="1:4" x14ac:dyDescent="0.25">
      <c r="A1195" s="1"/>
      <c r="B1195" s="1"/>
      <c r="C1195" s="1"/>
      <c r="D1195" s="1"/>
    </row>
    <row r="1196" spans="1:4" x14ac:dyDescent="0.25">
      <c r="A1196" s="1"/>
      <c r="B1196" s="1"/>
      <c r="C1196" s="1"/>
      <c r="D1196" s="1"/>
    </row>
    <row r="1197" spans="1:4" x14ac:dyDescent="0.25">
      <c r="A1197" s="1"/>
      <c r="B1197" s="1"/>
      <c r="C1197" s="1"/>
      <c r="D1197" s="1"/>
    </row>
    <row r="1198" spans="1:4" x14ac:dyDescent="0.25">
      <c r="A1198" s="1"/>
      <c r="B1198" s="1"/>
      <c r="C1198" s="1"/>
      <c r="D1198" s="1"/>
    </row>
    <row r="1199" spans="1:4" x14ac:dyDescent="0.25">
      <c r="A1199" s="1"/>
      <c r="B1199" s="1"/>
      <c r="C1199" s="1"/>
      <c r="D1199" s="1"/>
    </row>
    <row r="1200" spans="1:4" x14ac:dyDescent="0.25">
      <c r="A1200" s="1"/>
      <c r="B1200" s="1"/>
      <c r="C1200" s="1"/>
      <c r="D1200" s="1"/>
    </row>
    <row r="1201" spans="1:4" x14ac:dyDescent="0.25">
      <c r="A1201" s="1"/>
      <c r="B1201" s="1"/>
      <c r="C1201" s="1"/>
      <c r="D1201" s="1"/>
    </row>
    <row r="1202" spans="1:4" x14ac:dyDescent="0.25">
      <c r="A1202" s="1"/>
      <c r="B1202" s="1"/>
      <c r="C1202" s="1"/>
      <c r="D1202" s="1"/>
    </row>
    <row r="1203" spans="1:4" x14ac:dyDescent="0.25">
      <c r="A1203" s="1"/>
      <c r="B1203" s="1"/>
      <c r="C1203" s="1"/>
      <c r="D1203" s="1"/>
    </row>
    <row r="1204" spans="1:4" x14ac:dyDescent="0.25">
      <c r="A1204" s="1"/>
      <c r="B1204" s="1"/>
      <c r="C1204" s="1"/>
      <c r="D1204" s="1"/>
    </row>
    <row r="1205" spans="1:4" x14ac:dyDescent="0.25">
      <c r="A1205" s="1"/>
      <c r="B1205" s="1"/>
      <c r="C1205" s="1"/>
      <c r="D1205" s="1"/>
    </row>
    <row r="1206" spans="1:4" x14ac:dyDescent="0.25">
      <c r="A1206" s="1"/>
      <c r="B1206" s="1"/>
      <c r="C1206" s="1"/>
      <c r="D1206" s="1"/>
    </row>
    <row r="1207" spans="1:4" x14ac:dyDescent="0.25">
      <c r="A1207" s="1"/>
      <c r="B1207" s="1"/>
      <c r="C1207" s="1"/>
      <c r="D1207" s="1"/>
    </row>
    <row r="1208" spans="1:4" x14ac:dyDescent="0.25">
      <c r="A1208" s="1"/>
      <c r="B1208" s="1"/>
      <c r="C1208" s="1"/>
      <c r="D1208" s="1"/>
    </row>
    <row r="1209" spans="1:4" x14ac:dyDescent="0.25">
      <c r="A1209" s="1"/>
      <c r="B1209" s="1"/>
      <c r="C1209" s="1"/>
      <c r="D1209" s="1"/>
    </row>
    <row r="1210" spans="1:4" x14ac:dyDescent="0.25">
      <c r="A1210" s="1"/>
      <c r="B1210" s="1"/>
      <c r="C1210" s="1"/>
      <c r="D1210" s="1"/>
    </row>
    <row r="1211" spans="1:4" x14ac:dyDescent="0.25">
      <c r="A1211" s="1"/>
      <c r="B1211" s="1"/>
      <c r="C1211" s="1"/>
      <c r="D1211" s="1"/>
    </row>
    <row r="1212" spans="1:4" x14ac:dyDescent="0.25">
      <c r="A1212" s="1"/>
      <c r="B1212" s="1"/>
      <c r="C1212" s="1"/>
      <c r="D1212" s="1"/>
    </row>
    <row r="1213" spans="1:4" x14ac:dyDescent="0.25">
      <c r="A1213" s="1"/>
      <c r="B1213" s="1"/>
      <c r="C1213" s="1"/>
      <c r="D1213" s="1"/>
    </row>
    <row r="1214" spans="1:4" x14ac:dyDescent="0.25">
      <c r="A1214" s="1"/>
      <c r="B1214" s="1"/>
      <c r="C1214" s="1"/>
      <c r="D1214" s="1"/>
    </row>
    <row r="1215" spans="1:4" x14ac:dyDescent="0.25">
      <c r="A1215" s="1"/>
      <c r="B1215" s="1"/>
      <c r="C1215" s="1"/>
      <c r="D1215" s="1"/>
    </row>
    <row r="1216" spans="1:4" x14ac:dyDescent="0.25">
      <c r="A1216" s="1"/>
      <c r="B1216" s="1"/>
      <c r="C1216" s="1"/>
      <c r="D1216" s="1"/>
    </row>
    <row r="1217" spans="1:4" x14ac:dyDescent="0.25">
      <c r="A1217" s="1"/>
      <c r="B1217" s="1"/>
      <c r="C1217" s="1"/>
      <c r="D1217" s="1"/>
    </row>
    <row r="1218" spans="1:4" x14ac:dyDescent="0.25">
      <c r="A1218" s="1"/>
      <c r="B1218" s="1"/>
      <c r="C1218" s="1"/>
      <c r="D1218" s="1"/>
    </row>
    <row r="1219" spans="1:4" x14ac:dyDescent="0.25">
      <c r="A1219" s="1"/>
      <c r="B1219" s="1"/>
      <c r="C1219" s="1"/>
      <c r="D1219" s="1"/>
    </row>
    <row r="1220" spans="1:4" x14ac:dyDescent="0.25">
      <c r="A1220" s="1"/>
      <c r="B1220" s="1"/>
      <c r="C1220" s="1"/>
      <c r="D1220" s="1"/>
    </row>
    <row r="1221" spans="1:4" x14ac:dyDescent="0.25">
      <c r="A1221" s="1"/>
      <c r="B1221" s="1"/>
      <c r="C1221" s="1"/>
      <c r="D1221" s="1"/>
    </row>
    <row r="1222" spans="1:4" x14ac:dyDescent="0.25">
      <c r="A1222" s="1"/>
      <c r="B1222" s="1"/>
      <c r="C1222" s="1"/>
      <c r="D1222" s="1"/>
    </row>
    <row r="1223" spans="1:4" x14ac:dyDescent="0.25">
      <c r="A1223" s="1"/>
      <c r="B1223" s="1"/>
      <c r="C1223" s="1"/>
      <c r="D1223" s="1"/>
    </row>
    <row r="1224" spans="1:4" x14ac:dyDescent="0.25">
      <c r="A1224" s="1"/>
      <c r="B1224" s="1"/>
      <c r="C1224" s="1"/>
      <c r="D1224" s="1"/>
    </row>
    <row r="1225" spans="1:4" x14ac:dyDescent="0.25">
      <c r="A1225" s="1"/>
      <c r="B1225" s="1"/>
      <c r="C1225" s="1"/>
      <c r="D1225" s="1"/>
    </row>
    <row r="1226" spans="1:4" x14ac:dyDescent="0.25">
      <c r="A1226" s="1"/>
      <c r="B1226" s="1"/>
      <c r="C1226" s="1"/>
      <c r="D1226" s="1"/>
    </row>
    <row r="1227" spans="1:4" x14ac:dyDescent="0.25">
      <c r="A1227" s="1"/>
      <c r="B1227" s="1"/>
      <c r="C1227" s="1"/>
      <c r="D1227" s="1"/>
    </row>
    <row r="1228" spans="1:4" x14ac:dyDescent="0.25">
      <c r="A1228" s="1"/>
      <c r="B1228" s="1"/>
      <c r="C1228" s="1"/>
      <c r="D1228" s="1"/>
    </row>
    <row r="1229" spans="1:4" x14ac:dyDescent="0.25">
      <c r="A1229" s="1"/>
      <c r="B1229" s="1"/>
      <c r="C1229" s="1"/>
      <c r="D1229" s="1"/>
    </row>
    <row r="1230" spans="1:4" x14ac:dyDescent="0.25">
      <c r="A1230" s="1"/>
      <c r="B1230" s="1"/>
      <c r="C1230" s="1"/>
      <c r="D1230" s="1"/>
    </row>
    <row r="1231" spans="1:4" x14ac:dyDescent="0.25">
      <c r="A1231" s="1"/>
      <c r="B1231" s="1"/>
      <c r="C1231" s="1"/>
      <c r="D1231" s="1"/>
    </row>
    <row r="1232" spans="1:4" x14ac:dyDescent="0.25">
      <c r="A1232" s="1"/>
      <c r="B1232" s="1"/>
      <c r="C1232" s="1"/>
      <c r="D1232" s="1"/>
    </row>
    <row r="1233" spans="1:4" x14ac:dyDescent="0.25">
      <c r="A1233" s="1"/>
      <c r="B1233" s="1"/>
      <c r="C1233" s="1"/>
      <c r="D1233" s="1"/>
    </row>
    <row r="1234" spans="1:4" x14ac:dyDescent="0.25">
      <c r="A1234" s="1"/>
      <c r="B1234" s="1"/>
      <c r="C1234" s="1"/>
      <c r="D1234" s="1"/>
    </row>
    <row r="1235" spans="1:4" x14ac:dyDescent="0.25">
      <c r="A1235" s="1"/>
      <c r="B1235" s="1"/>
      <c r="C1235" s="1"/>
      <c r="D1235" s="1"/>
    </row>
    <row r="1236" spans="1:4" x14ac:dyDescent="0.25">
      <c r="A1236" s="1"/>
      <c r="B1236" s="1"/>
      <c r="C1236" s="1"/>
      <c r="D1236" s="1"/>
    </row>
    <row r="1237" spans="1:4" x14ac:dyDescent="0.25">
      <c r="A1237" s="1"/>
      <c r="B1237" s="1"/>
      <c r="C1237" s="1"/>
      <c r="D1237" s="1"/>
    </row>
    <row r="1238" spans="1:4" x14ac:dyDescent="0.25">
      <c r="A1238" s="1"/>
      <c r="B1238" s="1"/>
      <c r="C1238" s="1"/>
      <c r="D1238" s="1"/>
    </row>
    <row r="1239" spans="1:4" x14ac:dyDescent="0.25">
      <c r="A1239" s="1"/>
      <c r="B1239" s="1"/>
      <c r="C1239" s="1"/>
      <c r="D1239" s="1"/>
    </row>
    <row r="1240" spans="1:4" x14ac:dyDescent="0.25">
      <c r="A1240" s="1"/>
      <c r="B1240" s="1"/>
      <c r="C1240" s="1"/>
      <c r="D1240" s="1"/>
    </row>
    <row r="1241" spans="1:4" x14ac:dyDescent="0.25">
      <c r="A1241" s="1"/>
      <c r="B1241" s="1"/>
      <c r="C1241" s="1"/>
      <c r="D1241" s="1"/>
    </row>
    <row r="1242" spans="1:4" x14ac:dyDescent="0.25">
      <c r="A1242" s="1"/>
      <c r="B1242" s="1"/>
      <c r="C1242" s="1"/>
      <c r="D1242" s="1"/>
    </row>
    <row r="1243" spans="1:4" x14ac:dyDescent="0.25">
      <c r="A1243" s="1"/>
      <c r="B1243" s="1"/>
      <c r="C1243" s="1"/>
      <c r="D1243" s="1"/>
    </row>
    <row r="1244" spans="1:4" x14ac:dyDescent="0.25">
      <c r="A1244" s="1"/>
      <c r="B1244" s="1"/>
      <c r="C1244" s="1"/>
      <c r="D1244" s="1"/>
    </row>
    <row r="1245" spans="1:4" x14ac:dyDescent="0.25">
      <c r="A1245" s="1"/>
      <c r="B1245" s="1"/>
      <c r="C1245" s="1"/>
      <c r="D1245" s="1"/>
    </row>
    <row r="1246" spans="1:4" x14ac:dyDescent="0.25">
      <c r="A1246" s="1"/>
      <c r="B1246" s="1"/>
      <c r="C1246" s="1"/>
      <c r="D1246" s="1"/>
    </row>
    <row r="1247" spans="1:4" x14ac:dyDescent="0.25">
      <c r="A1247" s="1"/>
      <c r="B1247" s="1"/>
      <c r="C1247" s="1"/>
      <c r="D1247" s="1"/>
    </row>
    <row r="1248" spans="1:4" x14ac:dyDescent="0.25">
      <c r="A1248" s="1"/>
      <c r="B1248" s="1"/>
      <c r="C1248" s="1"/>
      <c r="D1248" s="1"/>
    </row>
    <row r="1249" spans="1:4" x14ac:dyDescent="0.25">
      <c r="A1249" s="1"/>
      <c r="B1249" s="1"/>
      <c r="C1249" s="1"/>
      <c r="D1249" s="1"/>
    </row>
    <row r="1250" spans="1:4" x14ac:dyDescent="0.25">
      <c r="A1250" s="1"/>
      <c r="B1250" s="1"/>
      <c r="C1250" s="1"/>
      <c r="D1250" s="1"/>
    </row>
    <row r="1251" spans="1:4" x14ac:dyDescent="0.25">
      <c r="A1251" s="1"/>
      <c r="B1251" s="1"/>
      <c r="C1251" s="1"/>
      <c r="D1251" s="1"/>
    </row>
    <row r="1252" spans="1:4" x14ac:dyDescent="0.25">
      <c r="A1252" s="1"/>
      <c r="B1252" s="1"/>
      <c r="C1252" s="1"/>
      <c r="D1252" s="1"/>
    </row>
    <row r="1253" spans="1:4" x14ac:dyDescent="0.25">
      <c r="A1253" s="1"/>
      <c r="B1253" s="1"/>
      <c r="C1253" s="1"/>
      <c r="D1253" s="1"/>
    </row>
    <row r="1254" spans="1:4" x14ac:dyDescent="0.25">
      <c r="A1254" s="1"/>
      <c r="B1254" s="1"/>
      <c r="C1254" s="1"/>
      <c r="D1254" s="1"/>
    </row>
    <row r="1255" spans="1:4" x14ac:dyDescent="0.25">
      <c r="A1255" s="1"/>
      <c r="B1255" s="1"/>
      <c r="C1255" s="1"/>
      <c r="D1255" s="1"/>
    </row>
    <row r="1256" spans="1:4" x14ac:dyDescent="0.25">
      <c r="A1256" s="1"/>
      <c r="B1256" s="1"/>
      <c r="C1256" s="1"/>
      <c r="D1256" s="1"/>
    </row>
    <row r="1257" spans="1:4" x14ac:dyDescent="0.25">
      <c r="A1257" s="1"/>
      <c r="B1257" s="1"/>
      <c r="C1257" s="1"/>
      <c r="D1257" s="1"/>
    </row>
    <row r="1258" spans="1:4" x14ac:dyDescent="0.25">
      <c r="A1258" s="1"/>
      <c r="B1258" s="1"/>
      <c r="C1258" s="1"/>
      <c r="D1258" s="1"/>
    </row>
    <row r="1259" spans="1:4" x14ac:dyDescent="0.25">
      <c r="A1259" s="1"/>
      <c r="B1259" s="1"/>
      <c r="C1259" s="1"/>
      <c r="D1259" s="1"/>
    </row>
    <row r="1260" spans="1:4" x14ac:dyDescent="0.25">
      <c r="A1260" s="1"/>
      <c r="B1260" s="1"/>
      <c r="C1260" s="1"/>
      <c r="D1260" s="1"/>
    </row>
    <row r="1261" spans="1:4" x14ac:dyDescent="0.25">
      <c r="A1261" s="1"/>
      <c r="B1261" s="1"/>
      <c r="C1261" s="1"/>
      <c r="D1261" s="1"/>
    </row>
    <row r="1262" spans="1:4" x14ac:dyDescent="0.25">
      <c r="A1262" s="1"/>
      <c r="B1262" s="1"/>
      <c r="C1262" s="1"/>
      <c r="D1262" s="1"/>
    </row>
    <row r="1263" spans="1:4" x14ac:dyDescent="0.25">
      <c r="A1263" s="1"/>
      <c r="B1263" s="1"/>
      <c r="C1263" s="1"/>
      <c r="D1263" s="1"/>
    </row>
    <row r="1264" spans="1:4" x14ac:dyDescent="0.25">
      <c r="A1264" s="1"/>
      <c r="B1264" s="1"/>
      <c r="C1264" s="1"/>
      <c r="D1264" s="1"/>
    </row>
    <row r="1265" spans="1:4" x14ac:dyDescent="0.25">
      <c r="A1265" s="1"/>
      <c r="B1265" s="1"/>
      <c r="C1265" s="1"/>
      <c r="D1265" s="1"/>
    </row>
    <row r="1266" spans="1:4" x14ac:dyDescent="0.25">
      <c r="A1266" s="1"/>
      <c r="B1266" s="1"/>
      <c r="C1266" s="1"/>
      <c r="D1266" s="1"/>
    </row>
    <row r="1267" spans="1:4" x14ac:dyDescent="0.25">
      <c r="A1267" s="1"/>
      <c r="B1267" s="1"/>
      <c r="C1267" s="1"/>
      <c r="D1267" s="1"/>
    </row>
    <row r="1268" spans="1:4" x14ac:dyDescent="0.25">
      <c r="A1268" s="1"/>
      <c r="B1268" s="1"/>
      <c r="C1268" s="1"/>
      <c r="D1268" s="1"/>
    </row>
    <row r="1269" spans="1:4" x14ac:dyDescent="0.25">
      <c r="A1269" s="1"/>
      <c r="B1269" s="1"/>
      <c r="C1269" s="1"/>
      <c r="D1269" s="1"/>
    </row>
    <row r="1270" spans="1:4" x14ac:dyDescent="0.25">
      <c r="A1270" s="1"/>
      <c r="B1270" s="1"/>
      <c r="C1270" s="1"/>
      <c r="D1270" s="1"/>
    </row>
    <row r="1271" spans="1:4" x14ac:dyDescent="0.25">
      <c r="A1271" s="1"/>
      <c r="B1271" s="1"/>
      <c r="C1271" s="1"/>
      <c r="D1271" s="1"/>
    </row>
    <row r="1272" spans="1:4" x14ac:dyDescent="0.25">
      <c r="A1272" s="1"/>
      <c r="B1272" s="1"/>
      <c r="C1272" s="1"/>
      <c r="D1272" s="1"/>
    </row>
    <row r="1273" spans="1:4" x14ac:dyDescent="0.25">
      <c r="A1273" s="1"/>
      <c r="B1273" s="1"/>
      <c r="C1273" s="1"/>
      <c r="D1273" s="1"/>
    </row>
    <row r="1274" spans="1:4" x14ac:dyDescent="0.25">
      <c r="A1274" s="1"/>
      <c r="B1274" s="1"/>
      <c r="C1274" s="1"/>
      <c r="D1274" s="1"/>
    </row>
    <row r="1275" spans="1:4" x14ac:dyDescent="0.25">
      <c r="A1275" s="1"/>
      <c r="B1275" s="1"/>
      <c r="C1275" s="1"/>
      <c r="D1275" s="1"/>
    </row>
    <row r="1276" spans="1:4" x14ac:dyDescent="0.25">
      <c r="A1276" s="1"/>
      <c r="B1276" s="1"/>
      <c r="C1276" s="1"/>
      <c r="D1276" s="1"/>
    </row>
    <row r="1277" spans="1:4" x14ac:dyDescent="0.25">
      <c r="A1277" s="1"/>
      <c r="B1277" s="1"/>
      <c r="C1277" s="1"/>
      <c r="D1277" s="1"/>
    </row>
    <row r="1278" spans="1:4" x14ac:dyDescent="0.25">
      <c r="A1278" s="1"/>
      <c r="B1278" s="1"/>
      <c r="C1278" s="1"/>
      <c r="D1278" s="1"/>
    </row>
    <row r="1279" spans="1:4" x14ac:dyDescent="0.25">
      <c r="A1279" s="1"/>
      <c r="B1279" s="1"/>
      <c r="C1279" s="1"/>
      <c r="D1279" s="1"/>
    </row>
    <row r="1280" spans="1:4" x14ac:dyDescent="0.25">
      <c r="A1280" s="1"/>
      <c r="B1280" s="1"/>
      <c r="C1280" s="1"/>
      <c r="D1280" s="1"/>
    </row>
    <row r="1281" spans="1:4" x14ac:dyDescent="0.25">
      <c r="A1281" s="1"/>
      <c r="B1281" s="1"/>
      <c r="C1281" s="1"/>
      <c r="D1281" s="1"/>
    </row>
    <row r="1282" spans="1:4" x14ac:dyDescent="0.25">
      <c r="A1282" s="1"/>
      <c r="B1282" s="1"/>
      <c r="C1282" s="1"/>
      <c r="D1282" s="1"/>
    </row>
    <row r="1283" spans="1:4" x14ac:dyDescent="0.25">
      <c r="A1283" s="1"/>
      <c r="B1283" s="1"/>
      <c r="C1283" s="1"/>
      <c r="D1283" s="1"/>
    </row>
    <row r="1284" spans="1:4" x14ac:dyDescent="0.25">
      <c r="A1284" s="1"/>
      <c r="B1284" s="1"/>
      <c r="C1284" s="1"/>
      <c r="D1284" s="1"/>
    </row>
    <row r="1285" spans="1:4" x14ac:dyDescent="0.25">
      <c r="A1285" s="1"/>
      <c r="B1285" s="1"/>
      <c r="C1285" s="1"/>
      <c r="D1285" s="1"/>
    </row>
    <row r="1286" spans="1:4" x14ac:dyDescent="0.25">
      <c r="A1286" s="1"/>
      <c r="B1286" s="1"/>
      <c r="C1286" s="1"/>
      <c r="D1286" s="1"/>
    </row>
    <row r="1287" spans="1:4" x14ac:dyDescent="0.25">
      <c r="A1287" s="1"/>
      <c r="B1287" s="1"/>
      <c r="C1287" s="1"/>
      <c r="D1287" s="1"/>
    </row>
    <row r="1288" spans="1:4" x14ac:dyDescent="0.25">
      <c r="A1288" s="1"/>
      <c r="B1288" s="1"/>
      <c r="C1288" s="1"/>
      <c r="D1288" s="1"/>
    </row>
    <row r="1289" spans="1:4" x14ac:dyDescent="0.25">
      <c r="A1289" s="1"/>
      <c r="B1289" s="1"/>
      <c r="C1289" s="1"/>
      <c r="D1289" s="1"/>
    </row>
    <row r="1290" spans="1:4" x14ac:dyDescent="0.25">
      <c r="A1290" s="1"/>
      <c r="B1290" s="1"/>
      <c r="C1290" s="1"/>
      <c r="D1290" s="1"/>
    </row>
    <row r="1291" spans="1:4" x14ac:dyDescent="0.25">
      <c r="A1291" s="1"/>
      <c r="B1291" s="1"/>
      <c r="C1291" s="1"/>
      <c r="D1291" s="1"/>
    </row>
    <row r="1292" spans="1:4" x14ac:dyDescent="0.25">
      <c r="A1292" s="1"/>
      <c r="B1292" s="1"/>
      <c r="C1292" s="1"/>
      <c r="D1292" s="1"/>
    </row>
    <row r="1293" spans="1:4" x14ac:dyDescent="0.25">
      <c r="A1293" s="1"/>
      <c r="B1293" s="1"/>
      <c r="C1293" s="1"/>
      <c r="D1293" s="1"/>
    </row>
    <row r="1294" spans="1:4" x14ac:dyDescent="0.25">
      <c r="A1294" s="1"/>
      <c r="B1294" s="1"/>
      <c r="C1294" s="1"/>
      <c r="D1294" s="1"/>
    </row>
    <row r="1295" spans="1:4" x14ac:dyDescent="0.25">
      <c r="A1295" s="1"/>
      <c r="B1295" s="1"/>
      <c r="C1295" s="1"/>
      <c r="D1295" s="1"/>
    </row>
    <row r="1296" spans="1:4" x14ac:dyDescent="0.25">
      <c r="A1296" s="1"/>
      <c r="B1296" s="1"/>
      <c r="C1296" s="1"/>
      <c r="D1296" s="1"/>
    </row>
    <row r="1297" spans="1:4" x14ac:dyDescent="0.25">
      <c r="A1297" s="1"/>
      <c r="B1297" s="1"/>
      <c r="C1297" s="1"/>
      <c r="D1297" s="1"/>
    </row>
    <row r="1298" spans="1:4" x14ac:dyDescent="0.25">
      <c r="A1298" s="1"/>
      <c r="B1298" s="1"/>
      <c r="C1298" s="1"/>
      <c r="D1298" s="1"/>
    </row>
    <row r="1299" spans="1:4" x14ac:dyDescent="0.25">
      <c r="A1299" s="1"/>
      <c r="B1299" s="1"/>
      <c r="C1299" s="1"/>
      <c r="D1299" s="1"/>
    </row>
    <row r="1300" spans="1:4" x14ac:dyDescent="0.25">
      <c r="A1300" s="1"/>
      <c r="B1300" s="1"/>
      <c r="C1300" s="1"/>
      <c r="D1300" s="1"/>
    </row>
    <row r="1301" spans="1:4" x14ac:dyDescent="0.25">
      <c r="A1301" s="1"/>
      <c r="B1301" s="1"/>
      <c r="C1301" s="1"/>
      <c r="D1301" s="1"/>
    </row>
    <row r="1302" spans="1:4" x14ac:dyDescent="0.25">
      <c r="A1302" s="1"/>
      <c r="B1302" s="1"/>
      <c r="C1302" s="1"/>
      <c r="D1302" s="1"/>
    </row>
    <row r="1303" spans="1:4" x14ac:dyDescent="0.25">
      <c r="A1303" s="1"/>
      <c r="B1303" s="1"/>
      <c r="C1303" s="1"/>
      <c r="D1303" s="1"/>
    </row>
    <row r="1304" spans="1:4" x14ac:dyDescent="0.25">
      <c r="A1304" s="1"/>
      <c r="B1304" s="1"/>
      <c r="C1304" s="1"/>
      <c r="D1304" s="1"/>
    </row>
    <row r="1305" spans="1:4" x14ac:dyDescent="0.25">
      <c r="A1305" s="1"/>
      <c r="B1305" s="1"/>
      <c r="C1305" s="1"/>
      <c r="D1305" s="1"/>
    </row>
    <row r="1306" spans="1:4" x14ac:dyDescent="0.25">
      <c r="A1306" s="1"/>
      <c r="B1306" s="1"/>
      <c r="C1306" s="1"/>
      <c r="D1306" s="1"/>
    </row>
    <row r="1307" spans="1:4" x14ac:dyDescent="0.25">
      <c r="A1307" s="1"/>
      <c r="B1307" s="1"/>
      <c r="C1307" s="1"/>
      <c r="D1307" s="1"/>
    </row>
    <row r="1308" spans="1:4" x14ac:dyDescent="0.25">
      <c r="A1308" s="1"/>
      <c r="B1308" s="1"/>
      <c r="C1308" s="1"/>
      <c r="D1308" s="1"/>
    </row>
    <row r="1309" spans="1:4" x14ac:dyDescent="0.25">
      <c r="A1309" s="1"/>
      <c r="B1309" s="1"/>
      <c r="C1309" s="1"/>
      <c r="D1309" s="1"/>
    </row>
    <row r="1310" spans="1:4" x14ac:dyDescent="0.25">
      <c r="A1310" s="1"/>
      <c r="B1310" s="1"/>
      <c r="C1310" s="1"/>
      <c r="D1310" s="1"/>
    </row>
    <row r="1311" spans="1:4" x14ac:dyDescent="0.25">
      <c r="A1311" s="1"/>
      <c r="B1311" s="1"/>
      <c r="C1311" s="1"/>
      <c r="D1311" s="1"/>
    </row>
    <row r="1312" spans="1:4" x14ac:dyDescent="0.25">
      <c r="A1312" s="1"/>
      <c r="B1312" s="1"/>
      <c r="C1312" s="1"/>
      <c r="D1312" s="1"/>
    </row>
    <row r="1313" spans="1:4" x14ac:dyDescent="0.25">
      <c r="A1313" s="1"/>
      <c r="B1313" s="1"/>
      <c r="C1313" s="1"/>
      <c r="D1313" s="1"/>
    </row>
    <row r="1314" spans="1:4" x14ac:dyDescent="0.25">
      <c r="A1314" s="1"/>
      <c r="B1314" s="1"/>
      <c r="C1314" s="1"/>
      <c r="D1314" s="1"/>
    </row>
    <row r="1315" spans="1:4" x14ac:dyDescent="0.25">
      <c r="A1315" s="1"/>
      <c r="B1315" s="1"/>
      <c r="C1315" s="1"/>
      <c r="D1315" s="1"/>
    </row>
    <row r="1316" spans="1:4" x14ac:dyDescent="0.25">
      <c r="A1316" s="1"/>
      <c r="B1316" s="1"/>
      <c r="C1316" s="1"/>
      <c r="D1316" s="1"/>
    </row>
    <row r="1317" spans="1:4" x14ac:dyDescent="0.25">
      <c r="A1317" s="1"/>
      <c r="B1317" s="1"/>
      <c r="C1317" s="1"/>
      <c r="D1317" s="1"/>
    </row>
    <row r="1318" spans="1:4" x14ac:dyDescent="0.25">
      <c r="A1318" s="1"/>
      <c r="B1318" s="1"/>
      <c r="C1318" s="1"/>
      <c r="D1318" s="1"/>
    </row>
    <row r="1319" spans="1:4" x14ac:dyDescent="0.25">
      <c r="A1319" s="1"/>
      <c r="B1319" s="1"/>
      <c r="C1319" s="1"/>
      <c r="D1319" s="1"/>
    </row>
    <row r="1320" spans="1:4" x14ac:dyDescent="0.25">
      <c r="A1320" s="1"/>
      <c r="B1320" s="1"/>
      <c r="C1320" s="1"/>
      <c r="D1320" s="1"/>
    </row>
    <row r="1321" spans="1:4" x14ac:dyDescent="0.25">
      <c r="A1321" s="1"/>
      <c r="B1321" s="1"/>
      <c r="C1321" s="1"/>
      <c r="D1321" s="1"/>
    </row>
    <row r="1322" spans="1:4" x14ac:dyDescent="0.25">
      <c r="A1322" s="1"/>
      <c r="B1322" s="1"/>
      <c r="C1322" s="1"/>
      <c r="D1322" s="1"/>
    </row>
    <row r="1323" spans="1:4" x14ac:dyDescent="0.25">
      <c r="A1323" s="1"/>
      <c r="B1323" s="1"/>
      <c r="C1323" s="1"/>
      <c r="D1323" s="1"/>
    </row>
    <row r="1324" spans="1:4" x14ac:dyDescent="0.25">
      <c r="A1324" s="1"/>
      <c r="B1324" s="1"/>
      <c r="C1324" s="1"/>
      <c r="D1324" s="1"/>
    </row>
    <row r="1325" spans="1:4" x14ac:dyDescent="0.25">
      <c r="A1325" s="1"/>
      <c r="B1325" s="1"/>
      <c r="C1325" s="1"/>
      <c r="D1325" s="1"/>
    </row>
    <row r="1326" spans="1:4" x14ac:dyDescent="0.25">
      <c r="A1326" s="1"/>
      <c r="B1326" s="1"/>
      <c r="C1326" s="1"/>
      <c r="D1326" s="1"/>
    </row>
    <row r="1327" spans="1:4" x14ac:dyDescent="0.25">
      <c r="A1327" s="1"/>
      <c r="B1327" s="1"/>
      <c r="C1327" s="1"/>
      <c r="D1327" s="1"/>
    </row>
    <row r="1328" spans="1:4" x14ac:dyDescent="0.25">
      <c r="A1328" s="1"/>
      <c r="B1328" s="1"/>
      <c r="C1328" s="1"/>
      <c r="D1328" s="1"/>
    </row>
    <row r="1329" spans="1:4" x14ac:dyDescent="0.25">
      <c r="A1329" s="1"/>
      <c r="B1329" s="1"/>
      <c r="C1329" s="1"/>
      <c r="D1329" s="1"/>
    </row>
    <row r="1330" spans="1:4" x14ac:dyDescent="0.25">
      <c r="A1330" s="1"/>
      <c r="B1330" s="1"/>
      <c r="C1330" s="1"/>
      <c r="D1330" s="1"/>
    </row>
    <row r="1331" spans="1:4" x14ac:dyDescent="0.25">
      <c r="A1331" s="1"/>
      <c r="B1331" s="1"/>
      <c r="C1331" s="1"/>
      <c r="D1331" s="1"/>
    </row>
    <row r="1332" spans="1:4" x14ac:dyDescent="0.25">
      <c r="A1332" s="1"/>
      <c r="B1332" s="1"/>
      <c r="C1332" s="1"/>
      <c r="D1332" s="1"/>
    </row>
    <row r="1333" spans="1:4" x14ac:dyDescent="0.25">
      <c r="A1333" s="1"/>
      <c r="B1333" s="1"/>
      <c r="C1333" s="1"/>
      <c r="D1333" s="1"/>
    </row>
    <row r="1334" spans="1:4" x14ac:dyDescent="0.25">
      <c r="A1334" s="1"/>
      <c r="B1334" s="1"/>
      <c r="C1334" s="1"/>
      <c r="D1334" s="1"/>
    </row>
    <row r="1335" spans="1:4" x14ac:dyDescent="0.25">
      <c r="A1335" s="1"/>
      <c r="B1335" s="1"/>
      <c r="C1335" s="1"/>
      <c r="D1335" s="1"/>
    </row>
    <row r="1336" spans="1:4" x14ac:dyDescent="0.25">
      <c r="A1336" s="1"/>
      <c r="B1336" s="1"/>
      <c r="C1336" s="1"/>
      <c r="D1336" s="1"/>
    </row>
    <row r="1337" spans="1:4" x14ac:dyDescent="0.25">
      <c r="A1337" s="1"/>
      <c r="B1337" s="1"/>
      <c r="C1337" s="1"/>
      <c r="D1337" s="1"/>
    </row>
    <row r="1338" spans="1:4" x14ac:dyDescent="0.25">
      <c r="A1338" s="1"/>
      <c r="B1338" s="1"/>
      <c r="C1338" s="1"/>
      <c r="D1338" s="1"/>
    </row>
    <row r="1339" spans="1:4" x14ac:dyDescent="0.25">
      <c r="A1339" s="1"/>
      <c r="B1339" s="1"/>
      <c r="C1339" s="1"/>
      <c r="D1339" s="1"/>
    </row>
    <row r="1340" spans="1:4" x14ac:dyDescent="0.25">
      <c r="A1340" s="1"/>
      <c r="B1340" s="1"/>
      <c r="C1340" s="1"/>
      <c r="D1340" s="1"/>
    </row>
    <row r="1341" spans="1:4" x14ac:dyDescent="0.25">
      <c r="A1341" s="1"/>
      <c r="B1341" s="1"/>
      <c r="C1341" s="1"/>
      <c r="D1341" s="1"/>
    </row>
    <row r="1342" spans="1:4" x14ac:dyDescent="0.25">
      <c r="A1342" s="1"/>
      <c r="B1342" s="1"/>
      <c r="C1342" s="1"/>
      <c r="D1342" s="1"/>
    </row>
    <row r="1343" spans="1:4" x14ac:dyDescent="0.25">
      <c r="A1343" s="1"/>
      <c r="B1343" s="1"/>
      <c r="C1343" s="1"/>
      <c r="D1343" s="1"/>
    </row>
    <row r="1344" spans="1:4" x14ac:dyDescent="0.25">
      <c r="A1344" s="1"/>
      <c r="B1344" s="1"/>
      <c r="C1344" s="1"/>
      <c r="D1344" s="1"/>
    </row>
    <row r="1345" spans="1:4" x14ac:dyDescent="0.25">
      <c r="A1345" s="1"/>
      <c r="B1345" s="1"/>
      <c r="C1345" s="1"/>
      <c r="D1345" s="1"/>
    </row>
    <row r="1346" spans="1:4" x14ac:dyDescent="0.25">
      <c r="A1346" s="1"/>
      <c r="B1346" s="1"/>
      <c r="C1346" s="1"/>
      <c r="D1346" s="1"/>
    </row>
    <row r="1347" spans="1:4" x14ac:dyDescent="0.25">
      <c r="A1347" s="1"/>
      <c r="B1347" s="1"/>
      <c r="C1347" s="1"/>
      <c r="D1347" s="1"/>
    </row>
    <row r="1348" spans="1:4" x14ac:dyDescent="0.25">
      <c r="A1348" s="1"/>
      <c r="B1348" s="1"/>
      <c r="C1348" s="1"/>
      <c r="D1348" s="1"/>
    </row>
    <row r="1349" spans="1:4" x14ac:dyDescent="0.25">
      <c r="A1349" s="1"/>
      <c r="B1349" s="1"/>
      <c r="C1349" s="1"/>
      <c r="D1349" s="1"/>
    </row>
    <row r="1350" spans="1:4" x14ac:dyDescent="0.25">
      <c r="A1350" s="1"/>
      <c r="B1350" s="1"/>
      <c r="C1350" s="1"/>
      <c r="D1350" s="1"/>
    </row>
    <row r="1351" spans="1:4" x14ac:dyDescent="0.25">
      <c r="A1351" s="1"/>
      <c r="B1351" s="1"/>
      <c r="C1351" s="1"/>
      <c r="D1351" s="1"/>
    </row>
    <row r="1352" spans="1:4" x14ac:dyDescent="0.25">
      <c r="A1352" s="1"/>
      <c r="B1352" s="1"/>
      <c r="C1352" s="1"/>
      <c r="D1352" s="1"/>
    </row>
    <row r="1353" spans="1:4" x14ac:dyDescent="0.25">
      <c r="A1353" s="1"/>
      <c r="B1353" s="1"/>
      <c r="C1353" s="1"/>
      <c r="D1353" s="1"/>
    </row>
    <row r="1354" spans="1:4" x14ac:dyDescent="0.25">
      <c r="A1354" s="1"/>
      <c r="B1354" s="1"/>
      <c r="C1354" s="1"/>
      <c r="D1354" s="1"/>
    </row>
    <row r="1355" spans="1:4" x14ac:dyDescent="0.25">
      <c r="A1355" s="1"/>
      <c r="B1355" s="1"/>
      <c r="C1355" s="1"/>
      <c r="D1355" s="1"/>
    </row>
    <row r="1356" spans="1:4" x14ac:dyDescent="0.25">
      <c r="A1356" s="1"/>
      <c r="B1356" s="1"/>
      <c r="C1356" s="1"/>
      <c r="D1356" s="1"/>
    </row>
    <row r="1357" spans="1:4" x14ac:dyDescent="0.25">
      <c r="A1357" s="1"/>
      <c r="B1357" s="1"/>
      <c r="C1357" s="1"/>
      <c r="D1357" s="1"/>
    </row>
    <row r="1358" spans="1:4" x14ac:dyDescent="0.25">
      <c r="A1358" s="1"/>
      <c r="B1358" s="1"/>
      <c r="C1358" s="1"/>
      <c r="D1358" s="1"/>
    </row>
    <row r="1359" spans="1:4" x14ac:dyDescent="0.25">
      <c r="A1359" s="1"/>
      <c r="B1359" s="1"/>
      <c r="C1359" s="1"/>
      <c r="D1359" s="1"/>
    </row>
    <row r="1360" spans="1:4" x14ac:dyDescent="0.25">
      <c r="A1360" s="1"/>
      <c r="B1360" s="1"/>
      <c r="C1360" s="1"/>
      <c r="D1360" s="1"/>
    </row>
    <row r="1361" spans="1:4" x14ac:dyDescent="0.25">
      <c r="A1361" s="1"/>
      <c r="B1361" s="1"/>
      <c r="C1361" s="1"/>
      <c r="D1361" s="1"/>
    </row>
    <row r="1362" spans="1:4" x14ac:dyDescent="0.25">
      <c r="A1362" s="1"/>
      <c r="B1362" s="1"/>
      <c r="C1362" s="1"/>
      <c r="D1362" s="1"/>
    </row>
    <row r="1363" spans="1:4" x14ac:dyDescent="0.25">
      <c r="A1363" s="1"/>
      <c r="B1363" s="1"/>
      <c r="C1363" s="1"/>
      <c r="D1363" s="1"/>
    </row>
    <row r="1364" spans="1:4" x14ac:dyDescent="0.25">
      <c r="A1364" s="1"/>
      <c r="B1364" s="1"/>
      <c r="C1364" s="1"/>
      <c r="D1364" s="1"/>
    </row>
    <row r="1365" spans="1:4" x14ac:dyDescent="0.25">
      <c r="A1365" s="1"/>
      <c r="B1365" s="1"/>
      <c r="C1365" s="1"/>
      <c r="D1365" s="1"/>
    </row>
    <row r="1366" spans="1:4" x14ac:dyDescent="0.25">
      <c r="A1366" s="1"/>
      <c r="B1366" s="1"/>
      <c r="C1366" s="1"/>
      <c r="D1366" s="1"/>
    </row>
    <row r="1367" spans="1:4" x14ac:dyDescent="0.25">
      <c r="A1367" s="1"/>
      <c r="B1367" s="1"/>
      <c r="C1367" s="1"/>
      <c r="D1367" s="1"/>
    </row>
    <row r="1368" spans="1:4" x14ac:dyDescent="0.25">
      <c r="A1368" s="1"/>
      <c r="B1368" s="1"/>
      <c r="C1368" s="1"/>
      <c r="D1368" s="1"/>
    </row>
    <row r="1369" spans="1:4" x14ac:dyDescent="0.25">
      <c r="A1369" s="1"/>
      <c r="B1369" s="1"/>
      <c r="C1369" s="1"/>
      <c r="D1369" s="1"/>
    </row>
    <row r="1370" spans="1:4" x14ac:dyDescent="0.25">
      <c r="A1370" s="1"/>
      <c r="B1370" s="1"/>
      <c r="C1370" s="1"/>
      <c r="D1370" s="1"/>
    </row>
    <row r="1371" spans="1:4" x14ac:dyDescent="0.25">
      <c r="A1371" s="1"/>
      <c r="B1371" s="1"/>
      <c r="C1371" s="1"/>
      <c r="D1371" s="1"/>
    </row>
    <row r="1372" spans="1:4" x14ac:dyDescent="0.25">
      <c r="A1372" s="1"/>
      <c r="B1372" s="1"/>
      <c r="C1372" s="1"/>
      <c r="D1372" s="1"/>
    </row>
    <row r="1373" spans="1:4" x14ac:dyDescent="0.25">
      <c r="A1373" s="1"/>
      <c r="B1373" s="1"/>
      <c r="C1373" s="1"/>
      <c r="D1373" s="1"/>
    </row>
    <row r="1374" spans="1:4" x14ac:dyDescent="0.25">
      <c r="A1374" s="1"/>
      <c r="B1374" s="1"/>
      <c r="C1374" s="1"/>
      <c r="D1374" s="1"/>
    </row>
    <row r="1375" spans="1:4" x14ac:dyDescent="0.25">
      <c r="A1375" s="1"/>
      <c r="B1375" s="1"/>
      <c r="C1375" s="1"/>
      <c r="D1375" s="1"/>
    </row>
    <row r="1376" spans="1:4" x14ac:dyDescent="0.25">
      <c r="A1376" s="1"/>
      <c r="B1376" s="1"/>
      <c r="C1376" s="1"/>
      <c r="D1376" s="1"/>
    </row>
    <row r="1377" spans="1:4" x14ac:dyDescent="0.25">
      <c r="A1377" s="1"/>
      <c r="B1377" s="1"/>
      <c r="C1377" s="1"/>
      <c r="D1377" s="1"/>
    </row>
    <row r="1378" spans="1:4" x14ac:dyDescent="0.25">
      <c r="A1378" s="1"/>
      <c r="B1378" s="1"/>
      <c r="C1378" s="1"/>
      <c r="D1378" s="1"/>
    </row>
    <row r="1379" spans="1:4" x14ac:dyDescent="0.25">
      <c r="A1379" s="1"/>
      <c r="B1379" s="1"/>
      <c r="C1379" s="1"/>
      <c r="D1379" s="1"/>
    </row>
    <row r="1380" spans="1:4" x14ac:dyDescent="0.25">
      <c r="A1380" s="1"/>
      <c r="B1380" s="1"/>
      <c r="C1380" s="1"/>
      <c r="D1380" s="1"/>
    </row>
    <row r="1381" spans="1:4" x14ac:dyDescent="0.25">
      <c r="A1381" s="1"/>
      <c r="B1381" s="1"/>
      <c r="C1381" s="1"/>
      <c r="D1381" s="1"/>
    </row>
    <row r="1382" spans="1:4" x14ac:dyDescent="0.25">
      <c r="A1382" s="1"/>
      <c r="B1382" s="1"/>
      <c r="C1382" s="1"/>
      <c r="D1382" s="1"/>
    </row>
    <row r="1383" spans="1:4" x14ac:dyDescent="0.25">
      <c r="A1383" s="1"/>
      <c r="B1383" s="1"/>
      <c r="C1383" s="1"/>
      <c r="D1383" s="1"/>
    </row>
    <row r="1384" spans="1:4" x14ac:dyDescent="0.25">
      <c r="A1384" s="1"/>
      <c r="B1384" s="1"/>
      <c r="C1384" s="1"/>
      <c r="D1384" s="1"/>
    </row>
    <row r="1385" spans="1:4" x14ac:dyDescent="0.25">
      <c r="A1385" s="1"/>
      <c r="B1385" s="1"/>
      <c r="C1385" s="1"/>
      <c r="D1385" s="1"/>
    </row>
    <row r="1386" spans="1:4" x14ac:dyDescent="0.25">
      <c r="A1386" s="1"/>
      <c r="B1386" s="1"/>
      <c r="C1386" s="1"/>
      <c r="D1386" s="1"/>
    </row>
    <row r="1387" spans="1:4" x14ac:dyDescent="0.25">
      <c r="A1387" s="1"/>
      <c r="B1387" s="1"/>
      <c r="C1387" s="1"/>
      <c r="D1387" s="1"/>
    </row>
    <row r="1388" spans="1:4" x14ac:dyDescent="0.25">
      <c r="A1388" s="1"/>
      <c r="B1388" s="1"/>
      <c r="C1388" s="1"/>
      <c r="D1388" s="1"/>
    </row>
    <row r="1389" spans="1:4" x14ac:dyDescent="0.25">
      <c r="A1389" s="1"/>
      <c r="B1389" s="1"/>
      <c r="C1389" s="1"/>
      <c r="D1389" s="1"/>
    </row>
    <row r="1390" spans="1:4" x14ac:dyDescent="0.25">
      <c r="A1390" s="1"/>
      <c r="B1390" s="1"/>
      <c r="C1390" s="1"/>
      <c r="D1390" s="1"/>
    </row>
    <row r="1391" spans="1:4" x14ac:dyDescent="0.25">
      <c r="A1391" s="1"/>
      <c r="B1391" s="1"/>
      <c r="C1391" s="1"/>
      <c r="D1391" s="1"/>
    </row>
    <row r="1392" spans="1:4" x14ac:dyDescent="0.25">
      <c r="A1392" s="1"/>
      <c r="B1392" s="1"/>
      <c r="C1392" s="1"/>
      <c r="D1392" s="1"/>
    </row>
    <row r="1393" spans="1:4" x14ac:dyDescent="0.25">
      <c r="A1393" s="1"/>
      <c r="B1393" s="1"/>
      <c r="C1393" s="1"/>
      <c r="D1393" s="1"/>
    </row>
    <row r="1394" spans="1:4" x14ac:dyDescent="0.25">
      <c r="A1394" s="1"/>
      <c r="B1394" s="1"/>
      <c r="C1394" s="1"/>
      <c r="D1394" s="1"/>
    </row>
    <row r="1395" spans="1:4" x14ac:dyDescent="0.25">
      <c r="A1395" s="1"/>
      <c r="B1395" s="1"/>
      <c r="C1395" s="1"/>
      <c r="D1395" s="1"/>
    </row>
    <row r="1396" spans="1:4" x14ac:dyDescent="0.25">
      <c r="A1396" s="1"/>
      <c r="B1396" s="1"/>
      <c r="C1396" s="1"/>
      <c r="D1396" s="1"/>
    </row>
    <row r="1397" spans="1:4" x14ac:dyDescent="0.25">
      <c r="A1397" s="1"/>
      <c r="B1397" s="1"/>
      <c r="C1397" s="1"/>
      <c r="D1397" s="1"/>
    </row>
    <row r="1398" spans="1:4" x14ac:dyDescent="0.25">
      <c r="A1398" s="1"/>
      <c r="B1398" s="1"/>
      <c r="C1398" s="1"/>
      <c r="D1398" s="1"/>
    </row>
    <row r="1399" spans="1:4" x14ac:dyDescent="0.25">
      <c r="A1399" s="1"/>
      <c r="B1399" s="1"/>
      <c r="C1399" s="1"/>
      <c r="D1399" s="1"/>
    </row>
    <row r="1400" spans="1:4" x14ac:dyDescent="0.25">
      <c r="A1400" s="1"/>
      <c r="B1400" s="1"/>
      <c r="C1400" s="1"/>
      <c r="D1400" s="1"/>
    </row>
    <row r="1401" spans="1:4" x14ac:dyDescent="0.25">
      <c r="A1401" s="1"/>
      <c r="B1401" s="1"/>
      <c r="C1401" s="1"/>
      <c r="D1401" s="1"/>
    </row>
    <row r="1402" spans="1:4" x14ac:dyDescent="0.25">
      <c r="A1402" s="1"/>
      <c r="B1402" s="1"/>
      <c r="C1402" s="1"/>
      <c r="D1402" s="1"/>
    </row>
    <row r="1403" spans="1:4" x14ac:dyDescent="0.25">
      <c r="A1403" s="1"/>
      <c r="B1403" s="1"/>
      <c r="C1403" s="1"/>
      <c r="D1403" s="1"/>
    </row>
    <row r="1404" spans="1:4" x14ac:dyDescent="0.25">
      <c r="A1404" s="1"/>
      <c r="B1404" s="1"/>
      <c r="C1404" s="1"/>
      <c r="D1404" s="1"/>
    </row>
    <row r="1405" spans="1:4" x14ac:dyDescent="0.25">
      <c r="A1405" s="1"/>
      <c r="B1405" s="1"/>
      <c r="C1405" s="1"/>
      <c r="D1405" s="1"/>
    </row>
    <row r="1406" spans="1:4" x14ac:dyDescent="0.25">
      <c r="A1406" s="1"/>
      <c r="B1406" s="1"/>
      <c r="C1406" s="1"/>
      <c r="D1406" s="1"/>
    </row>
    <row r="1407" spans="1:4" x14ac:dyDescent="0.25">
      <c r="A1407" s="1"/>
      <c r="B1407" s="1"/>
      <c r="C1407" s="1"/>
      <c r="D1407" s="1"/>
    </row>
    <row r="1408" spans="1:4" x14ac:dyDescent="0.25">
      <c r="A1408" s="1"/>
      <c r="B1408" s="1"/>
      <c r="C1408" s="1"/>
      <c r="D1408" s="1"/>
    </row>
    <row r="1409" spans="1:4" x14ac:dyDescent="0.25">
      <c r="A1409" s="1"/>
      <c r="B1409" s="1"/>
      <c r="C1409" s="1"/>
      <c r="D1409" s="1"/>
    </row>
    <row r="1410" spans="1:4" x14ac:dyDescent="0.25">
      <c r="A1410" s="1"/>
      <c r="B1410" s="1"/>
      <c r="C1410" s="1"/>
      <c r="D1410" s="1"/>
    </row>
    <row r="1411" spans="1:4" x14ac:dyDescent="0.25">
      <c r="A1411" s="1"/>
      <c r="B1411" s="1"/>
      <c r="C1411" s="1"/>
      <c r="D1411" s="1"/>
    </row>
    <row r="1412" spans="1:4" x14ac:dyDescent="0.25">
      <c r="A1412" s="1"/>
      <c r="B1412" s="1"/>
      <c r="C1412" s="1"/>
      <c r="D1412" s="1"/>
    </row>
    <row r="1413" spans="1:4" x14ac:dyDescent="0.25">
      <c r="A1413" s="1"/>
      <c r="B1413" s="1"/>
      <c r="C1413" s="1"/>
      <c r="D1413" s="1"/>
    </row>
    <row r="1414" spans="1:4" x14ac:dyDescent="0.25">
      <c r="A1414" s="1"/>
      <c r="B1414" s="1"/>
      <c r="C1414" s="1"/>
      <c r="D1414" s="1"/>
    </row>
    <row r="1415" spans="1:4" x14ac:dyDescent="0.25">
      <c r="A1415" s="1"/>
      <c r="B1415" s="1"/>
      <c r="C1415" s="1"/>
      <c r="D1415" s="1"/>
    </row>
    <row r="1416" spans="1:4" x14ac:dyDescent="0.25">
      <c r="A1416" s="1"/>
      <c r="B1416" s="1"/>
      <c r="C1416" s="1"/>
      <c r="D1416" s="1"/>
    </row>
    <row r="1417" spans="1:4" x14ac:dyDescent="0.25">
      <c r="A1417" s="1"/>
      <c r="B1417" s="1"/>
      <c r="C1417" s="1"/>
      <c r="D1417" s="1"/>
    </row>
    <row r="1418" spans="1:4" x14ac:dyDescent="0.25">
      <c r="A1418" s="1"/>
      <c r="B1418" s="1"/>
      <c r="C1418" s="1"/>
      <c r="D1418" s="1"/>
    </row>
    <row r="1419" spans="1:4" x14ac:dyDescent="0.25">
      <c r="A1419" s="1"/>
      <c r="B1419" s="1"/>
      <c r="C1419" s="1"/>
      <c r="D1419" s="1"/>
    </row>
    <row r="1420" spans="1:4" x14ac:dyDescent="0.25">
      <c r="A1420" s="1"/>
      <c r="B1420" s="1"/>
      <c r="C1420" s="1"/>
      <c r="D1420" s="1"/>
    </row>
    <row r="1421" spans="1:4" x14ac:dyDescent="0.25">
      <c r="A1421" s="1"/>
      <c r="B1421" s="1"/>
      <c r="C1421" s="1"/>
      <c r="D1421" s="1"/>
    </row>
    <row r="1422" spans="1:4" x14ac:dyDescent="0.25">
      <c r="A1422" s="1"/>
      <c r="B1422" s="1"/>
      <c r="C1422" s="1"/>
      <c r="D1422" s="1"/>
    </row>
    <row r="1423" spans="1:4" x14ac:dyDescent="0.25">
      <c r="A1423" s="1"/>
      <c r="B1423" s="1"/>
      <c r="C1423" s="1"/>
      <c r="D1423" s="1"/>
    </row>
    <row r="1424" spans="1:4" x14ac:dyDescent="0.25">
      <c r="A1424" s="1"/>
      <c r="B1424" s="1"/>
      <c r="C1424" s="1"/>
      <c r="D1424" s="1"/>
    </row>
    <row r="1425" spans="1:4" x14ac:dyDescent="0.25">
      <c r="A1425" s="1"/>
      <c r="B1425" s="1"/>
      <c r="C1425" s="1"/>
      <c r="D142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Z489"/>
  <sheetViews>
    <sheetView workbookViewId="0">
      <selection activeCell="C25" sqref="C25"/>
    </sheetView>
  </sheetViews>
  <sheetFormatPr baseColWidth="10"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>
        <v>12.218</v>
      </c>
      <c r="Q1" s="1"/>
      <c r="R1" s="1"/>
      <c r="S1" s="1" t="s">
        <v>1</v>
      </c>
      <c r="T1" s="1"/>
      <c r="U1" s="1"/>
      <c r="V1" s="1"/>
      <c r="W1" s="1"/>
      <c r="X1" s="1"/>
      <c r="Y1" s="1" t="s">
        <v>2</v>
      </c>
      <c r="Z1" s="1" t="s">
        <v>3</v>
      </c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>
        <v>2457018.4397999998</v>
      </c>
      <c r="R2" s="1"/>
      <c r="S2" s="1" t="s">
        <v>1</v>
      </c>
      <c r="T2" s="1">
        <v>1</v>
      </c>
      <c r="U2" s="1"/>
      <c r="V2" s="1"/>
      <c r="W2" s="1"/>
      <c r="X2" s="1"/>
      <c r="Y2" s="1" t="s">
        <v>2</v>
      </c>
      <c r="Z2" s="1" t="s">
        <v>3</v>
      </c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>
        <v>2457019.4405</v>
      </c>
      <c r="R3" s="1"/>
      <c r="S3" s="1" t="s">
        <v>1</v>
      </c>
      <c r="T3" s="1">
        <v>2</v>
      </c>
      <c r="U3" s="1"/>
      <c r="V3" s="1"/>
      <c r="W3" s="1"/>
      <c r="X3" s="1"/>
      <c r="Y3" s="1" t="s">
        <v>2</v>
      </c>
      <c r="Z3" s="1" t="s">
        <v>3</v>
      </c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>
        <v>2457021.4407000002</v>
      </c>
      <c r="R4" s="1"/>
      <c r="S4" s="1" t="s">
        <v>1</v>
      </c>
      <c r="T4" s="1">
        <v>3</v>
      </c>
      <c r="U4" s="1"/>
      <c r="V4" s="1"/>
      <c r="W4" s="1"/>
      <c r="X4" s="1"/>
      <c r="Y4" s="1" t="s">
        <v>2</v>
      </c>
      <c r="Z4" s="1" t="s">
        <v>3</v>
      </c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>
        <v>2457022.4334</v>
      </c>
      <c r="R5" s="1"/>
      <c r="S5" s="1" t="s">
        <v>1</v>
      </c>
      <c r="T5" s="1">
        <v>1</v>
      </c>
      <c r="U5" s="1"/>
      <c r="V5" s="1"/>
      <c r="W5" s="1"/>
      <c r="X5" s="1"/>
      <c r="Y5" s="1" t="s">
        <v>2</v>
      </c>
      <c r="Z5" s="1" t="s">
        <v>3</v>
      </c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>
        <v>12.266</v>
      </c>
      <c r="Q6" s="1"/>
      <c r="R6" s="1"/>
      <c r="S6" s="1" t="s">
        <v>1</v>
      </c>
      <c r="T6" s="1"/>
      <c r="U6" s="1"/>
      <c r="V6" s="1"/>
      <c r="W6" s="1"/>
      <c r="X6" s="1"/>
      <c r="Y6" s="1" t="s">
        <v>2</v>
      </c>
      <c r="Z6" s="1" t="s">
        <v>3</v>
      </c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>
        <v>12.201000000000001</v>
      </c>
      <c r="Q7" s="1"/>
      <c r="R7" s="1"/>
      <c r="S7" s="1" t="s">
        <v>1</v>
      </c>
      <c r="T7" s="1"/>
      <c r="U7" s="1"/>
      <c r="V7" s="1"/>
      <c r="W7" s="1"/>
      <c r="X7" s="1"/>
      <c r="Y7" s="1" t="s">
        <v>2</v>
      </c>
      <c r="Z7" s="1" t="s">
        <v>3</v>
      </c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>
        <v>2457024.4344000001</v>
      </c>
      <c r="R8" s="1"/>
      <c r="S8" s="1" t="s">
        <v>1</v>
      </c>
      <c r="T8" s="1">
        <v>1</v>
      </c>
      <c r="U8" s="1"/>
      <c r="V8" s="1"/>
      <c r="W8" s="1"/>
      <c r="X8" s="1"/>
      <c r="Y8" s="1" t="s">
        <v>2</v>
      </c>
      <c r="Z8" s="1" t="s">
        <v>3</v>
      </c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>
        <v>2457025.4349000002</v>
      </c>
      <c r="R9" s="1"/>
      <c r="S9" s="1" t="s">
        <v>1</v>
      </c>
      <c r="T9" s="1">
        <v>2</v>
      </c>
      <c r="U9" s="1"/>
      <c r="V9" s="1"/>
      <c r="W9" s="1"/>
      <c r="X9" s="1"/>
      <c r="Y9" s="1" t="s">
        <v>2</v>
      </c>
      <c r="Z9" s="1" t="s">
        <v>3</v>
      </c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>
        <v>12.246</v>
      </c>
      <c r="Q10" s="1"/>
      <c r="R10" s="1"/>
      <c r="S10" s="1" t="s">
        <v>1</v>
      </c>
      <c r="T10" s="1"/>
      <c r="U10" s="1"/>
      <c r="V10" s="1"/>
      <c r="W10" s="1"/>
      <c r="X10" s="1"/>
      <c r="Y10" s="1" t="s">
        <v>2</v>
      </c>
      <c r="Z10" s="1" t="s">
        <v>4</v>
      </c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>
        <v>2457028.4363000002</v>
      </c>
      <c r="R11" s="1"/>
      <c r="S11" s="1" t="s">
        <v>1</v>
      </c>
      <c r="T11" s="1">
        <v>1</v>
      </c>
      <c r="U11" s="1"/>
      <c r="V11" s="1"/>
      <c r="W11" s="1"/>
      <c r="X11" s="1"/>
      <c r="Y11" s="1" t="s">
        <v>2</v>
      </c>
      <c r="Z11" s="1" t="s">
        <v>3</v>
      </c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>
        <v>11.265000000000001</v>
      </c>
      <c r="Q12" s="1"/>
      <c r="R12" s="1"/>
      <c r="S12" s="1" t="s">
        <v>1</v>
      </c>
      <c r="T12" s="1"/>
      <c r="U12" s="1"/>
      <c r="V12" s="1"/>
      <c r="W12" s="1"/>
      <c r="X12" s="1"/>
      <c r="Y12" s="1" t="s">
        <v>2</v>
      </c>
      <c r="Z12" s="1" t="s">
        <v>3</v>
      </c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>
        <v>11.266999999999999</v>
      </c>
      <c r="Q13" s="1"/>
      <c r="R13" s="1"/>
      <c r="S13" s="1" t="s">
        <v>1</v>
      </c>
      <c r="T13" s="1"/>
      <c r="U13" s="1"/>
      <c r="V13" s="1"/>
      <c r="W13" s="1"/>
      <c r="X13" s="1"/>
      <c r="Y13" s="1" t="s">
        <v>2</v>
      </c>
      <c r="Z13" s="1" t="s">
        <v>3</v>
      </c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>
        <v>11.263999999999999</v>
      </c>
      <c r="Q14" s="1"/>
      <c r="R14" s="1"/>
      <c r="S14" s="1" t="s">
        <v>1</v>
      </c>
      <c r="T14" s="1"/>
      <c r="U14" s="1"/>
      <c r="V14" s="1"/>
      <c r="W14" s="1"/>
      <c r="X14" s="1"/>
      <c r="Y14" s="1" t="s">
        <v>2</v>
      </c>
      <c r="Z14" s="1" t="s">
        <v>3</v>
      </c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>
        <v>11.268000000000001</v>
      </c>
      <c r="Q15" s="1"/>
      <c r="R15" s="1"/>
      <c r="S15" s="1" t="s">
        <v>1</v>
      </c>
      <c r="T15" s="1"/>
      <c r="U15" s="1"/>
      <c r="V15" s="1"/>
      <c r="W15" s="1"/>
      <c r="X15" s="1"/>
      <c r="Y15" s="1" t="s">
        <v>2</v>
      </c>
      <c r="Z15" s="1" t="s">
        <v>3</v>
      </c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>
        <v>11.278</v>
      </c>
      <c r="Q16" s="1"/>
      <c r="R16" s="1"/>
      <c r="S16" s="1" t="s">
        <v>1</v>
      </c>
      <c r="T16" s="1"/>
      <c r="U16" s="1"/>
      <c r="V16" s="1"/>
      <c r="W16" s="1"/>
      <c r="X16" s="1"/>
      <c r="Y16" s="1" t="s">
        <v>2</v>
      </c>
      <c r="Z16" s="1" t="s">
        <v>3</v>
      </c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>
        <v>9.5570000000000004</v>
      </c>
      <c r="Q17" s="1"/>
      <c r="R17" s="1"/>
      <c r="S17" s="1" t="s">
        <v>1</v>
      </c>
      <c r="T17" s="1">
        <v>1</v>
      </c>
      <c r="U17" s="1"/>
      <c r="V17" s="1"/>
      <c r="W17" s="1"/>
      <c r="X17" s="1"/>
      <c r="Y17" s="1" t="s">
        <v>2</v>
      </c>
      <c r="Z17" s="1" t="s">
        <v>3</v>
      </c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>
        <v>9.56</v>
      </c>
      <c r="Q18" s="1"/>
      <c r="R18" s="1"/>
      <c r="S18" s="1" t="s">
        <v>1</v>
      </c>
      <c r="T18" s="1">
        <v>1</v>
      </c>
      <c r="U18" s="1"/>
      <c r="V18" s="1"/>
      <c r="W18" s="1"/>
      <c r="X18" s="1"/>
      <c r="Y18" s="1" t="s">
        <v>2</v>
      </c>
      <c r="Z18" s="1" t="s">
        <v>3</v>
      </c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>
        <v>11.367000000000001</v>
      </c>
      <c r="Q19" s="1"/>
      <c r="R19" s="1"/>
      <c r="S19" s="1" t="s">
        <v>1</v>
      </c>
      <c r="T19" s="1"/>
      <c r="U19" s="1"/>
      <c r="V19" s="1"/>
      <c r="W19" s="1"/>
      <c r="X19" s="1"/>
      <c r="Y19" s="1" t="s">
        <v>2</v>
      </c>
      <c r="Z19" s="1" t="s">
        <v>3</v>
      </c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>
        <v>9.5549999999999997</v>
      </c>
      <c r="Q20" s="1"/>
      <c r="R20" s="1"/>
      <c r="S20" s="1" t="s">
        <v>1</v>
      </c>
      <c r="T20" s="1">
        <v>1</v>
      </c>
      <c r="U20" s="1"/>
      <c r="V20" s="1"/>
      <c r="W20" s="1"/>
      <c r="X20" s="1"/>
      <c r="Y20" s="1" t="s">
        <v>2</v>
      </c>
      <c r="Z20" s="1" t="s">
        <v>3</v>
      </c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>
        <v>9.7479999999999993</v>
      </c>
      <c r="Q21" s="1"/>
      <c r="R21" s="1"/>
      <c r="S21" s="1" t="s">
        <v>1</v>
      </c>
      <c r="T21" s="1">
        <v>1</v>
      </c>
      <c r="U21" s="1"/>
      <c r="V21" s="1"/>
      <c r="W21" s="1"/>
      <c r="X21" s="1"/>
      <c r="Y21" s="1" t="s">
        <v>2</v>
      </c>
      <c r="Z21" s="1" t="s">
        <v>3</v>
      </c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>
        <v>11.288</v>
      </c>
      <c r="Q22" s="1"/>
      <c r="R22" s="1"/>
      <c r="S22" s="1" t="s">
        <v>1</v>
      </c>
      <c r="T22" s="1"/>
      <c r="U22" s="1"/>
      <c r="V22" s="1"/>
      <c r="W22" s="1"/>
      <c r="X22" s="1"/>
      <c r="Y22" s="1" t="s">
        <v>2</v>
      </c>
      <c r="Z22" s="1" t="s">
        <v>3</v>
      </c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>
        <v>9.5540000000000003</v>
      </c>
      <c r="Q23" s="1"/>
      <c r="R23" s="1"/>
      <c r="S23" s="1" t="s">
        <v>1</v>
      </c>
      <c r="T23" s="1">
        <v>1</v>
      </c>
      <c r="U23" s="1"/>
      <c r="V23" s="1"/>
      <c r="W23" s="1"/>
      <c r="X23" s="1"/>
      <c r="Y23" s="1" t="s">
        <v>2</v>
      </c>
      <c r="Z23" s="1" t="s">
        <v>3</v>
      </c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>
        <v>9.5429999999999993</v>
      </c>
      <c r="Q24" s="1"/>
      <c r="R24" s="1"/>
      <c r="S24" s="1" t="s">
        <v>1</v>
      </c>
      <c r="T24" s="1">
        <v>1</v>
      </c>
      <c r="U24" s="1"/>
      <c r="V24" s="1"/>
      <c r="W24" s="1"/>
      <c r="X24" s="1"/>
      <c r="Y24" s="1" t="s">
        <v>2</v>
      </c>
      <c r="Z24" s="1" t="s">
        <v>3</v>
      </c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>
        <v>8.8339999999999996</v>
      </c>
      <c r="Q25" s="1"/>
      <c r="R25" s="1"/>
      <c r="S25" s="1" t="s">
        <v>1</v>
      </c>
      <c r="T25" s="1">
        <v>0</v>
      </c>
      <c r="U25" s="1"/>
      <c r="V25" s="1"/>
      <c r="W25" s="1"/>
      <c r="X25" s="1"/>
      <c r="Y25" s="1" t="s">
        <v>2</v>
      </c>
      <c r="Z25" s="1" t="s">
        <v>3</v>
      </c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>
        <v>8.9130000000000003</v>
      </c>
      <c r="Q26" s="1"/>
      <c r="R26" s="1"/>
      <c r="S26" s="1" t="s">
        <v>1</v>
      </c>
      <c r="T26" s="1">
        <v>0</v>
      </c>
      <c r="U26" s="1"/>
      <c r="V26" s="1"/>
      <c r="W26" s="1"/>
      <c r="X26" s="1"/>
      <c r="Y26" s="1" t="s">
        <v>2</v>
      </c>
      <c r="Z26" s="1" t="s">
        <v>3</v>
      </c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>
        <v>8.9559999999999995</v>
      </c>
      <c r="Q27" s="1"/>
      <c r="R27" s="1"/>
      <c r="S27" s="1" t="s">
        <v>1</v>
      </c>
      <c r="T27" s="1">
        <v>0</v>
      </c>
      <c r="U27" s="1"/>
      <c r="V27" s="1"/>
      <c r="W27" s="1"/>
      <c r="X27" s="1"/>
      <c r="Y27" s="1" t="s">
        <v>2</v>
      </c>
      <c r="Z27" s="1" t="s">
        <v>3</v>
      </c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>
        <v>8.7970000000000006</v>
      </c>
      <c r="Q28" s="1"/>
      <c r="R28" s="1"/>
      <c r="S28" s="1" t="s">
        <v>1</v>
      </c>
      <c r="T28" s="1">
        <v>0</v>
      </c>
      <c r="U28" s="1"/>
      <c r="V28" s="1"/>
      <c r="W28" s="1"/>
      <c r="X28" s="1"/>
      <c r="Y28" s="1" t="s">
        <v>2</v>
      </c>
      <c r="Z28" s="1" t="s">
        <v>3</v>
      </c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>
        <v>8.81</v>
      </c>
      <c r="Q29" s="1"/>
      <c r="R29" s="1"/>
      <c r="S29" s="1" t="s">
        <v>1</v>
      </c>
      <c r="T29" s="1">
        <v>0</v>
      </c>
      <c r="U29" s="1"/>
      <c r="V29" s="1"/>
      <c r="W29" s="1"/>
      <c r="X29" s="1"/>
      <c r="Y29" s="1" t="s">
        <v>2</v>
      </c>
      <c r="Z29" s="1" t="s">
        <v>3</v>
      </c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>
        <v>8.8249999999999993</v>
      </c>
      <c r="Q30" s="1"/>
      <c r="R30" s="1"/>
      <c r="S30" s="1" t="s">
        <v>1</v>
      </c>
      <c r="T30" s="1">
        <v>0</v>
      </c>
      <c r="U30" s="1"/>
      <c r="V30" s="1"/>
      <c r="W30" s="1"/>
      <c r="X30" s="1"/>
      <c r="Y30" s="1" t="s">
        <v>2</v>
      </c>
      <c r="Z30" s="1" t="s">
        <v>3</v>
      </c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>
        <v>9.5079999999999991</v>
      </c>
      <c r="Q31" s="1"/>
      <c r="R31" s="1"/>
      <c r="S31" s="1" t="s">
        <v>1</v>
      </c>
      <c r="T31" s="1">
        <v>1</v>
      </c>
      <c r="U31" s="1"/>
      <c r="V31" s="1"/>
      <c r="W31" s="1"/>
      <c r="X31" s="1"/>
      <c r="Y31" s="1" t="s">
        <v>2</v>
      </c>
      <c r="Z31" s="1" t="s">
        <v>3</v>
      </c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>
        <v>9.5389999999999997</v>
      </c>
      <c r="Q32" s="1"/>
      <c r="R32" s="1"/>
      <c r="S32" s="1" t="s">
        <v>1</v>
      </c>
      <c r="T32" s="1">
        <v>1</v>
      </c>
      <c r="U32" s="1"/>
      <c r="V32" s="1"/>
      <c r="W32" s="1"/>
      <c r="X32" s="1"/>
      <c r="Y32" s="1" t="s">
        <v>2</v>
      </c>
      <c r="Z32" s="1" t="s">
        <v>3</v>
      </c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>
        <v>9.5640000000000001</v>
      </c>
      <c r="Q33" s="1"/>
      <c r="R33" s="1"/>
      <c r="S33" s="1" t="s">
        <v>1</v>
      </c>
      <c r="T33" s="1">
        <v>1</v>
      </c>
      <c r="U33" s="1"/>
      <c r="V33" s="1"/>
      <c r="W33" s="1"/>
      <c r="X33" s="1"/>
      <c r="Y33" s="1" t="s">
        <v>2</v>
      </c>
      <c r="Z33" s="1" t="s">
        <v>3</v>
      </c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>
        <v>9.5739999999999998</v>
      </c>
      <c r="Q34" s="1"/>
      <c r="R34" s="1"/>
      <c r="S34" s="1" t="s">
        <v>1</v>
      </c>
      <c r="T34" s="1">
        <v>1</v>
      </c>
      <c r="U34" s="1"/>
      <c r="V34" s="1"/>
      <c r="W34" s="1"/>
      <c r="X34" s="1"/>
      <c r="Y34" s="1" t="s">
        <v>2</v>
      </c>
      <c r="Z34" s="1" t="s">
        <v>3</v>
      </c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>
        <v>9.5579999999999998</v>
      </c>
      <c r="Q35" s="1"/>
      <c r="R35" s="1"/>
      <c r="S35" s="1" t="s">
        <v>1</v>
      </c>
      <c r="T35" s="1">
        <v>1</v>
      </c>
      <c r="U35" s="1"/>
      <c r="V35" s="1"/>
      <c r="W35" s="1"/>
      <c r="X35" s="1"/>
      <c r="Y35" s="1" t="s">
        <v>2</v>
      </c>
      <c r="Z35" s="1" t="s">
        <v>3</v>
      </c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>
        <v>8.8049999999999997</v>
      </c>
      <c r="Q36" s="1"/>
      <c r="R36" s="1"/>
      <c r="S36" s="1" t="s">
        <v>1</v>
      </c>
      <c r="T36" s="1">
        <v>0</v>
      </c>
      <c r="U36" s="1"/>
      <c r="V36" s="1"/>
      <c r="W36" s="1"/>
      <c r="X36" s="1"/>
      <c r="Y36" s="1" t="s">
        <v>2</v>
      </c>
      <c r="Z36" s="1" t="s">
        <v>3</v>
      </c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>
        <v>8.8770000000000007</v>
      </c>
      <c r="Q37" s="1"/>
      <c r="R37" s="1"/>
      <c r="S37" s="1" t="s">
        <v>1</v>
      </c>
      <c r="T37" s="1">
        <v>0</v>
      </c>
      <c r="U37" s="1"/>
      <c r="V37" s="1"/>
      <c r="W37" s="1"/>
      <c r="X37" s="1"/>
      <c r="Y37" s="1" t="s">
        <v>2</v>
      </c>
      <c r="Z37" s="1" t="s">
        <v>3</v>
      </c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>
        <v>8.8079999999999998</v>
      </c>
      <c r="Q38" s="1"/>
      <c r="R38" s="1"/>
      <c r="S38" s="1" t="s">
        <v>1</v>
      </c>
      <c r="T38" s="1">
        <v>0</v>
      </c>
      <c r="U38" s="1"/>
      <c r="V38" s="1"/>
      <c r="W38" s="1"/>
      <c r="X38" s="1"/>
      <c r="Y38" s="1" t="s">
        <v>2</v>
      </c>
      <c r="Z38" s="1" t="s">
        <v>3</v>
      </c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>
        <v>9.5630000000000006</v>
      </c>
      <c r="Q39" s="1"/>
      <c r="R39" s="1"/>
      <c r="S39" s="1" t="s">
        <v>1</v>
      </c>
      <c r="T39" s="1">
        <v>1</v>
      </c>
      <c r="U39" s="1"/>
      <c r="V39" s="1"/>
      <c r="W39" s="1"/>
      <c r="X39" s="1"/>
      <c r="Y39" s="1" t="s">
        <v>2</v>
      </c>
      <c r="Z39" s="1" t="s">
        <v>3</v>
      </c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>
        <v>9.5210000000000008</v>
      </c>
      <c r="Q40" s="1"/>
      <c r="R40" s="1"/>
      <c r="S40" s="1" t="s">
        <v>1</v>
      </c>
      <c r="T40" s="1">
        <v>1</v>
      </c>
      <c r="U40" s="1"/>
      <c r="V40" s="1"/>
      <c r="W40" s="1"/>
      <c r="X40" s="1"/>
      <c r="Y40" s="1" t="s">
        <v>2</v>
      </c>
      <c r="Z40" s="1" t="s">
        <v>3</v>
      </c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>
        <v>9.5960000000000001</v>
      </c>
      <c r="Q41" s="1"/>
      <c r="R41" s="1"/>
      <c r="S41" s="1" t="s">
        <v>1</v>
      </c>
      <c r="T41" s="1">
        <v>1</v>
      </c>
      <c r="U41" s="1"/>
      <c r="V41" s="1"/>
      <c r="W41" s="1"/>
      <c r="X41" s="1"/>
      <c r="Y41" s="1" t="s">
        <v>2</v>
      </c>
      <c r="Z41" s="1" t="s">
        <v>3</v>
      </c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>
        <v>9.5069999999999997</v>
      </c>
      <c r="Q42" s="1"/>
      <c r="R42" s="1"/>
      <c r="S42" s="1" t="s">
        <v>1</v>
      </c>
      <c r="T42" s="1">
        <v>1</v>
      </c>
      <c r="U42" s="1"/>
      <c r="V42" s="1"/>
      <c r="W42" s="1"/>
      <c r="X42" s="1"/>
      <c r="Y42" s="1" t="s">
        <v>2</v>
      </c>
      <c r="Z42" s="1" t="s">
        <v>3</v>
      </c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>
        <v>9.5489999999999995</v>
      </c>
      <c r="Q43" s="1"/>
      <c r="R43" s="1"/>
      <c r="S43" s="1" t="s">
        <v>1</v>
      </c>
      <c r="T43" s="1">
        <v>1</v>
      </c>
      <c r="U43" s="1"/>
      <c r="V43" s="1"/>
      <c r="W43" s="1"/>
      <c r="X43" s="1"/>
      <c r="Y43" s="1" t="s">
        <v>2</v>
      </c>
      <c r="Z43" s="1" t="s">
        <v>3</v>
      </c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>
        <v>9.5359999999999996</v>
      </c>
      <c r="Q44" s="1"/>
      <c r="R44" s="1"/>
      <c r="S44" s="1" t="s">
        <v>1</v>
      </c>
      <c r="T44" s="1">
        <v>1</v>
      </c>
      <c r="U44" s="1"/>
      <c r="V44" s="1"/>
      <c r="W44" s="1"/>
      <c r="X44" s="1"/>
      <c r="Y44" s="1" t="s">
        <v>2</v>
      </c>
      <c r="Z44" s="1" t="s">
        <v>3</v>
      </c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>
        <v>9.5350000000000001</v>
      </c>
      <c r="Q45" s="1"/>
      <c r="R45" s="1"/>
      <c r="S45" s="1" t="s">
        <v>1</v>
      </c>
      <c r="T45" s="1">
        <v>1</v>
      </c>
      <c r="U45" s="1"/>
      <c r="V45" s="1"/>
      <c r="W45" s="1"/>
      <c r="X45" s="1"/>
      <c r="Y45" s="1" t="s">
        <v>2</v>
      </c>
      <c r="Z45" s="1" t="s">
        <v>3</v>
      </c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>
        <v>9.5749999999999993</v>
      </c>
      <c r="Q46" s="1"/>
      <c r="R46" s="1"/>
      <c r="S46" s="1" t="s">
        <v>1</v>
      </c>
      <c r="T46" s="1">
        <v>1</v>
      </c>
      <c r="U46" s="1"/>
      <c r="V46" s="1"/>
      <c r="W46" s="1"/>
      <c r="X46" s="1"/>
      <c r="Y46" s="1" t="s">
        <v>2</v>
      </c>
      <c r="Z46" s="1" t="s">
        <v>3</v>
      </c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>
        <v>9.5670000000000002</v>
      </c>
      <c r="Q47" s="1"/>
      <c r="R47" s="1"/>
      <c r="S47" s="1" t="s">
        <v>1</v>
      </c>
      <c r="T47" s="1">
        <v>1</v>
      </c>
      <c r="U47" s="1"/>
      <c r="V47" s="1"/>
      <c r="W47" s="1"/>
      <c r="X47" s="1"/>
      <c r="Y47" s="1" t="s">
        <v>2</v>
      </c>
      <c r="Z47" s="1" t="s">
        <v>3</v>
      </c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>
        <v>9.5510000000000002</v>
      </c>
      <c r="Q48" s="1"/>
      <c r="R48" s="1"/>
      <c r="S48" s="1" t="s">
        <v>1</v>
      </c>
      <c r="T48" s="1">
        <v>1</v>
      </c>
      <c r="U48" s="1"/>
      <c r="V48" s="1"/>
      <c r="W48" s="1"/>
      <c r="X48" s="1"/>
      <c r="Y48" s="1" t="s">
        <v>2</v>
      </c>
      <c r="Z48" s="1" t="s">
        <v>3</v>
      </c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>
        <v>9.56</v>
      </c>
      <c r="Q49" s="1"/>
      <c r="R49" s="1"/>
      <c r="S49" s="1" t="s">
        <v>1</v>
      </c>
      <c r="T49" s="1">
        <v>1</v>
      </c>
      <c r="U49" s="1"/>
      <c r="V49" s="1"/>
      <c r="W49" s="1"/>
      <c r="X49" s="1"/>
      <c r="Y49" s="1" t="s">
        <v>2</v>
      </c>
      <c r="Z49" s="1" t="s">
        <v>3</v>
      </c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>
        <v>9.5329999999999995</v>
      </c>
      <c r="Q50" s="1"/>
      <c r="R50" s="1"/>
      <c r="S50" s="1" t="s">
        <v>1</v>
      </c>
      <c r="T50" s="1">
        <v>1</v>
      </c>
      <c r="U50" s="1"/>
      <c r="V50" s="1"/>
      <c r="W50" s="1"/>
      <c r="X50" s="1"/>
      <c r="Y50" s="1" t="s">
        <v>2</v>
      </c>
      <c r="Z50" s="1" t="s">
        <v>3</v>
      </c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>
        <v>9.5030000000000001</v>
      </c>
      <c r="Q51" s="1"/>
      <c r="R51" s="1"/>
      <c r="S51" s="1" t="s">
        <v>1</v>
      </c>
      <c r="T51" s="1">
        <v>1</v>
      </c>
      <c r="U51" s="1"/>
      <c r="V51" s="1"/>
      <c r="W51" s="1"/>
      <c r="X51" s="1"/>
      <c r="Y51" s="1" t="s">
        <v>2</v>
      </c>
      <c r="Z51" s="1" t="s">
        <v>3</v>
      </c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>
        <v>9.5399999999999991</v>
      </c>
      <c r="Q52" s="1"/>
      <c r="R52" s="1"/>
      <c r="S52" s="1" t="s">
        <v>1</v>
      </c>
      <c r="T52" s="1">
        <v>1</v>
      </c>
      <c r="U52" s="1"/>
      <c r="V52" s="1"/>
      <c r="W52" s="1"/>
      <c r="X52" s="1"/>
      <c r="Y52" s="1" t="s">
        <v>2</v>
      </c>
      <c r="Z52" s="1" t="s">
        <v>3</v>
      </c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>
        <v>9.5559999999999992</v>
      </c>
      <c r="Q53" s="1"/>
      <c r="R53" s="1"/>
      <c r="S53" s="1" t="s">
        <v>1</v>
      </c>
      <c r="T53" s="1">
        <v>1</v>
      </c>
      <c r="U53" s="1"/>
      <c r="V53" s="1"/>
      <c r="W53" s="1"/>
      <c r="X53" s="1"/>
      <c r="Y53" s="1" t="s">
        <v>2</v>
      </c>
      <c r="Z53" s="1" t="s">
        <v>3</v>
      </c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>
        <v>9.5570000000000004</v>
      </c>
      <c r="Q54" s="1"/>
      <c r="R54" s="1"/>
      <c r="S54" s="1" t="s">
        <v>1</v>
      </c>
      <c r="T54" s="1">
        <v>1</v>
      </c>
      <c r="U54" s="1"/>
      <c r="V54" s="1"/>
      <c r="W54" s="1"/>
      <c r="X54" s="1"/>
      <c r="Y54" s="1" t="s">
        <v>2</v>
      </c>
      <c r="Z54" s="1" t="s">
        <v>3</v>
      </c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>
        <v>9.5459999999999994</v>
      </c>
      <c r="Q55" s="1"/>
      <c r="R55" s="1"/>
      <c r="S55" s="1" t="s">
        <v>1</v>
      </c>
      <c r="T55" s="1">
        <v>1</v>
      </c>
      <c r="U55" s="1"/>
      <c r="V55" s="1"/>
      <c r="W55" s="1"/>
      <c r="X55" s="1"/>
      <c r="Y55" s="1" t="s">
        <v>2</v>
      </c>
      <c r="Z55" s="1" t="s">
        <v>3</v>
      </c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>
        <v>9.5139999999999993</v>
      </c>
      <c r="Q56" s="1"/>
      <c r="R56" s="1"/>
      <c r="S56" s="1" t="s">
        <v>1</v>
      </c>
      <c r="T56" s="1">
        <v>1</v>
      </c>
      <c r="U56" s="1"/>
      <c r="V56" s="1"/>
      <c r="W56" s="1"/>
      <c r="X56" s="1"/>
      <c r="Y56" s="1" t="s">
        <v>2</v>
      </c>
      <c r="Z56" s="1" t="s">
        <v>3</v>
      </c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>
        <v>8.7940000000000005</v>
      </c>
      <c r="Q57" s="1"/>
      <c r="R57" s="1"/>
      <c r="S57" s="1" t="s">
        <v>1</v>
      </c>
      <c r="T57" s="1">
        <v>0</v>
      </c>
      <c r="U57" s="1"/>
      <c r="V57" s="1"/>
      <c r="W57" s="1"/>
      <c r="X57" s="1"/>
      <c r="Y57" s="1" t="s">
        <v>2</v>
      </c>
      <c r="Z57" s="1" t="s">
        <v>3</v>
      </c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>
        <v>8.8230000000000004</v>
      </c>
      <c r="Q58" s="1"/>
      <c r="R58" s="1"/>
      <c r="S58" s="1" t="s">
        <v>1</v>
      </c>
      <c r="T58" s="1">
        <v>0</v>
      </c>
      <c r="U58" s="1"/>
      <c r="V58" s="1"/>
      <c r="W58" s="1"/>
      <c r="X58" s="1"/>
      <c r="Y58" s="1" t="s">
        <v>2</v>
      </c>
      <c r="Z58" s="1" t="s">
        <v>3</v>
      </c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>
        <v>8.81</v>
      </c>
      <c r="Q59" s="1"/>
      <c r="R59" s="1"/>
      <c r="S59" s="1" t="s">
        <v>1</v>
      </c>
      <c r="T59" s="1">
        <v>0</v>
      </c>
      <c r="U59" s="1"/>
      <c r="V59" s="1"/>
      <c r="W59" s="1"/>
      <c r="X59" s="1"/>
      <c r="Y59" s="1" t="s">
        <v>2</v>
      </c>
      <c r="Z59" s="1" t="s">
        <v>3</v>
      </c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>
        <v>8.8190000000000008</v>
      </c>
      <c r="Q60" s="1"/>
      <c r="R60" s="1"/>
      <c r="S60" s="1" t="s">
        <v>1</v>
      </c>
      <c r="T60" s="1">
        <v>0</v>
      </c>
      <c r="U60" s="1"/>
      <c r="V60" s="1"/>
      <c r="W60" s="1"/>
      <c r="X60" s="1"/>
      <c r="Y60" s="1" t="s">
        <v>2</v>
      </c>
      <c r="Z60" s="1" t="s">
        <v>3</v>
      </c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>
        <v>8.8330000000000002</v>
      </c>
      <c r="Q61" s="1"/>
      <c r="R61" s="1"/>
      <c r="S61" s="1" t="s">
        <v>1</v>
      </c>
      <c r="T61" s="1">
        <v>0</v>
      </c>
      <c r="U61" s="1"/>
      <c r="V61" s="1"/>
      <c r="W61" s="1"/>
      <c r="X61" s="1"/>
      <c r="Y61" s="1" t="s">
        <v>2</v>
      </c>
      <c r="Z61" s="1" t="s">
        <v>3</v>
      </c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>
        <v>9.7260000000000009</v>
      </c>
      <c r="Q62" s="1"/>
      <c r="R62" s="1"/>
      <c r="S62" s="1" t="s">
        <v>1</v>
      </c>
      <c r="T62" s="1">
        <v>1</v>
      </c>
      <c r="U62" s="1"/>
      <c r="V62" s="1"/>
      <c r="W62" s="1"/>
      <c r="X62" s="1"/>
      <c r="Y62" s="1" t="s">
        <v>2</v>
      </c>
      <c r="Z62" s="1" t="s">
        <v>3</v>
      </c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>
        <v>9.7840000000000007</v>
      </c>
      <c r="Q63" s="1"/>
      <c r="R63" s="1"/>
      <c r="S63" s="1" t="s">
        <v>1</v>
      </c>
      <c r="T63" s="1">
        <v>1</v>
      </c>
      <c r="U63" s="1"/>
      <c r="V63" s="1"/>
      <c r="W63" s="1"/>
      <c r="X63" s="1"/>
      <c r="Y63" s="1" t="s">
        <v>2</v>
      </c>
      <c r="Z63" s="1" t="s">
        <v>3</v>
      </c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>
        <v>9.7729999999999997</v>
      </c>
      <c r="Q64" s="1"/>
      <c r="R64" s="1"/>
      <c r="S64" s="1" t="s">
        <v>1</v>
      </c>
      <c r="T64" s="1">
        <v>1</v>
      </c>
      <c r="U64" s="1"/>
      <c r="V64" s="1"/>
      <c r="W64" s="1"/>
      <c r="X64" s="1"/>
      <c r="Y64" s="1" t="s">
        <v>2</v>
      </c>
      <c r="Z64" s="1" t="s">
        <v>3</v>
      </c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>
        <v>9.83</v>
      </c>
      <c r="Q65" s="1"/>
      <c r="R65" s="1"/>
      <c r="S65" s="1" t="s">
        <v>1</v>
      </c>
      <c r="T65" s="1">
        <v>1</v>
      </c>
      <c r="U65" s="1"/>
      <c r="V65" s="1"/>
      <c r="W65" s="1"/>
      <c r="X65" s="1"/>
      <c r="Y65" s="1" t="s">
        <v>2</v>
      </c>
      <c r="Z65" s="1" t="s">
        <v>3</v>
      </c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>
        <v>9.7889999999999997</v>
      </c>
      <c r="Q66" s="1"/>
      <c r="R66" s="1"/>
      <c r="S66" s="1" t="s">
        <v>1</v>
      </c>
      <c r="T66" s="1">
        <v>1</v>
      </c>
      <c r="U66" s="1"/>
      <c r="V66" s="1"/>
      <c r="W66" s="1"/>
      <c r="X66" s="1"/>
      <c r="Y66" s="1" t="s">
        <v>2</v>
      </c>
      <c r="Z66" s="1" t="s">
        <v>3</v>
      </c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>
        <v>9.7579999999999991</v>
      </c>
      <c r="Q67" s="1"/>
      <c r="R67" s="1"/>
      <c r="S67" s="1" t="s">
        <v>1</v>
      </c>
      <c r="T67" s="1">
        <v>1</v>
      </c>
      <c r="U67" s="1"/>
      <c r="V67" s="1"/>
      <c r="W67" s="1"/>
      <c r="X67" s="1"/>
      <c r="Y67" s="1" t="s">
        <v>2</v>
      </c>
      <c r="Z67" s="1" t="s">
        <v>3</v>
      </c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>
        <v>9.5809999999999995</v>
      </c>
      <c r="Q68" s="1"/>
      <c r="R68" s="1"/>
      <c r="S68" s="1" t="s">
        <v>1</v>
      </c>
      <c r="T68" s="1">
        <v>1</v>
      </c>
      <c r="U68" s="1"/>
      <c r="V68" s="1"/>
      <c r="W68" s="1"/>
      <c r="X68" s="1"/>
      <c r="Y68" s="1" t="s">
        <v>2</v>
      </c>
      <c r="Z68" s="1" t="s">
        <v>3</v>
      </c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>
        <v>9.5670000000000002</v>
      </c>
      <c r="Q69" s="1"/>
      <c r="R69" s="1"/>
      <c r="S69" s="1" t="s">
        <v>1</v>
      </c>
      <c r="T69" s="1">
        <v>1</v>
      </c>
      <c r="U69" s="1"/>
      <c r="V69" s="1"/>
      <c r="W69" s="1"/>
      <c r="X69" s="1"/>
      <c r="Y69" s="1" t="s">
        <v>2</v>
      </c>
      <c r="Z69" s="1" t="s">
        <v>3</v>
      </c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>
        <v>9.5069999999999997</v>
      </c>
      <c r="Q70" s="1"/>
      <c r="R70" s="1"/>
      <c r="S70" s="1" t="s">
        <v>1</v>
      </c>
      <c r="T70" s="1">
        <v>1</v>
      </c>
      <c r="U70" s="1"/>
      <c r="V70" s="1"/>
      <c r="W70" s="1"/>
      <c r="X70" s="1"/>
      <c r="Y70" s="1" t="s">
        <v>2</v>
      </c>
      <c r="Z70" s="1" t="s">
        <v>3</v>
      </c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>
        <v>9.548</v>
      </c>
      <c r="Q71" s="1"/>
      <c r="R71" s="1"/>
      <c r="S71" s="1" t="s">
        <v>1</v>
      </c>
      <c r="T71" s="1">
        <v>1</v>
      </c>
      <c r="U71" s="1"/>
      <c r="V71" s="1"/>
      <c r="W71" s="1"/>
      <c r="X71" s="1"/>
      <c r="Y71" s="1" t="s">
        <v>2</v>
      </c>
      <c r="Z71" s="1" t="s">
        <v>3</v>
      </c>
    </row>
    <row r="72" spans="1:2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>
        <v>8.8219999999999992</v>
      </c>
      <c r="Q72" s="1"/>
      <c r="R72" s="1"/>
      <c r="S72" s="1" t="s">
        <v>1</v>
      </c>
      <c r="T72" s="1">
        <v>0</v>
      </c>
      <c r="U72" s="1"/>
      <c r="V72" s="1"/>
      <c r="W72" s="1"/>
      <c r="X72" s="1"/>
      <c r="Y72" s="1" t="s">
        <v>2</v>
      </c>
      <c r="Z72" s="1" t="s">
        <v>3</v>
      </c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>
        <v>8.7959999999999994</v>
      </c>
      <c r="Q73" s="1"/>
      <c r="R73" s="1"/>
      <c r="S73" s="1" t="s">
        <v>1</v>
      </c>
      <c r="T73" s="1">
        <v>0</v>
      </c>
      <c r="U73" s="1"/>
      <c r="V73" s="1"/>
      <c r="W73" s="1"/>
      <c r="X73" s="1"/>
      <c r="Y73" s="1" t="s">
        <v>2</v>
      </c>
      <c r="Z73" s="1" t="s">
        <v>3</v>
      </c>
    </row>
    <row r="74" spans="1:2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>
        <v>8.8740000000000006</v>
      </c>
      <c r="Q74" s="1"/>
      <c r="R74" s="1"/>
      <c r="S74" s="1" t="s">
        <v>1</v>
      </c>
      <c r="T74" s="1">
        <v>0</v>
      </c>
      <c r="U74" s="1"/>
      <c r="V74" s="1"/>
      <c r="W74" s="1"/>
      <c r="X74" s="1"/>
      <c r="Y74" s="1" t="s">
        <v>2</v>
      </c>
      <c r="Z74" s="1" t="s">
        <v>3</v>
      </c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>
        <v>8.8230000000000004</v>
      </c>
      <c r="Q75" s="1"/>
      <c r="R75" s="1"/>
      <c r="S75" s="1" t="s">
        <v>1</v>
      </c>
      <c r="T75" s="1">
        <v>0</v>
      </c>
      <c r="U75" s="1"/>
      <c r="V75" s="1"/>
      <c r="W75" s="1"/>
      <c r="X75" s="1"/>
      <c r="Y75" s="1" t="s">
        <v>2</v>
      </c>
      <c r="Z75" s="1" t="s">
        <v>3</v>
      </c>
    </row>
    <row r="76" spans="1:2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>
        <v>8.8170000000000002</v>
      </c>
      <c r="Q76" s="1"/>
      <c r="R76" s="1"/>
      <c r="S76" s="1" t="s">
        <v>1</v>
      </c>
      <c r="T76" s="1">
        <v>0</v>
      </c>
      <c r="U76" s="1"/>
      <c r="V76" s="1"/>
      <c r="W76" s="1"/>
      <c r="X76" s="1"/>
      <c r="Y76" s="1" t="s">
        <v>2</v>
      </c>
      <c r="Z76" s="1" t="s">
        <v>3</v>
      </c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>
        <v>9.6120000000000001</v>
      </c>
      <c r="Q77" s="1"/>
      <c r="R77" s="1"/>
      <c r="S77" s="1" t="s">
        <v>1</v>
      </c>
      <c r="T77" s="1">
        <v>1</v>
      </c>
      <c r="U77" s="1"/>
      <c r="V77" s="1"/>
      <c r="W77" s="1"/>
      <c r="X77" s="1"/>
      <c r="Y77" s="1" t="s">
        <v>2</v>
      </c>
      <c r="Z77" s="1" t="s">
        <v>3</v>
      </c>
    </row>
    <row r="78" spans="1:2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>
        <v>9.4779999999999998</v>
      </c>
      <c r="Q78" s="1"/>
      <c r="R78" s="1"/>
      <c r="S78" s="1" t="s">
        <v>1</v>
      </c>
      <c r="T78" s="1">
        <v>1</v>
      </c>
      <c r="U78" s="1"/>
      <c r="V78" s="1"/>
      <c r="W78" s="1"/>
      <c r="X78" s="1"/>
      <c r="Y78" s="1" t="s">
        <v>2</v>
      </c>
      <c r="Z78" s="1" t="s">
        <v>3</v>
      </c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>
        <v>9.5869999999999997</v>
      </c>
      <c r="Q79" s="1"/>
      <c r="R79" s="1"/>
      <c r="S79" s="1" t="s">
        <v>1</v>
      </c>
      <c r="T79" s="1">
        <v>1</v>
      </c>
      <c r="U79" s="1"/>
      <c r="V79" s="1"/>
      <c r="W79" s="1"/>
      <c r="X79" s="1"/>
      <c r="Y79" s="1" t="s">
        <v>2</v>
      </c>
      <c r="Z79" s="1" t="s">
        <v>3</v>
      </c>
    </row>
    <row r="80" spans="1:2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>
        <v>9.5220000000000002</v>
      </c>
      <c r="Q80" s="1"/>
      <c r="R80" s="1"/>
      <c r="S80" s="1" t="s">
        <v>1</v>
      </c>
      <c r="T80" s="1">
        <v>1</v>
      </c>
      <c r="U80" s="1"/>
      <c r="V80" s="1"/>
      <c r="W80" s="1"/>
      <c r="X80" s="1"/>
      <c r="Y80" s="1" t="s">
        <v>2</v>
      </c>
      <c r="Z80" s="1" t="s">
        <v>3</v>
      </c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>
        <v>9.6720000000000006</v>
      </c>
      <c r="Q81" s="1"/>
      <c r="R81" s="1"/>
      <c r="S81" s="1" t="s">
        <v>1</v>
      </c>
      <c r="T81" s="1">
        <v>1</v>
      </c>
      <c r="U81" s="1"/>
      <c r="V81" s="1"/>
      <c r="W81" s="1"/>
      <c r="X81" s="1"/>
      <c r="Y81" s="1" t="s">
        <v>2</v>
      </c>
      <c r="Z81" s="1" t="s">
        <v>3</v>
      </c>
    </row>
    <row r="82" spans="1:2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>
        <v>9.5239999999999991</v>
      </c>
      <c r="Q82" s="1"/>
      <c r="R82" s="1"/>
      <c r="S82" s="1" t="s">
        <v>1</v>
      </c>
      <c r="T82" s="1">
        <v>1</v>
      </c>
      <c r="U82" s="1"/>
      <c r="V82" s="1"/>
      <c r="W82" s="1"/>
      <c r="X82" s="1"/>
      <c r="Y82" s="1" t="s">
        <v>2</v>
      </c>
      <c r="Z82" s="1" t="s">
        <v>3</v>
      </c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>
        <v>8.798</v>
      </c>
      <c r="Q83" s="1"/>
      <c r="R83" s="1"/>
      <c r="S83" s="1" t="s">
        <v>1</v>
      </c>
      <c r="T83" s="1">
        <v>0</v>
      </c>
      <c r="U83" s="1"/>
      <c r="V83" s="1"/>
      <c r="W83" s="1"/>
      <c r="X83" s="1"/>
      <c r="Y83" s="1" t="s">
        <v>2</v>
      </c>
      <c r="Z83" s="1" t="s">
        <v>3</v>
      </c>
    </row>
    <row r="84" spans="1:2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>
        <v>8.8279999999999994</v>
      </c>
      <c r="Q84" s="1"/>
      <c r="R84" s="1"/>
      <c r="S84" s="1" t="s">
        <v>1</v>
      </c>
      <c r="T84" s="1">
        <v>0</v>
      </c>
      <c r="U84" s="1"/>
      <c r="V84" s="1"/>
      <c r="W84" s="1"/>
      <c r="X84" s="1"/>
      <c r="Y84" s="1" t="s">
        <v>2</v>
      </c>
      <c r="Z84" s="1" t="s">
        <v>3</v>
      </c>
    </row>
    <row r="85" spans="1:2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>
        <v>8.8379999999999992</v>
      </c>
      <c r="Q85" s="1"/>
      <c r="R85" s="1"/>
      <c r="S85" s="1" t="s">
        <v>1</v>
      </c>
      <c r="T85" s="1">
        <v>0</v>
      </c>
      <c r="U85" s="1"/>
      <c r="V85" s="1"/>
      <c r="W85" s="1"/>
      <c r="X85" s="1"/>
      <c r="Y85" s="1" t="s">
        <v>2</v>
      </c>
      <c r="Z85" s="1" t="s">
        <v>3</v>
      </c>
    </row>
    <row r="86" spans="1:2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>
        <v>9.5470000000000006</v>
      </c>
      <c r="Q86" s="1"/>
      <c r="R86" s="1"/>
      <c r="S86" s="1" t="s">
        <v>1</v>
      </c>
      <c r="T86" s="1">
        <v>1</v>
      </c>
      <c r="U86" s="1"/>
      <c r="V86" s="1"/>
      <c r="W86" s="1"/>
      <c r="X86" s="1"/>
      <c r="Y86" s="1" t="s">
        <v>2</v>
      </c>
      <c r="Z86" s="1" t="s">
        <v>3</v>
      </c>
    </row>
    <row r="87" spans="1:2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>
        <v>9.59</v>
      </c>
      <c r="Q87" s="1"/>
      <c r="R87" s="1"/>
      <c r="S87" s="1" t="s">
        <v>1</v>
      </c>
      <c r="T87" s="1">
        <v>1</v>
      </c>
      <c r="U87" s="1"/>
      <c r="V87" s="1"/>
      <c r="W87" s="1"/>
      <c r="X87" s="1"/>
      <c r="Y87" s="1" t="s">
        <v>2</v>
      </c>
      <c r="Z87" s="1" t="s">
        <v>3</v>
      </c>
    </row>
    <row r="88" spans="1:2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>
        <v>9.58</v>
      </c>
      <c r="Q88" s="1"/>
      <c r="R88" s="1"/>
      <c r="S88" s="1" t="s">
        <v>1</v>
      </c>
      <c r="T88" s="1">
        <v>1</v>
      </c>
      <c r="U88" s="1"/>
      <c r="V88" s="1"/>
      <c r="W88" s="1"/>
      <c r="X88" s="1"/>
      <c r="Y88" s="1" t="s">
        <v>2</v>
      </c>
      <c r="Z88" s="1" t="s">
        <v>3</v>
      </c>
    </row>
    <row r="89" spans="1:2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>
        <v>9.5519999999999996</v>
      </c>
      <c r="Q89" s="1"/>
      <c r="R89" s="1"/>
      <c r="S89" s="1" t="s">
        <v>1</v>
      </c>
      <c r="T89" s="1">
        <v>1</v>
      </c>
      <c r="U89" s="1"/>
      <c r="V89" s="1"/>
      <c r="W89" s="1"/>
      <c r="X89" s="1"/>
      <c r="Y89" s="1" t="s">
        <v>2</v>
      </c>
      <c r="Z89" s="1" t="s">
        <v>3</v>
      </c>
    </row>
    <row r="90" spans="1:2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>
        <v>9.5419999999999998</v>
      </c>
      <c r="Q90" s="1"/>
      <c r="R90" s="1"/>
      <c r="S90" s="1" t="s">
        <v>1</v>
      </c>
      <c r="T90" s="1">
        <v>1</v>
      </c>
      <c r="U90" s="1"/>
      <c r="V90" s="1"/>
      <c r="W90" s="1"/>
      <c r="X90" s="1"/>
      <c r="Y90" s="1" t="s">
        <v>2</v>
      </c>
      <c r="Z90" s="1" t="s">
        <v>3</v>
      </c>
    </row>
    <row r="91" spans="1:2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>
        <v>9.5640000000000001</v>
      </c>
      <c r="Q91" s="1"/>
      <c r="R91" s="1"/>
      <c r="S91" s="1" t="s">
        <v>1</v>
      </c>
      <c r="T91" s="1">
        <v>1</v>
      </c>
      <c r="U91" s="1"/>
      <c r="V91" s="1"/>
      <c r="W91" s="1"/>
      <c r="X91" s="1"/>
      <c r="Y91" s="1" t="s">
        <v>2</v>
      </c>
      <c r="Z91" s="1" t="s">
        <v>3</v>
      </c>
    </row>
    <row r="92" spans="1:2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>
        <v>9.5009999999999994</v>
      </c>
      <c r="Q92" s="1"/>
      <c r="R92" s="1"/>
      <c r="S92" s="1" t="s">
        <v>1</v>
      </c>
      <c r="T92" s="1">
        <v>1</v>
      </c>
      <c r="U92" s="1"/>
      <c r="V92" s="1"/>
      <c r="W92" s="1"/>
      <c r="X92" s="1"/>
      <c r="Y92" s="1" t="s">
        <v>2</v>
      </c>
      <c r="Z92" s="1" t="s">
        <v>3</v>
      </c>
    </row>
    <row r="93" spans="1:2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>
        <v>9.6050000000000004</v>
      </c>
      <c r="Q93" s="1"/>
      <c r="R93" s="1"/>
      <c r="S93" s="1" t="s">
        <v>1</v>
      </c>
      <c r="T93" s="1">
        <v>1</v>
      </c>
      <c r="U93" s="1"/>
      <c r="V93" s="1"/>
      <c r="W93" s="1"/>
      <c r="X93" s="1"/>
      <c r="Y93" s="1" t="s">
        <v>2</v>
      </c>
      <c r="Z93" s="1" t="s">
        <v>3</v>
      </c>
    </row>
    <row r="94" spans="1:2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>
        <v>9.5340000000000007</v>
      </c>
      <c r="Q94" s="1"/>
      <c r="R94" s="1"/>
      <c r="S94" s="1" t="s">
        <v>1</v>
      </c>
      <c r="T94" s="1">
        <v>1</v>
      </c>
      <c r="U94" s="1"/>
      <c r="V94" s="1"/>
      <c r="W94" s="1"/>
      <c r="X94" s="1"/>
      <c r="Y94" s="1" t="s">
        <v>2</v>
      </c>
      <c r="Z94" s="1" t="s">
        <v>3</v>
      </c>
    </row>
    <row r="95" spans="1:2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>
        <v>9.5259999999999998</v>
      </c>
      <c r="Q95" s="1"/>
      <c r="R95" s="1"/>
      <c r="S95" s="1" t="s">
        <v>1</v>
      </c>
      <c r="T95" s="1">
        <v>1</v>
      </c>
      <c r="U95" s="1"/>
      <c r="V95" s="1"/>
      <c r="W95" s="1"/>
      <c r="X95" s="1"/>
      <c r="Y95" s="1" t="s">
        <v>2</v>
      </c>
      <c r="Z95" s="1" t="s">
        <v>3</v>
      </c>
    </row>
    <row r="96" spans="1:2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>
        <v>9.5389999999999997</v>
      </c>
      <c r="Q96" s="1"/>
      <c r="R96" s="1"/>
      <c r="S96" s="1" t="s">
        <v>1</v>
      </c>
      <c r="T96" s="1">
        <v>1</v>
      </c>
      <c r="U96" s="1"/>
      <c r="V96" s="1"/>
      <c r="W96" s="1"/>
      <c r="X96" s="1"/>
      <c r="Y96" s="1" t="s">
        <v>2</v>
      </c>
      <c r="Z96" s="1" t="s">
        <v>3</v>
      </c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>
        <v>9.5340000000000007</v>
      </c>
      <c r="Q97" s="1"/>
      <c r="R97" s="1"/>
      <c r="S97" s="1" t="s">
        <v>1</v>
      </c>
      <c r="T97" s="1">
        <v>1</v>
      </c>
      <c r="U97" s="1"/>
      <c r="V97" s="1"/>
      <c r="W97" s="1"/>
      <c r="X97" s="1"/>
      <c r="Y97" s="1" t="s">
        <v>2</v>
      </c>
      <c r="Z97" s="1" t="s">
        <v>3</v>
      </c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>
        <v>9.5530000000000008</v>
      </c>
      <c r="Q98" s="1"/>
      <c r="R98" s="1"/>
      <c r="S98" s="1" t="s">
        <v>1</v>
      </c>
      <c r="T98" s="1">
        <v>1</v>
      </c>
      <c r="U98" s="1"/>
      <c r="V98" s="1"/>
      <c r="W98" s="1"/>
      <c r="X98" s="1"/>
      <c r="Y98" s="1" t="s">
        <v>2</v>
      </c>
      <c r="Z98" s="1" t="s">
        <v>3</v>
      </c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>
        <v>9.6080000000000005</v>
      </c>
      <c r="Q99" s="1"/>
      <c r="R99" s="1"/>
      <c r="S99" s="1" t="s">
        <v>1</v>
      </c>
      <c r="T99" s="1">
        <v>1</v>
      </c>
      <c r="U99" s="1"/>
      <c r="V99" s="1"/>
      <c r="W99" s="1"/>
      <c r="X99" s="1"/>
      <c r="Y99" s="1" t="s">
        <v>2</v>
      </c>
      <c r="Z99" s="1" t="s">
        <v>3</v>
      </c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>
        <v>9.5510000000000002</v>
      </c>
      <c r="Q100" s="1"/>
      <c r="R100" s="1"/>
      <c r="S100" s="1" t="s">
        <v>1</v>
      </c>
      <c r="T100" s="1">
        <v>1</v>
      </c>
      <c r="U100" s="1"/>
      <c r="V100" s="1"/>
      <c r="W100" s="1"/>
      <c r="X100" s="1"/>
      <c r="Y100" s="1" t="s">
        <v>2</v>
      </c>
      <c r="Z100" s="1" t="s">
        <v>3</v>
      </c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>
        <v>9.5510000000000002</v>
      </c>
      <c r="Q101" s="1"/>
      <c r="R101" s="1"/>
      <c r="S101" s="1" t="s">
        <v>1</v>
      </c>
      <c r="T101" s="1">
        <v>1</v>
      </c>
      <c r="U101" s="1"/>
      <c r="V101" s="1"/>
      <c r="W101" s="1"/>
      <c r="X101" s="1"/>
      <c r="Y101" s="1" t="s">
        <v>2</v>
      </c>
      <c r="Z101" s="1" t="s">
        <v>3</v>
      </c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>
        <v>9.5530000000000008</v>
      </c>
      <c r="Q102" s="1"/>
      <c r="R102" s="1"/>
      <c r="S102" s="1" t="s">
        <v>1</v>
      </c>
      <c r="T102" s="1">
        <v>1</v>
      </c>
      <c r="U102" s="1"/>
      <c r="V102" s="1"/>
      <c r="W102" s="1"/>
      <c r="X102" s="1"/>
      <c r="Y102" s="1" t="s">
        <v>2</v>
      </c>
      <c r="Z102" s="1" t="s">
        <v>3</v>
      </c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>
        <v>9.58</v>
      </c>
      <c r="Q103" s="1"/>
      <c r="R103" s="1"/>
      <c r="S103" s="1" t="s">
        <v>1</v>
      </c>
      <c r="T103" s="1">
        <v>1</v>
      </c>
      <c r="U103" s="1"/>
      <c r="V103" s="1"/>
      <c r="W103" s="1"/>
      <c r="X103" s="1"/>
      <c r="Y103" s="1" t="s">
        <v>2</v>
      </c>
      <c r="Z103" s="1" t="s">
        <v>3</v>
      </c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>
        <v>9.6620000000000008</v>
      </c>
      <c r="Q104" s="1"/>
      <c r="R104" s="1"/>
      <c r="S104" s="1" t="s">
        <v>1</v>
      </c>
      <c r="T104" s="1">
        <v>1</v>
      </c>
      <c r="U104" s="1"/>
      <c r="V104" s="1"/>
      <c r="W104" s="1"/>
      <c r="X104" s="1"/>
      <c r="Y104" s="1" t="s">
        <v>2</v>
      </c>
      <c r="Z104" s="1" t="s">
        <v>3</v>
      </c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>
        <v>9.5890000000000004</v>
      </c>
      <c r="Q105" s="1"/>
      <c r="R105" s="1"/>
      <c r="S105" s="1" t="s">
        <v>1</v>
      </c>
      <c r="T105" s="1">
        <v>1</v>
      </c>
      <c r="U105" s="1"/>
      <c r="V105" s="1"/>
      <c r="W105" s="1"/>
      <c r="X105" s="1"/>
      <c r="Y105" s="1" t="s">
        <v>2</v>
      </c>
      <c r="Z105" s="1" t="s">
        <v>3</v>
      </c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>
        <v>9.5579999999999998</v>
      </c>
      <c r="Q106" s="1"/>
      <c r="R106" s="1"/>
      <c r="S106" s="1" t="s">
        <v>1</v>
      </c>
      <c r="T106" s="1">
        <v>1</v>
      </c>
      <c r="U106" s="1"/>
      <c r="V106" s="1"/>
      <c r="W106" s="1"/>
      <c r="X106" s="1"/>
      <c r="Y106" s="1" t="s">
        <v>2</v>
      </c>
      <c r="Z106" s="1" t="s">
        <v>3</v>
      </c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>
        <v>9.5120000000000005</v>
      </c>
      <c r="Q107" s="1"/>
      <c r="R107" s="1"/>
      <c r="S107" s="1" t="s">
        <v>1</v>
      </c>
      <c r="T107" s="1">
        <v>1</v>
      </c>
      <c r="U107" s="1"/>
      <c r="V107" s="1"/>
      <c r="W107" s="1"/>
      <c r="X107" s="1"/>
      <c r="Y107" s="1" t="s">
        <v>2</v>
      </c>
      <c r="Z107" s="1" t="s">
        <v>3</v>
      </c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>
        <v>9.532</v>
      </c>
      <c r="Q108" s="1"/>
      <c r="R108" s="1"/>
      <c r="S108" s="1" t="s">
        <v>1</v>
      </c>
      <c r="T108" s="1">
        <v>1</v>
      </c>
      <c r="U108" s="1"/>
      <c r="V108" s="1"/>
      <c r="W108" s="1"/>
      <c r="X108" s="1"/>
      <c r="Y108" s="1" t="s">
        <v>2</v>
      </c>
      <c r="Z108" s="1" t="s">
        <v>3</v>
      </c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>
        <v>9.5510000000000002</v>
      </c>
      <c r="Q109" s="1"/>
      <c r="R109" s="1"/>
      <c r="S109" s="1" t="s">
        <v>1</v>
      </c>
      <c r="T109" s="1">
        <v>1</v>
      </c>
      <c r="U109" s="1"/>
      <c r="V109" s="1"/>
      <c r="W109" s="1"/>
      <c r="X109" s="1"/>
      <c r="Y109" s="1" t="s">
        <v>2</v>
      </c>
      <c r="Z109" s="1" t="s">
        <v>3</v>
      </c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>
        <v>9.5690000000000008</v>
      </c>
      <c r="Q110" s="1"/>
      <c r="R110" s="1"/>
      <c r="S110" s="1" t="s">
        <v>1</v>
      </c>
      <c r="T110" s="1">
        <v>1</v>
      </c>
      <c r="U110" s="1"/>
      <c r="V110" s="1"/>
      <c r="W110" s="1"/>
      <c r="X110" s="1"/>
      <c r="Y110" s="1" t="s">
        <v>2</v>
      </c>
      <c r="Z110" s="1" t="s">
        <v>3</v>
      </c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>
        <v>9.5389999999999997</v>
      </c>
      <c r="Q111" s="1"/>
      <c r="R111" s="1"/>
      <c r="S111" s="1" t="s">
        <v>1</v>
      </c>
      <c r="T111" s="1">
        <v>1</v>
      </c>
      <c r="U111" s="1"/>
      <c r="V111" s="1"/>
      <c r="W111" s="1"/>
      <c r="X111" s="1"/>
      <c r="Y111" s="1" t="s">
        <v>2</v>
      </c>
      <c r="Z111" s="1" t="s">
        <v>3</v>
      </c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>
        <v>9.52</v>
      </c>
      <c r="Q112" s="1"/>
      <c r="R112" s="1"/>
      <c r="S112" s="1" t="s">
        <v>1</v>
      </c>
      <c r="T112" s="1">
        <v>1</v>
      </c>
      <c r="U112" s="1"/>
      <c r="V112" s="1"/>
      <c r="W112" s="1"/>
      <c r="X112" s="1"/>
      <c r="Y112" s="1" t="s">
        <v>2</v>
      </c>
      <c r="Z112" s="1" t="s">
        <v>3</v>
      </c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>
        <v>8.7829999999999995</v>
      </c>
      <c r="Q113" s="1"/>
      <c r="R113" s="1"/>
      <c r="S113" s="1" t="s">
        <v>1</v>
      </c>
      <c r="T113" s="1">
        <v>0</v>
      </c>
      <c r="U113" s="1"/>
      <c r="V113" s="1"/>
      <c r="W113" s="1"/>
      <c r="X113" s="1"/>
      <c r="Y113" s="1" t="s">
        <v>2</v>
      </c>
      <c r="Z113" s="1" t="s">
        <v>3</v>
      </c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>
        <v>8.8140000000000001</v>
      </c>
      <c r="Q114" s="1"/>
      <c r="R114" s="1"/>
      <c r="S114" s="1" t="s">
        <v>1</v>
      </c>
      <c r="T114" s="1">
        <v>0</v>
      </c>
      <c r="U114" s="1"/>
      <c r="V114" s="1"/>
      <c r="W114" s="1"/>
      <c r="X114" s="1"/>
      <c r="Y114" s="1" t="s">
        <v>2</v>
      </c>
      <c r="Z114" s="1" t="s">
        <v>3</v>
      </c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>
        <v>8.8539999999999992</v>
      </c>
      <c r="Q115" s="1"/>
      <c r="R115" s="1"/>
      <c r="S115" s="1" t="s">
        <v>1</v>
      </c>
      <c r="T115" s="1">
        <v>0</v>
      </c>
      <c r="U115" s="1"/>
      <c r="V115" s="1"/>
      <c r="W115" s="1"/>
      <c r="X115" s="1"/>
      <c r="Y115" s="1" t="s">
        <v>2</v>
      </c>
      <c r="Z115" s="1" t="s">
        <v>3</v>
      </c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>
        <v>8.8089999999999993</v>
      </c>
      <c r="Q116" s="1"/>
      <c r="R116" s="1"/>
      <c r="S116" s="1" t="s">
        <v>1</v>
      </c>
      <c r="T116" s="1">
        <v>0</v>
      </c>
      <c r="U116" s="1"/>
      <c r="V116" s="1"/>
      <c r="W116" s="1"/>
      <c r="X116" s="1"/>
      <c r="Y116" s="1" t="s">
        <v>2</v>
      </c>
      <c r="Z116" s="1" t="s">
        <v>3</v>
      </c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>
        <v>8.81</v>
      </c>
      <c r="Q117" s="1"/>
      <c r="R117" s="1"/>
      <c r="S117" s="1" t="s">
        <v>1</v>
      </c>
      <c r="T117" s="1">
        <v>0</v>
      </c>
      <c r="U117" s="1"/>
      <c r="V117" s="1"/>
      <c r="W117" s="1"/>
      <c r="X117" s="1"/>
      <c r="Y117" s="1" t="s">
        <v>2</v>
      </c>
      <c r="Z117" s="1" t="s">
        <v>3</v>
      </c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>
        <v>8.7870000000000008</v>
      </c>
      <c r="Q118" s="1"/>
      <c r="R118" s="1"/>
      <c r="S118" s="1" t="s">
        <v>1</v>
      </c>
      <c r="T118" s="1">
        <v>0</v>
      </c>
      <c r="U118" s="1"/>
      <c r="V118" s="1"/>
      <c r="W118" s="1"/>
      <c r="X118" s="1"/>
      <c r="Y118" s="1" t="s">
        <v>2</v>
      </c>
      <c r="Z118" s="1" t="s">
        <v>3</v>
      </c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>
        <v>9.577</v>
      </c>
      <c r="Q119" s="1"/>
      <c r="R119" s="1"/>
      <c r="S119" s="1" t="s">
        <v>1</v>
      </c>
      <c r="T119" s="1">
        <v>1</v>
      </c>
      <c r="U119" s="1"/>
      <c r="V119" s="1"/>
      <c r="W119" s="1"/>
      <c r="X119" s="1"/>
      <c r="Y119" s="1" t="s">
        <v>2</v>
      </c>
      <c r="Z119" s="1" t="s">
        <v>3</v>
      </c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>
        <v>9.5950000000000006</v>
      </c>
      <c r="Q120" s="1"/>
      <c r="R120" s="1"/>
      <c r="S120" s="1" t="s">
        <v>1</v>
      </c>
      <c r="T120" s="1">
        <v>1</v>
      </c>
      <c r="U120" s="1"/>
      <c r="V120" s="1"/>
      <c r="W120" s="1"/>
      <c r="X120" s="1"/>
      <c r="Y120" s="1" t="s">
        <v>2</v>
      </c>
      <c r="Z120" s="1" t="s">
        <v>3</v>
      </c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>
        <v>9.57</v>
      </c>
      <c r="Q121" s="1"/>
      <c r="R121" s="1"/>
      <c r="S121" s="1" t="s">
        <v>1</v>
      </c>
      <c r="T121" s="1">
        <v>1</v>
      </c>
      <c r="U121" s="1"/>
      <c r="V121" s="1"/>
      <c r="W121" s="1"/>
      <c r="X121" s="1"/>
      <c r="Y121" s="1" t="s">
        <v>2</v>
      </c>
      <c r="Z121" s="1" t="s">
        <v>3</v>
      </c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>
        <v>9.5020000000000007</v>
      </c>
      <c r="Q122" s="1"/>
      <c r="R122" s="1"/>
      <c r="S122" s="1" t="s">
        <v>1</v>
      </c>
      <c r="T122" s="1">
        <v>1</v>
      </c>
      <c r="U122" s="1"/>
      <c r="V122" s="1"/>
      <c r="W122" s="1"/>
      <c r="X122" s="1"/>
      <c r="Y122" s="1" t="s">
        <v>2</v>
      </c>
      <c r="Z122" s="1" t="s">
        <v>3</v>
      </c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>
        <v>9.5310000000000006</v>
      </c>
      <c r="Q123" s="1"/>
      <c r="R123" s="1"/>
      <c r="S123" s="1" t="s">
        <v>1</v>
      </c>
      <c r="T123" s="1">
        <v>1</v>
      </c>
      <c r="U123" s="1"/>
      <c r="V123" s="1"/>
      <c r="W123" s="1"/>
      <c r="X123" s="1"/>
      <c r="Y123" s="1" t="s">
        <v>2</v>
      </c>
      <c r="Z123" s="1" t="s">
        <v>3</v>
      </c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>
        <v>9.5670000000000002</v>
      </c>
      <c r="Q124" s="1"/>
      <c r="R124" s="1"/>
      <c r="S124" s="1" t="s">
        <v>1</v>
      </c>
      <c r="T124" s="1">
        <v>1</v>
      </c>
      <c r="U124" s="1"/>
      <c r="V124" s="1"/>
      <c r="W124" s="1"/>
      <c r="X124" s="1"/>
      <c r="Y124" s="1" t="s">
        <v>2</v>
      </c>
      <c r="Z124" s="1" t="s">
        <v>3</v>
      </c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>
        <v>9.5519999999999996</v>
      </c>
      <c r="Q125" s="1"/>
      <c r="R125" s="1"/>
      <c r="S125" s="1" t="s">
        <v>1</v>
      </c>
      <c r="T125" s="1">
        <v>1</v>
      </c>
      <c r="U125" s="1"/>
      <c r="V125" s="1"/>
      <c r="W125" s="1"/>
      <c r="X125" s="1"/>
      <c r="Y125" s="1" t="s">
        <v>2</v>
      </c>
      <c r="Z125" s="1" t="s">
        <v>3</v>
      </c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>
        <v>9.5749999999999993</v>
      </c>
      <c r="Q126" s="1"/>
      <c r="R126" s="1"/>
      <c r="S126" s="1" t="s">
        <v>1</v>
      </c>
      <c r="T126" s="1">
        <v>1</v>
      </c>
      <c r="U126" s="1"/>
      <c r="V126" s="1"/>
      <c r="W126" s="1"/>
      <c r="X126" s="1"/>
      <c r="Y126" s="1" t="s">
        <v>2</v>
      </c>
      <c r="Z126" s="1" t="s">
        <v>3</v>
      </c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>
        <v>9.5459999999999994</v>
      </c>
      <c r="Q127" s="1"/>
      <c r="R127" s="1"/>
      <c r="S127" s="1" t="s">
        <v>1</v>
      </c>
      <c r="T127" s="1">
        <v>1</v>
      </c>
      <c r="U127" s="1"/>
      <c r="V127" s="1"/>
      <c r="W127" s="1"/>
      <c r="X127" s="1"/>
      <c r="Y127" s="1" t="s">
        <v>2</v>
      </c>
      <c r="Z127" s="1" t="s">
        <v>3</v>
      </c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>
        <v>9.5890000000000004</v>
      </c>
      <c r="Q128" s="1"/>
      <c r="R128" s="1"/>
      <c r="S128" s="1" t="s">
        <v>1</v>
      </c>
      <c r="T128" s="1">
        <v>1</v>
      </c>
      <c r="U128" s="1"/>
      <c r="V128" s="1"/>
      <c r="W128" s="1"/>
      <c r="X128" s="1"/>
      <c r="Y128" s="1" t="s">
        <v>2</v>
      </c>
      <c r="Z128" s="1" t="s">
        <v>3</v>
      </c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>
        <v>9.5779999999999994</v>
      </c>
      <c r="Q129" s="1"/>
      <c r="R129" s="1"/>
      <c r="S129" s="1" t="s">
        <v>1</v>
      </c>
      <c r="T129" s="1">
        <v>1</v>
      </c>
      <c r="U129" s="1"/>
      <c r="V129" s="1"/>
      <c r="W129" s="1"/>
      <c r="X129" s="1"/>
      <c r="Y129" s="1" t="s">
        <v>2</v>
      </c>
      <c r="Z129" s="1" t="s">
        <v>3</v>
      </c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>
        <v>9.5410000000000004</v>
      </c>
      <c r="Q130" s="1"/>
      <c r="R130" s="1"/>
      <c r="S130" s="1" t="s">
        <v>1</v>
      </c>
      <c r="T130" s="1">
        <v>1</v>
      </c>
      <c r="U130" s="1"/>
      <c r="V130" s="1"/>
      <c r="W130" s="1"/>
      <c r="X130" s="1"/>
      <c r="Y130" s="1" t="s">
        <v>2</v>
      </c>
      <c r="Z130" s="1" t="s">
        <v>3</v>
      </c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>
        <v>9.5709999999999997</v>
      </c>
      <c r="Q131" s="1"/>
      <c r="R131" s="1"/>
      <c r="S131" s="1" t="s">
        <v>1</v>
      </c>
      <c r="T131" s="1">
        <v>1</v>
      </c>
      <c r="U131" s="1"/>
      <c r="V131" s="1"/>
      <c r="W131" s="1"/>
      <c r="X131" s="1"/>
      <c r="Y131" s="1" t="s">
        <v>2</v>
      </c>
      <c r="Z131" s="1" t="s">
        <v>3</v>
      </c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>
        <v>9.5329999999999995</v>
      </c>
      <c r="Q132" s="1"/>
      <c r="R132" s="1"/>
      <c r="S132" s="1" t="s">
        <v>1</v>
      </c>
      <c r="T132" s="1">
        <v>1</v>
      </c>
      <c r="U132" s="1"/>
      <c r="V132" s="1"/>
      <c r="W132" s="1"/>
      <c r="X132" s="1"/>
      <c r="Y132" s="1" t="s">
        <v>2</v>
      </c>
      <c r="Z132" s="1" t="s">
        <v>3</v>
      </c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>
        <v>9.69</v>
      </c>
      <c r="Q133" s="1"/>
      <c r="R133" s="1"/>
      <c r="S133" s="1" t="s">
        <v>1</v>
      </c>
      <c r="T133" s="1">
        <v>1</v>
      </c>
      <c r="U133" s="1"/>
      <c r="V133" s="1"/>
      <c r="W133" s="1"/>
      <c r="X133" s="1"/>
      <c r="Y133" s="1" t="s">
        <v>2</v>
      </c>
      <c r="Z133" s="1" t="s">
        <v>3</v>
      </c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>
        <v>9.5739999999999998</v>
      </c>
      <c r="Q134" s="1"/>
      <c r="R134" s="1"/>
      <c r="S134" s="1" t="s">
        <v>1</v>
      </c>
      <c r="T134" s="1">
        <v>1</v>
      </c>
      <c r="U134" s="1"/>
      <c r="V134" s="1"/>
      <c r="W134" s="1"/>
      <c r="X134" s="1"/>
      <c r="Y134" s="1" t="s">
        <v>2</v>
      </c>
      <c r="Z134" s="1" t="s">
        <v>3</v>
      </c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>
        <v>9.5579999999999998</v>
      </c>
      <c r="Q135" s="1"/>
      <c r="R135" s="1"/>
      <c r="S135" s="1" t="s">
        <v>1</v>
      </c>
      <c r="T135" s="1">
        <v>1</v>
      </c>
      <c r="U135" s="1"/>
      <c r="V135" s="1"/>
      <c r="W135" s="1"/>
      <c r="X135" s="1"/>
      <c r="Y135" s="1" t="s">
        <v>2</v>
      </c>
      <c r="Z135" s="1" t="s">
        <v>3</v>
      </c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>
        <v>9.5579999999999998</v>
      </c>
      <c r="Q136" s="1"/>
      <c r="R136" s="1"/>
      <c r="S136" s="1" t="s">
        <v>1</v>
      </c>
      <c r="T136" s="1">
        <v>1</v>
      </c>
      <c r="U136" s="1"/>
      <c r="V136" s="1"/>
      <c r="W136" s="1"/>
      <c r="X136" s="1"/>
      <c r="Y136" s="1" t="s">
        <v>2</v>
      </c>
      <c r="Z136" s="1" t="s">
        <v>3</v>
      </c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>
        <v>9.5410000000000004</v>
      </c>
      <c r="Q137" s="1"/>
      <c r="R137" s="1"/>
      <c r="S137" s="1" t="s">
        <v>1</v>
      </c>
      <c r="T137" s="1">
        <v>1</v>
      </c>
      <c r="U137" s="1"/>
      <c r="V137" s="1"/>
      <c r="W137" s="1"/>
      <c r="X137" s="1"/>
      <c r="Y137" s="1" t="s">
        <v>2</v>
      </c>
      <c r="Z137" s="1" t="s">
        <v>3</v>
      </c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>
        <v>9.5329999999999995</v>
      </c>
      <c r="Q138" s="1"/>
      <c r="R138" s="1"/>
      <c r="S138" s="1" t="s">
        <v>1</v>
      </c>
      <c r="T138" s="1">
        <v>1</v>
      </c>
      <c r="U138" s="1"/>
      <c r="V138" s="1"/>
      <c r="W138" s="1"/>
      <c r="X138" s="1"/>
      <c r="Y138" s="1" t="s">
        <v>2</v>
      </c>
      <c r="Z138" s="1" t="s">
        <v>3</v>
      </c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>
        <v>9.5470000000000006</v>
      </c>
      <c r="Q139" s="1"/>
      <c r="R139" s="1"/>
      <c r="S139" s="1" t="s">
        <v>1</v>
      </c>
      <c r="T139" s="1">
        <v>1</v>
      </c>
      <c r="U139" s="1"/>
      <c r="V139" s="1"/>
      <c r="W139" s="1"/>
      <c r="X139" s="1"/>
      <c r="Y139" s="1" t="s">
        <v>2</v>
      </c>
      <c r="Z139" s="1" t="s">
        <v>3</v>
      </c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>
        <v>9.5060000000000002</v>
      </c>
      <c r="Q140" s="1"/>
      <c r="R140" s="1"/>
      <c r="S140" s="1" t="s">
        <v>1</v>
      </c>
      <c r="T140" s="1">
        <v>1</v>
      </c>
      <c r="U140" s="1"/>
      <c r="V140" s="1"/>
      <c r="W140" s="1"/>
      <c r="X140" s="1"/>
      <c r="Y140" s="1" t="s">
        <v>2</v>
      </c>
      <c r="Z140" s="1" t="s">
        <v>3</v>
      </c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>
        <v>9.5540000000000003</v>
      </c>
      <c r="Q141" s="1"/>
      <c r="R141" s="1"/>
      <c r="S141" s="1" t="s">
        <v>1</v>
      </c>
      <c r="T141" s="1">
        <v>1</v>
      </c>
      <c r="U141" s="1"/>
      <c r="V141" s="1"/>
      <c r="W141" s="1"/>
      <c r="X141" s="1"/>
      <c r="Y141" s="1" t="s">
        <v>2</v>
      </c>
      <c r="Z141" s="1" t="s">
        <v>3</v>
      </c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>
        <v>9.593</v>
      </c>
      <c r="Q142" s="1"/>
      <c r="R142" s="1"/>
      <c r="S142" s="1" t="s">
        <v>1</v>
      </c>
      <c r="T142" s="1">
        <v>1</v>
      </c>
      <c r="U142" s="1"/>
      <c r="V142" s="1"/>
      <c r="W142" s="1"/>
      <c r="X142" s="1"/>
      <c r="Y142" s="1" t="s">
        <v>2</v>
      </c>
      <c r="Z142" s="1" t="s">
        <v>3</v>
      </c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>
        <v>8.8390000000000004</v>
      </c>
      <c r="Q143" s="1"/>
      <c r="R143" s="1"/>
      <c r="S143" s="1" t="s">
        <v>1</v>
      </c>
      <c r="T143" s="1">
        <v>0</v>
      </c>
      <c r="U143" s="1"/>
      <c r="V143" s="1"/>
      <c r="W143" s="1"/>
      <c r="X143" s="1"/>
      <c r="Y143" s="1" t="s">
        <v>2</v>
      </c>
      <c r="Z143" s="1" t="s">
        <v>3</v>
      </c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>
        <v>8.7370000000000001</v>
      </c>
      <c r="Q144" s="1"/>
      <c r="R144" s="1"/>
      <c r="S144" s="1" t="s">
        <v>1</v>
      </c>
      <c r="T144" s="1">
        <v>0</v>
      </c>
      <c r="U144" s="1"/>
      <c r="V144" s="1"/>
      <c r="W144" s="1"/>
      <c r="X144" s="1"/>
      <c r="Y144" s="1" t="s">
        <v>2</v>
      </c>
      <c r="Z144" s="1" t="s">
        <v>3</v>
      </c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>
        <v>8.859</v>
      </c>
      <c r="Q145" s="1"/>
      <c r="R145" s="1"/>
      <c r="S145" s="1" t="s">
        <v>1</v>
      </c>
      <c r="T145" s="1">
        <v>0</v>
      </c>
      <c r="U145" s="1"/>
      <c r="V145" s="1"/>
      <c r="W145" s="1"/>
      <c r="X145" s="1"/>
      <c r="Y145" s="1" t="s">
        <v>2</v>
      </c>
      <c r="Z145" s="1" t="s">
        <v>3</v>
      </c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>
        <v>8.8689999999999998</v>
      </c>
      <c r="Q146" s="1"/>
      <c r="R146" s="1"/>
      <c r="S146" s="1" t="s">
        <v>1</v>
      </c>
      <c r="T146" s="1">
        <v>0</v>
      </c>
      <c r="U146" s="1"/>
      <c r="V146" s="1"/>
      <c r="W146" s="1"/>
      <c r="X146" s="1"/>
      <c r="Y146" s="1" t="s">
        <v>2</v>
      </c>
      <c r="Z146" s="1" t="s">
        <v>3</v>
      </c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>
        <v>8.84</v>
      </c>
      <c r="Q147" s="1"/>
      <c r="R147" s="1"/>
      <c r="S147" s="1" t="s">
        <v>1</v>
      </c>
      <c r="T147" s="1">
        <v>0</v>
      </c>
      <c r="U147" s="1"/>
      <c r="V147" s="1"/>
      <c r="W147" s="1"/>
      <c r="X147" s="1"/>
      <c r="Y147" s="1" t="s">
        <v>2</v>
      </c>
      <c r="Z147" s="1" t="s">
        <v>3</v>
      </c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>
        <v>9.5359999999999996</v>
      </c>
      <c r="Q148" s="1"/>
      <c r="R148" s="1"/>
      <c r="S148" s="1" t="s">
        <v>1</v>
      </c>
      <c r="T148" s="1">
        <v>1</v>
      </c>
      <c r="U148" s="1"/>
      <c r="V148" s="1"/>
      <c r="W148" s="1"/>
      <c r="X148" s="1"/>
      <c r="Y148" s="1" t="s">
        <v>2</v>
      </c>
      <c r="Z148" s="1" t="s">
        <v>3</v>
      </c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>
        <v>9.5359999999999996</v>
      </c>
      <c r="Q149" s="1"/>
      <c r="R149" s="1"/>
      <c r="S149" s="1" t="s">
        <v>1</v>
      </c>
      <c r="T149" s="1">
        <v>1</v>
      </c>
      <c r="U149" s="1"/>
      <c r="V149" s="1"/>
      <c r="W149" s="1"/>
      <c r="X149" s="1"/>
      <c r="Y149" s="1" t="s">
        <v>2</v>
      </c>
      <c r="Z149" s="1" t="s">
        <v>3</v>
      </c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>
        <v>9.5990000000000002</v>
      </c>
      <c r="Q150" s="1"/>
      <c r="R150" s="1"/>
      <c r="S150" s="1" t="s">
        <v>1</v>
      </c>
      <c r="T150" s="1">
        <v>1</v>
      </c>
      <c r="U150" s="1"/>
      <c r="V150" s="1"/>
      <c r="W150" s="1"/>
      <c r="X150" s="1"/>
      <c r="Y150" s="1" t="s">
        <v>2</v>
      </c>
      <c r="Z150" s="1" t="s">
        <v>3</v>
      </c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>
        <v>9.6069999999999993</v>
      </c>
      <c r="Q151" s="1"/>
      <c r="R151" s="1"/>
      <c r="S151" s="1" t="s">
        <v>1</v>
      </c>
      <c r="T151" s="1">
        <v>1</v>
      </c>
      <c r="U151" s="1"/>
      <c r="V151" s="1"/>
      <c r="W151" s="1"/>
      <c r="X151" s="1"/>
      <c r="Y151" s="1" t="s">
        <v>2</v>
      </c>
      <c r="Z151" s="1" t="s">
        <v>3</v>
      </c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>
        <v>9.48</v>
      </c>
      <c r="Q152" s="1"/>
      <c r="R152" s="1"/>
      <c r="S152" s="1" t="s">
        <v>1</v>
      </c>
      <c r="T152" s="1">
        <v>1</v>
      </c>
      <c r="U152" s="1"/>
      <c r="V152" s="1"/>
      <c r="W152" s="1"/>
      <c r="X152" s="1"/>
      <c r="Y152" s="1" t="s">
        <v>2</v>
      </c>
      <c r="Z152" s="1" t="s">
        <v>3</v>
      </c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>
        <v>9.5779999999999994</v>
      </c>
      <c r="Q153" s="1"/>
      <c r="R153" s="1"/>
      <c r="S153" s="1" t="s">
        <v>1</v>
      </c>
      <c r="T153" s="1">
        <v>1</v>
      </c>
      <c r="U153" s="1"/>
      <c r="V153" s="1"/>
      <c r="W153" s="1"/>
      <c r="X153" s="1"/>
      <c r="Y153" s="1" t="s">
        <v>2</v>
      </c>
      <c r="Z153" s="1" t="s">
        <v>3</v>
      </c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>
        <v>9.5549999999999997</v>
      </c>
      <c r="Q154" s="1"/>
      <c r="R154" s="1"/>
      <c r="S154" s="1" t="s">
        <v>1</v>
      </c>
      <c r="T154" s="1">
        <v>1</v>
      </c>
      <c r="U154" s="1"/>
      <c r="V154" s="1"/>
      <c r="W154" s="1"/>
      <c r="X154" s="1"/>
      <c r="Y154" s="1" t="s">
        <v>2</v>
      </c>
      <c r="Z154" s="1" t="s">
        <v>3</v>
      </c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>
        <v>9.5030000000000001</v>
      </c>
      <c r="Q155" s="1"/>
      <c r="R155" s="1"/>
      <c r="S155" s="1" t="s">
        <v>1</v>
      </c>
      <c r="T155" s="1">
        <v>1</v>
      </c>
      <c r="U155" s="1"/>
      <c r="V155" s="1"/>
      <c r="W155" s="1"/>
      <c r="X155" s="1"/>
      <c r="Y155" s="1" t="s">
        <v>2</v>
      </c>
      <c r="Z155" s="1" t="s">
        <v>3</v>
      </c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>
        <v>9.4969999999999999</v>
      </c>
      <c r="Q156" s="1"/>
      <c r="R156" s="1"/>
      <c r="S156" s="1" t="s">
        <v>1</v>
      </c>
      <c r="T156" s="1">
        <v>1</v>
      </c>
      <c r="U156" s="1"/>
      <c r="V156" s="1"/>
      <c r="W156" s="1"/>
      <c r="X156" s="1"/>
      <c r="Y156" s="1" t="s">
        <v>2</v>
      </c>
      <c r="Z156" s="1" t="s">
        <v>3</v>
      </c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>
        <v>9.5809999999999995</v>
      </c>
      <c r="Q157" s="1"/>
      <c r="R157" s="1"/>
      <c r="S157" s="1" t="s">
        <v>1</v>
      </c>
      <c r="T157" s="1">
        <v>1</v>
      </c>
      <c r="U157" s="1"/>
      <c r="V157" s="1"/>
      <c r="W157" s="1"/>
      <c r="X157" s="1"/>
      <c r="Y157" s="1" t="s">
        <v>2</v>
      </c>
      <c r="Z157" s="1" t="s">
        <v>3</v>
      </c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>
        <v>9.5709999999999997</v>
      </c>
      <c r="Q158" s="1"/>
      <c r="R158" s="1"/>
      <c r="S158" s="1" t="s">
        <v>1</v>
      </c>
      <c r="T158" s="1">
        <v>1</v>
      </c>
      <c r="U158" s="1"/>
      <c r="V158" s="1"/>
      <c r="W158" s="1"/>
      <c r="X158" s="1"/>
      <c r="Y158" s="1" t="s">
        <v>2</v>
      </c>
      <c r="Z158" s="1" t="s">
        <v>3</v>
      </c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>
        <v>9.5860000000000003</v>
      </c>
      <c r="Q159" s="1"/>
      <c r="R159" s="1"/>
      <c r="S159" s="1" t="s">
        <v>1</v>
      </c>
      <c r="T159" s="1">
        <v>1</v>
      </c>
      <c r="U159" s="1"/>
      <c r="V159" s="1"/>
      <c r="W159" s="1"/>
      <c r="X159" s="1"/>
      <c r="Y159" s="1" t="s">
        <v>2</v>
      </c>
      <c r="Z159" s="1" t="s">
        <v>3</v>
      </c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>
        <v>9.5510000000000002</v>
      </c>
      <c r="Q160" s="1"/>
      <c r="R160" s="1"/>
      <c r="S160" s="1" t="s">
        <v>1</v>
      </c>
      <c r="T160" s="1">
        <v>1</v>
      </c>
      <c r="U160" s="1"/>
      <c r="V160" s="1"/>
      <c r="W160" s="1"/>
      <c r="X160" s="1"/>
      <c r="Y160" s="1" t="s">
        <v>2</v>
      </c>
      <c r="Z160" s="1" t="s">
        <v>3</v>
      </c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>
        <v>9.5969999999999995</v>
      </c>
      <c r="Q161" s="1"/>
      <c r="R161" s="1"/>
      <c r="S161" s="1" t="s">
        <v>1</v>
      </c>
      <c r="T161" s="1">
        <v>1</v>
      </c>
      <c r="U161" s="1"/>
      <c r="V161" s="1"/>
      <c r="W161" s="1"/>
      <c r="X161" s="1"/>
      <c r="Y161" s="1" t="s">
        <v>2</v>
      </c>
      <c r="Z161" s="1" t="s">
        <v>3</v>
      </c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>
        <v>9.5389999999999997</v>
      </c>
      <c r="Q162" s="1"/>
      <c r="R162" s="1"/>
      <c r="S162" s="1" t="s">
        <v>1</v>
      </c>
      <c r="T162" s="1">
        <v>1</v>
      </c>
      <c r="U162" s="1"/>
      <c r="V162" s="1"/>
      <c r="W162" s="1"/>
      <c r="X162" s="1"/>
      <c r="Y162" s="1" t="s">
        <v>2</v>
      </c>
      <c r="Z162" s="1" t="s">
        <v>3</v>
      </c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>
        <v>9.5370000000000008</v>
      </c>
      <c r="Q163" s="1"/>
      <c r="R163" s="1"/>
      <c r="S163" s="1" t="s">
        <v>1</v>
      </c>
      <c r="T163" s="1">
        <v>1</v>
      </c>
      <c r="U163" s="1"/>
      <c r="V163" s="1"/>
      <c r="W163" s="1"/>
      <c r="X163" s="1"/>
      <c r="Y163" s="1" t="s">
        <v>2</v>
      </c>
      <c r="Z163" s="1" t="s">
        <v>3</v>
      </c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>
        <v>9.5459999999999994</v>
      </c>
      <c r="Q164" s="1"/>
      <c r="R164" s="1"/>
      <c r="S164" s="1" t="s">
        <v>1</v>
      </c>
      <c r="T164" s="1">
        <v>1</v>
      </c>
      <c r="U164" s="1"/>
      <c r="V164" s="1"/>
      <c r="W164" s="1"/>
      <c r="X164" s="1"/>
      <c r="Y164" s="1" t="s">
        <v>2</v>
      </c>
      <c r="Z164" s="1" t="s">
        <v>3</v>
      </c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>
        <v>9.516</v>
      </c>
      <c r="Q165" s="1"/>
      <c r="R165" s="1"/>
      <c r="S165" s="1" t="s">
        <v>1</v>
      </c>
      <c r="T165" s="1">
        <v>1</v>
      </c>
      <c r="U165" s="1"/>
      <c r="V165" s="1"/>
      <c r="W165" s="1"/>
      <c r="X165" s="1"/>
      <c r="Y165" s="1" t="s">
        <v>2</v>
      </c>
      <c r="Z165" s="1" t="s">
        <v>3</v>
      </c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>
        <v>9.5709999999999997</v>
      </c>
      <c r="Q166" s="1"/>
      <c r="R166" s="1"/>
      <c r="S166" s="1" t="s">
        <v>1</v>
      </c>
      <c r="T166" s="1">
        <v>1</v>
      </c>
      <c r="U166" s="1"/>
      <c r="V166" s="1"/>
      <c r="W166" s="1"/>
      <c r="X166" s="1"/>
      <c r="Y166" s="1" t="s">
        <v>2</v>
      </c>
      <c r="Z166" s="1" t="s">
        <v>3</v>
      </c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>
        <v>9.5809999999999995</v>
      </c>
      <c r="Q167" s="1"/>
      <c r="R167" s="1"/>
      <c r="S167" s="1" t="s">
        <v>1</v>
      </c>
      <c r="T167" s="1">
        <v>1</v>
      </c>
      <c r="U167" s="1"/>
      <c r="V167" s="1"/>
      <c r="W167" s="1"/>
      <c r="X167" s="1"/>
      <c r="Y167" s="1" t="s">
        <v>2</v>
      </c>
      <c r="Z167" s="1" t="s">
        <v>3</v>
      </c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>
        <v>9.5709999999999997</v>
      </c>
      <c r="Q168" s="1"/>
      <c r="R168" s="1"/>
      <c r="S168" s="1" t="s">
        <v>1</v>
      </c>
      <c r="T168" s="1">
        <v>1</v>
      </c>
      <c r="U168" s="1"/>
      <c r="V168" s="1"/>
      <c r="W168" s="1"/>
      <c r="X168" s="1"/>
      <c r="Y168" s="1" t="s">
        <v>2</v>
      </c>
      <c r="Z168" s="1" t="s">
        <v>3</v>
      </c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>
        <v>9.5670000000000002</v>
      </c>
      <c r="Q169" s="1"/>
      <c r="R169" s="1"/>
      <c r="S169" s="1" t="s">
        <v>1</v>
      </c>
      <c r="T169" s="1">
        <v>1</v>
      </c>
      <c r="U169" s="1"/>
      <c r="V169" s="1"/>
      <c r="W169" s="1"/>
      <c r="X169" s="1"/>
      <c r="Y169" s="1" t="s">
        <v>2</v>
      </c>
      <c r="Z169" s="1" t="s">
        <v>3</v>
      </c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>
        <v>9.5839999999999996</v>
      </c>
      <c r="Q170" s="1"/>
      <c r="R170" s="1"/>
      <c r="S170" s="1" t="s">
        <v>1</v>
      </c>
      <c r="T170" s="1">
        <v>1</v>
      </c>
      <c r="U170" s="1"/>
      <c r="V170" s="1"/>
      <c r="W170" s="1"/>
      <c r="X170" s="1"/>
      <c r="Y170" s="1" t="s">
        <v>2</v>
      </c>
      <c r="Z170" s="1" t="s">
        <v>3</v>
      </c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>
        <v>9.5649999999999995</v>
      </c>
      <c r="Q171" s="1"/>
      <c r="R171" s="1"/>
      <c r="S171" s="1" t="s">
        <v>1</v>
      </c>
      <c r="T171" s="1">
        <v>1</v>
      </c>
      <c r="U171" s="1"/>
      <c r="V171" s="1"/>
      <c r="W171" s="1"/>
      <c r="X171" s="1"/>
      <c r="Y171" s="1" t="s">
        <v>2</v>
      </c>
      <c r="Z171" s="1" t="s">
        <v>3</v>
      </c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>
        <v>9.5459999999999994</v>
      </c>
      <c r="Q172" s="1"/>
      <c r="R172" s="1"/>
      <c r="S172" s="1" t="s">
        <v>1</v>
      </c>
      <c r="T172" s="1">
        <v>1</v>
      </c>
      <c r="U172" s="1"/>
      <c r="V172" s="1"/>
      <c r="W172" s="1"/>
      <c r="X172" s="1"/>
      <c r="Y172" s="1" t="s">
        <v>2</v>
      </c>
      <c r="Z172" s="1" t="s">
        <v>3</v>
      </c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>
        <v>9.5500000000000007</v>
      </c>
      <c r="Q173" s="1"/>
      <c r="R173" s="1"/>
      <c r="S173" s="1" t="s">
        <v>1</v>
      </c>
      <c r="T173" s="1">
        <v>1</v>
      </c>
      <c r="U173" s="1"/>
      <c r="V173" s="1"/>
      <c r="W173" s="1"/>
      <c r="X173" s="1"/>
      <c r="Y173" s="1" t="s">
        <v>2</v>
      </c>
      <c r="Z173" s="1" t="s">
        <v>3</v>
      </c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>
        <v>9.5519999999999996</v>
      </c>
      <c r="Q174" s="1"/>
      <c r="R174" s="1"/>
      <c r="S174" s="1" t="s">
        <v>1</v>
      </c>
      <c r="T174" s="1">
        <v>1</v>
      </c>
      <c r="U174" s="1"/>
      <c r="V174" s="1"/>
      <c r="W174" s="1"/>
      <c r="X174" s="1"/>
      <c r="Y174" s="1" t="s">
        <v>2</v>
      </c>
      <c r="Z174" s="1" t="s">
        <v>3</v>
      </c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>
        <v>9.5220000000000002</v>
      </c>
      <c r="Q175" s="1"/>
      <c r="R175" s="1"/>
      <c r="S175" s="1" t="s">
        <v>1</v>
      </c>
      <c r="T175" s="1">
        <v>1</v>
      </c>
      <c r="U175" s="1"/>
      <c r="V175" s="1"/>
      <c r="W175" s="1"/>
      <c r="X175" s="1"/>
      <c r="Y175" s="1" t="s">
        <v>2</v>
      </c>
      <c r="Z175" s="1" t="s">
        <v>3</v>
      </c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>
        <v>9.57</v>
      </c>
      <c r="Q176" s="1"/>
      <c r="R176" s="1"/>
      <c r="S176" s="1" t="s">
        <v>1</v>
      </c>
      <c r="T176" s="1">
        <v>1</v>
      </c>
      <c r="U176" s="1"/>
      <c r="V176" s="1"/>
      <c r="W176" s="1"/>
      <c r="X176" s="1"/>
      <c r="Y176" s="1" t="s">
        <v>2</v>
      </c>
      <c r="Z176" s="1" t="s">
        <v>3</v>
      </c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>
        <v>9.5540000000000003</v>
      </c>
      <c r="Q177" s="1"/>
      <c r="R177" s="1"/>
      <c r="S177" s="1" t="s">
        <v>1</v>
      </c>
      <c r="T177" s="1">
        <v>1</v>
      </c>
      <c r="U177" s="1"/>
      <c r="V177" s="1"/>
      <c r="W177" s="1"/>
      <c r="X177" s="1"/>
      <c r="Y177" s="1" t="s">
        <v>2</v>
      </c>
      <c r="Z177" s="1" t="s">
        <v>3</v>
      </c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>
        <v>9.5679999999999996</v>
      </c>
      <c r="Q178" s="1"/>
      <c r="R178" s="1"/>
      <c r="S178" s="1" t="s">
        <v>1</v>
      </c>
      <c r="T178" s="1">
        <v>1</v>
      </c>
      <c r="U178" s="1"/>
      <c r="V178" s="1"/>
      <c r="W178" s="1"/>
      <c r="X178" s="1"/>
      <c r="Y178" s="1" t="s">
        <v>2</v>
      </c>
      <c r="Z178" s="1" t="s">
        <v>3</v>
      </c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>
        <v>8.8390000000000004</v>
      </c>
      <c r="Q179" s="1"/>
      <c r="R179" s="1"/>
      <c r="S179" s="1" t="s">
        <v>1</v>
      </c>
      <c r="T179" s="1">
        <v>0</v>
      </c>
      <c r="U179" s="1"/>
      <c r="V179" s="1"/>
      <c r="W179" s="1"/>
      <c r="X179" s="1"/>
      <c r="Y179" s="1" t="s">
        <v>2</v>
      </c>
      <c r="Z179" s="1" t="s">
        <v>3</v>
      </c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>
        <v>8.8350000000000009</v>
      </c>
      <c r="Q180" s="1"/>
      <c r="R180" s="1"/>
      <c r="S180" s="1" t="s">
        <v>1</v>
      </c>
      <c r="T180" s="1">
        <v>0</v>
      </c>
      <c r="U180" s="1"/>
      <c r="V180" s="1"/>
      <c r="W180" s="1"/>
      <c r="X180" s="1"/>
      <c r="Y180" s="1" t="s">
        <v>2</v>
      </c>
      <c r="Z180" s="1" t="s">
        <v>3</v>
      </c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>
        <v>8.7929999999999993</v>
      </c>
      <c r="Q181" s="1"/>
      <c r="R181" s="1"/>
      <c r="S181" s="1" t="s">
        <v>1</v>
      </c>
      <c r="T181" s="1">
        <v>0</v>
      </c>
      <c r="U181" s="1"/>
      <c r="V181" s="1"/>
      <c r="W181" s="1"/>
      <c r="X181" s="1"/>
      <c r="Y181" s="1" t="s">
        <v>2</v>
      </c>
      <c r="Z181" s="1" t="s">
        <v>3</v>
      </c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>
        <v>8.8490000000000002</v>
      </c>
      <c r="Q182" s="1"/>
      <c r="R182" s="1"/>
      <c r="S182" s="1" t="s">
        <v>1</v>
      </c>
      <c r="T182" s="1">
        <v>0</v>
      </c>
      <c r="U182" s="1"/>
      <c r="V182" s="1"/>
      <c r="W182" s="1"/>
      <c r="X182" s="1"/>
      <c r="Y182" s="1" t="s">
        <v>2</v>
      </c>
      <c r="Z182" s="1" t="s">
        <v>3</v>
      </c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>
        <v>8.8330000000000002</v>
      </c>
      <c r="Q183" s="1"/>
      <c r="R183" s="1"/>
      <c r="S183" s="1" t="s">
        <v>1</v>
      </c>
      <c r="T183" s="1">
        <v>0</v>
      </c>
      <c r="U183" s="1"/>
      <c r="V183" s="1"/>
      <c r="W183" s="1"/>
      <c r="X183" s="1"/>
      <c r="Y183" s="1" t="s">
        <v>2</v>
      </c>
      <c r="Z183" s="1" t="s">
        <v>3</v>
      </c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>
        <v>9.4589999999999996</v>
      </c>
      <c r="Q184" s="1"/>
      <c r="R184" s="1"/>
      <c r="S184" s="1" t="s">
        <v>1</v>
      </c>
      <c r="T184" s="1">
        <v>1</v>
      </c>
      <c r="U184" s="1"/>
      <c r="V184" s="1"/>
      <c r="W184" s="1"/>
      <c r="X184" s="1"/>
      <c r="Y184" s="1" t="s">
        <v>2</v>
      </c>
      <c r="Z184" s="1" t="s">
        <v>3</v>
      </c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>
        <v>9.5030000000000001</v>
      </c>
      <c r="Q185" s="1"/>
      <c r="R185" s="1"/>
      <c r="S185" s="1" t="s">
        <v>1</v>
      </c>
      <c r="T185" s="1">
        <v>1</v>
      </c>
      <c r="U185" s="1"/>
      <c r="V185" s="1"/>
      <c r="W185" s="1"/>
      <c r="X185" s="1"/>
      <c r="Y185" s="1" t="s">
        <v>2</v>
      </c>
      <c r="Z185" s="1" t="s">
        <v>3</v>
      </c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>
        <v>9.5749999999999993</v>
      </c>
      <c r="Q186" s="1"/>
      <c r="R186" s="1"/>
      <c r="S186" s="1" t="s">
        <v>1</v>
      </c>
      <c r="T186" s="1">
        <v>1</v>
      </c>
      <c r="U186" s="1"/>
      <c r="V186" s="1"/>
      <c r="W186" s="1"/>
      <c r="X186" s="1"/>
      <c r="Y186" s="1" t="s">
        <v>2</v>
      </c>
      <c r="Z186" s="1" t="s">
        <v>3</v>
      </c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>
        <v>9.5489999999999995</v>
      </c>
      <c r="Q187" s="1"/>
      <c r="R187" s="1"/>
      <c r="S187" s="1" t="s">
        <v>1</v>
      </c>
      <c r="T187" s="1">
        <v>1</v>
      </c>
      <c r="U187" s="1"/>
      <c r="V187" s="1"/>
      <c r="W187" s="1"/>
      <c r="X187" s="1"/>
      <c r="Y187" s="1" t="s">
        <v>2</v>
      </c>
      <c r="Z187" s="1" t="s">
        <v>3</v>
      </c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>
        <v>9.5630000000000006</v>
      </c>
      <c r="Q188" s="1"/>
      <c r="R188" s="1"/>
      <c r="S188" s="1" t="s">
        <v>1</v>
      </c>
      <c r="T188" s="1">
        <v>1</v>
      </c>
      <c r="U188" s="1"/>
      <c r="V188" s="1"/>
      <c r="W188" s="1"/>
      <c r="X188" s="1"/>
      <c r="Y188" s="1" t="s">
        <v>2</v>
      </c>
      <c r="Z188" s="1" t="s">
        <v>3</v>
      </c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>
        <v>9.5540000000000003</v>
      </c>
      <c r="Q189" s="1"/>
      <c r="R189" s="1"/>
      <c r="S189" s="1" t="s">
        <v>1</v>
      </c>
      <c r="T189" s="1">
        <v>1</v>
      </c>
      <c r="U189" s="1"/>
      <c r="V189" s="1"/>
      <c r="W189" s="1"/>
      <c r="X189" s="1"/>
      <c r="Y189" s="1" t="s">
        <v>2</v>
      </c>
      <c r="Z189" s="1" t="s">
        <v>3</v>
      </c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>
        <v>9.57</v>
      </c>
      <c r="Q190" s="1"/>
      <c r="R190" s="1"/>
      <c r="S190" s="1" t="s">
        <v>1</v>
      </c>
      <c r="T190" s="1">
        <v>1</v>
      </c>
      <c r="U190" s="1"/>
      <c r="V190" s="1"/>
      <c r="W190" s="1"/>
      <c r="X190" s="1"/>
      <c r="Y190" s="1" t="s">
        <v>2</v>
      </c>
      <c r="Z190" s="1" t="s">
        <v>3</v>
      </c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>
        <v>9.5180000000000007</v>
      </c>
      <c r="Q191" s="1"/>
      <c r="R191" s="1"/>
      <c r="S191" s="1" t="s">
        <v>1</v>
      </c>
      <c r="T191" s="1">
        <v>1</v>
      </c>
      <c r="U191" s="1"/>
      <c r="V191" s="1"/>
      <c r="W191" s="1"/>
      <c r="X191" s="1"/>
      <c r="Y191" s="1" t="s">
        <v>2</v>
      </c>
      <c r="Z191" s="1" t="s">
        <v>3</v>
      </c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>
        <v>9.5419999999999998</v>
      </c>
      <c r="Q192" s="1"/>
      <c r="R192" s="1"/>
      <c r="S192" s="1" t="s">
        <v>1</v>
      </c>
      <c r="T192" s="1">
        <v>1</v>
      </c>
      <c r="U192" s="1"/>
      <c r="V192" s="1"/>
      <c r="W192" s="1"/>
      <c r="X192" s="1"/>
      <c r="Y192" s="1" t="s">
        <v>2</v>
      </c>
      <c r="Z192" s="1" t="s">
        <v>3</v>
      </c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>
        <v>9.5389999999999997</v>
      </c>
      <c r="Q193" s="1"/>
      <c r="R193" s="1"/>
      <c r="S193" s="1" t="s">
        <v>1</v>
      </c>
      <c r="T193" s="1">
        <v>1</v>
      </c>
      <c r="U193" s="1"/>
      <c r="V193" s="1"/>
      <c r="W193" s="1"/>
      <c r="X193" s="1"/>
      <c r="Y193" s="1" t="s">
        <v>2</v>
      </c>
      <c r="Z193" s="1" t="s">
        <v>3</v>
      </c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>
        <v>9.5129999999999999</v>
      </c>
      <c r="Q194" s="1"/>
      <c r="R194" s="1"/>
      <c r="S194" s="1" t="s">
        <v>1</v>
      </c>
      <c r="T194" s="1">
        <v>1</v>
      </c>
      <c r="U194" s="1"/>
      <c r="V194" s="1"/>
      <c r="W194" s="1"/>
      <c r="X194" s="1"/>
      <c r="Y194" s="1" t="s">
        <v>2</v>
      </c>
      <c r="Z194" s="1" t="s">
        <v>3</v>
      </c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>
        <v>9.51</v>
      </c>
      <c r="Q195" s="1"/>
      <c r="R195" s="1"/>
      <c r="S195" s="1" t="s">
        <v>1</v>
      </c>
      <c r="T195" s="1">
        <v>1</v>
      </c>
      <c r="U195" s="1"/>
      <c r="V195" s="1"/>
      <c r="W195" s="1"/>
      <c r="X195" s="1"/>
      <c r="Y195" s="1" t="s">
        <v>2</v>
      </c>
      <c r="Z195" s="1" t="s">
        <v>3</v>
      </c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>
        <v>9.5570000000000004</v>
      </c>
      <c r="Q196" s="1"/>
      <c r="R196" s="1"/>
      <c r="S196" s="1" t="s">
        <v>1</v>
      </c>
      <c r="T196" s="1">
        <v>1</v>
      </c>
      <c r="U196" s="1"/>
      <c r="V196" s="1"/>
      <c r="W196" s="1"/>
      <c r="X196" s="1"/>
      <c r="Y196" s="1" t="s">
        <v>2</v>
      </c>
      <c r="Z196" s="1" t="s">
        <v>3</v>
      </c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>
        <v>9.4849999999999994</v>
      </c>
      <c r="Q197" s="1"/>
      <c r="R197" s="1"/>
      <c r="S197" s="1" t="s">
        <v>1</v>
      </c>
      <c r="T197" s="1">
        <v>1</v>
      </c>
      <c r="U197" s="1"/>
      <c r="V197" s="1"/>
      <c r="W197" s="1"/>
      <c r="X197" s="1"/>
      <c r="Y197" s="1" t="s">
        <v>2</v>
      </c>
      <c r="Z197" s="1" t="s">
        <v>3</v>
      </c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>
        <v>9.577</v>
      </c>
      <c r="Q198" s="1"/>
      <c r="R198" s="1"/>
      <c r="S198" s="1" t="s">
        <v>1</v>
      </c>
      <c r="T198" s="1">
        <v>1</v>
      </c>
      <c r="U198" s="1"/>
      <c r="V198" s="1"/>
      <c r="W198" s="1"/>
      <c r="X198" s="1"/>
      <c r="Y198" s="1" t="s">
        <v>2</v>
      </c>
      <c r="Z198" s="1" t="s">
        <v>3</v>
      </c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>
        <v>9.6140000000000008</v>
      </c>
      <c r="Q199" s="1"/>
      <c r="R199" s="1"/>
      <c r="S199" s="1" t="s">
        <v>1</v>
      </c>
      <c r="T199" s="1">
        <v>1</v>
      </c>
      <c r="U199" s="1"/>
      <c r="V199" s="1"/>
      <c r="W199" s="1"/>
      <c r="X199" s="1"/>
      <c r="Y199" s="1" t="s">
        <v>2</v>
      </c>
      <c r="Z199" s="1" t="s">
        <v>3</v>
      </c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>
        <v>9.5760000000000005</v>
      </c>
      <c r="Q200" s="1"/>
      <c r="R200" s="1"/>
      <c r="S200" s="1" t="s">
        <v>1</v>
      </c>
      <c r="T200" s="1">
        <v>1</v>
      </c>
      <c r="U200" s="1"/>
      <c r="V200" s="1"/>
      <c r="W200" s="1"/>
      <c r="X200" s="1"/>
      <c r="Y200" s="1" t="s">
        <v>2</v>
      </c>
      <c r="Z200" s="1" t="s">
        <v>3</v>
      </c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>
        <v>9.51</v>
      </c>
      <c r="Q201" s="1"/>
      <c r="R201" s="1"/>
      <c r="S201" s="1" t="s">
        <v>1</v>
      </c>
      <c r="T201" s="1">
        <v>1</v>
      </c>
      <c r="U201" s="1"/>
      <c r="V201" s="1"/>
      <c r="W201" s="1"/>
      <c r="X201" s="1"/>
      <c r="Y201" s="1" t="s">
        <v>2</v>
      </c>
      <c r="Z201" s="1" t="s">
        <v>3</v>
      </c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>
        <v>9.5530000000000008</v>
      </c>
      <c r="Q202" s="1"/>
      <c r="R202" s="1"/>
      <c r="S202" s="1" t="s">
        <v>1</v>
      </c>
      <c r="T202" s="1">
        <v>1</v>
      </c>
      <c r="U202" s="1"/>
      <c r="V202" s="1"/>
      <c r="W202" s="1"/>
      <c r="X202" s="1"/>
      <c r="Y202" s="1" t="s">
        <v>2</v>
      </c>
      <c r="Z202" s="1" t="s">
        <v>3</v>
      </c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>
        <v>9.5459999999999994</v>
      </c>
      <c r="Q203" s="1"/>
      <c r="R203" s="1"/>
      <c r="S203" s="1" t="s">
        <v>1</v>
      </c>
      <c r="T203" s="1">
        <v>1</v>
      </c>
      <c r="U203" s="1"/>
      <c r="V203" s="1"/>
      <c r="W203" s="1"/>
      <c r="X203" s="1"/>
      <c r="Y203" s="1" t="s">
        <v>2</v>
      </c>
      <c r="Z203" s="1" t="s">
        <v>3</v>
      </c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>
        <v>9.6010000000000009</v>
      </c>
      <c r="Q204" s="1"/>
      <c r="R204" s="1"/>
      <c r="S204" s="1" t="s">
        <v>1</v>
      </c>
      <c r="T204" s="1">
        <v>1</v>
      </c>
      <c r="U204" s="1"/>
      <c r="V204" s="1"/>
      <c r="W204" s="1"/>
      <c r="X204" s="1"/>
      <c r="Y204" s="1" t="s">
        <v>2</v>
      </c>
      <c r="Z204" s="1" t="s">
        <v>3</v>
      </c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>
        <v>9.5340000000000007</v>
      </c>
      <c r="Q205" s="1"/>
      <c r="R205" s="1"/>
      <c r="S205" s="1" t="s">
        <v>1</v>
      </c>
      <c r="T205" s="1">
        <v>1</v>
      </c>
      <c r="U205" s="1"/>
      <c r="V205" s="1"/>
      <c r="W205" s="1"/>
      <c r="X205" s="1"/>
      <c r="Y205" s="1" t="s">
        <v>2</v>
      </c>
      <c r="Z205" s="1" t="s">
        <v>3</v>
      </c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>
        <v>9.5589999999999993</v>
      </c>
      <c r="Q206" s="1"/>
      <c r="R206" s="1"/>
      <c r="S206" s="1" t="s">
        <v>1</v>
      </c>
      <c r="T206" s="1">
        <v>1</v>
      </c>
      <c r="U206" s="1"/>
      <c r="V206" s="1"/>
      <c r="W206" s="1"/>
      <c r="X206" s="1"/>
      <c r="Y206" s="1" t="s">
        <v>2</v>
      </c>
      <c r="Z206" s="1" t="s">
        <v>3</v>
      </c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>
        <v>9.5380000000000003</v>
      </c>
      <c r="Q207" s="1"/>
      <c r="R207" s="1"/>
      <c r="S207" s="1" t="s">
        <v>1</v>
      </c>
      <c r="T207" s="1">
        <v>1</v>
      </c>
      <c r="U207" s="1"/>
      <c r="V207" s="1"/>
      <c r="W207" s="1"/>
      <c r="X207" s="1"/>
      <c r="Y207" s="1" t="s">
        <v>2</v>
      </c>
      <c r="Z207" s="1" t="s">
        <v>3</v>
      </c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>
        <v>9.5559999999999992</v>
      </c>
      <c r="Q208" s="1"/>
      <c r="R208" s="1"/>
      <c r="S208" s="1" t="s">
        <v>1</v>
      </c>
      <c r="T208" s="1">
        <v>1</v>
      </c>
      <c r="U208" s="1"/>
      <c r="V208" s="1"/>
      <c r="W208" s="1"/>
      <c r="X208" s="1"/>
      <c r="Y208" s="1" t="s">
        <v>2</v>
      </c>
      <c r="Z208" s="1" t="s">
        <v>3</v>
      </c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>
        <v>9.5289999999999999</v>
      </c>
      <c r="Q209" s="1"/>
      <c r="R209" s="1"/>
      <c r="S209" s="1" t="s">
        <v>1</v>
      </c>
      <c r="T209" s="1">
        <v>1</v>
      </c>
      <c r="U209" s="1"/>
      <c r="V209" s="1"/>
      <c r="W209" s="1"/>
      <c r="X209" s="1"/>
      <c r="Y209" s="1" t="s">
        <v>2</v>
      </c>
      <c r="Z209" s="1" t="s">
        <v>3</v>
      </c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>
        <v>9.5920000000000005</v>
      </c>
      <c r="Q210" s="1"/>
      <c r="R210" s="1"/>
      <c r="S210" s="1" t="s">
        <v>1</v>
      </c>
      <c r="T210" s="1">
        <v>1</v>
      </c>
      <c r="U210" s="1"/>
      <c r="V210" s="1"/>
      <c r="W210" s="1"/>
      <c r="X210" s="1"/>
      <c r="Y210" s="1" t="s">
        <v>2</v>
      </c>
      <c r="Z210" s="1" t="s">
        <v>3</v>
      </c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>
        <v>9.5180000000000007</v>
      </c>
      <c r="Q211" s="1"/>
      <c r="R211" s="1"/>
      <c r="S211" s="1" t="s">
        <v>1</v>
      </c>
      <c r="T211" s="1">
        <v>1</v>
      </c>
      <c r="U211" s="1"/>
      <c r="V211" s="1"/>
      <c r="W211" s="1"/>
      <c r="X211" s="1"/>
      <c r="Y211" s="1" t="s">
        <v>2</v>
      </c>
      <c r="Z211" s="1" t="s">
        <v>3</v>
      </c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>
        <v>9.5280000000000005</v>
      </c>
      <c r="Q212" s="1"/>
      <c r="R212" s="1"/>
      <c r="S212" s="1" t="s">
        <v>1</v>
      </c>
      <c r="T212" s="1">
        <v>1</v>
      </c>
      <c r="U212" s="1"/>
      <c r="V212" s="1"/>
      <c r="W212" s="1"/>
      <c r="X212" s="1"/>
      <c r="Y212" s="1" t="s">
        <v>2</v>
      </c>
      <c r="Z212" s="1" t="s">
        <v>3</v>
      </c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>
        <v>9.5660000000000007</v>
      </c>
      <c r="Q213" s="1"/>
      <c r="R213" s="1"/>
      <c r="S213" s="1" t="s">
        <v>1</v>
      </c>
      <c r="T213" s="1">
        <v>1</v>
      </c>
      <c r="U213" s="1"/>
      <c r="V213" s="1"/>
      <c r="W213" s="1"/>
      <c r="X213" s="1"/>
      <c r="Y213" s="1" t="s">
        <v>2</v>
      </c>
      <c r="Z213" s="1" t="s">
        <v>3</v>
      </c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>
        <v>9.56</v>
      </c>
      <c r="Q214" s="1"/>
      <c r="R214" s="1"/>
      <c r="S214" s="1" t="s">
        <v>1</v>
      </c>
      <c r="T214" s="1">
        <v>1</v>
      </c>
      <c r="U214" s="1"/>
      <c r="V214" s="1"/>
      <c r="W214" s="1"/>
      <c r="X214" s="1"/>
      <c r="Y214" s="1" t="s">
        <v>2</v>
      </c>
      <c r="Z214" s="1" t="s">
        <v>3</v>
      </c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>
        <v>9.5519999999999996</v>
      </c>
      <c r="Q215" s="1"/>
      <c r="R215" s="1"/>
      <c r="S215" s="1" t="s">
        <v>1</v>
      </c>
      <c r="T215" s="1">
        <v>1</v>
      </c>
      <c r="U215" s="1"/>
      <c r="V215" s="1"/>
      <c r="W215" s="1"/>
      <c r="X215" s="1"/>
      <c r="Y215" s="1" t="s">
        <v>2</v>
      </c>
      <c r="Z215" s="1" t="s">
        <v>3</v>
      </c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>
        <v>9.5860000000000003</v>
      </c>
      <c r="Q216" s="1"/>
      <c r="R216" s="1"/>
      <c r="S216" s="1" t="s">
        <v>1</v>
      </c>
      <c r="T216" s="1">
        <v>1</v>
      </c>
      <c r="U216" s="1"/>
      <c r="V216" s="1"/>
      <c r="W216" s="1"/>
      <c r="X216" s="1"/>
      <c r="Y216" s="1" t="s">
        <v>2</v>
      </c>
      <c r="Z216" s="1" t="s">
        <v>3</v>
      </c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>
        <v>9.5890000000000004</v>
      </c>
      <c r="Q217" s="1"/>
      <c r="R217" s="1"/>
      <c r="S217" s="1" t="s">
        <v>1</v>
      </c>
      <c r="T217" s="1">
        <v>1</v>
      </c>
      <c r="U217" s="1"/>
      <c r="V217" s="1"/>
      <c r="W217" s="1"/>
      <c r="X217" s="1"/>
      <c r="Y217" s="1" t="s">
        <v>2</v>
      </c>
      <c r="Z217" s="1" t="s">
        <v>3</v>
      </c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>
        <v>9.5579999999999998</v>
      </c>
      <c r="Q218" s="1"/>
      <c r="R218" s="1"/>
      <c r="S218" s="1" t="s">
        <v>1</v>
      </c>
      <c r="T218" s="1">
        <v>1</v>
      </c>
      <c r="U218" s="1"/>
      <c r="V218" s="1"/>
      <c r="W218" s="1"/>
      <c r="X218" s="1"/>
      <c r="Y218" s="1" t="s">
        <v>2</v>
      </c>
      <c r="Z218" s="1" t="s">
        <v>3</v>
      </c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>
        <v>9.52</v>
      </c>
      <c r="Q219" s="1"/>
      <c r="R219" s="1"/>
      <c r="S219" s="1" t="s">
        <v>1</v>
      </c>
      <c r="T219" s="1">
        <v>1</v>
      </c>
      <c r="U219" s="1"/>
      <c r="V219" s="1"/>
      <c r="W219" s="1"/>
      <c r="X219" s="1"/>
      <c r="Y219" s="1" t="s">
        <v>2</v>
      </c>
      <c r="Z219" s="1" t="s">
        <v>3</v>
      </c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>
        <v>9.5640000000000001</v>
      </c>
      <c r="Q220" s="1"/>
      <c r="R220" s="1"/>
      <c r="S220" s="1" t="s">
        <v>1</v>
      </c>
      <c r="T220" s="1">
        <v>1</v>
      </c>
      <c r="U220" s="1"/>
      <c r="V220" s="1"/>
      <c r="W220" s="1"/>
      <c r="X220" s="1"/>
      <c r="Y220" s="1" t="s">
        <v>2</v>
      </c>
      <c r="Z220" s="1" t="s">
        <v>3</v>
      </c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>
        <v>9.4939999999999998</v>
      </c>
      <c r="Q221" s="1"/>
      <c r="R221" s="1"/>
      <c r="S221" s="1" t="s">
        <v>1</v>
      </c>
      <c r="T221" s="1">
        <v>1</v>
      </c>
      <c r="U221" s="1"/>
      <c r="V221" s="1"/>
      <c r="W221" s="1"/>
      <c r="X221" s="1"/>
      <c r="Y221" s="1" t="s">
        <v>2</v>
      </c>
      <c r="Z221" s="1" t="s">
        <v>3</v>
      </c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>
        <v>9.5459999999999994</v>
      </c>
      <c r="Q222" s="1"/>
      <c r="R222" s="1"/>
      <c r="S222" s="1" t="s">
        <v>1</v>
      </c>
      <c r="T222" s="1">
        <v>1</v>
      </c>
      <c r="U222" s="1"/>
      <c r="V222" s="1"/>
      <c r="W222" s="1"/>
      <c r="X222" s="1"/>
      <c r="Y222" s="1" t="s">
        <v>2</v>
      </c>
      <c r="Z222" s="1" t="s">
        <v>3</v>
      </c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>
        <v>9.5090000000000003</v>
      </c>
      <c r="Q223" s="1"/>
      <c r="R223" s="1"/>
      <c r="S223" s="1" t="s">
        <v>1</v>
      </c>
      <c r="T223" s="1">
        <v>1</v>
      </c>
      <c r="U223" s="1"/>
      <c r="V223" s="1"/>
      <c r="W223" s="1"/>
      <c r="X223" s="1"/>
      <c r="Y223" s="1" t="s">
        <v>2</v>
      </c>
      <c r="Z223" s="1" t="s">
        <v>3</v>
      </c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>
        <v>8.76</v>
      </c>
      <c r="Q224" s="1"/>
      <c r="R224" s="1"/>
      <c r="S224" s="1" t="s">
        <v>1</v>
      </c>
      <c r="T224" s="1">
        <v>0</v>
      </c>
      <c r="U224" s="1"/>
      <c r="V224" s="1"/>
      <c r="W224" s="1"/>
      <c r="X224" s="1"/>
      <c r="Y224" s="1" t="s">
        <v>2</v>
      </c>
      <c r="Z224" s="1" t="s">
        <v>3</v>
      </c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>
        <v>8.8719999999999999</v>
      </c>
      <c r="Q225" s="1"/>
      <c r="R225" s="1"/>
      <c r="S225" s="1" t="s">
        <v>1</v>
      </c>
      <c r="T225" s="1">
        <v>0</v>
      </c>
      <c r="U225" s="1"/>
      <c r="V225" s="1"/>
      <c r="W225" s="1"/>
      <c r="X225" s="1"/>
      <c r="Y225" s="1" t="s">
        <v>2</v>
      </c>
      <c r="Z225" s="1" t="s">
        <v>3</v>
      </c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>
        <v>8.8550000000000004</v>
      </c>
      <c r="Q226" s="1"/>
      <c r="R226" s="1"/>
      <c r="S226" s="1" t="s">
        <v>1</v>
      </c>
      <c r="T226" s="1">
        <v>0</v>
      </c>
      <c r="U226" s="1"/>
      <c r="V226" s="1"/>
      <c r="W226" s="1"/>
      <c r="X226" s="1"/>
      <c r="Y226" s="1" t="s">
        <v>2</v>
      </c>
      <c r="Z226" s="1" t="s">
        <v>3</v>
      </c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>
        <v>8.8689999999999998</v>
      </c>
      <c r="Q227" s="1"/>
      <c r="R227" s="1"/>
      <c r="S227" s="1" t="s">
        <v>1</v>
      </c>
      <c r="T227" s="1">
        <v>0</v>
      </c>
      <c r="U227" s="1"/>
      <c r="V227" s="1"/>
      <c r="W227" s="1"/>
      <c r="X227" s="1"/>
      <c r="Y227" s="1" t="s">
        <v>2</v>
      </c>
      <c r="Z227" s="1" t="s">
        <v>3</v>
      </c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>
        <v>8.7720000000000002</v>
      </c>
      <c r="Q228" s="1"/>
      <c r="R228" s="1"/>
      <c r="S228" s="1" t="s">
        <v>1</v>
      </c>
      <c r="T228" s="1">
        <v>0</v>
      </c>
      <c r="U228" s="1"/>
      <c r="V228" s="1"/>
      <c r="W228" s="1"/>
      <c r="X228" s="1"/>
      <c r="Y228" s="1" t="s">
        <v>2</v>
      </c>
      <c r="Z228" s="1" t="s">
        <v>3</v>
      </c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>
        <v>9.5030000000000001</v>
      </c>
      <c r="Q229" s="1"/>
      <c r="R229" s="1"/>
      <c r="S229" s="1" t="s">
        <v>1</v>
      </c>
      <c r="T229" s="1">
        <v>1</v>
      </c>
      <c r="U229" s="1"/>
      <c r="V229" s="1"/>
      <c r="W229" s="1"/>
      <c r="X229" s="1"/>
      <c r="Y229" s="1" t="s">
        <v>2</v>
      </c>
      <c r="Z229" s="1" t="s">
        <v>3</v>
      </c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>
        <v>9.6449999999999996</v>
      </c>
      <c r="Q230" s="1"/>
      <c r="R230" s="1"/>
      <c r="S230" s="1" t="s">
        <v>1</v>
      </c>
      <c r="T230" s="1">
        <v>1</v>
      </c>
      <c r="U230" s="1"/>
      <c r="V230" s="1"/>
      <c r="W230" s="1"/>
      <c r="X230" s="1"/>
      <c r="Y230" s="1" t="s">
        <v>2</v>
      </c>
      <c r="Z230" s="1" t="s">
        <v>3</v>
      </c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>
        <v>9.5719999999999992</v>
      </c>
      <c r="Q231" s="1"/>
      <c r="R231" s="1"/>
      <c r="S231" s="1" t="s">
        <v>1</v>
      </c>
      <c r="T231" s="1">
        <v>1</v>
      </c>
      <c r="U231" s="1"/>
      <c r="V231" s="1"/>
      <c r="W231" s="1"/>
      <c r="X231" s="1"/>
      <c r="Y231" s="1" t="s">
        <v>2</v>
      </c>
      <c r="Z231" s="1" t="s">
        <v>3</v>
      </c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>
        <v>9.5549999999999997</v>
      </c>
      <c r="Q232" s="1"/>
      <c r="R232" s="1"/>
      <c r="S232" s="1" t="s">
        <v>1</v>
      </c>
      <c r="T232" s="1">
        <v>1</v>
      </c>
      <c r="U232" s="1"/>
      <c r="V232" s="1"/>
      <c r="W232" s="1"/>
      <c r="X232" s="1"/>
      <c r="Y232" s="1" t="s">
        <v>2</v>
      </c>
      <c r="Z232" s="1" t="s">
        <v>3</v>
      </c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>
        <v>9.5299999999999994</v>
      </c>
      <c r="Q233" s="1"/>
      <c r="R233" s="1"/>
      <c r="S233" s="1" t="s">
        <v>1</v>
      </c>
      <c r="T233" s="1">
        <v>1</v>
      </c>
      <c r="U233" s="1"/>
      <c r="V233" s="1"/>
      <c r="W233" s="1"/>
      <c r="X233" s="1"/>
      <c r="Y233" s="1" t="s">
        <v>2</v>
      </c>
      <c r="Z233" s="1" t="s">
        <v>3</v>
      </c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>
        <v>9.5760000000000005</v>
      </c>
      <c r="Q234" s="1"/>
      <c r="R234" s="1"/>
      <c r="S234" s="1" t="s">
        <v>1</v>
      </c>
      <c r="T234" s="1">
        <v>1</v>
      </c>
      <c r="U234" s="1"/>
      <c r="V234" s="1"/>
      <c r="W234" s="1"/>
      <c r="X234" s="1"/>
      <c r="Y234" s="1" t="s">
        <v>2</v>
      </c>
      <c r="Z234" s="1" t="s">
        <v>3</v>
      </c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>
        <v>9.5370000000000008</v>
      </c>
      <c r="Q235" s="1"/>
      <c r="R235" s="1"/>
      <c r="S235" s="1" t="s">
        <v>1</v>
      </c>
      <c r="T235" s="1">
        <v>1</v>
      </c>
      <c r="U235" s="1"/>
      <c r="V235" s="1"/>
      <c r="W235" s="1"/>
      <c r="X235" s="1"/>
      <c r="Y235" s="1" t="s">
        <v>2</v>
      </c>
      <c r="Z235" s="1" t="s">
        <v>3</v>
      </c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>
        <v>9.5570000000000004</v>
      </c>
      <c r="Q236" s="1"/>
      <c r="R236" s="1"/>
      <c r="S236" s="1" t="s">
        <v>1</v>
      </c>
      <c r="T236" s="1">
        <v>1</v>
      </c>
      <c r="U236" s="1"/>
      <c r="V236" s="1"/>
      <c r="W236" s="1"/>
      <c r="X236" s="1"/>
      <c r="Y236" s="1" t="s">
        <v>2</v>
      </c>
      <c r="Z236" s="1" t="s">
        <v>3</v>
      </c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>
        <v>9.5510000000000002</v>
      </c>
      <c r="Q237" s="1"/>
      <c r="R237" s="1"/>
      <c r="S237" s="1" t="s">
        <v>1</v>
      </c>
      <c r="T237" s="1">
        <v>1</v>
      </c>
      <c r="U237" s="1"/>
      <c r="V237" s="1"/>
      <c r="W237" s="1"/>
      <c r="X237" s="1"/>
      <c r="Y237" s="1" t="s">
        <v>2</v>
      </c>
      <c r="Z237" s="1" t="s">
        <v>3</v>
      </c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>
        <v>9.5660000000000007</v>
      </c>
      <c r="Q238" s="1"/>
      <c r="R238" s="1"/>
      <c r="S238" s="1" t="s">
        <v>1</v>
      </c>
      <c r="T238" s="1">
        <v>1</v>
      </c>
      <c r="U238" s="1"/>
      <c r="V238" s="1"/>
      <c r="W238" s="1"/>
      <c r="X238" s="1"/>
      <c r="Y238" s="1" t="s">
        <v>2</v>
      </c>
      <c r="Z238" s="1" t="s">
        <v>3</v>
      </c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>
        <v>9.5790000000000006</v>
      </c>
      <c r="Q239" s="1"/>
      <c r="R239" s="1"/>
      <c r="S239" s="1" t="s">
        <v>1</v>
      </c>
      <c r="T239" s="1">
        <v>1</v>
      </c>
      <c r="U239" s="1"/>
      <c r="V239" s="1"/>
      <c r="W239" s="1"/>
      <c r="X239" s="1"/>
      <c r="Y239" s="1" t="s">
        <v>2</v>
      </c>
      <c r="Z239" s="1" t="s">
        <v>3</v>
      </c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>
        <v>8.7829999999999995</v>
      </c>
      <c r="Q240" s="1"/>
      <c r="R240" s="1"/>
      <c r="S240" s="1" t="s">
        <v>1</v>
      </c>
      <c r="T240" s="1">
        <v>0</v>
      </c>
      <c r="U240" s="1"/>
      <c r="V240" s="1"/>
      <c r="W240" s="1"/>
      <c r="X240" s="1"/>
      <c r="Y240" s="1" t="s">
        <v>2</v>
      </c>
      <c r="Z240" s="1" t="s">
        <v>3</v>
      </c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>
        <v>8.7989999999999995</v>
      </c>
      <c r="Q241" s="1"/>
      <c r="R241" s="1"/>
      <c r="S241" s="1" t="s">
        <v>1</v>
      </c>
      <c r="T241" s="1">
        <v>0</v>
      </c>
      <c r="U241" s="1"/>
      <c r="V241" s="1"/>
      <c r="W241" s="1"/>
      <c r="X241" s="1"/>
      <c r="Y241" s="1" t="s">
        <v>2</v>
      </c>
      <c r="Z241" s="1" t="s">
        <v>3</v>
      </c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>
        <v>8.8190000000000008</v>
      </c>
      <c r="Q242" s="1"/>
      <c r="R242" s="1"/>
      <c r="S242" s="1" t="s">
        <v>1</v>
      </c>
      <c r="T242" s="1">
        <v>0</v>
      </c>
      <c r="U242" s="1"/>
      <c r="V242" s="1"/>
      <c r="W242" s="1"/>
      <c r="X242" s="1"/>
      <c r="Y242" s="1" t="s">
        <v>2</v>
      </c>
      <c r="Z242" s="1" t="s">
        <v>3</v>
      </c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>
        <v>8.7840000000000007</v>
      </c>
      <c r="Q243" s="1"/>
      <c r="R243" s="1"/>
      <c r="S243" s="1" t="s">
        <v>1</v>
      </c>
      <c r="T243" s="1">
        <v>0</v>
      </c>
      <c r="U243" s="1"/>
      <c r="V243" s="1"/>
      <c r="W243" s="1"/>
      <c r="X243" s="1"/>
      <c r="Y243" s="1" t="s">
        <v>2</v>
      </c>
      <c r="Z243" s="1" t="s">
        <v>3</v>
      </c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>
        <v>8.7449999999999992</v>
      </c>
      <c r="Q244" s="1"/>
      <c r="R244" s="1"/>
      <c r="S244" s="1" t="s">
        <v>1</v>
      </c>
      <c r="T244" s="1">
        <v>0</v>
      </c>
      <c r="U244" s="1"/>
      <c r="V244" s="1"/>
      <c r="W244" s="1"/>
      <c r="X244" s="1"/>
      <c r="Y244" s="1" t="s">
        <v>2</v>
      </c>
      <c r="Z244" s="1" t="s">
        <v>3</v>
      </c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>
        <v>9.5500000000000007</v>
      </c>
      <c r="Q245" s="1"/>
      <c r="R245" s="1"/>
      <c r="S245" s="1" t="s">
        <v>1</v>
      </c>
      <c r="T245" s="1">
        <v>1</v>
      </c>
      <c r="U245" s="1"/>
      <c r="V245" s="1"/>
      <c r="W245" s="1"/>
      <c r="X245" s="1"/>
      <c r="Y245" s="1" t="s">
        <v>2</v>
      </c>
      <c r="Z245" s="1" t="s">
        <v>3</v>
      </c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>
        <v>9.5239999999999991</v>
      </c>
      <c r="Q246" s="1"/>
      <c r="R246" s="1"/>
      <c r="S246" s="1" t="s">
        <v>1</v>
      </c>
      <c r="T246" s="1">
        <v>1</v>
      </c>
      <c r="U246" s="1"/>
      <c r="V246" s="1"/>
      <c r="W246" s="1"/>
      <c r="X246" s="1"/>
      <c r="Y246" s="1" t="s">
        <v>2</v>
      </c>
      <c r="Z246" s="1" t="s">
        <v>3</v>
      </c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>
        <v>9.5559999999999992</v>
      </c>
      <c r="Q247" s="1"/>
      <c r="R247" s="1"/>
      <c r="S247" s="1" t="s">
        <v>1</v>
      </c>
      <c r="T247" s="1">
        <v>1</v>
      </c>
      <c r="U247" s="1"/>
      <c r="V247" s="1"/>
      <c r="W247" s="1"/>
      <c r="X247" s="1"/>
      <c r="Y247" s="1" t="s">
        <v>2</v>
      </c>
      <c r="Z247" s="1" t="s">
        <v>3</v>
      </c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>
        <v>9.5749999999999993</v>
      </c>
      <c r="Q248" s="1"/>
      <c r="R248" s="1"/>
      <c r="S248" s="1" t="s">
        <v>1</v>
      </c>
      <c r="T248" s="1">
        <v>1</v>
      </c>
      <c r="U248" s="1"/>
      <c r="V248" s="1"/>
      <c r="W248" s="1"/>
      <c r="X248" s="1"/>
      <c r="Y248" s="1" t="s">
        <v>2</v>
      </c>
      <c r="Z248" s="1" t="s">
        <v>3</v>
      </c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>
        <v>9.5459999999999994</v>
      </c>
      <c r="Q249" s="1"/>
      <c r="R249" s="1"/>
      <c r="S249" s="1" t="s">
        <v>1</v>
      </c>
      <c r="T249" s="1">
        <v>1</v>
      </c>
      <c r="U249" s="1"/>
      <c r="V249" s="1"/>
      <c r="W249" s="1"/>
      <c r="X249" s="1"/>
      <c r="Y249" s="1" t="s">
        <v>2</v>
      </c>
      <c r="Z249" s="1" t="s">
        <v>3</v>
      </c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>
        <v>9.5429999999999993</v>
      </c>
      <c r="Q250" s="1"/>
      <c r="R250" s="1"/>
      <c r="S250" s="1" t="s">
        <v>1</v>
      </c>
      <c r="T250" s="1">
        <v>1</v>
      </c>
      <c r="U250" s="1"/>
      <c r="V250" s="1"/>
      <c r="W250" s="1"/>
      <c r="X250" s="1"/>
      <c r="Y250" s="1" t="s">
        <v>2</v>
      </c>
      <c r="Z250" s="1" t="s">
        <v>3</v>
      </c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>
        <v>9.4979999999999993</v>
      </c>
      <c r="Q251" s="1"/>
      <c r="R251" s="1"/>
      <c r="S251" s="1" t="s">
        <v>1</v>
      </c>
      <c r="T251" s="1">
        <v>1</v>
      </c>
      <c r="U251" s="1"/>
      <c r="V251" s="1"/>
      <c r="W251" s="1"/>
      <c r="X251" s="1"/>
      <c r="Y251" s="1" t="s">
        <v>2</v>
      </c>
      <c r="Z251" s="1" t="s">
        <v>3</v>
      </c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>
        <v>9.5440000000000005</v>
      </c>
      <c r="Q252" s="1"/>
      <c r="R252" s="1"/>
      <c r="S252" s="1" t="s">
        <v>1</v>
      </c>
      <c r="T252" s="1">
        <v>1</v>
      </c>
      <c r="U252" s="1"/>
      <c r="V252" s="1"/>
      <c r="W252" s="1"/>
      <c r="X252" s="1"/>
      <c r="Y252" s="1" t="s">
        <v>2</v>
      </c>
      <c r="Z252" s="1" t="s">
        <v>3</v>
      </c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>
        <v>9.5510000000000002</v>
      </c>
      <c r="Q253" s="1"/>
      <c r="R253" s="1"/>
      <c r="S253" s="1" t="s">
        <v>1</v>
      </c>
      <c r="T253" s="1">
        <v>1</v>
      </c>
      <c r="U253" s="1"/>
      <c r="V253" s="1"/>
      <c r="W253" s="1"/>
      <c r="X253" s="1"/>
      <c r="Y253" s="1" t="s">
        <v>2</v>
      </c>
      <c r="Z253" s="1" t="s">
        <v>3</v>
      </c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>
        <v>9.6270000000000007</v>
      </c>
      <c r="Q254" s="1"/>
      <c r="R254" s="1"/>
      <c r="S254" s="1" t="s">
        <v>1</v>
      </c>
      <c r="T254" s="1">
        <v>1</v>
      </c>
      <c r="U254" s="1"/>
      <c r="V254" s="1"/>
      <c r="W254" s="1"/>
      <c r="X254" s="1"/>
      <c r="Y254" s="1" t="s">
        <v>2</v>
      </c>
      <c r="Z254" s="1" t="s">
        <v>3</v>
      </c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>
        <v>9.4819999999999993</v>
      </c>
      <c r="Q255" s="1"/>
      <c r="R255" s="1"/>
      <c r="S255" s="1" t="s">
        <v>1</v>
      </c>
      <c r="T255" s="1">
        <v>1</v>
      </c>
      <c r="U255" s="1"/>
      <c r="V255" s="1"/>
      <c r="W255" s="1"/>
      <c r="X255" s="1"/>
      <c r="Y255" s="1" t="s">
        <v>2</v>
      </c>
      <c r="Z255" s="1" t="s">
        <v>3</v>
      </c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>
        <v>9.5670000000000002</v>
      </c>
      <c r="Q256" s="1"/>
      <c r="R256" s="1"/>
      <c r="S256" s="1" t="s">
        <v>1</v>
      </c>
      <c r="T256" s="1">
        <v>1</v>
      </c>
      <c r="U256" s="1"/>
      <c r="V256" s="1"/>
      <c r="W256" s="1"/>
      <c r="X256" s="1"/>
      <c r="Y256" s="1" t="s">
        <v>2</v>
      </c>
      <c r="Z256" s="1" t="s">
        <v>3</v>
      </c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>
        <v>9.5540000000000003</v>
      </c>
      <c r="Q257" s="1"/>
      <c r="R257" s="1"/>
      <c r="S257" s="1" t="s">
        <v>1</v>
      </c>
      <c r="T257" s="1">
        <v>1</v>
      </c>
      <c r="U257" s="1"/>
      <c r="V257" s="1"/>
      <c r="W257" s="1"/>
      <c r="X257" s="1"/>
      <c r="Y257" s="1" t="s">
        <v>2</v>
      </c>
      <c r="Z257" s="1" t="s">
        <v>3</v>
      </c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>
        <v>9.5670000000000002</v>
      </c>
      <c r="Q258" s="1"/>
      <c r="R258" s="1"/>
      <c r="S258" s="1" t="s">
        <v>1</v>
      </c>
      <c r="T258" s="1">
        <v>1</v>
      </c>
      <c r="U258" s="1"/>
      <c r="V258" s="1"/>
      <c r="W258" s="1"/>
      <c r="X258" s="1"/>
      <c r="Y258" s="1" t="s">
        <v>2</v>
      </c>
      <c r="Z258" s="1" t="s">
        <v>3</v>
      </c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>
        <v>12.234</v>
      </c>
      <c r="Q259" s="1"/>
      <c r="R259" s="1"/>
      <c r="S259" s="1" t="s">
        <v>1</v>
      </c>
      <c r="T259" s="1"/>
      <c r="U259" s="1"/>
      <c r="V259" s="1"/>
      <c r="W259" s="1"/>
      <c r="X259" s="1"/>
      <c r="Y259" s="1" t="s">
        <v>2</v>
      </c>
      <c r="Z259" s="1" t="s">
        <v>3</v>
      </c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>
        <v>9.58</v>
      </c>
      <c r="Q260" s="1"/>
      <c r="R260" s="1"/>
      <c r="S260" s="1" t="s">
        <v>1</v>
      </c>
      <c r="T260" s="1">
        <v>1</v>
      </c>
      <c r="U260" s="1"/>
      <c r="V260" s="1"/>
      <c r="W260" s="1"/>
      <c r="X260" s="1"/>
      <c r="Y260" s="1" t="s">
        <v>2</v>
      </c>
      <c r="Z260" s="1" t="s">
        <v>3</v>
      </c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>
        <v>9.5220000000000002</v>
      </c>
      <c r="Q261" s="1"/>
      <c r="R261" s="1"/>
      <c r="S261" s="1" t="s">
        <v>1</v>
      </c>
      <c r="T261" s="1">
        <v>1</v>
      </c>
      <c r="U261" s="1"/>
      <c r="V261" s="1"/>
      <c r="W261" s="1"/>
      <c r="X261" s="1"/>
      <c r="Y261" s="1" t="s">
        <v>2</v>
      </c>
      <c r="Z261" s="1" t="s">
        <v>3</v>
      </c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>
        <v>9.5619999999999994</v>
      </c>
      <c r="Q262" s="1"/>
      <c r="R262" s="1"/>
      <c r="S262" s="1" t="s">
        <v>1</v>
      </c>
      <c r="T262" s="1">
        <v>1</v>
      </c>
      <c r="U262" s="1"/>
      <c r="V262" s="1"/>
      <c r="W262" s="1"/>
      <c r="X262" s="1"/>
      <c r="Y262" s="1" t="s">
        <v>2</v>
      </c>
      <c r="Z262" s="1" t="s">
        <v>3</v>
      </c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>
        <v>9.5570000000000004</v>
      </c>
      <c r="Q263" s="1"/>
      <c r="R263" s="1"/>
      <c r="S263" s="1" t="s">
        <v>1</v>
      </c>
      <c r="T263" s="1">
        <v>1</v>
      </c>
      <c r="U263" s="1"/>
      <c r="V263" s="1"/>
      <c r="W263" s="1"/>
      <c r="X263" s="1"/>
      <c r="Y263" s="1" t="s">
        <v>2</v>
      </c>
      <c r="Z263" s="1" t="s">
        <v>3</v>
      </c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>
        <v>9.5920000000000005</v>
      </c>
      <c r="Q264" s="1"/>
      <c r="R264" s="1"/>
      <c r="S264" s="1" t="s">
        <v>1</v>
      </c>
      <c r="T264" s="1">
        <v>1</v>
      </c>
      <c r="U264" s="1"/>
      <c r="V264" s="1"/>
      <c r="W264" s="1"/>
      <c r="X264" s="1"/>
      <c r="Y264" s="1" t="s">
        <v>2</v>
      </c>
      <c r="Z264" s="1" t="s">
        <v>3</v>
      </c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>
        <v>9.4559999999999995</v>
      </c>
      <c r="Q265" s="1"/>
      <c r="R265" s="1"/>
      <c r="S265" s="1" t="s">
        <v>1</v>
      </c>
      <c r="T265" s="1">
        <v>1</v>
      </c>
      <c r="U265" s="1"/>
      <c r="V265" s="1"/>
      <c r="W265" s="1"/>
      <c r="X265" s="1"/>
      <c r="Y265" s="1" t="s">
        <v>2</v>
      </c>
      <c r="Z265" s="1" t="s">
        <v>3</v>
      </c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>
        <v>9.5570000000000004</v>
      </c>
      <c r="Q266" s="1"/>
      <c r="R266" s="1"/>
      <c r="S266" s="1" t="s">
        <v>1</v>
      </c>
      <c r="T266" s="1">
        <v>1</v>
      </c>
      <c r="U266" s="1"/>
      <c r="V266" s="1"/>
      <c r="W266" s="1"/>
      <c r="X266" s="1"/>
      <c r="Y266" s="1" t="s">
        <v>2</v>
      </c>
      <c r="Z266" s="1" t="s">
        <v>3</v>
      </c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>
        <v>9.5429999999999993</v>
      </c>
      <c r="Q267" s="1"/>
      <c r="R267" s="1"/>
      <c r="S267" s="1" t="s">
        <v>1</v>
      </c>
      <c r="T267" s="1">
        <v>1</v>
      </c>
      <c r="U267" s="1"/>
      <c r="V267" s="1"/>
      <c r="W267" s="1"/>
      <c r="X267" s="1"/>
      <c r="Y267" s="1" t="s">
        <v>2</v>
      </c>
      <c r="Z267" s="1" t="s">
        <v>3</v>
      </c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>
        <v>9.5790000000000006</v>
      </c>
      <c r="Q268" s="1"/>
      <c r="R268" s="1"/>
      <c r="S268" s="1" t="s">
        <v>1</v>
      </c>
      <c r="T268" s="1">
        <v>1</v>
      </c>
      <c r="U268" s="1"/>
      <c r="V268" s="1"/>
      <c r="W268" s="1"/>
      <c r="X268" s="1"/>
      <c r="Y268" s="1" t="s">
        <v>2</v>
      </c>
      <c r="Z268" s="1" t="s">
        <v>3</v>
      </c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>
        <v>9.5749999999999993</v>
      </c>
      <c r="Q269" s="1"/>
      <c r="R269" s="1"/>
      <c r="S269" s="1" t="s">
        <v>1</v>
      </c>
      <c r="T269" s="1">
        <v>1</v>
      </c>
      <c r="U269" s="1"/>
      <c r="V269" s="1"/>
      <c r="W269" s="1"/>
      <c r="X269" s="1"/>
      <c r="Y269" s="1" t="s">
        <v>2</v>
      </c>
      <c r="Z269" s="1" t="s">
        <v>3</v>
      </c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>
        <v>9.5530000000000008</v>
      </c>
      <c r="Q270" s="1"/>
      <c r="R270" s="1"/>
      <c r="S270" s="1" t="s">
        <v>1</v>
      </c>
      <c r="T270" s="1">
        <v>1</v>
      </c>
      <c r="U270" s="1"/>
      <c r="V270" s="1"/>
      <c r="W270" s="1"/>
      <c r="X270" s="1"/>
      <c r="Y270" s="1" t="s">
        <v>2</v>
      </c>
      <c r="Z270" s="1" t="s">
        <v>3</v>
      </c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>
        <v>9.5269999999999992</v>
      </c>
      <c r="Q271" s="1"/>
      <c r="R271" s="1"/>
      <c r="S271" s="1" t="s">
        <v>1</v>
      </c>
      <c r="T271" s="1">
        <v>1</v>
      </c>
      <c r="U271" s="1"/>
      <c r="V271" s="1"/>
      <c r="W271" s="1"/>
      <c r="X271" s="1"/>
      <c r="Y271" s="1" t="s">
        <v>2</v>
      </c>
      <c r="Z271" s="1" t="s">
        <v>3</v>
      </c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>
        <v>9.5060000000000002</v>
      </c>
      <c r="Q272" s="1"/>
      <c r="R272" s="1"/>
      <c r="S272" s="1" t="s">
        <v>1</v>
      </c>
      <c r="T272" s="1">
        <v>1</v>
      </c>
      <c r="U272" s="1"/>
      <c r="V272" s="1"/>
      <c r="W272" s="1"/>
      <c r="X272" s="1"/>
      <c r="Y272" s="1" t="s">
        <v>2</v>
      </c>
      <c r="Z272" s="1" t="s">
        <v>3</v>
      </c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>
        <v>9.5440000000000005</v>
      </c>
      <c r="Q273" s="1"/>
      <c r="R273" s="1"/>
      <c r="S273" s="1" t="s">
        <v>1</v>
      </c>
      <c r="T273" s="1">
        <v>1</v>
      </c>
      <c r="U273" s="1"/>
      <c r="V273" s="1"/>
      <c r="W273" s="1"/>
      <c r="X273" s="1"/>
      <c r="Y273" s="1" t="s">
        <v>2</v>
      </c>
      <c r="Z273" s="1" t="s">
        <v>3</v>
      </c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>
        <v>9.6069999999999993</v>
      </c>
      <c r="Q274" s="1"/>
      <c r="R274" s="1"/>
      <c r="S274" s="1" t="s">
        <v>1</v>
      </c>
      <c r="T274" s="1">
        <v>1</v>
      </c>
      <c r="U274" s="1"/>
      <c r="V274" s="1"/>
      <c r="W274" s="1"/>
      <c r="X274" s="1"/>
      <c r="Y274" s="1" t="s">
        <v>2</v>
      </c>
      <c r="Z274" s="1" t="s">
        <v>3</v>
      </c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>
        <v>9.5299999999999994</v>
      </c>
      <c r="Q275" s="1"/>
      <c r="R275" s="1"/>
      <c r="S275" s="1" t="s">
        <v>1</v>
      </c>
      <c r="T275" s="1">
        <v>1</v>
      </c>
      <c r="U275" s="1"/>
      <c r="V275" s="1"/>
      <c r="W275" s="1"/>
      <c r="X275" s="1"/>
      <c r="Y275" s="1" t="s">
        <v>2</v>
      </c>
      <c r="Z275" s="1" t="s">
        <v>3</v>
      </c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>
        <v>9.5299999999999994</v>
      </c>
      <c r="Q276" s="1"/>
      <c r="R276" s="1"/>
      <c r="S276" s="1" t="s">
        <v>1</v>
      </c>
      <c r="T276" s="1">
        <v>1</v>
      </c>
      <c r="U276" s="1"/>
      <c r="V276" s="1"/>
      <c r="W276" s="1"/>
      <c r="X276" s="1"/>
      <c r="Y276" s="1" t="s">
        <v>2</v>
      </c>
      <c r="Z276" s="1" t="s">
        <v>3</v>
      </c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>
        <v>9.5690000000000008</v>
      </c>
      <c r="Q277" s="1"/>
      <c r="R277" s="1"/>
      <c r="S277" s="1" t="s">
        <v>1</v>
      </c>
      <c r="T277" s="1">
        <v>1</v>
      </c>
      <c r="U277" s="1"/>
      <c r="V277" s="1"/>
      <c r="W277" s="1"/>
      <c r="X277" s="1"/>
      <c r="Y277" s="1" t="s">
        <v>2</v>
      </c>
      <c r="Z277" s="1" t="s">
        <v>3</v>
      </c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>
        <v>9.5760000000000005</v>
      </c>
      <c r="Q278" s="1"/>
      <c r="R278" s="1"/>
      <c r="S278" s="1" t="s">
        <v>1</v>
      </c>
      <c r="T278" s="1">
        <v>1</v>
      </c>
      <c r="U278" s="1"/>
      <c r="V278" s="1"/>
      <c r="W278" s="1"/>
      <c r="X278" s="1"/>
      <c r="Y278" s="1" t="s">
        <v>2</v>
      </c>
      <c r="Z278" s="1" t="s">
        <v>3</v>
      </c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>
        <v>9.5570000000000004</v>
      </c>
      <c r="Q279" s="1"/>
      <c r="R279" s="1"/>
      <c r="S279" s="1" t="s">
        <v>1</v>
      </c>
      <c r="T279" s="1">
        <v>1</v>
      </c>
      <c r="U279" s="1"/>
      <c r="V279" s="1"/>
      <c r="W279" s="1"/>
      <c r="X279" s="1"/>
      <c r="Y279" s="1" t="s">
        <v>2</v>
      </c>
      <c r="Z279" s="1" t="s">
        <v>3</v>
      </c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>
        <v>9.532</v>
      </c>
      <c r="Q280" s="1"/>
      <c r="R280" s="1"/>
      <c r="S280" s="1" t="s">
        <v>1</v>
      </c>
      <c r="T280" s="1">
        <v>1</v>
      </c>
      <c r="U280" s="1"/>
      <c r="V280" s="1"/>
      <c r="W280" s="1"/>
      <c r="X280" s="1"/>
      <c r="Y280" s="1" t="s">
        <v>2</v>
      </c>
      <c r="Z280" s="1" t="s">
        <v>3</v>
      </c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>
        <v>9.4689999999999994</v>
      </c>
      <c r="Q281" s="1"/>
      <c r="R281" s="1"/>
      <c r="S281" s="1" t="s">
        <v>1</v>
      </c>
      <c r="T281" s="1">
        <v>1</v>
      </c>
      <c r="U281" s="1"/>
      <c r="V281" s="1"/>
      <c r="W281" s="1"/>
      <c r="X281" s="1"/>
      <c r="Y281" s="1" t="s">
        <v>2</v>
      </c>
      <c r="Z281" s="1" t="s">
        <v>3</v>
      </c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>
        <v>9.5670000000000002</v>
      </c>
      <c r="Q282" s="1"/>
      <c r="R282" s="1"/>
      <c r="S282" s="1" t="s">
        <v>1</v>
      </c>
      <c r="T282" s="1">
        <v>1</v>
      </c>
      <c r="U282" s="1"/>
      <c r="V282" s="1"/>
      <c r="W282" s="1"/>
      <c r="X282" s="1"/>
      <c r="Y282" s="1" t="s">
        <v>2</v>
      </c>
      <c r="Z282" s="1" t="s">
        <v>3</v>
      </c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>
        <v>9.4949999999999992</v>
      </c>
      <c r="Q283" s="1"/>
      <c r="R283" s="1"/>
      <c r="S283" s="1" t="s">
        <v>1</v>
      </c>
      <c r="T283" s="1">
        <v>1</v>
      </c>
      <c r="U283" s="1"/>
      <c r="V283" s="1"/>
      <c r="W283" s="1"/>
      <c r="X283" s="1"/>
      <c r="Y283" s="1" t="s">
        <v>2</v>
      </c>
      <c r="Z283" s="1" t="s">
        <v>3</v>
      </c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>
        <v>9.57</v>
      </c>
      <c r="Q284" s="1"/>
      <c r="R284" s="1"/>
      <c r="S284" s="1" t="s">
        <v>1</v>
      </c>
      <c r="T284" s="1">
        <v>1</v>
      </c>
      <c r="U284" s="1"/>
      <c r="V284" s="1"/>
      <c r="W284" s="1"/>
      <c r="X284" s="1"/>
      <c r="Y284" s="1" t="s">
        <v>2</v>
      </c>
      <c r="Z284" s="1" t="s">
        <v>3</v>
      </c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>
        <v>9.5440000000000005</v>
      </c>
      <c r="Q285" s="1"/>
      <c r="R285" s="1"/>
      <c r="S285" s="1" t="s">
        <v>1</v>
      </c>
      <c r="T285" s="1">
        <v>1</v>
      </c>
      <c r="U285" s="1"/>
      <c r="V285" s="1"/>
      <c r="W285" s="1"/>
      <c r="X285" s="1"/>
      <c r="Y285" s="1" t="s">
        <v>2</v>
      </c>
      <c r="Z285" s="1" t="s">
        <v>3</v>
      </c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>
        <v>9.5500000000000007</v>
      </c>
      <c r="Q286" s="1"/>
      <c r="R286" s="1"/>
      <c r="S286" s="1" t="s">
        <v>1</v>
      </c>
      <c r="T286" s="1">
        <v>1</v>
      </c>
      <c r="U286" s="1"/>
      <c r="V286" s="1"/>
      <c r="W286" s="1"/>
      <c r="X286" s="1"/>
      <c r="Y286" s="1" t="s">
        <v>2</v>
      </c>
      <c r="Z286" s="1" t="s">
        <v>3</v>
      </c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>
        <v>9.5229999999999997</v>
      </c>
      <c r="Q287" s="1"/>
      <c r="R287" s="1"/>
      <c r="S287" s="1" t="s">
        <v>1</v>
      </c>
      <c r="T287" s="1">
        <v>1</v>
      </c>
      <c r="U287" s="1"/>
      <c r="V287" s="1"/>
      <c r="W287" s="1"/>
      <c r="X287" s="1"/>
      <c r="Y287" s="1" t="s">
        <v>2</v>
      </c>
      <c r="Z287" s="1" t="s">
        <v>3</v>
      </c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>
        <v>9.5579999999999998</v>
      </c>
      <c r="Q288" s="1"/>
      <c r="R288" s="1"/>
      <c r="S288" s="1" t="s">
        <v>1</v>
      </c>
      <c r="T288" s="1">
        <v>1</v>
      </c>
      <c r="U288" s="1"/>
      <c r="V288" s="1"/>
      <c r="W288" s="1"/>
      <c r="X288" s="1"/>
      <c r="Y288" s="1" t="s">
        <v>2</v>
      </c>
      <c r="Z288" s="1" t="s">
        <v>3</v>
      </c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>
        <v>9.5250000000000004</v>
      </c>
      <c r="Q289" s="1"/>
      <c r="R289" s="1"/>
      <c r="S289" s="1" t="s">
        <v>1</v>
      </c>
      <c r="T289" s="1">
        <v>1</v>
      </c>
      <c r="U289" s="1"/>
      <c r="V289" s="1"/>
      <c r="W289" s="1"/>
      <c r="X289" s="1"/>
      <c r="Y289" s="1" t="s">
        <v>2</v>
      </c>
      <c r="Z289" s="1" t="s">
        <v>3</v>
      </c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>
        <v>9.5980000000000008</v>
      </c>
      <c r="Q290" s="1"/>
      <c r="R290" s="1"/>
      <c r="S290" s="1" t="s">
        <v>1</v>
      </c>
      <c r="T290" s="1">
        <v>1</v>
      </c>
      <c r="U290" s="1"/>
      <c r="V290" s="1"/>
      <c r="W290" s="1"/>
      <c r="X290" s="1"/>
      <c r="Y290" s="1" t="s">
        <v>2</v>
      </c>
      <c r="Z290" s="1" t="s">
        <v>3</v>
      </c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>
        <v>9.5410000000000004</v>
      </c>
      <c r="Q291" s="1"/>
      <c r="R291" s="1"/>
      <c r="S291" s="1" t="s">
        <v>1</v>
      </c>
      <c r="T291" s="1">
        <v>1</v>
      </c>
      <c r="U291" s="1"/>
      <c r="V291" s="1"/>
      <c r="W291" s="1"/>
      <c r="X291" s="1"/>
      <c r="Y291" s="1" t="s">
        <v>2</v>
      </c>
      <c r="Z291" s="1" t="s">
        <v>3</v>
      </c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>
        <v>9.5380000000000003</v>
      </c>
      <c r="Q292" s="1"/>
      <c r="R292" s="1"/>
      <c r="S292" s="1" t="s">
        <v>1</v>
      </c>
      <c r="T292" s="1">
        <v>1</v>
      </c>
      <c r="U292" s="1"/>
      <c r="V292" s="1"/>
      <c r="W292" s="1"/>
      <c r="X292" s="1"/>
      <c r="Y292" s="1" t="s">
        <v>2</v>
      </c>
      <c r="Z292" s="1" t="s">
        <v>3</v>
      </c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>
        <v>9.5489999999999995</v>
      </c>
      <c r="Q293" s="1"/>
      <c r="R293" s="1"/>
      <c r="S293" s="1" t="s">
        <v>1</v>
      </c>
      <c r="T293" s="1">
        <v>1</v>
      </c>
      <c r="U293" s="1"/>
      <c r="V293" s="1"/>
      <c r="W293" s="1"/>
      <c r="X293" s="1"/>
      <c r="Y293" s="1" t="s">
        <v>2</v>
      </c>
      <c r="Z293" s="1" t="s">
        <v>3</v>
      </c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>
        <v>9.5619999999999994</v>
      </c>
      <c r="Q294" s="1"/>
      <c r="R294" s="1"/>
      <c r="S294" s="1" t="s">
        <v>1</v>
      </c>
      <c r="T294" s="1">
        <v>1</v>
      </c>
      <c r="U294" s="1"/>
      <c r="V294" s="1"/>
      <c r="W294" s="1"/>
      <c r="X294" s="1"/>
      <c r="Y294" s="1" t="s">
        <v>2</v>
      </c>
      <c r="Z294" s="1" t="s">
        <v>3</v>
      </c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>
        <v>9.5649999999999995</v>
      </c>
      <c r="Q295" s="1"/>
      <c r="R295" s="1"/>
      <c r="S295" s="1" t="s">
        <v>1</v>
      </c>
      <c r="T295" s="1">
        <v>1</v>
      </c>
      <c r="U295" s="1"/>
      <c r="V295" s="1"/>
      <c r="W295" s="1"/>
      <c r="X295" s="1"/>
      <c r="Y295" s="1" t="s">
        <v>2</v>
      </c>
      <c r="Z295" s="1" t="s">
        <v>3</v>
      </c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>
        <v>9.5419999999999998</v>
      </c>
      <c r="Q296" s="1"/>
      <c r="R296" s="1"/>
      <c r="S296" s="1" t="s">
        <v>1</v>
      </c>
      <c r="T296" s="1">
        <v>1</v>
      </c>
      <c r="U296" s="1"/>
      <c r="V296" s="1"/>
      <c r="W296" s="1"/>
      <c r="X296" s="1"/>
      <c r="Y296" s="1" t="s">
        <v>2</v>
      </c>
      <c r="Z296" s="1" t="s">
        <v>3</v>
      </c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>
        <v>9.5519999999999996</v>
      </c>
      <c r="Q297" s="1"/>
      <c r="R297" s="1"/>
      <c r="S297" s="1" t="s">
        <v>1</v>
      </c>
      <c r="T297" s="1">
        <v>1</v>
      </c>
      <c r="U297" s="1"/>
      <c r="V297" s="1"/>
      <c r="W297" s="1"/>
      <c r="X297" s="1"/>
      <c r="Y297" s="1" t="s">
        <v>2</v>
      </c>
      <c r="Z297" s="1" t="s">
        <v>3</v>
      </c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>
        <v>9.5519999999999996</v>
      </c>
      <c r="Q298" s="1"/>
      <c r="R298" s="1"/>
      <c r="S298" s="1" t="s">
        <v>1</v>
      </c>
      <c r="T298" s="1">
        <v>1</v>
      </c>
      <c r="U298" s="1"/>
      <c r="V298" s="1"/>
      <c r="W298" s="1"/>
      <c r="X298" s="1"/>
      <c r="Y298" s="1" t="s">
        <v>2</v>
      </c>
      <c r="Z298" s="1" t="s">
        <v>3</v>
      </c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>
        <v>9.5370000000000008</v>
      </c>
      <c r="Q299" s="1"/>
      <c r="R299" s="1"/>
      <c r="S299" s="1" t="s">
        <v>1</v>
      </c>
      <c r="T299" s="1">
        <v>1</v>
      </c>
      <c r="U299" s="1"/>
      <c r="V299" s="1"/>
      <c r="W299" s="1"/>
      <c r="X299" s="1"/>
      <c r="Y299" s="1" t="s">
        <v>2</v>
      </c>
      <c r="Z299" s="1" t="s">
        <v>3</v>
      </c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>
        <v>9.5679999999999996</v>
      </c>
      <c r="Q300" s="1"/>
      <c r="R300" s="1"/>
      <c r="S300" s="1" t="s">
        <v>1</v>
      </c>
      <c r="T300" s="1">
        <v>1</v>
      </c>
      <c r="U300" s="1"/>
      <c r="V300" s="1"/>
      <c r="W300" s="1"/>
      <c r="X300" s="1"/>
      <c r="Y300" s="1" t="s">
        <v>2</v>
      </c>
      <c r="Z300" s="1" t="s">
        <v>3</v>
      </c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>
        <v>9.5470000000000006</v>
      </c>
      <c r="Q301" s="1"/>
      <c r="R301" s="1"/>
      <c r="S301" s="1" t="s">
        <v>1</v>
      </c>
      <c r="T301" s="1">
        <v>1</v>
      </c>
      <c r="U301" s="1"/>
      <c r="V301" s="1"/>
      <c r="W301" s="1"/>
      <c r="X301" s="1"/>
      <c r="Y301" s="1" t="s">
        <v>2</v>
      </c>
      <c r="Z301" s="1" t="s">
        <v>3</v>
      </c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>
        <v>9.5359999999999996</v>
      </c>
      <c r="Q302" s="1"/>
      <c r="R302" s="1"/>
      <c r="S302" s="1" t="s">
        <v>1</v>
      </c>
      <c r="T302" s="1">
        <v>1</v>
      </c>
      <c r="U302" s="1"/>
      <c r="V302" s="1"/>
      <c r="W302" s="1"/>
      <c r="X302" s="1"/>
      <c r="Y302" s="1" t="s">
        <v>2</v>
      </c>
      <c r="Z302" s="1" t="s">
        <v>3</v>
      </c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>
        <v>9.5660000000000007</v>
      </c>
      <c r="Q303" s="1"/>
      <c r="R303" s="1"/>
      <c r="S303" s="1" t="s">
        <v>1</v>
      </c>
      <c r="T303" s="1">
        <v>1</v>
      </c>
      <c r="U303" s="1"/>
      <c r="V303" s="1"/>
      <c r="W303" s="1"/>
      <c r="X303" s="1"/>
      <c r="Y303" s="1" t="s">
        <v>2</v>
      </c>
      <c r="Z303" s="1" t="s">
        <v>3</v>
      </c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>
        <v>9.5259999999999998</v>
      </c>
      <c r="Q304" s="1"/>
      <c r="R304" s="1"/>
      <c r="S304" s="1" t="s">
        <v>1</v>
      </c>
      <c r="T304" s="1">
        <v>1</v>
      </c>
      <c r="U304" s="1"/>
      <c r="V304" s="1"/>
      <c r="W304" s="1"/>
      <c r="X304" s="1"/>
      <c r="Y304" s="1" t="s">
        <v>2</v>
      </c>
      <c r="Z304" s="1" t="s">
        <v>3</v>
      </c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>
        <v>9.5589999999999993</v>
      </c>
      <c r="Q305" s="1"/>
      <c r="R305" s="1"/>
      <c r="S305" s="1" t="s">
        <v>1</v>
      </c>
      <c r="T305" s="1">
        <v>1</v>
      </c>
      <c r="U305" s="1"/>
      <c r="V305" s="1"/>
      <c r="W305" s="1"/>
      <c r="X305" s="1"/>
      <c r="Y305" s="1" t="s">
        <v>2</v>
      </c>
      <c r="Z305" s="1" t="s">
        <v>3</v>
      </c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>
        <v>9.548</v>
      </c>
      <c r="Q306" s="1"/>
      <c r="R306" s="1"/>
      <c r="S306" s="1" t="s">
        <v>1</v>
      </c>
      <c r="T306" s="1">
        <v>1</v>
      </c>
      <c r="U306" s="1"/>
      <c r="V306" s="1"/>
      <c r="W306" s="1"/>
      <c r="X306" s="1"/>
      <c r="Y306" s="1" t="s">
        <v>2</v>
      </c>
      <c r="Z306" s="1" t="s">
        <v>3</v>
      </c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>
        <v>9.5269999999999992</v>
      </c>
      <c r="Q307" s="1"/>
      <c r="R307" s="1"/>
      <c r="S307" s="1" t="s">
        <v>1</v>
      </c>
      <c r="T307" s="1">
        <v>1</v>
      </c>
      <c r="U307" s="1"/>
      <c r="V307" s="1"/>
      <c r="W307" s="1"/>
      <c r="X307" s="1"/>
      <c r="Y307" s="1" t="s">
        <v>2</v>
      </c>
      <c r="Z307" s="1" t="s">
        <v>3</v>
      </c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>
        <v>9.5359999999999996</v>
      </c>
      <c r="Q308" s="1"/>
      <c r="R308" s="1"/>
      <c r="S308" s="1" t="s">
        <v>1</v>
      </c>
      <c r="T308" s="1">
        <v>1</v>
      </c>
      <c r="U308" s="1"/>
      <c r="V308" s="1"/>
      <c r="W308" s="1"/>
      <c r="X308" s="1"/>
      <c r="Y308" s="1" t="s">
        <v>2</v>
      </c>
      <c r="Z308" s="1" t="s">
        <v>3</v>
      </c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>
        <v>9.5489999999999995</v>
      </c>
      <c r="Q309" s="1"/>
      <c r="R309" s="1"/>
      <c r="S309" s="1" t="s">
        <v>1</v>
      </c>
      <c r="T309" s="1">
        <v>1</v>
      </c>
      <c r="U309" s="1"/>
      <c r="V309" s="1"/>
      <c r="W309" s="1"/>
      <c r="X309" s="1"/>
      <c r="Y309" s="1" t="s">
        <v>2</v>
      </c>
      <c r="Z309" s="1" t="s">
        <v>3</v>
      </c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>
        <v>9.5649999999999995</v>
      </c>
      <c r="Q310" s="1"/>
      <c r="R310" s="1"/>
      <c r="S310" s="1" t="s">
        <v>1</v>
      </c>
      <c r="T310" s="1">
        <v>1</v>
      </c>
      <c r="U310" s="1"/>
      <c r="V310" s="1"/>
      <c r="W310" s="1"/>
      <c r="X310" s="1"/>
      <c r="Y310" s="1" t="s">
        <v>2</v>
      </c>
      <c r="Z310" s="1" t="s">
        <v>3</v>
      </c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>
        <v>9.5470000000000006</v>
      </c>
      <c r="Q311" s="1"/>
      <c r="R311" s="1"/>
      <c r="S311" s="1" t="s">
        <v>1</v>
      </c>
      <c r="T311" s="1">
        <v>1</v>
      </c>
      <c r="U311" s="1"/>
      <c r="V311" s="1"/>
      <c r="W311" s="1"/>
      <c r="X311" s="1"/>
      <c r="Y311" s="1" t="s">
        <v>2</v>
      </c>
      <c r="Z311" s="1" t="s">
        <v>3</v>
      </c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>
        <v>9.5690000000000008</v>
      </c>
      <c r="Q312" s="1"/>
      <c r="R312" s="1"/>
      <c r="S312" s="1" t="s">
        <v>1</v>
      </c>
      <c r="T312" s="1">
        <v>1</v>
      </c>
      <c r="U312" s="1"/>
      <c r="V312" s="1"/>
      <c r="W312" s="1"/>
      <c r="X312" s="1"/>
      <c r="Y312" s="1" t="s">
        <v>2</v>
      </c>
      <c r="Z312" s="1" t="s">
        <v>3</v>
      </c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>
        <v>9.5549999999999997</v>
      </c>
      <c r="Q313" s="1"/>
      <c r="R313" s="1"/>
      <c r="S313" s="1" t="s">
        <v>1</v>
      </c>
      <c r="T313" s="1">
        <v>1</v>
      </c>
      <c r="U313" s="1"/>
      <c r="V313" s="1"/>
      <c r="W313" s="1"/>
      <c r="X313" s="1"/>
      <c r="Y313" s="1" t="s">
        <v>2</v>
      </c>
      <c r="Z313" s="1" t="s">
        <v>3</v>
      </c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>
        <v>9.5660000000000007</v>
      </c>
      <c r="Q314" s="1"/>
      <c r="R314" s="1"/>
      <c r="S314" s="1" t="s">
        <v>1</v>
      </c>
      <c r="T314" s="1">
        <v>1</v>
      </c>
      <c r="U314" s="1"/>
      <c r="V314" s="1"/>
      <c r="W314" s="1"/>
      <c r="X314" s="1"/>
      <c r="Y314" s="1" t="s">
        <v>2</v>
      </c>
      <c r="Z314" s="1" t="s">
        <v>3</v>
      </c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>
        <v>9.5350000000000001</v>
      </c>
      <c r="Q315" s="1"/>
      <c r="R315" s="1"/>
      <c r="S315" s="1" t="s">
        <v>1</v>
      </c>
      <c r="T315" s="1">
        <v>1</v>
      </c>
      <c r="U315" s="1"/>
      <c r="V315" s="1"/>
      <c r="W315" s="1"/>
      <c r="X315" s="1"/>
      <c r="Y315" s="1" t="s">
        <v>2</v>
      </c>
      <c r="Z315" s="1" t="s">
        <v>3</v>
      </c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>
        <v>9.5259999999999998</v>
      </c>
      <c r="Q316" s="1"/>
      <c r="R316" s="1"/>
      <c r="S316" s="1" t="s">
        <v>1</v>
      </c>
      <c r="T316" s="1">
        <v>1</v>
      </c>
      <c r="U316" s="1"/>
      <c r="V316" s="1"/>
      <c r="W316" s="1"/>
      <c r="X316" s="1"/>
      <c r="Y316" s="1" t="s">
        <v>2</v>
      </c>
      <c r="Z316" s="1" t="s">
        <v>3</v>
      </c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>
        <v>9.5299999999999994</v>
      </c>
      <c r="Q317" s="1"/>
      <c r="R317" s="1"/>
      <c r="S317" s="1" t="s">
        <v>1</v>
      </c>
      <c r="T317" s="1">
        <v>1</v>
      </c>
      <c r="U317" s="1"/>
      <c r="V317" s="1"/>
      <c r="W317" s="1"/>
      <c r="X317" s="1"/>
      <c r="Y317" s="1" t="s">
        <v>2</v>
      </c>
      <c r="Z317" s="1" t="s">
        <v>3</v>
      </c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>
        <v>9.5419999999999998</v>
      </c>
      <c r="Q318" s="1"/>
      <c r="R318" s="1"/>
      <c r="S318" s="1" t="s">
        <v>1</v>
      </c>
      <c r="T318" s="1">
        <v>1</v>
      </c>
      <c r="U318" s="1"/>
      <c r="V318" s="1"/>
      <c r="W318" s="1"/>
      <c r="X318" s="1"/>
      <c r="Y318" s="1" t="s">
        <v>2</v>
      </c>
      <c r="Z318" s="1" t="s">
        <v>3</v>
      </c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>
        <v>9.5150000000000006</v>
      </c>
      <c r="Q319" s="1"/>
      <c r="R319" s="1"/>
      <c r="S319" s="1" t="s">
        <v>1</v>
      </c>
      <c r="T319" s="1">
        <v>1</v>
      </c>
      <c r="U319" s="1"/>
      <c r="V319" s="1"/>
      <c r="W319" s="1"/>
      <c r="X319" s="1"/>
      <c r="Y319" s="1" t="s">
        <v>2</v>
      </c>
      <c r="Z319" s="1" t="s">
        <v>3</v>
      </c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>
        <v>9.5839999999999996</v>
      </c>
      <c r="Q320" s="1"/>
      <c r="R320" s="1"/>
      <c r="S320" s="1" t="s">
        <v>1</v>
      </c>
      <c r="T320" s="1">
        <v>1</v>
      </c>
      <c r="U320" s="1"/>
      <c r="V320" s="1"/>
      <c r="W320" s="1"/>
      <c r="X320" s="1"/>
      <c r="Y320" s="1" t="s">
        <v>2</v>
      </c>
      <c r="Z320" s="1" t="s">
        <v>3</v>
      </c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>
        <v>9.5749999999999993</v>
      </c>
      <c r="Q321" s="1"/>
      <c r="R321" s="1"/>
      <c r="S321" s="1" t="s">
        <v>1</v>
      </c>
      <c r="T321" s="1">
        <v>1</v>
      </c>
      <c r="U321" s="1"/>
      <c r="V321" s="1"/>
      <c r="W321" s="1"/>
      <c r="X321" s="1"/>
      <c r="Y321" s="1" t="s">
        <v>2</v>
      </c>
      <c r="Z321" s="1" t="s">
        <v>3</v>
      </c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>
        <v>9.548</v>
      </c>
      <c r="Q322" s="1"/>
      <c r="R322" s="1"/>
      <c r="S322" s="1" t="s">
        <v>1</v>
      </c>
      <c r="T322" s="1">
        <v>1</v>
      </c>
      <c r="U322" s="1"/>
      <c r="V322" s="1"/>
      <c r="W322" s="1"/>
      <c r="X322" s="1"/>
      <c r="Y322" s="1" t="s">
        <v>2</v>
      </c>
      <c r="Z322" s="1" t="s">
        <v>3</v>
      </c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>
        <v>9.548</v>
      </c>
      <c r="Q323" s="1"/>
      <c r="R323" s="1"/>
      <c r="S323" s="1" t="s">
        <v>1</v>
      </c>
      <c r="T323" s="1">
        <v>1</v>
      </c>
      <c r="U323" s="1"/>
      <c r="V323" s="1"/>
      <c r="W323" s="1"/>
      <c r="X323" s="1"/>
      <c r="Y323" s="1" t="s">
        <v>2</v>
      </c>
      <c r="Z323" s="1" t="s">
        <v>3</v>
      </c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>
        <v>9.4920000000000009</v>
      </c>
      <c r="Q324" s="1"/>
      <c r="R324" s="1"/>
      <c r="S324" s="1" t="s">
        <v>1</v>
      </c>
      <c r="T324" s="1">
        <v>1</v>
      </c>
      <c r="U324" s="1"/>
      <c r="V324" s="1"/>
      <c r="W324" s="1"/>
      <c r="X324" s="1"/>
      <c r="Y324" s="1" t="s">
        <v>2</v>
      </c>
      <c r="Z324" s="1" t="s">
        <v>3</v>
      </c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>
        <v>9.5310000000000006</v>
      </c>
      <c r="Q325" s="1"/>
      <c r="R325" s="1"/>
      <c r="S325" s="1" t="s">
        <v>1</v>
      </c>
      <c r="T325" s="1">
        <v>1</v>
      </c>
      <c r="U325" s="1"/>
      <c r="V325" s="1"/>
      <c r="W325" s="1"/>
      <c r="X325" s="1"/>
      <c r="Y325" s="1" t="s">
        <v>2</v>
      </c>
      <c r="Z325" s="1" t="s">
        <v>3</v>
      </c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>
        <v>9.5060000000000002</v>
      </c>
      <c r="Q326" s="1"/>
      <c r="R326" s="1"/>
      <c r="S326" s="1" t="s">
        <v>1</v>
      </c>
      <c r="T326" s="1">
        <v>1</v>
      </c>
      <c r="U326" s="1"/>
      <c r="V326" s="1"/>
      <c r="W326" s="1"/>
      <c r="X326" s="1"/>
      <c r="Y326" s="1" t="s">
        <v>2</v>
      </c>
      <c r="Z326" s="1" t="s">
        <v>3</v>
      </c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>
        <v>9.6690000000000005</v>
      </c>
      <c r="Q327" s="1"/>
      <c r="R327" s="1"/>
      <c r="S327" s="1" t="s">
        <v>1</v>
      </c>
      <c r="T327" s="1">
        <v>1</v>
      </c>
      <c r="U327" s="1"/>
      <c r="V327" s="1"/>
      <c r="W327" s="1"/>
      <c r="X327" s="1"/>
      <c r="Y327" s="1" t="s">
        <v>2</v>
      </c>
      <c r="Z327" s="1" t="s">
        <v>3</v>
      </c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>
        <v>9.5470000000000006</v>
      </c>
      <c r="Q328" s="1"/>
      <c r="R328" s="1"/>
      <c r="S328" s="1" t="s">
        <v>1</v>
      </c>
      <c r="T328" s="1">
        <v>1</v>
      </c>
      <c r="U328" s="1"/>
      <c r="V328" s="1"/>
      <c r="W328" s="1"/>
      <c r="X328" s="1"/>
      <c r="Y328" s="1" t="s">
        <v>2</v>
      </c>
      <c r="Z328" s="1" t="s">
        <v>3</v>
      </c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>
        <v>9.52</v>
      </c>
      <c r="Q329" s="1"/>
      <c r="R329" s="1"/>
      <c r="S329" s="1" t="s">
        <v>1</v>
      </c>
      <c r="T329" s="1">
        <v>1</v>
      </c>
      <c r="U329" s="1"/>
      <c r="V329" s="1"/>
      <c r="W329" s="1"/>
      <c r="X329" s="1"/>
      <c r="Y329" s="1" t="s">
        <v>2</v>
      </c>
      <c r="Z329" s="1" t="s">
        <v>3</v>
      </c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>
        <v>9.5399999999999991</v>
      </c>
      <c r="Q330" s="1"/>
      <c r="R330" s="1"/>
      <c r="S330" s="1" t="s">
        <v>1</v>
      </c>
      <c r="T330" s="1">
        <v>1</v>
      </c>
      <c r="U330" s="1"/>
      <c r="V330" s="1"/>
      <c r="W330" s="1"/>
      <c r="X330" s="1"/>
      <c r="Y330" s="1" t="s">
        <v>2</v>
      </c>
      <c r="Z330" s="1" t="s">
        <v>3</v>
      </c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>
        <v>9.5649999999999995</v>
      </c>
      <c r="Q331" s="1"/>
      <c r="R331" s="1"/>
      <c r="S331" s="1" t="s">
        <v>1</v>
      </c>
      <c r="T331" s="1">
        <v>1</v>
      </c>
      <c r="U331" s="1"/>
      <c r="V331" s="1"/>
      <c r="W331" s="1"/>
      <c r="X331" s="1"/>
      <c r="Y331" s="1" t="s">
        <v>2</v>
      </c>
      <c r="Z331" s="1" t="s">
        <v>3</v>
      </c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>
        <v>9.5489999999999995</v>
      </c>
      <c r="Q332" s="1"/>
      <c r="R332" s="1"/>
      <c r="S332" s="1" t="s">
        <v>1</v>
      </c>
      <c r="T332" s="1">
        <v>1</v>
      </c>
      <c r="U332" s="1"/>
      <c r="V332" s="1"/>
      <c r="W332" s="1"/>
      <c r="X332" s="1"/>
      <c r="Y332" s="1" t="s">
        <v>2</v>
      </c>
      <c r="Z332" s="1" t="s">
        <v>3</v>
      </c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>
        <v>9.5730000000000004</v>
      </c>
      <c r="Q333" s="1"/>
      <c r="R333" s="1"/>
      <c r="S333" s="1" t="s">
        <v>1</v>
      </c>
      <c r="T333" s="1">
        <v>1</v>
      </c>
      <c r="U333" s="1"/>
      <c r="V333" s="1"/>
      <c r="W333" s="1"/>
      <c r="X333" s="1"/>
      <c r="Y333" s="1" t="s">
        <v>2</v>
      </c>
      <c r="Z333" s="1" t="s">
        <v>3</v>
      </c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>
        <v>9.5549999999999997</v>
      </c>
      <c r="Q334" s="1"/>
      <c r="R334" s="1"/>
      <c r="S334" s="1" t="s">
        <v>1</v>
      </c>
      <c r="T334" s="1">
        <v>1</v>
      </c>
      <c r="U334" s="1"/>
      <c r="V334" s="1"/>
      <c r="W334" s="1"/>
      <c r="X334" s="1"/>
      <c r="Y334" s="1" t="s">
        <v>2</v>
      </c>
      <c r="Z334" s="1" t="s">
        <v>3</v>
      </c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>
        <v>9.5150000000000006</v>
      </c>
      <c r="Q335" s="1"/>
      <c r="R335" s="1"/>
      <c r="S335" s="1" t="s">
        <v>1</v>
      </c>
      <c r="T335" s="1">
        <v>1</v>
      </c>
      <c r="U335" s="1"/>
      <c r="V335" s="1"/>
      <c r="W335" s="1"/>
      <c r="X335" s="1"/>
      <c r="Y335" s="1" t="s">
        <v>2</v>
      </c>
      <c r="Z335" s="1" t="s">
        <v>3</v>
      </c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>
        <v>9.5719999999999992</v>
      </c>
      <c r="Q336" s="1"/>
      <c r="R336" s="1"/>
      <c r="S336" s="1" t="s">
        <v>1</v>
      </c>
      <c r="T336" s="1">
        <v>1</v>
      </c>
      <c r="U336" s="1"/>
      <c r="V336" s="1"/>
      <c r="W336" s="1"/>
      <c r="X336" s="1"/>
      <c r="Y336" s="1" t="s">
        <v>2</v>
      </c>
      <c r="Z336" s="1" t="s">
        <v>3</v>
      </c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>
        <v>9.5519999999999996</v>
      </c>
      <c r="Q337" s="1"/>
      <c r="R337" s="1"/>
      <c r="S337" s="1" t="s">
        <v>1</v>
      </c>
      <c r="T337" s="1">
        <v>1</v>
      </c>
      <c r="U337" s="1"/>
      <c r="V337" s="1"/>
      <c r="W337" s="1"/>
      <c r="X337" s="1"/>
      <c r="Y337" s="1" t="s">
        <v>2</v>
      </c>
      <c r="Z337" s="1" t="s">
        <v>3</v>
      </c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>
        <v>9.5440000000000005</v>
      </c>
      <c r="Q338" s="1"/>
      <c r="R338" s="1"/>
      <c r="S338" s="1" t="s">
        <v>1</v>
      </c>
      <c r="T338" s="1">
        <v>1</v>
      </c>
      <c r="U338" s="1"/>
      <c r="V338" s="1"/>
      <c r="W338" s="1"/>
      <c r="X338" s="1"/>
      <c r="Y338" s="1" t="s">
        <v>2</v>
      </c>
      <c r="Z338" s="1" t="s">
        <v>3</v>
      </c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>
        <v>9.5229999999999997</v>
      </c>
      <c r="Q339" s="1"/>
      <c r="R339" s="1"/>
      <c r="S339" s="1" t="s">
        <v>1</v>
      </c>
      <c r="T339" s="1">
        <v>1</v>
      </c>
      <c r="U339" s="1"/>
      <c r="V339" s="1"/>
      <c r="W339" s="1"/>
      <c r="X339" s="1"/>
      <c r="Y339" s="1" t="s">
        <v>2</v>
      </c>
      <c r="Z339" s="1" t="s">
        <v>3</v>
      </c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>
        <v>9.548</v>
      </c>
      <c r="Q340" s="1"/>
      <c r="R340" s="1"/>
      <c r="S340" s="1" t="s">
        <v>1</v>
      </c>
      <c r="T340" s="1">
        <v>1</v>
      </c>
      <c r="U340" s="1"/>
      <c r="V340" s="1"/>
      <c r="W340" s="1"/>
      <c r="X340" s="1"/>
      <c r="Y340" s="1" t="s">
        <v>2</v>
      </c>
      <c r="Z340" s="1" t="s">
        <v>3</v>
      </c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>
        <v>9.5830000000000002</v>
      </c>
      <c r="Q341" s="1"/>
      <c r="R341" s="1"/>
      <c r="S341" s="1" t="s">
        <v>1</v>
      </c>
      <c r="T341" s="1">
        <v>1</v>
      </c>
      <c r="U341" s="1"/>
      <c r="V341" s="1"/>
      <c r="W341" s="1"/>
      <c r="X341" s="1"/>
      <c r="Y341" s="1" t="s">
        <v>2</v>
      </c>
      <c r="Z341" s="1" t="s">
        <v>3</v>
      </c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>
        <v>9.5289999999999999</v>
      </c>
      <c r="Q342" s="1"/>
      <c r="R342" s="1"/>
      <c r="S342" s="1" t="s">
        <v>1</v>
      </c>
      <c r="T342" s="1">
        <v>1</v>
      </c>
      <c r="U342" s="1"/>
      <c r="V342" s="1"/>
      <c r="W342" s="1"/>
      <c r="X342" s="1"/>
      <c r="Y342" s="1" t="s">
        <v>2</v>
      </c>
      <c r="Z342" s="1" t="s">
        <v>3</v>
      </c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>
        <v>9.5229999999999997</v>
      </c>
      <c r="Q343" s="1"/>
      <c r="R343" s="1"/>
      <c r="S343" s="1" t="s">
        <v>1</v>
      </c>
      <c r="T343" s="1">
        <v>1</v>
      </c>
      <c r="U343" s="1"/>
      <c r="V343" s="1"/>
      <c r="W343" s="1"/>
      <c r="X343" s="1"/>
      <c r="Y343" s="1" t="s">
        <v>2</v>
      </c>
      <c r="Z343" s="1" t="s">
        <v>3</v>
      </c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>
        <v>9.5969999999999995</v>
      </c>
      <c r="Q344" s="1"/>
      <c r="R344" s="1"/>
      <c r="S344" s="1" t="s">
        <v>1</v>
      </c>
      <c r="T344" s="1">
        <v>1</v>
      </c>
      <c r="U344" s="1"/>
      <c r="V344" s="1"/>
      <c r="W344" s="1"/>
      <c r="X344" s="1"/>
      <c r="Y344" s="1" t="s">
        <v>2</v>
      </c>
      <c r="Z344" s="1" t="s">
        <v>3</v>
      </c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>
        <v>9.5969999999999995</v>
      </c>
      <c r="Q345" s="1"/>
      <c r="R345" s="1"/>
      <c r="S345" s="1" t="s">
        <v>1</v>
      </c>
      <c r="T345" s="1">
        <v>1</v>
      </c>
      <c r="U345" s="1"/>
      <c r="V345" s="1"/>
      <c r="W345" s="1"/>
      <c r="X345" s="1"/>
      <c r="Y345" s="1" t="s">
        <v>2</v>
      </c>
      <c r="Z345" s="1" t="s">
        <v>3</v>
      </c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>
        <v>9.532</v>
      </c>
      <c r="Q346" s="1"/>
      <c r="R346" s="1"/>
      <c r="S346" s="1" t="s">
        <v>1</v>
      </c>
      <c r="T346" s="1">
        <v>1</v>
      </c>
      <c r="U346" s="1"/>
      <c r="V346" s="1"/>
      <c r="W346" s="1"/>
      <c r="X346" s="1"/>
      <c r="Y346" s="1" t="s">
        <v>2</v>
      </c>
      <c r="Z346" s="1" t="s">
        <v>3</v>
      </c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>
        <v>-9.3610000000000007</v>
      </c>
      <c r="Q347" s="1"/>
      <c r="R347" s="1"/>
      <c r="S347" s="1" t="s">
        <v>1</v>
      </c>
      <c r="T347" s="1">
        <v>1</v>
      </c>
      <c r="U347" s="1"/>
      <c r="V347" s="1"/>
      <c r="W347" s="1"/>
      <c r="X347" s="1"/>
      <c r="Y347" s="1" t="s">
        <v>2</v>
      </c>
      <c r="Z347" s="1" t="s">
        <v>3</v>
      </c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>
        <v>9.5220000000000002</v>
      </c>
      <c r="Q348" s="1"/>
      <c r="R348" s="1"/>
      <c r="S348" s="1" t="s">
        <v>1</v>
      </c>
      <c r="T348" s="1">
        <v>1</v>
      </c>
      <c r="U348" s="1"/>
      <c r="V348" s="1"/>
      <c r="W348" s="1"/>
      <c r="X348" s="1"/>
      <c r="Y348" s="1" t="s">
        <v>2</v>
      </c>
      <c r="Z348" s="1" t="s">
        <v>3</v>
      </c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>
        <v>9.5039999999999996</v>
      </c>
      <c r="Q349" s="1"/>
      <c r="R349" s="1"/>
      <c r="S349" s="1" t="s">
        <v>1</v>
      </c>
      <c r="T349" s="1">
        <v>1</v>
      </c>
      <c r="U349" s="1"/>
      <c r="V349" s="1"/>
      <c r="W349" s="1"/>
      <c r="X349" s="1"/>
      <c r="Y349" s="1" t="s">
        <v>2</v>
      </c>
      <c r="Z349" s="1" t="s">
        <v>3</v>
      </c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>
        <v>9.5549999999999997</v>
      </c>
      <c r="Q350" s="1"/>
      <c r="R350" s="1"/>
      <c r="S350" s="1" t="s">
        <v>1</v>
      </c>
      <c r="T350" s="1">
        <v>1</v>
      </c>
      <c r="U350" s="1"/>
      <c r="V350" s="1"/>
      <c r="W350" s="1"/>
      <c r="X350" s="1"/>
      <c r="Y350" s="1" t="s">
        <v>2</v>
      </c>
      <c r="Z350" s="1" t="s">
        <v>3</v>
      </c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>
        <v>9.5020000000000007</v>
      </c>
      <c r="Q351" s="1"/>
      <c r="R351" s="1"/>
      <c r="S351" s="1" t="s">
        <v>1</v>
      </c>
      <c r="T351" s="1">
        <v>1</v>
      </c>
      <c r="U351" s="1"/>
      <c r="V351" s="1"/>
      <c r="W351" s="1"/>
      <c r="X351" s="1"/>
      <c r="Y351" s="1" t="s">
        <v>2</v>
      </c>
      <c r="Z351" s="1" t="s">
        <v>3</v>
      </c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>
        <v>9.5809999999999995</v>
      </c>
      <c r="Q352" s="1"/>
      <c r="R352" s="1"/>
      <c r="S352" s="1" t="s">
        <v>1</v>
      </c>
      <c r="T352" s="1">
        <v>1</v>
      </c>
      <c r="U352" s="1"/>
      <c r="V352" s="1"/>
      <c r="W352" s="1"/>
      <c r="X352" s="1"/>
      <c r="Y352" s="1" t="s">
        <v>2</v>
      </c>
      <c r="Z352" s="1" t="s">
        <v>3</v>
      </c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>
        <v>9.5340000000000007</v>
      </c>
      <c r="Q353" s="1"/>
      <c r="R353" s="1"/>
      <c r="S353" s="1" t="s">
        <v>1</v>
      </c>
      <c r="T353" s="1">
        <v>1</v>
      </c>
      <c r="U353" s="1"/>
      <c r="V353" s="1"/>
      <c r="W353" s="1"/>
      <c r="X353" s="1"/>
      <c r="Y353" s="1" t="s">
        <v>2</v>
      </c>
      <c r="Z353" s="1" t="s">
        <v>3</v>
      </c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>
        <v>9.5730000000000004</v>
      </c>
      <c r="Q354" s="1"/>
      <c r="R354" s="1"/>
      <c r="S354" s="1" t="s">
        <v>1</v>
      </c>
      <c r="T354" s="1">
        <v>1</v>
      </c>
      <c r="U354" s="1"/>
      <c r="V354" s="1"/>
      <c r="W354" s="1"/>
      <c r="X354" s="1"/>
      <c r="Y354" s="1" t="s">
        <v>2</v>
      </c>
      <c r="Z354" s="1" t="s">
        <v>3</v>
      </c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>
        <v>9.5410000000000004</v>
      </c>
      <c r="Q355" s="1"/>
      <c r="R355" s="1"/>
      <c r="S355" s="1" t="s">
        <v>1</v>
      </c>
      <c r="T355" s="1">
        <v>1</v>
      </c>
      <c r="U355" s="1"/>
      <c r="V355" s="1"/>
      <c r="W355" s="1"/>
      <c r="X355" s="1"/>
      <c r="Y355" s="1" t="s">
        <v>2</v>
      </c>
      <c r="Z355" s="1" t="s">
        <v>3</v>
      </c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>
        <v>9.5190000000000001</v>
      </c>
      <c r="Q356" s="1"/>
      <c r="R356" s="1"/>
      <c r="S356" s="1" t="s">
        <v>1</v>
      </c>
      <c r="T356" s="1">
        <v>1</v>
      </c>
      <c r="U356" s="1"/>
      <c r="V356" s="1"/>
      <c r="W356" s="1"/>
      <c r="X356" s="1"/>
      <c r="Y356" s="1" t="s">
        <v>2</v>
      </c>
      <c r="Z356" s="1" t="s">
        <v>3</v>
      </c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>
        <v>9.5790000000000006</v>
      </c>
      <c r="Q357" s="1"/>
      <c r="R357" s="1"/>
      <c r="S357" s="1" t="s">
        <v>1</v>
      </c>
      <c r="T357" s="1">
        <v>1</v>
      </c>
      <c r="U357" s="1"/>
      <c r="V357" s="1"/>
      <c r="W357" s="1"/>
      <c r="X357" s="1"/>
      <c r="Y357" s="1" t="s">
        <v>2</v>
      </c>
      <c r="Z357" s="1" t="s">
        <v>3</v>
      </c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>
        <v>9.5109999999999992</v>
      </c>
      <c r="Q358" s="1"/>
      <c r="R358" s="1"/>
      <c r="S358" s="1" t="s">
        <v>1</v>
      </c>
      <c r="T358" s="1">
        <v>1</v>
      </c>
      <c r="U358" s="1"/>
      <c r="V358" s="1"/>
      <c r="W358" s="1"/>
      <c r="X358" s="1"/>
      <c r="Y358" s="1" t="s">
        <v>2</v>
      </c>
      <c r="Z358" s="1" t="s">
        <v>3</v>
      </c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>
        <v>9.5809999999999995</v>
      </c>
      <c r="Q359" s="1"/>
      <c r="R359" s="1"/>
      <c r="S359" s="1" t="s">
        <v>1</v>
      </c>
      <c r="T359" s="1">
        <v>1</v>
      </c>
      <c r="U359" s="1"/>
      <c r="V359" s="1"/>
      <c r="W359" s="1"/>
      <c r="X359" s="1"/>
      <c r="Y359" s="1" t="s">
        <v>2</v>
      </c>
      <c r="Z359" s="1" t="s">
        <v>3</v>
      </c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>
        <v>9.5879999999999992</v>
      </c>
      <c r="Q360" s="1"/>
      <c r="R360" s="1"/>
      <c r="S360" s="1" t="s">
        <v>1</v>
      </c>
      <c r="T360" s="1">
        <v>1</v>
      </c>
      <c r="U360" s="1"/>
      <c r="V360" s="1"/>
      <c r="W360" s="1"/>
      <c r="X360" s="1"/>
      <c r="Y360" s="1" t="s">
        <v>2</v>
      </c>
      <c r="Z360" s="1" t="s">
        <v>3</v>
      </c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>
        <v>9.5690000000000008</v>
      </c>
      <c r="Q361" s="1"/>
      <c r="R361" s="1"/>
      <c r="S361" s="1" t="s">
        <v>1</v>
      </c>
      <c r="T361" s="1">
        <v>1</v>
      </c>
      <c r="U361" s="1"/>
      <c r="V361" s="1"/>
      <c r="W361" s="1"/>
      <c r="X361" s="1"/>
      <c r="Y361" s="1" t="s">
        <v>2</v>
      </c>
      <c r="Z361" s="1" t="s">
        <v>3</v>
      </c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>
        <v>9.5679999999999996</v>
      </c>
      <c r="Q362" s="1"/>
      <c r="R362" s="1"/>
      <c r="S362" s="1" t="s">
        <v>1</v>
      </c>
      <c r="T362" s="1">
        <v>1</v>
      </c>
      <c r="U362" s="1"/>
      <c r="V362" s="1"/>
      <c r="W362" s="1"/>
      <c r="X362" s="1"/>
      <c r="Y362" s="1" t="s">
        <v>2</v>
      </c>
      <c r="Z362" s="1" t="s">
        <v>3</v>
      </c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>
        <v>9.5640000000000001</v>
      </c>
      <c r="Q363" s="1"/>
      <c r="R363" s="1"/>
      <c r="S363" s="1" t="s">
        <v>1</v>
      </c>
      <c r="T363" s="1">
        <v>1</v>
      </c>
      <c r="U363" s="1"/>
      <c r="V363" s="1"/>
      <c r="W363" s="1"/>
      <c r="X363" s="1"/>
      <c r="Y363" s="1" t="s">
        <v>2</v>
      </c>
      <c r="Z363" s="1" t="s">
        <v>3</v>
      </c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>
        <v>9.5329999999999995</v>
      </c>
      <c r="Q364" s="1"/>
      <c r="R364" s="1"/>
      <c r="S364" s="1" t="s">
        <v>1</v>
      </c>
      <c r="T364" s="1">
        <v>1</v>
      </c>
      <c r="U364" s="1"/>
      <c r="V364" s="1"/>
      <c r="W364" s="1"/>
      <c r="X364" s="1"/>
      <c r="Y364" s="1" t="s">
        <v>2</v>
      </c>
      <c r="Z364" s="1" t="s">
        <v>3</v>
      </c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>
        <v>9.5719999999999992</v>
      </c>
      <c r="Q365" s="1"/>
      <c r="R365" s="1"/>
      <c r="S365" s="1" t="s">
        <v>1</v>
      </c>
      <c r="T365" s="1">
        <v>1</v>
      </c>
      <c r="U365" s="1"/>
      <c r="V365" s="1"/>
      <c r="W365" s="1"/>
      <c r="X365" s="1"/>
      <c r="Y365" s="1" t="s">
        <v>2</v>
      </c>
      <c r="Z365" s="1" t="s">
        <v>3</v>
      </c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>
        <v>9.5410000000000004</v>
      </c>
      <c r="Q366" s="1"/>
      <c r="R366" s="1"/>
      <c r="S366" s="1" t="s">
        <v>1</v>
      </c>
      <c r="T366" s="1">
        <v>1</v>
      </c>
      <c r="U366" s="1"/>
      <c r="V366" s="1"/>
      <c r="W366" s="1"/>
      <c r="X366" s="1"/>
      <c r="Y366" s="1" t="s">
        <v>2</v>
      </c>
      <c r="Z366" s="1" t="s">
        <v>3</v>
      </c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>
        <v>9.5020000000000007</v>
      </c>
      <c r="Q367" s="1"/>
      <c r="R367" s="1"/>
      <c r="S367" s="1" t="s">
        <v>1</v>
      </c>
      <c r="T367" s="1">
        <v>1</v>
      </c>
      <c r="U367" s="1"/>
      <c r="V367" s="1"/>
      <c r="W367" s="1"/>
      <c r="X367" s="1"/>
      <c r="Y367" s="1" t="s">
        <v>2</v>
      </c>
      <c r="Z367" s="1" t="s">
        <v>3</v>
      </c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>
        <v>9.5570000000000004</v>
      </c>
      <c r="Q368" s="1"/>
      <c r="R368" s="1"/>
      <c r="S368" s="1" t="s">
        <v>1</v>
      </c>
      <c r="T368" s="1">
        <v>1</v>
      </c>
      <c r="U368" s="1"/>
      <c r="V368" s="1"/>
      <c r="W368" s="1"/>
      <c r="X368" s="1"/>
      <c r="Y368" s="1" t="s">
        <v>2</v>
      </c>
      <c r="Z368" s="1" t="s">
        <v>3</v>
      </c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>
        <v>9.5470000000000006</v>
      </c>
      <c r="Q369" s="1"/>
      <c r="R369" s="1"/>
      <c r="S369" s="1" t="s">
        <v>1</v>
      </c>
      <c r="T369" s="1">
        <v>1</v>
      </c>
      <c r="U369" s="1"/>
      <c r="V369" s="1"/>
      <c r="W369" s="1"/>
      <c r="X369" s="1"/>
      <c r="Y369" s="1" t="s">
        <v>2</v>
      </c>
      <c r="Z369" s="1" t="s">
        <v>3</v>
      </c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>
        <v>9.5500000000000007</v>
      </c>
      <c r="Q370" s="1"/>
      <c r="R370" s="1"/>
      <c r="S370" s="1" t="s">
        <v>1</v>
      </c>
      <c r="T370" s="1">
        <v>1</v>
      </c>
      <c r="U370" s="1"/>
      <c r="V370" s="1"/>
      <c r="W370" s="1"/>
      <c r="X370" s="1"/>
      <c r="Y370" s="1" t="s">
        <v>2</v>
      </c>
      <c r="Z370" s="1" t="s">
        <v>3</v>
      </c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>
        <v>9.5660000000000007</v>
      </c>
      <c r="Q371" s="1"/>
      <c r="R371" s="1"/>
      <c r="S371" s="1" t="s">
        <v>1</v>
      </c>
      <c r="T371" s="1">
        <v>1</v>
      </c>
      <c r="U371" s="1"/>
      <c r="V371" s="1"/>
      <c r="W371" s="1"/>
      <c r="X371" s="1"/>
      <c r="Y371" s="1" t="s">
        <v>2</v>
      </c>
      <c r="Z371" s="1" t="s">
        <v>3</v>
      </c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>
        <v>9.5640000000000001</v>
      </c>
      <c r="Q372" s="1"/>
      <c r="R372" s="1"/>
      <c r="S372" s="1" t="s">
        <v>1</v>
      </c>
      <c r="T372" s="1">
        <v>1</v>
      </c>
      <c r="U372" s="1"/>
      <c r="V372" s="1"/>
      <c r="W372" s="1"/>
      <c r="X372" s="1"/>
      <c r="Y372" s="1" t="s">
        <v>2</v>
      </c>
      <c r="Z372" s="1" t="s">
        <v>3</v>
      </c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>
        <v>9.5500000000000007</v>
      </c>
      <c r="Q373" s="1"/>
      <c r="R373" s="1"/>
      <c r="S373" s="1" t="s">
        <v>1</v>
      </c>
      <c r="T373" s="1">
        <v>1</v>
      </c>
      <c r="U373" s="1"/>
      <c r="V373" s="1"/>
      <c r="W373" s="1"/>
      <c r="X373" s="1"/>
      <c r="Y373" s="1" t="s">
        <v>2</v>
      </c>
      <c r="Z373" s="1" t="s">
        <v>3</v>
      </c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>
        <v>9.5280000000000005</v>
      </c>
      <c r="Q374" s="1"/>
      <c r="R374" s="1"/>
      <c r="S374" s="1" t="s">
        <v>1</v>
      </c>
      <c r="T374" s="1">
        <v>1</v>
      </c>
      <c r="U374" s="1"/>
      <c r="V374" s="1"/>
      <c r="W374" s="1"/>
      <c r="X374" s="1"/>
      <c r="Y374" s="1" t="s">
        <v>2</v>
      </c>
      <c r="Z374" s="1" t="s">
        <v>3</v>
      </c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>
        <v>9.7029999999999994</v>
      </c>
      <c r="Q375" s="1"/>
      <c r="R375" s="1"/>
      <c r="S375" s="1" t="s">
        <v>1</v>
      </c>
      <c r="T375" s="1">
        <v>1</v>
      </c>
      <c r="U375" s="1"/>
      <c r="V375" s="1"/>
      <c r="W375" s="1"/>
      <c r="X375" s="1"/>
      <c r="Y375" s="1" t="s">
        <v>2</v>
      </c>
      <c r="Z375" s="1" t="s">
        <v>3</v>
      </c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>
        <v>9.4410000000000007</v>
      </c>
      <c r="Q376" s="1"/>
      <c r="R376" s="1"/>
      <c r="S376" s="1" t="s">
        <v>1</v>
      </c>
      <c r="T376" s="1">
        <v>1</v>
      </c>
      <c r="U376" s="1"/>
      <c r="V376" s="1"/>
      <c r="W376" s="1"/>
      <c r="X376" s="1"/>
      <c r="Y376" s="1" t="s">
        <v>2</v>
      </c>
      <c r="Z376" s="1" t="s">
        <v>3</v>
      </c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>
        <v>9.5640000000000001</v>
      </c>
      <c r="Q377" s="1"/>
      <c r="R377" s="1"/>
      <c r="S377" s="1" t="s">
        <v>1</v>
      </c>
      <c r="T377" s="1">
        <v>1</v>
      </c>
      <c r="U377" s="1"/>
      <c r="V377" s="1"/>
      <c r="W377" s="1"/>
      <c r="X377" s="1"/>
      <c r="Y377" s="1" t="s">
        <v>2</v>
      </c>
      <c r="Z377" s="1" t="s">
        <v>3</v>
      </c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>
        <v>9.6519999999999992</v>
      </c>
      <c r="Q378" s="1"/>
      <c r="R378" s="1"/>
      <c r="S378" s="1" t="s">
        <v>1</v>
      </c>
      <c r="T378" s="1">
        <v>1</v>
      </c>
      <c r="U378" s="1"/>
      <c r="V378" s="1"/>
      <c r="W378" s="1"/>
      <c r="X378" s="1"/>
      <c r="Y378" s="1" t="s">
        <v>2</v>
      </c>
      <c r="Z378" s="1" t="s">
        <v>3</v>
      </c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>
        <v>9.6020000000000003</v>
      </c>
      <c r="Q379" s="1"/>
      <c r="R379" s="1"/>
      <c r="S379" s="1" t="s">
        <v>1</v>
      </c>
      <c r="T379" s="1">
        <v>1</v>
      </c>
      <c r="U379" s="1"/>
      <c r="V379" s="1"/>
      <c r="W379" s="1"/>
      <c r="X379" s="1"/>
      <c r="Y379" s="1" t="s">
        <v>2</v>
      </c>
      <c r="Z379" s="1" t="s">
        <v>3</v>
      </c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>
        <v>9.5879999999999992</v>
      </c>
      <c r="Q380" s="1"/>
      <c r="R380" s="1"/>
      <c r="S380" s="1" t="s">
        <v>1</v>
      </c>
      <c r="T380" s="1">
        <v>1</v>
      </c>
      <c r="U380" s="1"/>
      <c r="V380" s="1"/>
      <c r="W380" s="1"/>
      <c r="X380" s="1"/>
      <c r="Y380" s="1" t="s">
        <v>2</v>
      </c>
      <c r="Z380" s="1" t="s">
        <v>3</v>
      </c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>
        <v>9.8320000000000007</v>
      </c>
      <c r="Q381" s="1"/>
      <c r="R381" s="1"/>
      <c r="S381" s="1" t="s">
        <v>1</v>
      </c>
      <c r="T381" s="1">
        <v>1</v>
      </c>
      <c r="U381" s="1"/>
      <c r="V381" s="1"/>
      <c r="W381" s="1"/>
      <c r="X381" s="1"/>
      <c r="Y381" s="1" t="s">
        <v>2</v>
      </c>
      <c r="Z381" s="1" t="s">
        <v>3</v>
      </c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>
        <v>9.8179999999999996</v>
      </c>
      <c r="Q382" s="1"/>
      <c r="R382" s="1"/>
      <c r="S382" s="1" t="s">
        <v>1</v>
      </c>
      <c r="T382" s="1">
        <v>1</v>
      </c>
      <c r="U382" s="1"/>
      <c r="V382" s="1"/>
      <c r="W382" s="1"/>
      <c r="X382" s="1"/>
      <c r="Y382" s="1" t="s">
        <v>2</v>
      </c>
      <c r="Z382" s="1" t="s">
        <v>3</v>
      </c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>
        <v>9.8030000000000008</v>
      </c>
      <c r="Q383" s="1"/>
      <c r="R383" s="1"/>
      <c r="S383" s="1" t="s">
        <v>1</v>
      </c>
      <c r="T383" s="1">
        <v>1</v>
      </c>
      <c r="U383" s="1"/>
      <c r="V383" s="1"/>
      <c r="W383" s="1"/>
      <c r="X383" s="1"/>
      <c r="Y383" s="1" t="s">
        <v>2</v>
      </c>
      <c r="Z383" s="1" t="s">
        <v>3</v>
      </c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>
        <v>9.7889999999999997</v>
      </c>
      <c r="Q384" s="1"/>
      <c r="R384" s="1"/>
      <c r="S384" s="1" t="s">
        <v>1</v>
      </c>
      <c r="T384" s="1">
        <v>1</v>
      </c>
      <c r="U384" s="1"/>
      <c r="V384" s="1"/>
      <c r="W384" s="1"/>
      <c r="X384" s="1"/>
      <c r="Y384" s="1" t="s">
        <v>2</v>
      </c>
      <c r="Z384" s="1" t="s">
        <v>3</v>
      </c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>
        <v>9.8219999999999992</v>
      </c>
      <c r="Q385" s="1"/>
      <c r="R385" s="1"/>
      <c r="S385" s="1" t="s">
        <v>1</v>
      </c>
      <c r="T385" s="1">
        <v>1</v>
      </c>
      <c r="U385" s="1"/>
      <c r="V385" s="1"/>
      <c r="W385" s="1"/>
      <c r="X385" s="1"/>
      <c r="Y385" s="1" t="s">
        <v>2</v>
      </c>
      <c r="Z385" s="1" t="s">
        <v>3</v>
      </c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>
        <v>9.5679999999999996</v>
      </c>
      <c r="Q386" s="1"/>
      <c r="R386" s="1"/>
      <c r="S386" s="1" t="s">
        <v>1</v>
      </c>
      <c r="T386" s="1">
        <v>1</v>
      </c>
      <c r="U386" s="1"/>
      <c r="V386" s="1"/>
      <c r="W386" s="1"/>
      <c r="X386" s="1"/>
      <c r="Y386" s="1" t="s">
        <v>2</v>
      </c>
      <c r="Z386" s="1" t="s">
        <v>3</v>
      </c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>
        <v>9.5779999999999994</v>
      </c>
      <c r="Q387" s="1"/>
      <c r="R387" s="1"/>
      <c r="S387" s="1" t="s">
        <v>1</v>
      </c>
      <c r="T387" s="1">
        <v>1</v>
      </c>
      <c r="U387" s="1"/>
      <c r="V387" s="1"/>
      <c r="W387" s="1"/>
      <c r="X387" s="1"/>
      <c r="Y387" s="1" t="s">
        <v>2</v>
      </c>
      <c r="Z387" s="1" t="s">
        <v>3</v>
      </c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>
        <v>9.5679999999999996</v>
      </c>
      <c r="Q388" s="1"/>
      <c r="R388" s="1"/>
      <c r="S388" s="1" t="s">
        <v>1</v>
      </c>
      <c r="T388" s="1">
        <v>1</v>
      </c>
      <c r="U388" s="1"/>
      <c r="V388" s="1"/>
      <c r="W388" s="1"/>
      <c r="X388" s="1"/>
      <c r="Y388" s="1" t="s">
        <v>2</v>
      </c>
      <c r="Z388" s="1" t="s">
        <v>3</v>
      </c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>
        <v>9.4930000000000003</v>
      </c>
      <c r="Q389" s="1"/>
      <c r="R389" s="1"/>
      <c r="S389" s="1" t="s">
        <v>1</v>
      </c>
      <c r="T389" s="1">
        <v>1</v>
      </c>
      <c r="U389" s="1"/>
      <c r="V389" s="1"/>
      <c r="W389" s="1"/>
      <c r="X389" s="1"/>
      <c r="Y389" s="1" t="s">
        <v>2</v>
      </c>
      <c r="Z389" s="1" t="s">
        <v>3</v>
      </c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>
        <v>9.5470000000000006</v>
      </c>
      <c r="Q390" s="1"/>
      <c r="R390" s="1"/>
      <c r="S390" s="1" t="s">
        <v>1</v>
      </c>
      <c r="T390" s="1">
        <v>1</v>
      </c>
      <c r="U390" s="1"/>
      <c r="V390" s="1"/>
      <c r="W390" s="1"/>
      <c r="X390" s="1"/>
      <c r="Y390" s="1" t="s">
        <v>2</v>
      </c>
      <c r="Z390" s="1" t="s">
        <v>3</v>
      </c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>
        <v>9.5389999999999997</v>
      </c>
      <c r="Q391" s="1"/>
      <c r="R391" s="1"/>
      <c r="S391" s="1" t="s">
        <v>1</v>
      </c>
      <c r="T391" s="1">
        <v>1</v>
      </c>
      <c r="U391" s="1"/>
      <c r="V391" s="1"/>
      <c r="W391" s="1"/>
      <c r="X391" s="1"/>
      <c r="Y391" s="1" t="s">
        <v>2</v>
      </c>
      <c r="Z391" s="1" t="s">
        <v>3</v>
      </c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>
        <v>9.4939999999999998</v>
      </c>
      <c r="Q392" s="1"/>
      <c r="R392" s="1"/>
      <c r="S392" s="1" t="s">
        <v>1</v>
      </c>
      <c r="T392" s="1">
        <v>1</v>
      </c>
      <c r="U392" s="1"/>
      <c r="V392" s="1"/>
      <c r="W392" s="1"/>
      <c r="X392" s="1"/>
      <c r="Y392" s="1" t="s">
        <v>2</v>
      </c>
      <c r="Z392" s="1" t="s">
        <v>3</v>
      </c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>
        <v>9.5670000000000002</v>
      </c>
      <c r="Q393" s="1"/>
      <c r="R393" s="1"/>
      <c r="S393" s="1" t="s">
        <v>1</v>
      </c>
      <c r="T393" s="1">
        <v>1</v>
      </c>
      <c r="U393" s="1"/>
      <c r="V393" s="1"/>
      <c r="W393" s="1"/>
      <c r="X393" s="1"/>
      <c r="Y393" s="1" t="s">
        <v>2</v>
      </c>
      <c r="Z393" s="1" t="s">
        <v>3</v>
      </c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>
        <v>9.5579999999999998</v>
      </c>
      <c r="Q394" s="1"/>
      <c r="R394" s="1"/>
      <c r="S394" s="1" t="s">
        <v>1</v>
      </c>
      <c r="T394" s="1">
        <v>1</v>
      </c>
      <c r="U394" s="1"/>
      <c r="V394" s="1"/>
      <c r="W394" s="1"/>
      <c r="X394" s="1"/>
      <c r="Y394" s="1" t="s">
        <v>2</v>
      </c>
      <c r="Z394" s="1" t="s">
        <v>3</v>
      </c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>
        <v>9.5570000000000004</v>
      </c>
      <c r="Q395" s="1"/>
      <c r="R395" s="1"/>
      <c r="S395" s="1" t="s">
        <v>1</v>
      </c>
      <c r="T395" s="1">
        <v>1</v>
      </c>
      <c r="U395" s="1"/>
      <c r="V395" s="1"/>
      <c r="W395" s="1"/>
      <c r="X395" s="1"/>
      <c r="Y395" s="1" t="s">
        <v>2</v>
      </c>
      <c r="Z395" s="1" t="s">
        <v>3</v>
      </c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>
        <v>9.5220000000000002</v>
      </c>
      <c r="Q396" s="1"/>
      <c r="R396" s="1"/>
      <c r="S396" s="1" t="s">
        <v>1</v>
      </c>
      <c r="T396" s="1">
        <v>1</v>
      </c>
      <c r="U396" s="1"/>
      <c r="V396" s="1"/>
      <c r="W396" s="1"/>
      <c r="X396" s="1"/>
      <c r="Y396" s="1" t="s">
        <v>2</v>
      </c>
      <c r="Z396" s="1" t="s">
        <v>3</v>
      </c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>
        <v>9.5250000000000004</v>
      </c>
      <c r="Q397" s="1"/>
      <c r="R397" s="1"/>
      <c r="S397" s="1" t="s">
        <v>1</v>
      </c>
      <c r="T397" s="1">
        <v>1</v>
      </c>
      <c r="U397" s="1"/>
      <c r="V397" s="1"/>
      <c r="W397" s="1"/>
      <c r="X397" s="1"/>
      <c r="Y397" s="1" t="s">
        <v>2</v>
      </c>
      <c r="Z397" s="1" t="s">
        <v>3</v>
      </c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>
        <v>9.4870000000000001</v>
      </c>
      <c r="Q398" s="1"/>
      <c r="R398" s="1"/>
      <c r="S398" s="1" t="s">
        <v>1</v>
      </c>
      <c r="T398" s="1">
        <v>1</v>
      </c>
      <c r="U398" s="1"/>
      <c r="V398" s="1"/>
      <c r="W398" s="1"/>
      <c r="X398" s="1"/>
      <c r="Y398" s="1" t="s">
        <v>2</v>
      </c>
      <c r="Z398" s="1" t="s">
        <v>3</v>
      </c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>
        <v>9.5229999999999997</v>
      </c>
      <c r="Q399" s="1"/>
      <c r="R399" s="1"/>
      <c r="S399" s="1" t="s">
        <v>1</v>
      </c>
      <c r="T399" s="1">
        <v>1</v>
      </c>
      <c r="U399" s="1"/>
      <c r="V399" s="1"/>
      <c r="W399" s="1"/>
      <c r="X399" s="1"/>
      <c r="Y399" s="1" t="s">
        <v>2</v>
      </c>
      <c r="Z399" s="1" t="s">
        <v>3</v>
      </c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>
        <v>9.5739999999999998</v>
      </c>
      <c r="Q400" s="1"/>
      <c r="R400" s="1"/>
      <c r="S400" s="1" t="s">
        <v>1</v>
      </c>
      <c r="T400" s="1">
        <v>1</v>
      </c>
      <c r="U400" s="1"/>
      <c r="V400" s="1"/>
      <c r="W400" s="1"/>
      <c r="X400" s="1"/>
      <c r="Y400" s="1" t="s">
        <v>2</v>
      </c>
      <c r="Z400" s="1" t="s">
        <v>3</v>
      </c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>
        <v>9.4909999999999997</v>
      </c>
      <c r="Q401" s="1"/>
      <c r="R401" s="1"/>
      <c r="S401" s="1" t="s">
        <v>1</v>
      </c>
      <c r="T401" s="1">
        <v>1</v>
      </c>
      <c r="U401" s="1"/>
      <c r="V401" s="1"/>
      <c r="W401" s="1"/>
      <c r="X401" s="1"/>
      <c r="Y401" s="1" t="s">
        <v>2</v>
      </c>
      <c r="Z401" s="1" t="s">
        <v>3</v>
      </c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>
        <v>9.5419999999999998</v>
      </c>
      <c r="Q402" s="1"/>
      <c r="R402" s="1"/>
      <c r="S402" s="1" t="s">
        <v>1</v>
      </c>
      <c r="T402" s="1">
        <v>1</v>
      </c>
      <c r="U402" s="1"/>
      <c r="V402" s="1"/>
      <c r="W402" s="1"/>
      <c r="X402" s="1"/>
      <c r="Y402" s="1" t="s">
        <v>2</v>
      </c>
      <c r="Z402" s="1" t="s">
        <v>3</v>
      </c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>
        <v>9.5510000000000002</v>
      </c>
      <c r="Q403" s="1"/>
      <c r="R403" s="1"/>
      <c r="S403" s="1" t="s">
        <v>1</v>
      </c>
      <c r="T403" s="1">
        <v>1</v>
      </c>
      <c r="U403" s="1"/>
      <c r="V403" s="1"/>
      <c r="W403" s="1"/>
      <c r="X403" s="1"/>
      <c r="Y403" s="1" t="s">
        <v>2</v>
      </c>
      <c r="Z403" s="1" t="s">
        <v>3</v>
      </c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>
        <v>9.5050000000000008</v>
      </c>
      <c r="Q404" s="1"/>
      <c r="R404" s="1"/>
      <c r="S404" s="1" t="s">
        <v>1</v>
      </c>
      <c r="T404" s="1">
        <v>1</v>
      </c>
      <c r="U404" s="1"/>
      <c r="V404" s="1"/>
      <c r="W404" s="1"/>
      <c r="X404" s="1"/>
      <c r="Y404" s="1" t="s">
        <v>2</v>
      </c>
      <c r="Z404" s="1" t="s">
        <v>3</v>
      </c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>
        <v>9.5389999999999997</v>
      </c>
      <c r="Q405" s="1"/>
      <c r="R405" s="1"/>
      <c r="S405" s="1" t="s">
        <v>1</v>
      </c>
      <c r="T405" s="1">
        <v>1</v>
      </c>
      <c r="U405" s="1"/>
      <c r="V405" s="1"/>
      <c r="W405" s="1"/>
      <c r="X405" s="1"/>
      <c r="Y405" s="1" t="s">
        <v>2</v>
      </c>
      <c r="Z405" s="1" t="s">
        <v>3</v>
      </c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>
        <v>9.5129999999999999</v>
      </c>
      <c r="Q406" s="1"/>
      <c r="R406" s="1"/>
      <c r="S406" s="1" t="s">
        <v>1</v>
      </c>
      <c r="T406" s="1">
        <v>1</v>
      </c>
      <c r="U406" s="1"/>
      <c r="V406" s="1"/>
      <c r="W406" s="1"/>
      <c r="X406" s="1"/>
      <c r="Y406" s="1" t="s">
        <v>2</v>
      </c>
      <c r="Z406" s="1" t="s">
        <v>3</v>
      </c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>
        <v>9.57</v>
      </c>
      <c r="Q407" s="1"/>
      <c r="R407" s="1"/>
      <c r="S407" s="1" t="s">
        <v>1</v>
      </c>
      <c r="T407" s="1">
        <v>1</v>
      </c>
      <c r="U407" s="1"/>
      <c r="V407" s="1"/>
      <c r="W407" s="1"/>
      <c r="X407" s="1"/>
      <c r="Y407" s="1" t="s">
        <v>2</v>
      </c>
      <c r="Z407" s="1" t="s">
        <v>3</v>
      </c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>
        <v>9.5329999999999995</v>
      </c>
      <c r="Q408" s="1"/>
      <c r="R408" s="1"/>
      <c r="S408" s="1" t="s">
        <v>1</v>
      </c>
      <c r="T408" s="1">
        <v>1</v>
      </c>
      <c r="U408" s="1"/>
      <c r="V408" s="1"/>
      <c r="W408" s="1"/>
      <c r="X408" s="1"/>
      <c r="Y408" s="1" t="s">
        <v>2</v>
      </c>
      <c r="Z408" s="1" t="s">
        <v>3</v>
      </c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>
        <v>9.5489999999999995</v>
      </c>
      <c r="Q409" s="1"/>
      <c r="R409" s="1"/>
      <c r="S409" s="1" t="s">
        <v>1</v>
      </c>
      <c r="T409" s="1">
        <v>1</v>
      </c>
      <c r="U409" s="1"/>
      <c r="V409" s="1"/>
      <c r="W409" s="1"/>
      <c r="X409" s="1"/>
      <c r="Y409" s="1" t="s">
        <v>2</v>
      </c>
      <c r="Z409" s="1" t="s">
        <v>3</v>
      </c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>
        <v>9.5830000000000002</v>
      </c>
      <c r="Q410" s="1"/>
      <c r="R410" s="1"/>
      <c r="S410" s="1" t="s">
        <v>1</v>
      </c>
      <c r="T410" s="1">
        <v>1</v>
      </c>
      <c r="U410" s="1"/>
      <c r="V410" s="1"/>
      <c r="W410" s="1"/>
      <c r="X410" s="1"/>
      <c r="Y410" s="1" t="s">
        <v>2</v>
      </c>
      <c r="Z410" s="1" t="s">
        <v>3</v>
      </c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>
        <v>9.5570000000000004</v>
      </c>
      <c r="Q411" s="1"/>
      <c r="R411" s="1"/>
      <c r="S411" s="1" t="s">
        <v>1</v>
      </c>
      <c r="T411" s="1">
        <v>1</v>
      </c>
      <c r="U411" s="1"/>
      <c r="V411" s="1"/>
      <c r="W411" s="1"/>
      <c r="X411" s="1"/>
      <c r="Y411" s="1" t="s">
        <v>2</v>
      </c>
      <c r="Z411" s="1" t="s">
        <v>3</v>
      </c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>
        <v>9.5090000000000003</v>
      </c>
      <c r="Q412" s="1"/>
      <c r="R412" s="1"/>
      <c r="S412" s="1" t="s">
        <v>1</v>
      </c>
      <c r="T412" s="1">
        <v>1</v>
      </c>
      <c r="U412" s="1"/>
      <c r="V412" s="1"/>
      <c r="W412" s="1"/>
      <c r="X412" s="1"/>
      <c r="Y412" s="1" t="s">
        <v>2</v>
      </c>
      <c r="Z412" s="1" t="s">
        <v>3</v>
      </c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>
        <v>9.5329999999999995</v>
      </c>
      <c r="Q413" s="1"/>
      <c r="R413" s="1"/>
      <c r="S413" s="1" t="s">
        <v>1</v>
      </c>
      <c r="T413" s="1">
        <v>1</v>
      </c>
      <c r="U413" s="1"/>
      <c r="V413" s="1"/>
      <c r="W413" s="1"/>
      <c r="X413" s="1"/>
      <c r="Y413" s="1" t="s">
        <v>2</v>
      </c>
      <c r="Z413" s="1" t="s">
        <v>3</v>
      </c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>
        <v>9.5329999999999995</v>
      </c>
      <c r="Q414" s="1"/>
      <c r="R414" s="1"/>
      <c r="S414" s="1" t="s">
        <v>1</v>
      </c>
      <c r="T414" s="1">
        <v>1</v>
      </c>
      <c r="U414" s="1"/>
      <c r="V414" s="1"/>
      <c r="W414" s="1"/>
      <c r="X414" s="1"/>
      <c r="Y414" s="1" t="s">
        <v>2</v>
      </c>
      <c r="Z414" s="1" t="s">
        <v>3</v>
      </c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>
        <v>9.5229999999999997</v>
      </c>
      <c r="Q415" s="1"/>
      <c r="R415" s="1"/>
      <c r="S415" s="1" t="s">
        <v>1</v>
      </c>
      <c r="T415" s="1">
        <v>1</v>
      </c>
      <c r="U415" s="1"/>
      <c r="V415" s="1"/>
      <c r="W415" s="1"/>
      <c r="X415" s="1"/>
      <c r="Y415" s="1" t="s">
        <v>2</v>
      </c>
      <c r="Z415" s="1" t="s">
        <v>3</v>
      </c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>
        <v>9.5939999999999994</v>
      </c>
      <c r="Q416" s="1"/>
      <c r="R416" s="1"/>
      <c r="S416" s="1" t="s">
        <v>1</v>
      </c>
      <c r="T416" s="1">
        <v>1</v>
      </c>
      <c r="U416" s="1"/>
      <c r="V416" s="1"/>
      <c r="W416" s="1"/>
      <c r="X416" s="1"/>
      <c r="Y416" s="1" t="s">
        <v>2</v>
      </c>
      <c r="Z416" s="1" t="s">
        <v>3</v>
      </c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>
        <v>9.5749999999999993</v>
      </c>
      <c r="Q417" s="1"/>
      <c r="R417" s="1"/>
      <c r="S417" s="1" t="s">
        <v>1</v>
      </c>
      <c r="T417" s="1">
        <v>1</v>
      </c>
      <c r="U417" s="1"/>
      <c r="V417" s="1"/>
      <c r="W417" s="1"/>
      <c r="X417" s="1"/>
      <c r="Y417" s="1" t="s">
        <v>2</v>
      </c>
      <c r="Z417" s="1" t="s">
        <v>3</v>
      </c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>
        <v>9.532</v>
      </c>
      <c r="Q418" s="1"/>
      <c r="R418" s="1"/>
      <c r="S418" s="1" t="s">
        <v>1</v>
      </c>
      <c r="T418" s="1">
        <v>1</v>
      </c>
      <c r="U418" s="1"/>
      <c r="V418" s="1"/>
      <c r="W418" s="1"/>
      <c r="X418" s="1"/>
      <c r="Y418" s="1" t="s">
        <v>2</v>
      </c>
      <c r="Z418" s="1" t="s">
        <v>3</v>
      </c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>
        <v>9.5359999999999996</v>
      </c>
      <c r="Q419" s="1"/>
      <c r="R419" s="1"/>
      <c r="S419" s="1" t="s">
        <v>1</v>
      </c>
      <c r="T419" s="1">
        <v>1</v>
      </c>
      <c r="U419" s="1"/>
      <c r="V419" s="1"/>
      <c r="W419" s="1"/>
      <c r="X419" s="1"/>
      <c r="Y419" s="1" t="s">
        <v>2</v>
      </c>
      <c r="Z419" s="1" t="s">
        <v>3</v>
      </c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>
        <v>9.5429999999999993</v>
      </c>
      <c r="Q420" s="1"/>
      <c r="R420" s="1"/>
      <c r="S420" s="1" t="s">
        <v>1</v>
      </c>
      <c r="T420" s="1">
        <v>1</v>
      </c>
      <c r="U420" s="1"/>
      <c r="V420" s="1"/>
      <c r="W420" s="1"/>
      <c r="X420" s="1"/>
      <c r="Y420" s="1" t="s">
        <v>2</v>
      </c>
      <c r="Z420" s="1" t="s">
        <v>3</v>
      </c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>
        <v>-9.48</v>
      </c>
      <c r="Q421" s="1"/>
      <c r="R421" s="1"/>
      <c r="S421" s="1" t="s">
        <v>1</v>
      </c>
      <c r="T421" s="1">
        <v>1</v>
      </c>
      <c r="U421" s="1"/>
      <c r="V421" s="1"/>
      <c r="W421" s="1"/>
      <c r="X421" s="1"/>
      <c r="Y421" s="1" t="s">
        <v>2</v>
      </c>
      <c r="Z421" s="1" t="s">
        <v>3</v>
      </c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>
        <v>9.5190000000000001</v>
      </c>
      <c r="Q422" s="1"/>
      <c r="R422" s="1"/>
      <c r="S422" s="1" t="s">
        <v>1</v>
      </c>
      <c r="T422" s="1">
        <v>1</v>
      </c>
      <c r="U422" s="1"/>
      <c r="V422" s="1"/>
      <c r="W422" s="1"/>
      <c r="X422" s="1"/>
      <c r="Y422" s="1" t="s">
        <v>2</v>
      </c>
      <c r="Z422" s="1" t="s">
        <v>3</v>
      </c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>
        <v>9.5250000000000004</v>
      </c>
      <c r="Q423" s="1"/>
      <c r="R423" s="1"/>
      <c r="S423" s="1" t="s">
        <v>1</v>
      </c>
      <c r="T423" s="1">
        <v>1</v>
      </c>
      <c r="U423" s="1"/>
      <c r="V423" s="1"/>
      <c r="W423" s="1"/>
      <c r="X423" s="1"/>
      <c r="Y423" s="1" t="s">
        <v>2</v>
      </c>
      <c r="Z423" s="1" t="s">
        <v>3</v>
      </c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>
        <v>9.516</v>
      </c>
      <c r="Q424" s="1"/>
      <c r="R424" s="1"/>
      <c r="S424" s="1" t="s">
        <v>1</v>
      </c>
      <c r="T424" s="1">
        <v>1</v>
      </c>
      <c r="U424" s="1"/>
      <c r="V424" s="1"/>
      <c r="W424" s="1"/>
      <c r="X424" s="1"/>
      <c r="Y424" s="1" t="s">
        <v>2</v>
      </c>
      <c r="Z424" s="1" t="s">
        <v>3</v>
      </c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>
        <v>9.5739999999999998</v>
      </c>
      <c r="Q425" s="1"/>
      <c r="R425" s="1"/>
      <c r="S425" s="1" t="s">
        <v>1</v>
      </c>
      <c r="T425" s="1">
        <v>1</v>
      </c>
      <c r="U425" s="1"/>
      <c r="V425" s="1"/>
      <c r="W425" s="1"/>
      <c r="X425" s="1"/>
      <c r="Y425" s="1" t="s">
        <v>2</v>
      </c>
      <c r="Z425" s="1" t="s">
        <v>3</v>
      </c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>
        <v>9.5660000000000007</v>
      </c>
      <c r="Q426" s="1"/>
      <c r="R426" s="1"/>
      <c r="S426" s="1" t="s">
        <v>1</v>
      </c>
      <c r="T426" s="1">
        <v>1</v>
      </c>
      <c r="U426" s="1"/>
      <c r="V426" s="1"/>
      <c r="W426" s="1"/>
      <c r="X426" s="1"/>
      <c r="Y426" s="1" t="s">
        <v>2</v>
      </c>
      <c r="Z426" s="1" t="s">
        <v>3</v>
      </c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>
        <v>9.6229999999999993</v>
      </c>
      <c r="Q427" s="1"/>
      <c r="R427" s="1"/>
      <c r="S427" s="1" t="s">
        <v>1</v>
      </c>
      <c r="T427" s="1">
        <v>1</v>
      </c>
      <c r="U427" s="1"/>
      <c r="V427" s="1"/>
      <c r="W427" s="1"/>
      <c r="X427" s="1"/>
      <c r="Y427" s="1" t="s">
        <v>2</v>
      </c>
      <c r="Z427" s="1" t="s">
        <v>3</v>
      </c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>
        <v>9.5670000000000002</v>
      </c>
      <c r="Q428" s="1"/>
      <c r="R428" s="1"/>
      <c r="S428" s="1" t="s">
        <v>1</v>
      </c>
      <c r="T428" s="1">
        <v>1</v>
      </c>
      <c r="U428" s="1"/>
      <c r="V428" s="1"/>
      <c r="W428" s="1"/>
      <c r="X428" s="1"/>
      <c r="Y428" s="1" t="s">
        <v>2</v>
      </c>
      <c r="Z428" s="1" t="s">
        <v>3</v>
      </c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>
        <v>9.5220000000000002</v>
      </c>
      <c r="Q429" s="1"/>
      <c r="R429" s="1"/>
      <c r="S429" s="1" t="s">
        <v>1</v>
      </c>
      <c r="T429" s="1">
        <v>1</v>
      </c>
      <c r="U429" s="1"/>
      <c r="V429" s="1"/>
      <c r="W429" s="1"/>
      <c r="X429" s="1"/>
      <c r="Y429" s="1" t="s">
        <v>2</v>
      </c>
      <c r="Z429" s="1" t="s">
        <v>3</v>
      </c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>
        <v>9.5690000000000008</v>
      </c>
      <c r="Q430" s="1"/>
      <c r="R430" s="1"/>
      <c r="S430" s="1" t="s">
        <v>1</v>
      </c>
      <c r="T430" s="1">
        <v>1</v>
      </c>
      <c r="U430" s="1"/>
      <c r="V430" s="1"/>
      <c r="W430" s="1"/>
      <c r="X430" s="1"/>
      <c r="Y430" s="1" t="s">
        <v>2</v>
      </c>
      <c r="Z430" s="1" t="s">
        <v>3</v>
      </c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>
        <v>9.5220000000000002</v>
      </c>
      <c r="Q431" s="1"/>
      <c r="R431" s="1"/>
      <c r="S431" s="1" t="s">
        <v>1</v>
      </c>
      <c r="T431" s="1">
        <v>1</v>
      </c>
      <c r="U431" s="1"/>
      <c r="V431" s="1"/>
      <c r="W431" s="1"/>
      <c r="X431" s="1"/>
      <c r="Y431" s="1" t="s">
        <v>2</v>
      </c>
      <c r="Z431" s="1" t="s">
        <v>3</v>
      </c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>
        <v>9.5549999999999997</v>
      </c>
      <c r="Q432" s="1"/>
      <c r="R432" s="1"/>
      <c r="S432" s="1" t="s">
        <v>1</v>
      </c>
      <c r="T432" s="1">
        <v>1</v>
      </c>
      <c r="U432" s="1"/>
      <c r="V432" s="1"/>
      <c r="W432" s="1"/>
      <c r="X432" s="1"/>
      <c r="Y432" s="1" t="s">
        <v>2</v>
      </c>
      <c r="Z432" s="1" t="s">
        <v>3</v>
      </c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>
        <v>9.5709999999999997</v>
      </c>
      <c r="Q433" s="1"/>
      <c r="R433" s="1"/>
      <c r="S433" s="1" t="s">
        <v>1</v>
      </c>
      <c r="T433" s="1">
        <v>1</v>
      </c>
      <c r="U433" s="1"/>
      <c r="V433" s="1"/>
      <c r="W433" s="1"/>
      <c r="X433" s="1"/>
      <c r="Y433" s="1" t="s">
        <v>2</v>
      </c>
      <c r="Z433" s="1" t="s">
        <v>3</v>
      </c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>
        <v>9.5640000000000001</v>
      </c>
      <c r="Q434" s="1"/>
      <c r="R434" s="1"/>
      <c r="S434" s="1" t="s">
        <v>1</v>
      </c>
      <c r="T434" s="1">
        <v>1</v>
      </c>
      <c r="U434" s="1"/>
      <c r="V434" s="1"/>
      <c r="W434" s="1"/>
      <c r="X434" s="1"/>
      <c r="Y434" s="1" t="s">
        <v>2</v>
      </c>
      <c r="Z434" s="1" t="s">
        <v>3</v>
      </c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>
        <v>9.5559999999999992</v>
      </c>
      <c r="Q435" s="1"/>
      <c r="R435" s="1"/>
      <c r="S435" s="1" t="s">
        <v>1</v>
      </c>
      <c r="T435" s="1">
        <v>1</v>
      </c>
      <c r="U435" s="1"/>
      <c r="V435" s="1"/>
      <c r="W435" s="1"/>
      <c r="X435" s="1"/>
      <c r="Y435" s="1" t="s">
        <v>2</v>
      </c>
      <c r="Z435" s="1" t="s">
        <v>3</v>
      </c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>
        <v>9.52</v>
      </c>
      <c r="Q436" s="1"/>
      <c r="R436" s="1"/>
      <c r="S436" s="1" t="s">
        <v>1</v>
      </c>
      <c r="T436" s="1">
        <v>1</v>
      </c>
      <c r="U436" s="1"/>
      <c r="V436" s="1"/>
      <c r="W436" s="1"/>
      <c r="X436" s="1"/>
      <c r="Y436" s="1" t="s">
        <v>2</v>
      </c>
      <c r="Z436" s="1" t="s">
        <v>3</v>
      </c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>
        <v>9.657</v>
      </c>
      <c r="Q437" s="1"/>
      <c r="R437" s="1"/>
      <c r="S437" s="1" t="s">
        <v>1</v>
      </c>
      <c r="T437" s="1">
        <v>1</v>
      </c>
      <c r="U437" s="1"/>
      <c r="V437" s="1"/>
      <c r="W437" s="1"/>
      <c r="X437" s="1"/>
      <c r="Y437" s="1" t="s">
        <v>2</v>
      </c>
      <c r="Z437" s="1" t="s">
        <v>3</v>
      </c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>
        <v>9.6020000000000003</v>
      </c>
      <c r="Q438" s="1"/>
      <c r="R438" s="1"/>
      <c r="S438" s="1" t="s">
        <v>1</v>
      </c>
      <c r="T438" s="1">
        <v>1</v>
      </c>
      <c r="U438" s="1"/>
      <c r="V438" s="1"/>
      <c r="W438" s="1"/>
      <c r="X438" s="1"/>
      <c r="Y438" s="1" t="s">
        <v>2</v>
      </c>
      <c r="Z438" s="1" t="s">
        <v>3</v>
      </c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>
        <v>9.5660000000000007</v>
      </c>
      <c r="Q439" s="1"/>
      <c r="R439" s="1"/>
      <c r="S439" s="1" t="s">
        <v>1</v>
      </c>
      <c r="T439" s="1">
        <v>1</v>
      </c>
      <c r="U439" s="1"/>
      <c r="V439" s="1"/>
      <c r="W439" s="1"/>
      <c r="X439" s="1"/>
      <c r="Y439" s="1" t="s">
        <v>2</v>
      </c>
      <c r="Z439" s="1" t="s">
        <v>3</v>
      </c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>
        <v>9.6129999999999995</v>
      </c>
      <c r="Q440" s="1"/>
      <c r="R440" s="1"/>
      <c r="S440" s="1" t="s">
        <v>1</v>
      </c>
      <c r="T440" s="1">
        <v>1</v>
      </c>
      <c r="U440" s="1"/>
      <c r="V440" s="1"/>
      <c r="W440" s="1"/>
      <c r="X440" s="1"/>
      <c r="Y440" s="1" t="s">
        <v>2</v>
      </c>
      <c r="Z440" s="1" t="s">
        <v>3</v>
      </c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>
        <v>9.5589999999999993</v>
      </c>
      <c r="Q441" s="1"/>
      <c r="R441" s="1"/>
      <c r="S441" s="1" t="s">
        <v>1</v>
      </c>
      <c r="T441" s="1">
        <v>1</v>
      </c>
      <c r="U441" s="1"/>
      <c r="V441" s="1"/>
      <c r="W441" s="1"/>
      <c r="X441" s="1"/>
      <c r="Y441" s="1" t="s">
        <v>2</v>
      </c>
      <c r="Z441" s="1" t="s">
        <v>3</v>
      </c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>
        <v>9.609</v>
      </c>
      <c r="Q442" s="1"/>
      <c r="R442" s="1"/>
      <c r="S442" s="1" t="s">
        <v>1</v>
      </c>
      <c r="T442" s="1">
        <v>1</v>
      </c>
      <c r="U442" s="1"/>
      <c r="V442" s="1"/>
      <c r="W442" s="1"/>
      <c r="X442" s="1"/>
      <c r="Y442" s="1" t="s">
        <v>2</v>
      </c>
      <c r="Z442" s="1" t="s">
        <v>3</v>
      </c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>
        <v>9.5830000000000002</v>
      </c>
      <c r="Q443" s="1"/>
      <c r="R443" s="1"/>
      <c r="S443" s="1" t="s">
        <v>1</v>
      </c>
      <c r="T443" s="1">
        <v>1</v>
      </c>
      <c r="U443" s="1"/>
      <c r="V443" s="1"/>
      <c r="W443" s="1"/>
      <c r="X443" s="1"/>
      <c r="Y443" s="1" t="s">
        <v>2</v>
      </c>
      <c r="Z443" s="1" t="s">
        <v>3</v>
      </c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>
        <v>9.5830000000000002</v>
      </c>
      <c r="Q444" s="1"/>
      <c r="R444" s="1"/>
      <c r="S444" s="1" t="s">
        <v>1</v>
      </c>
      <c r="T444" s="1">
        <v>1</v>
      </c>
      <c r="U444" s="1"/>
      <c r="V444" s="1"/>
      <c r="W444" s="1"/>
      <c r="X444" s="1"/>
      <c r="Y444" s="1" t="s">
        <v>2</v>
      </c>
      <c r="Z444" s="1" t="s">
        <v>3</v>
      </c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>
        <v>9.5730000000000004</v>
      </c>
      <c r="Q445" s="1"/>
      <c r="R445" s="1"/>
      <c r="S445" s="1" t="s">
        <v>1</v>
      </c>
      <c r="T445" s="1">
        <v>1</v>
      </c>
      <c r="U445" s="1"/>
      <c r="V445" s="1"/>
      <c r="W445" s="1"/>
      <c r="X445" s="1"/>
      <c r="Y445" s="1" t="s">
        <v>2</v>
      </c>
      <c r="Z445" s="1" t="s">
        <v>3</v>
      </c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>
        <v>9.5860000000000003</v>
      </c>
      <c r="Q446" s="1"/>
      <c r="R446" s="1"/>
      <c r="S446" s="1" t="s">
        <v>1</v>
      </c>
      <c r="T446" s="1">
        <v>1</v>
      </c>
      <c r="U446" s="1"/>
      <c r="V446" s="1"/>
      <c r="W446" s="1"/>
      <c r="X446" s="1"/>
      <c r="Y446" s="1" t="s">
        <v>2</v>
      </c>
      <c r="Z446" s="1" t="s">
        <v>3</v>
      </c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>
        <v>9.6120000000000001</v>
      </c>
      <c r="Q447" s="1"/>
      <c r="R447" s="1"/>
      <c r="S447" s="1" t="s">
        <v>1</v>
      </c>
      <c r="T447" s="1">
        <v>1</v>
      </c>
      <c r="U447" s="1"/>
      <c r="V447" s="1"/>
      <c r="W447" s="1"/>
      <c r="X447" s="1"/>
      <c r="Y447" s="1" t="s">
        <v>2</v>
      </c>
      <c r="Z447" s="1" t="s">
        <v>3</v>
      </c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>
        <v>9.577</v>
      </c>
      <c r="Q448" s="1"/>
      <c r="R448" s="1"/>
      <c r="S448" s="1" t="s">
        <v>1</v>
      </c>
      <c r="T448" s="1">
        <v>1</v>
      </c>
      <c r="U448" s="1"/>
      <c r="V448" s="1"/>
      <c r="W448" s="1"/>
      <c r="X448" s="1"/>
      <c r="Y448" s="1" t="s">
        <v>2</v>
      </c>
      <c r="Z448" s="1" t="s">
        <v>3</v>
      </c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>
        <v>9.5510000000000002</v>
      </c>
      <c r="Q449" s="1"/>
      <c r="R449" s="1"/>
      <c r="S449" s="1" t="s">
        <v>1</v>
      </c>
      <c r="T449" s="1">
        <v>1</v>
      </c>
      <c r="U449" s="1"/>
      <c r="V449" s="1"/>
      <c r="W449" s="1"/>
      <c r="X449" s="1"/>
      <c r="Y449" s="1" t="s">
        <v>2</v>
      </c>
      <c r="Z449" s="1" t="s">
        <v>3</v>
      </c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>
        <v>9.593</v>
      </c>
      <c r="Q450" s="1"/>
      <c r="R450" s="1"/>
      <c r="S450" s="1" t="s">
        <v>1</v>
      </c>
      <c r="T450" s="1">
        <v>1</v>
      </c>
      <c r="U450" s="1"/>
      <c r="V450" s="1"/>
      <c r="W450" s="1"/>
      <c r="X450" s="1"/>
      <c r="Y450" s="1" t="s">
        <v>2</v>
      </c>
      <c r="Z450" s="1" t="s">
        <v>3</v>
      </c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>
        <v>9.5809999999999995</v>
      </c>
      <c r="Q451" s="1"/>
      <c r="R451" s="1"/>
      <c r="S451" s="1" t="s">
        <v>1</v>
      </c>
      <c r="T451" s="1">
        <v>1</v>
      </c>
      <c r="U451" s="1"/>
      <c r="V451" s="1"/>
      <c r="W451" s="1"/>
      <c r="X451" s="1"/>
      <c r="Y451" s="1" t="s">
        <v>2</v>
      </c>
      <c r="Z451" s="1" t="s">
        <v>3</v>
      </c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>
        <v>9.6319999999999997</v>
      </c>
      <c r="Q452" s="1"/>
      <c r="R452" s="1"/>
      <c r="S452" s="1" t="s">
        <v>1</v>
      </c>
      <c r="T452" s="1">
        <v>1</v>
      </c>
      <c r="U452" s="1"/>
      <c r="V452" s="1"/>
      <c r="W452" s="1"/>
      <c r="X452" s="1"/>
      <c r="Y452" s="1" t="s">
        <v>2</v>
      </c>
      <c r="Z452" s="1" t="s">
        <v>3</v>
      </c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>
        <v>9.7530000000000001</v>
      </c>
      <c r="Q453" s="1"/>
      <c r="R453" s="1"/>
      <c r="S453" s="1" t="s">
        <v>1</v>
      </c>
      <c r="T453" s="1">
        <v>1</v>
      </c>
      <c r="U453" s="1"/>
      <c r="V453" s="1"/>
      <c r="W453" s="1"/>
      <c r="X453" s="1"/>
      <c r="Y453" s="1" t="s">
        <v>2</v>
      </c>
      <c r="Z453" s="1" t="s">
        <v>3</v>
      </c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>
        <v>9.5180000000000007</v>
      </c>
      <c r="Q454" s="1"/>
      <c r="R454" s="1"/>
      <c r="S454" s="1" t="s">
        <v>1</v>
      </c>
      <c r="T454" s="1">
        <v>1</v>
      </c>
      <c r="U454" s="1"/>
      <c r="V454" s="1"/>
      <c r="W454" s="1"/>
      <c r="X454" s="1"/>
      <c r="Y454" s="1" t="s">
        <v>2</v>
      </c>
      <c r="Z454" s="1" t="s">
        <v>3</v>
      </c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>
        <v>9.6059999999999999</v>
      </c>
      <c r="Q455" s="1"/>
      <c r="R455" s="1"/>
      <c r="S455" s="1" t="s">
        <v>1</v>
      </c>
      <c r="T455" s="1">
        <v>1</v>
      </c>
      <c r="U455" s="1"/>
      <c r="V455" s="1"/>
      <c r="W455" s="1"/>
      <c r="X455" s="1"/>
      <c r="Y455" s="1" t="s">
        <v>2</v>
      </c>
      <c r="Z455" s="1" t="s">
        <v>3</v>
      </c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>
        <v>9.4740000000000002</v>
      </c>
      <c r="Q456" s="1"/>
      <c r="R456" s="1"/>
      <c r="S456" s="1" t="s">
        <v>1</v>
      </c>
      <c r="T456" s="1">
        <v>1</v>
      </c>
      <c r="U456" s="1"/>
      <c r="V456" s="1"/>
      <c r="W456" s="1"/>
      <c r="X456" s="1"/>
      <c r="Y456" s="1" t="s">
        <v>2</v>
      </c>
      <c r="Z456" s="1" t="s">
        <v>3</v>
      </c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>
        <v>9.5060000000000002</v>
      </c>
      <c r="Q457" s="1"/>
      <c r="R457" s="1"/>
      <c r="S457" s="1" t="s">
        <v>1</v>
      </c>
      <c r="T457" s="1">
        <v>1</v>
      </c>
      <c r="U457" s="1"/>
      <c r="V457" s="1"/>
      <c r="W457" s="1"/>
      <c r="X457" s="1"/>
      <c r="Y457" s="1" t="s">
        <v>2</v>
      </c>
      <c r="Z457" s="1" t="s">
        <v>3</v>
      </c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>
        <v>9.5399999999999991</v>
      </c>
      <c r="Q458" s="1"/>
      <c r="R458" s="1"/>
      <c r="S458" s="1" t="s">
        <v>1</v>
      </c>
      <c r="T458" s="1">
        <v>1</v>
      </c>
      <c r="U458" s="1"/>
      <c r="V458" s="1"/>
      <c r="W458" s="1"/>
      <c r="X458" s="1"/>
      <c r="Y458" s="1" t="s">
        <v>2</v>
      </c>
      <c r="Z458" s="1" t="s">
        <v>3</v>
      </c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>
        <v>9.5129999999999999</v>
      </c>
      <c r="Q459" s="1"/>
      <c r="R459" s="1"/>
      <c r="S459" s="1" t="s">
        <v>1</v>
      </c>
      <c r="T459" s="1">
        <v>1</v>
      </c>
      <c r="U459" s="1"/>
      <c r="V459" s="1"/>
      <c r="W459" s="1"/>
      <c r="X459" s="1"/>
      <c r="Y459" s="1" t="s">
        <v>2</v>
      </c>
      <c r="Z459" s="1" t="s">
        <v>3</v>
      </c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>
        <v>9.5739999999999998</v>
      </c>
      <c r="Q460" s="1"/>
      <c r="R460" s="1"/>
      <c r="S460" s="1" t="s">
        <v>1</v>
      </c>
      <c r="T460" s="1">
        <v>1</v>
      </c>
      <c r="U460" s="1"/>
      <c r="V460" s="1"/>
      <c r="W460" s="1"/>
      <c r="X460" s="1"/>
      <c r="Y460" s="1" t="s">
        <v>2</v>
      </c>
      <c r="Z460" s="1" t="s">
        <v>3</v>
      </c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>
        <v>9.5389999999999997</v>
      </c>
      <c r="Q461" s="1"/>
      <c r="R461" s="1"/>
      <c r="S461" s="1" t="s">
        <v>1</v>
      </c>
      <c r="T461" s="1">
        <v>1</v>
      </c>
      <c r="U461" s="1"/>
      <c r="V461" s="1"/>
      <c r="W461" s="1"/>
      <c r="X461" s="1"/>
      <c r="Y461" s="1" t="s">
        <v>2</v>
      </c>
      <c r="Z461" s="1" t="s">
        <v>3</v>
      </c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>
        <v>9.5530000000000008</v>
      </c>
      <c r="Q462" s="1"/>
      <c r="R462" s="1"/>
      <c r="S462" s="1" t="s">
        <v>1</v>
      </c>
      <c r="T462" s="1">
        <v>1</v>
      </c>
      <c r="U462" s="1"/>
      <c r="V462" s="1"/>
      <c r="W462" s="1"/>
      <c r="X462" s="1"/>
      <c r="Y462" s="1" t="s">
        <v>2</v>
      </c>
      <c r="Z462" s="1" t="s">
        <v>3</v>
      </c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>
        <v>9.5370000000000008</v>
      </c>
      <c r="Q463" s="1"/>
      <c r="R463" s="1"/>
      <c r="S463" s="1" t="s">
        <v>1</v>
      </c>
      <c r="T463" s="1">
        <v>1</v>
      </c>
      <c r="U463" s="1"/>
      <c r="V463" s="1"/>
      <c r="W463" s="1"/>
      <c r="X463" s="1"/>
      <c r="Y463" s="1" t="s">
        <v>2</v>
      </c>
      <c r="Z463" s="1" t="s">
        <v>3</v>
      </c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>
        <v>9.5579999999999998</v>
      </c>
      <c r="Q464" s="1"/>
      <c r="R464" s="1"/>
      <c r="S464" s="1" t="s">
        <v>1</v>
      </c>
      <c r="T464" s="1">
        <v>1</v>
      </c>
      <c r="U464" s="1"/>
      <c r="V464" s="1"/>
      <c r="W464" s="1"/>
      <c r="X464" s="1"/>
      <c r="Y464" s="1" t="s">
        <v>2</v>
      </c>
      <c r="Z464" s="1" t="s">
        <v>3</v>
      </c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>
        <v>9.548</v>
      </c>
      <c r="Q465" s="1"/>
      <c r="R465" s="1"/>
      <c r="S465" s="1" t="s">
        <v>1</v>
      </c>
      <c r="T465" s="1">
        <v>1</v>
      </c>
      <c r="U465" s="1"/>
      <c r="V465" s="1"/>
      <c r="W465" s="1"/>
      <c r="X465" s="1"/>
      <c r="Y465" s="1" t="s">
        <v>2</v>
      </c>
      <c r="Z465" s="1" t="s">
        <v>3</v>
      </c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>
        <v>9.5229999999999997</v>
      </c>
      <c r="Q466" s="1"/>
      <c r="R466" s="1"/>
      <c r="S466" s="1" t="s">
        <v>1</v>
      </c>
      <c r="T466" s="1">
        <v>1</v>
      </c>
      <c r="U466" s="1"/>
      <c r="V466" s="1"/>
      <c r="W466" s="1"/>
      <c r="X466" s="1"/>
      <c r="Y466" s="1" t="s">
        <v>2</v>
      </c>
      <c r="Z466" s="1" t="s">
        <v>3</v>
      </c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>
        <v>9.5399999999999991</v>
      </c>
      <c r="Q467" s="1"/>
      <c r="R467" s="1"/>
      <c r="S467" s="1" t="s">
        <v>1</v>
      </c>
      <c r="T467" s="1">
        <v>1</v>
      </c>
      <c r="U467" s="1"/>
      <c r="V467" s="1"/>
      <c r="W467" s="1"/>
      <c r="X467" s="1"/>
      <c r="Y467" s="1" t="s">
        <v>2</v>
      </c>
      <c r="Z467" s="1" t="s">
        <v>3</v>
      </c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>
        <v>9.5220000000000002</v>
      </c>
      <c r="Q468" s="1"/>
      <c r="R468" s="1"/>
      <c r="S468" s="1" t="s">
        <v>1</v>
      </c>
      <c r="T468" s="1">
        <v>1</v>
      </c>
      <c r="U468" s="1"/>
      <c r="V468" s="1"/>
      <c r="W468" s="1"/>
      <c r="X468" s="1"/>
      <c r="Y468" s="1" t="s">
        <v>2</v>
      </c>
      <c r="Z468" s="1" t="s">
        <v>3</v>
      </c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>
        <v>9.5519999999999996</v>
      </c>
      <c r="Q469" s="1"/>
      <c r="R469" s="1"/>
      <c r="S469" s="1" t="s">
        <v>1</v>
      </c>
      <c r="T469" s="1">
        <v>1</v>
      </c>
      <c r="U469" s="1"/>
      <c r="V469" s="1"/>
      <c r="W469" s="1"/>
      <c r="X469" s="1"/>
      <c r="Y469" s="1" t="s">
        <v>2</v>
      </c>
      <c r="Z469" s="1" t="s">
        <v>3</v>
      </c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>
        <v>9.5459999999999994</v>
      </c>
      <c r="Q470" s="1"/>
      <c r="R470" s="1"/>
      <c r="S470" s="1" t="s">
        <v>1</v>
      </c>
      <c r="T470" s="1">
        <v>1</v>
      </c>
      <c r="U470" s="1"/>
      <c r="V470" s="1"/>
      <c r="W470" s="1"/>
      <c r="X470" s="1"/>
      <c r="Y470" s="1" t="s">
        <v>2</v>
      </c>
      <c r="Z470" s="1" t="s">
        <v>3</v>
      </c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>
        <v>9.5380000000000003</v>
      </c>
      <c r="Q471" s="1"/>
      <c r="R471" s="1"/>
      <c r="S471" s="1" t="s">
        <v>1</v>
      </c>
      <c r="T471" s="1">
        <v>1</v>
      </c>
      <c r="U471" s="1"/>
      <c r="V471" s="1"/>
      <c r="W471" s="1"/>
      <c r="X471" s="1"/>
      <c r="Y471" s="1" t="s">
        <v>2</v>
      </c>
      <c r="Z471" s="1" t="s">
        <v>3</v>
      </c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>
        <v>9.5609999999999999</v>
      </c>
      <c r="Q472" s="1"/>
      <c r="R472" s="1"/>
      <c r="S472" s="1" t="s">
        <v>1</v>
      </c>
      <c r="T472" s="1">
        <v>1</v>
      </c>
      <c r="U472" s="1"/>
      <c r="V472" s="1"/>
      <c r="W472" s="1"/>
      <c r="X472" s="1"/>
      <c r="Y472" s="1" t="s">
        <v>2</v>
      </c>
      <c r="Z472" s="1" t="s">
        <v>3</v>
      </c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>
        <v>9.5570000000000004</v>
      </c>
      <c r="Q473" s="1"/>
      <c r="R473" s="1"/>
      <c r="S473" s="1" t="s">
        <v>1</v>
      </c>
      <c r="T473" s="1">
        <v>1</v>
      </c>
      <c r="U473" s="1"/>
      <c r="V473" s="1"/>
      <c r="W473" s="1"/>
      <c r="X473" s="1"/>
      <c r="Y473" s="1" t="s">
        <v>2</v>
      </c>
      <c r="Z473" s="1" t="s">
        <v>3</v>
      </c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>
        <v>9.5229999999999997</v>
      </c>
      <c r="Q474" s="1"/>
      <c r="R474" s="1"/>
      <c r="S474" s="1" t="s">
        <v>1</v>
      </c>
      <c r="T474" s="1">
        <v>1</v>
      </c>
      <c r="U474" s="1"/>
      <c r="V474" s="1"/>
      <c r="W474" s="1"/>
      <c r="X474" s="1"/>
      <c r="Y474" s="1" t="s">
        <v>2</v>
      </c>
      <c r="Z474" s="1" t="s">
        <v>3</v>
      </c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>
        <v>9.5679999999999996</v>
      </c>
      <c r="Q475" s="1"/>
      <c r="R475" s="1"/>
      <c r="S475" s="1" t="s">
        <v>1</v>
      </c>
      <c r="T475" s="1">
        <v>1</v>
      </c>
      <c r="U475" s="1"/>
      <c r="V475" s="1"/>
      <c r="W475" s="1"/>
      <c r="X475" s="1"/>
      <c r="Y475" s="1" t="s">
        <v>2</v>
      </c>
      <c r="Z475" s="1" t="s">
        <v>3</v>
      </c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>
        <v>9.5609999999999999</v>
      </c>
      <c r="Q476" s="1"/>
      <c r="R476" s="1"/>
      <c r="S476" s="1" t="s">
        <v>1</v>
      </c>
      <c r="T476" s="1">
        <v>1</v>
      </c>
      <c r="U476" s="1"/>
      <c r="V476" s="1"/>
      <c r="W476" s="1"/>
      <c r="X476" s="1"/>
      <c r="Y476" s="1" t="s">
        <v>2</v>
      </c>
      <c r="Z476" s="1" t="s">
        <v>3</v>
      </c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>
        <v>9.577</v>
      </c>
      <c r="Q477" s="1"/>
      <c r="R477" s="1"/>
      <c r="S477" s="1" t="s">
        <v>1</v>
      </c>
      <c r="T477" s="1">
        <v>1</v>
      </c>
      <c r="U477" s="1"/>
      <c r="V477" s="1"/>
      <c r="W477" s="1"/>
      <c r="X477" s="1"/>
      <c r="Y477" s="1" t="s">
        <v>2</v>
      </c>
      <c r="Z477" s="1" t="s">
        <v>3</v>
      </c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>
        <v>9.5109999999999992</v>
      </c>
      <c r="Q478" s="1"/>
      <c r="R478" s="1"/>
      <c r="S478" s="1" t="s">
        <v>1</v>
      </c>
      <c r="T478" s="1">
        <v>1</v>
      </c>
      <c r="U478" s="1"/>
      <c r="V478" s="1"/>
      <c r="W478" s="1"/>
      <c r="X478" s="1"/>
      <c r="Y478" s="1" t="s">
        <v>2</v>
      </c>
      <c r="Z478" s="1" t="s">
        <v>3</v>
      </c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>
        <v>9.5679999999999996</v>
      </c>
      <c r="Q479" s="1"/>
      <c r="R479" s="1"/>
      <c r="S479" s="1" t="s">
        <v>1</v>
      </c>
      <c r="T479" s="1">
        <v>1</v>
      </c>
      <c r="U479" s="1"/>
      <c r="V479" s="1"/>
      <c r="W479" s="1"/>
      <c r="X479" s="1"/>
      <c r="Y479" s="1" t="s">
        <v>2</v>
      </c>
      <c r="Z479" s="1" t="s">
        <v>3</v>
      </c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>
        <v>9.4920000000000009</v>
      </c>
      <c r="Q480" s="1"/>
      <c r="R480" s="1"/>
      <c r="S480" s="1" t="s">
        <v>1</v>
      </c>
      <c r="T480" s="1">
        <v>1</v>
      </c>
      <c r="U480" s="1"/>
      <c r="V480" s="1"/>
      <c r="W480" s="1"/>
      <c r="X480" s="1"/>
      <c r="Y480" s="1" t="s">
        <v>2</v>
      </c>
      <c r="Z480" s="1" t="s">
        <v>3</v>
      </c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>
        <v>9.5519999999999996</v>
      </c>
      <c r="Q481" s="1"/>
      <c r="R481" s="1"/>
      <c r="S481" s="1" t="s">
        <v>1</v>
      </c>
      <c r="T481" s="1">
        <v>1</v>
      </c>
      <c r="U481" s="1"/>
      <c r="V481" s="1"/>
      <c r="W481" s="1"/>
      <c r="X481" s="1"/>
      <c r="Y481" s="1" t="s">
        <v>2</v>
      </c>
      <c r="Z481" s="1" t="s">
        <v>3</v>
      </c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>
        <v>9.5239999999999991</v>
      </c>
      <c r="Q482" s="1"/>
      <c r="R482" s="1"/>
      <c r="S482" s="1" t="s">
        <v>1</v>
      </c>
      <c r="T482" s="1">
        <v>1</v>
      </c>
      <c r="U482" s="1"/>
      <c r="V482" s="1"/>
      <c r="W482" s="1"/>
      <c r="X482" s="1"/>
      <c r="Y482" s="1" t="s">
        <v>2</v>
      </c>
      <c r="Z482" s="1" t="s">
        <v>3</v>
      </c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>
        <v>9.5419999999999998</v>
      </c>
      <c r="Q483" s="1"/>
      <c r="R483" s="1"/>
      <c r="S483" s="1" t="s">
        <v>1</v>
      </c>
      <c r="T483" s="1">
        <v>1</v>
      </c>
      <c r="U483" s="1"/>
      <c r="V483" s="1"/>
      <c r="W483" s="1"/>
      <c r="X483" s="1"/>
      <c r="Y483" s="1" t="s">
        <v>2</v>
      </c>
      <c r="Z483" s="1" t="s">
        <v>3</v>
      </c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>
        <v>9.5690000000000008</v>
      </c>
      <c r="Q484" s="1"/>
      <c r="R484" s="1"/>
      <c r="S484" s="1" t="s">
        <v>1</v>
      </c>
      <c r="T484" s="1">
        <v>1</v>
      </c>
      <c r="U484" s="1"/>
      <c r="V484" s="1"/>
      <c r="W484" s="1"/>
      <c r="X484" s="1"/>
      <c r="Y484" s="1" t="s">
        <v>2</v>
      </c>
      <c r="Z484" s="1" t="s">
        <v>3</v>
      </c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>
        <v>9.5239999999999991</v>
      </c>
      <c r="Q485" s="1"/>
      <c r="R485" s="1"/>
      <c r="S485" s="1" t="s">
        <v>1</v>
      </c>
      <c r="T485" s="1">
        <v>1</v>
      </c>
      <c r="U485" s="1"/>
      <c r="V485" s="1"/>
      <c r="W485" s="1"/>
      <c r="X485" s="1"/>
      <c r="Y485" s="1" t="s">
        <v>2</v>
      </c>
      <c r="Z485" s="1" t="s">
        <v>3</v>
      </c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>
        <v>9.5920000000000005</v>
      </c>
      <c r="Q486" s="1"/>
      <c r="R486" s="1"/>
      <c r="S486" s="1" t="s">
        <v>1</v>
      </c>
      <c r="T486" s="1">
        <v>1</v>
      </c>
      <c r="U486" s="1"/>
      <c r="V486" s="1"/>
      <c r="W486" s="1"/>
      <c r="X486" s="1"/>
      <c r="Y486" s="1" t="s">
        <v>2</v>
      </c>
      <c r="Z486" s="1" t="s">
        <v>3</v>
      </c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>
        <v>9.5359999999999996</v>
      </c>
      <c r="Q487" s="1"/>
      <c r="R487" s="1"/>
      <c r="S487" s="1" t="s">
        <v>1</v>
      </c>
      <c r="T487" s="1">
        <v>1</v>
      </c>
      <c r="U487" s="1"/>
      <c r="V487" s="1"/>
      <c r="W487" s="1"/>
      <c r="X487" s="1"/>
      <c r="Y487" s="1" t="s">
        <v>2</v>
      </c>
      <c r="Z487" s="1" t="s">
        <v>3</v>
      </c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>
        <v>9.5440000000000005</v>
      </c>
      <c r="Q488" s="1"/>
      <c r="R488" s="1"/>
      <c r="S488" s="1" t="s">
        <v>1</v>
      </c>
      <c r="T488" s="1">
        <v>1</v>
      </c>
      <c r="U488" s="1"/>
      <c r="V488" s="1"/>
      <c r="W488" s="1"/>
      <c r="X488" s="1"/>
      <c r="Y488" s="1" t="s">
        <v>2</v>
      </c>
      <c r="Z488" s="1" t="s">
        <v>3</v>
      </c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>
        <v>9.5640000000000001</v>
      </c>
      <c r="Q489" s="1"/>
      <c r="R489" s="1"/>
      <c r="S489" s="1" t="s">
        <v>1</v>
      </c>
      <c r="T489" s="1">
        <v>1</v>
      </c>
      <c r="U489" s="1"/>
      <c r="V489" s="1"/>
      <c r="W489" s="1"/>
      <c r="X489" s="1"/>
      <c r="Y489" s="1" t="s">
        <v>2</v>
      </c>
      <c r="Z489" s="1" t="s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/>
  <dimension ref="A1:B6"/>
  <sheetViews>
    <sheetView workbookViewId="0">
      <selection activeCell="E20" sqref="E20"/>
    </sheetView>
  </sheetViews>
  <sheetFormatPr baseColWidth="10" defaultRowHeight="15" x14ac:dyDescent="0.25"/>
  <sheetData>
    <row r="1" spans="1:2" x14ac:dyDescent="0.25">
      <c r="A1">
        <v>1</v>
      </c>
    </row>
    <row r="3" spans="1:2" x14ac:dyDescent="0.25">
      <c r="A3">
        <v>1</v>
      </c>
      <c r="B3" t="s">
        <v>37</v>
      </c>
    </row>
    <row r="4" spans="1:2" x14ac:dyDescent="0.25">
      <c r="A4">
        <v>2</v>
      </c>
      <c r="B4" t="s">
        <v>38</v>
      </c>
    </row>
    <row r="5" spans="1:2" x14ac:dyDescent="0.25">
      <c r="A5">
        <v>3</v>
      </c>
      <c r="B5" t="s">
        <v>39</v>
      </c>
    </row>
    <row r="6" spans="1:2" x14ac:dyDescent="0.25">
      <c r="A6">
        <v>4</v>
      </c>
      <c r="B6" t="s"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P38"/>
  <sheetViews>
    <sheetView showGridLines="0" workbookViewId="0">
      <selection activeCell="I17" sqref="I17"/>
    </sheetView>
  </sheetViews>
  <sheetFormatPr baseColWidth="10" defaultRowHeight="15" x14ac:dyDescent="0.25"/>
  <cols>
    <col min="3" max="3" width="11.85546875" customWidth="1"/>
    <col min="5" max="5" width="7" customWidth="1"/>
    <col min="7" max="7" width="14" customWidth="1"/>
  </cols>
  <sheetData>
    <row r="1" spans="2:16" x14ac:dyDescent="0.25">
      <c r="P1" t="s">
        <v>41</v>
      </c>
    </row>
    <row r="2" spans="2:16" x14ac:dyDescent="0.25">
      <c r="P2" t="s">
        <v>42</v>
      </c>
    </row>
    <row r="3" spans="2:16" x14ac:dyDescent="0.25">
      <c r="C3" s="14"/>
      <c r="D3" s="14" t="s">
        <v>43</v>
      </c>
      <c r="E3" s="14" t="s">
        <v>108</v>
      </c>
      <c r="F3" s="14"/>
      <c r="G3" s="14"/>
      <c r="H3" s="14"/>
      <c r="I3" s="14"/>
      <c r="J3" s="14"/>
      <c r="K3" s="14"/>
      <c r="L3" s="14"/>
      <c r="P3" t="s">
        <v>44</v>
      </c>
    </row>
    <row r="4" spans="2:16" x14ac:dyDescent="0.25">
      <c r="C4" s="14"/>
      <c r="D4" s="14" t="s">
        <v>45</v>
      </c>
      <c r="E4" s="14" t="str">
        <f>CONCATENATE("D:\SymbioticStudies\" &amp; E5&amp;F3)</f>
        <v>D:\SymbioticStudies\SULyn</v>
      </c>
      <c r="F4" s="14"/>
      <c r="G4" s="14"/>
      <c r="H4" s="14" t="str">
        <f>+E4</f>
        <v>D:\SymbioticStudies\SULyn</v>
      </c>
      <c r="I4" s="14"/>
      <c r="J4" s="14"/>
      <c r="K4" s="14"/>
      <c r="L4" s="14"/>
      <c r="P4" t="s">
        <v>46</v>
      </c>
    </row>
    <row r="5" spans="2:16" x14ac:dyDescent="0.25">
      <c r="C5" s="14"/>
      <c r="D5" s="14" t="s">
        <v>47</v>
      </c>
      <c r="E5" s="14" t="str">
        <f>+SUBSTITUTE(E3," ","")</f>
        <v>SULyn</v>
      </c>
      <c r="F5" s="14"/>
      <c r="G5" s="14"/>
      <c r="H5" s="14"/>
      <c r="I5" s="14"/>
      <c r="J5" s="14"/>
      <c r="K5" s="14"/>
      <c r="L5" s="14"/>
      <c r="P5" t="s">
        <v>48</v>
      </c>
    </row>
    <row r="6" spans="2:16" x14ac:dyDescent="0.25">
      <c r="P6" t="s">
        <v>49</v>
      </c>
    </row>
    <row r="7" spans="2:16" x14ac:dyDescent="0.25">
      <c r="C7" s="15" t="s">
        <v>50</v>
      </c>
      <c r="D7" s="15">
        <v>0</v>
      </c>
      <c r="F7" s="14" t="s">
        <v>51</v>
      </c>
      <c r="G7" s="14">
        <f>+VLOOKUP($J$9,$B$16:$G$37,5)</f>
        <v>1</v>
      </c>
      <c r="H7" s="14"/>
      <c r="P7" t="s">
        <v>52</v>
      </c>
    </row>
    <row r="8" spans="2:16" x14ac:dyDescent="0.25">
      <c r="C8" s="15" t="s">
        <v>53</v>
      </c>
      <c r="D8" s="15">
        <v>0</v>
      </c>
      <c r="F8" s="14" t="s">
        <v>54</v>
      </c>
      <c r="G8" s="14">
        <v>500</v>
      </c>
      <c r="H8" s="14" t="s">
        <v>55</v>
      </c>
      <c r="P8" t="s">
        <v>56</v>
      </c>
    </row>
    <row r="9" spans="2:16" x14ac:dyDescent="0.25">
      <c r="C9" s="15" t="s">
        <v>57</v>
      </c>
      <c r="D9" s="15">
        <v>0</v>
      </c>
      <c r="F9" s="14" t="s">
        <v>58</v>
      </c>
      <c r="G9" s="14">
        <f>+G8/2</f>
        <v>250</v>
      </c>
      <c r="H9" s="14"/>
      <c r="J9">
        <v>4</v>
      </c>
      <c r="P9" t="s">
        <v>59</v>
      </c>
    </row>
    <row r="10" spans="2:16" x14ac:dyDescent="0.25">
      <c r="F10" s="14" t="s">
        <v>60</v>
      </c>
      <c r="G10" s="14">
        <f>+VLOOKUP($J$9,$B$16:$G$37,6)</f>
        <v>0.5</v>
      </c>
      <c r="H10" s="14"/>
      <c r="P10" t="s">
        <v>61</v>
      </c>
    </row>
    <row r="11" spans="2:16" x14ac:dyDescent="0.25">
      <c r="C11" s="14" t="s">
        <v>62</v>
      </c>
      <c r="D11" s="14">
        <v>250</v>
      </c>
      <c r="F11" s="14" t="s">
        <v>63</v>
      </c>
      <c r="G11" s="14"/>
      <c r="H11" s="14"/>
      <c r="J11" s="15"/>
      <c r="K11" s="15"/>
      <c r="P11" t="s">
        <v>64</v>
      </c>
    </row>
    <row r="12" spans="2:16" x14ac:dyDescent="0.25">
      <c r="C12" s="14" t="s">
        <v>65</v>
      </c>
      <c r="D12" s="14">
        <v>500</v>
      </c>
      <c r="F12" s="14" t="s">
        <v>66</v>
      </c>
      <c r="G12" s="14">
        <f>+VLOOKUP($J$9,$B$16:$H$37,7)</f>
        <v>12</v>
      </c>
      <c r="H12" s="14"/>
      <c r="P12" t="s">
        <v>67</v>
      </c>
    </row>
    <row r="13" spans="2:16" x14ac:dyDescent="0.25">
      <c r="C13" s="14" t="s">
        <v>68</v>
      </c>
      <c r="D13" s="16" t="str">
        <f>+VLOOKUP(E1:E13,[2]Feuil1!A3:B6,2)</f>
        <v>b</v>
      </c>
      <c r="E13" s="17">
        <v>1</v>
      </c>
      <c r="F13" s="14" t="s">
        <v>69</v>
      </c>
      <c r="G13" s="18">
        <f>+VLOOKUP($J$9,$B$16:$H$37,4)</f>
        <v>6300.32</v>
      </c>
      <c r="H13" s="14"/>
      <c r="P13" t="s">
        <v>70</v>
      </c>
    </row>
    <row r="14" spans="2:16" x14ac:dyDescent="0.25">
      <c r="F14" s="14" t="s">
        <v>71</v>
      </c>
      <c r="G14" s="19" t="str">
        <f>+VLOOKUP($J$9,$B$16:$H$37,2)</f>
        <v>[OI] 6300</v>
      </c>
      <c r="H14" s="14"/>
      <c r="P14" t="s">
        <v>72</v>
      </c>
    </row>
    <row r="15" spans="2:16" ht="36" customHeight="1" x14ac:dyDescent="0.25">
      <c r="F15" s="8" t="s">
        <v>51</v>
      </c>
      <c r="G15" s="8" t="s">
        <v>60</v>
      </c>
      <c r="H15" s="8"/>
      <c r="P15" t="s">
        <v>73</v>
      </c>
    </row>
    <row r="16" spans="2:16" x14ac:dyDescent="0.25">
      <c r="B16" s="20">
        <v>1</v>
      </c>
      <c r="C16" t="str">
        <f>+CONCATENATE(D16 &amp; " " &amp; ROUND( E16,0))</f>
        <v>Ha 6563</v>
      </c>
      <c r="D16" t="s">
        <v>74</v>
      </c>
      <c r="E16">
        <v>6562.82</v>
      </c>
      <c r="F16" s="8">
        <v>1</v>
      </c>
      <c r="G16" s="8">
        <v>0.5</v>
      </c>
      <c r="H16" s="8">
        <v>12</v>
      </c>
      <c r="P16" t="s">
        <v>75</v>
      </c>
    </row>
    <row r="17" spans="2:16" x14ac:dyDescent="0.25">
      <c r="B17" s="20">
        <v>2</v>
      </c>
      <c r="C17" t="str">
        <f t="shared" ref="C17:C34" si="0">+CONCATENATE(D17 &amp; " " &amp; ROUND( E17,0))</f>
        <v>Hb 4861</v>
      </c>
      <c r="D17" t="s">
        <v>76</v>
      </c>
      <c r="E17">
        <v>4861.34</v>
      </c>
      <c r="F17" s="8">
        <v>1.5</v>
      </c>
      <c r="G17" s="8">
        <v>0.5</v>
      </c>
      <c r="H17" s="8">
        <v>16</v>
      </c>
      <c r="P17" t="s">
        <v>77</v>
      </c>
    </row>
    <row r="18" spans="2:16" x14ac:dyDescent="0.25">
      <c r="B18">
        <v>3</v>
      </c>
      <c r="C18" t="str">
        <f t="shared" si="0"/>
        <v>Hg 4340</v>
      </c>
      <c r="D18" t="s">
        <v>78</v>
      </c>
      <c r="E18">
        <v>4340</v>
      </c>
      <c r="F18" s="8"/>
      <c r="G18" s="8"/>
      <c r="H18" s="8"/>
      <c r="P18" t="s">
        <v>79</v>
      </c>
    </row>
    <row r="19" spans="2:16" x14ac:dyDescent="0.25">
      <c r="B19" s="20">
        <v>4</v>
      </c>
      <c r="C19" t="str">
        <f t="shared" si="0"/>
        <v>[OI] 6300</v>
      </c>
      <c r="D19" t="s">
        <v>80</v>
      </c>
      <c r="E19">
        <v>6300.32</v>
      </c>
      <c r="F19" s="8">
        <v>1</v>
      </c>
      <c r="G19" s="8">
        <v>0.5</v>
      </c>
      <c r="H19" s="8">
        <v>12</v>
      </c>
      <c r="P19" t="s">
        <v>81</v>
      </c>
    </row>
    <row r="20" spans="2:16" x14ac:dyDescent="0.25">
      <c r="B20">
        <v>5</v>
      </c>
      <c r="C20" t="str">
        <f t="shared" si="0"/>
        <v>[OI] 6363</v>
      </c>
      <c r="D20" t="s">
        <v>80</v>
      </c>
      <c r="E20">
        <v>6363</v>
      </c>
      <c r="F20" s="8"/>
      <c r="G20" s="8"/>
      <c r="H20" s="8"/>
      <c r="P20" t="s">
        <v>82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83</v>
      </c>
      <c r="E21">
        <v>5015.68</v>
      </c>
      <c r="F21" s="8">
        <v>2</v>
      </c>
      <c r="G21" s="8">
        <v>1</v>
      </c>
      <c r="H21" s="8">
        <v>40</v>
      </c>
      <c r="P21" t="s">
        <v>84</v>
      </c>
    </row>
    <row r="22" spans="2:16" x14ac:dyDescent="0.25">
      <c r="B22" s="20">
        <v>7</v>
      </c>
      <c r="C22" t="str">
        <f t="shared" si="0"/>
        <v>He I 5876</v>
      </c>
      <c r="D22" t="s">
        <v>83</v>
      </c>
      <c r="E22">
        <v>5875.65</v>
      </c>
      <c r="F22" s="8">
        <v>2</v>
      </c>
      <c r="G22" s="8">
        <v>0.2</v>
      </c>
      <c r="H22" s="8">
        <v>15</v>
      </c>
      <c r="P22" t="s">
        <v>85</v>
      </c>
    </row>
    <row r="23" spans="2:16" x14ac:dyDescent="0.25">
      <c r="B23">
        <v>8</v>
      </c>
      <c r="C23" t="str">
        <f t="shared" si="0"/>
        <v>He I 6678</v>
      </c>
      <c r="D23" t="s">
        <v>83</v>
      </c>
      <c r="E23">
        <v>6678.15</v>
      </c>
      <c r="F23" s="8">
        <v>1</v>
      </c>
      <c r="G23" s="8">
        <v>0.2</v>
      </c>
      <c r="H23" s="8">
        <v>25</v>
      </c>
      <c r="P23" t="s">
        <v>86</v>
      </c>
    </row>
    <row r="24" spans="2:16" x14ac:dyDescent="0.25">
      <c r="B24">
        <v>9</v>
      </c>
      <c r="C24" t="str">
        <f t="shared" si="0"/>
        <v>He I 7065</v>
      </c>
      <c r="D24" t="s">
        <v>83</v>
      </c>
      <c r="E24">
        <v>7065</v>
      </c>
      <c r="F24" s="8">
        <v>6</v>
      </c>
      <c r="G24" s="8">
        <v>2</v>
      </c>
      <c r="H24" s="8">
        <v>110</v>
      </c>
      <c r="P24" t="s">
        <v>87</v>
      </c>
    </row>
    <row r="25" spans="2:16" x14ac:dyDescent="0.25">
      <c r="B25">
        <v>10</v>
      </c>
      <c r="C25" t="str">
        <f t="shared" si="0"/>
        <v>He II 4686</v>
      </c>
      <c r="D25" t="s">
        <v>88</v>
      </c>
      <c r="E25">
        <v>4685.68</v>
      </c>
      <c r="F25" s="8">
        <v>20</v>
      </c>
      <c r="G25" s="8">
        <v>5</v>
      </c>
      <c r="H25" s="8">
        <v>350</v>
      </c>
      <c r="P25" t="s">
        <v>89</v>
      </c>
    </row>
    <row r="26" spans="2:16" x14ac:dyDescent="0.25">
      <c r="B26" s="20">
        <v>11</v>
      </c>
      <c r="C26" t="str">
        <f t="shared" si="0"/>
        <v>[O III] 5007</v>
      </c>
      <c r="D26" t="s">
        <v>90</v>
      </c>
      <c r="E26">
        <v>5006.84</v>
      </c>
      <c r="F26" s="8">
        <v>2</v>
      </c>
      <c r="G26" s="8">
        <v>1</v>
      </c>
      <c r="H26" s="8">
        <v>22</v>
      </c>
      <c r="P26" t="s">
        <v>91</v>
      </c>
    </row>
    <row r="27" spans="2:16" x14ac:dyDescent="0.25">
      <c r="B27">
        <v>12</v>
      </c>
      <c r="C27" t="str">
        <f t="shared" si="0"/>
        <v>[O III] 4959</v>
      </c>
      <c r="D27" t="s">
        <v>90</v>
      </c>
      <c r="E27">
        <v>4959</v>
      </c>
      <c r="F27" s="8">
        <v>1</v>
      </c>
      <c r="G27" s="8">
        <v>1</v>
      </c>
      <c r="H27" s="8">
        <v>12</v>
      </c>
      <c r="P27" t="s">
        <v>92</v>
      </c>
    </row>
    <row r="28" spans="2:16" x14ac:dyDescent="0.25">
      <c r="B28">
        <v>13</v>
      </c>
      <c r="C28" t="str">
        <f t="shared" si="0"/>
        <v>[O III] 4363</v>
      </c>
      <c r="D28" t="s">
        <v>90</v>
      </c>
      <c r="E28">
        <v>4363</v>
      </c>
      <c r="F28" s="8"/>
      <c r="G28" s="8"/>
      <c r="H28" s="8"/>
      <c r="P28" t="s">
        <v>93</v>
      </c>
    </row>
    <row r="29" spans="2:16" x14ac:dyDescent="0.25">
      <c r="B29">
        <v>14</v>
      </c>
      <c r="C29" t="str">
        <f t="shared" si="0"/>
        <v>Fe II 4924</v>
      </c>
      <c r="D29" t="s">
        <v>94</v>
      </c>
      <c r="E29">
        <v>4923.92</v>
      </c>
      <c r="F29" s="8">
        <v>1</v>
      </c>
      <c r="G29" s="8">
        <v>1</v>
      </c>
      <c r="H29" s="8">
        <v>25</v>
      </c>
      <c r="P29" t="s">
        <v>95</v>
      </c>
    </row>
    <row r="30" spans="2:16" x14ac:dyDescent="0.25">
      <c r="B30" s="20">
        <v>15</v>
      </c>
      <c r="C30" t="str">
        <f t="shared" si="0"/>
        <v>Fe II 5018</v>
      </c>
      <c r="D30" t="s">
        <v>94</v>
      </c>
      <c r="E30">
        <v>5018.43</v>
      </c>
      <c r="F30" s="8">
        <v>2</v>
      </c>
      <c r="G30" s="8">
        <v>1</v>
      </c>
      <c r="H30" s="8">
        <v>50</v>
      </c>
      <c r="P30" t="s">
        <v>96</v>
      </c>
    </row>
    <row r="31" spans="2:16" x14ac:dyDescent="0.25">
      <c r="B31">
        <v>16</v>
      </c>
      <c r="C31" t="str">
        <f t="shared" si="0"/>
        <v>Na ID 5890</v>
      </c>
      <c r="D31" t="s">
        <v>97</v>
      </c>
      <c r="E31">
        <v>5889.95</v>
      </c>
      <c r="F31" s="8">
        <v>1</v>
      </c>
      <c r="G31" s="8">
        <v>-0.2</v>
      </c>
      <c r="H31" s="8">
        <v>6</v>
      </c>
      <c r="P31" t="s">
        <v>98</v>
      </c>
    </row>
    <row r="32" spans="2:16" x14ac:dyDescent="0.25">
      <c r="B32">
        <v>17</v>
      </c>
      <c r="F32" s="8"/>
      <c r="G32" s="8"/>
      <c r="H32" s="8"/>
      <c r="P32" t="s">
        <v>99</v>
      </c>
    </row>
    <row r="33" spans="2:16" x14ac:dyDescent="0.25">
      <c r="B33">
        <v>18</v>
      </c>
      <c r="C33" t="str">
        <f t="shared" si="0"/>
        <v>[Fe VII] 6087</v>
      </c>
      <c r="D33" t="s">
        <v>100</v>
      </c>
      <c r="E33">
        <v>6087</v>
      </c>
      <c r="F33" s="8">
        <v>2</v>
      </c>
      <c r="G33" s="8">
        <v>1</v>
      </c>
      <c r="H33" s="8">
        <v>40</v>
      </c>
      <c r="P33" t="s">
        <v>101</v>
      </c>
    </row>
    <row r="34" spans="2:16" x14ac:dyDescent="0.25">
      <c r="B34">
        <v>19</v>
      </c>
      <c r="C34" t="str">
        <f t="shared" si="0"/>
        <v>[Fe VII] 5721</v>
      </c>
      <c r="D34" t="s">
        <v>100</v>
      </c>
      <c r="E34">
        <v>5721</v>
      </c>
      <c r="F34" s="8">
        <v>2</v>
      </c>
      <c r="G34" s="8">
        <v>1</v>
      </c>
      <c r="H34" s="8">
        <v>45</v>
      </c>
      <c r="P34" t="s">
        <v>102</v>
      </c>
    </row>
    <row r="35" spans="2:16" x14ac:dyDescent="0.25">
      <c r="B35">
        <v>20</v>
      </c>
      <c r="D35" t="s">
        <v>100</v>
      </c>
      <c r="P35" t="s">
        <v>103</v>
      </c>
    </row>
    <row r="36" spans="2:16" x14ac:dyDescent="0.25">
      <c r="B36">
        <v>21</v>
      </c>
      <c r="D36" t="s">
        <v>104</v>
      </c>
      <c r="P36" t="s">
        <v>105</v>
      </c>
    </row>
    <row r="37" spans="2:16" x14ac:dyDescent="0.25">
      <c r="B37">
        <v>22</v>
      </c>
      <c r="D37" t="s">
        <v>104</v>
      </c>
      <c r="P37" t="s">
        <v>106</v>
      </c>
    </row>
    <row r="38" spans="2:16" x14ac:dyDescent="0.25">
      <c r="P38" t="s">
        <v>107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3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3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AE60C-B696-48F1-936D-2BF3D06C2F72}">
  <dimension ref="A1:L33"/>
  <sheetViews>
    <sheetView workbookViewId="0">
      <selection activeCell="M20" sqref="M20"/>
    </sheetView>
  </sheetViews>
  <sheetFormatPr baseColWidth="10" defaultRowHeight="15" x14ac:dyDescent="0.25"/>
  <cols>
    <col min="2" max="2" width="11.42578125" style="6"/>
  </cols>
  <sheetData>
    <row r="1" spans="1:12" x14ac:dyDescent="0.25">
      <c r="A1" t="s">
        <v>109</v>
      </c>
    </row>
    <row r="4" spans="1:12" x14ac:dyDescent="0.25">
      <c r="A4">
        <v>1</v>
      </c>
      <c r="B4" s="6">
        <v>42494</v>
      </c>
      <c r="C4">
        <v>0.86798611111111112</v>
      </c>
      <c r="D4">
        <v>2457513.3859999999</v>
      </c>
      <c r="E4">
        <f>+D4-2450000</f>
        <v>7513.3859999999404</v>
      </c>
      <c r="F4" t="s">
        <v>26</v>
      </c>
      <c r="G4" t="s">
        <v>110</v>
      </c>
      <c r="I4">
        <v>-16</v>
      </c>
      <c r="J4">
        <v>-15.489000000000001</v>
      </c>
      <c r="L4">
        <v>-16.5</v>
      </c>
    </row>
    <row r="5" spans="1:12" x14ac:dyDescent="0.25">
      <c r="A5">
        <v>2</v>
      </c>
      <c r="B5" s="6">
        <v>42756</v>
      </c>
      <c r="C5">
        <v>0.75373842592592588</v>
      </c>
      <c r="D5">
        <v>2457775.2837999999</v>
      </c>
      <c r="E5">
        <f t="shared" ref="E5:E33" si="0">+D5-2450000</f>
        <v>7775.2837999998592</v>
      </c>
      <c r="F5" t="s">
        <v>26</v>
      </c>
      <c r="G5" t="s">
        <v>110</v>
      </c>
      <c r="I5">
        <v>-17</v>
      </c>
      <c r="J5">
        <v>-16.556000000000001</v>
      </c>
      <c r="L5" s="21">
        <f>+STDEV(J4:J33)</f>
        <v>1.0344123593454722</v>
      </c>
    </row>
    <row r="6" spans="1:12" x14ac:dyDescent="0.25">
      <c r="A6">
        <v>3</v>
      </c>
      <c r="B6" s="6">
        <v>42782</v>
      </c>
      <c r="C6">
        <v>0.77268518518518514</v>
      </c>
      <c r="D6">
        <v>2457801.3026000001</v>
      </c>
      <c r="E6">
        <f t="shared" si="0"/>
        <v>7801.3026000000536</v>
      </c>
      <c r="F6" t="s">
        <v>26</v>
      </c>
      <c r="G6" t="s">
        <v>110</v>
      </c>
      <c r="I6">
        <v>-16</v>
      </c>
      <c r="J6">
        <v>-15.625</v>
      </c>
    </row>
    <row r="7" spans="1:12" x14ac:dyDescent="0.25">
      <c r="A7">
        <v>4</v>
      </c>
      <c r="B7" s="6">
        <v>42821</v>
      </c>
      <c r="C7">
        <v>0.83241898148148152</v>
      </c>
      <c r="D7">
        <v>2457840.3536</v>
      </c>
      <c r="E7">
        <f t="shared" si="0"/>
        <v>7840.3536000000313</v>
      </c>
      <c r="F7" t="s">
        <v>26</v>
      </c>
      <c r="G7" t="s">
        <v>110</v>
      </c>
      <c r="I7">
        <v>-18</v>
      </c>
      <c r="J7">
        <v>-17.376999999999999</v>
      </c>
    </row>
    <row r="8" spans="1:12" x14ac:dyDescent="0.25">
      <c r="A8">
        <v>5</v>
      </c>
      <c r="B8" s="6">
        <v>42822</v>
      </c>
      <c r="C8">
        <v>0.88501157407407405</v>
      </c>
      <c r="D8">
        <v>2457841.4338000002</v>
      </c>
      <c r="E8">
        <f t="shared" si="0"/>
        <v>7841.4338000002317</v>
      </c>
      <c r="F8" t="s">
        <v>28</v>
      </c>
      <c r="G8" t="s">
        <v>112</v>
      </c>
      <c r="I8">
        <v>-18</v>
      </c>
      <c r="J8">
        <v>-17.728999999999999</v>
      </c>
    </row>
    <row r="9" spans="1:12" x14ac:dyDescent="0.25">
      <c r="A9">
        <v>6</v>
      </c>
      <c r="B9" s="6">
        <v>42823</v>
      </c>
      <c r="C9">
        <v>0.78930555555555559</v>
      </c>
      <c r="D9">
        <v>2457842.33</v>
      </c>
      <c r="E9">
        <f t="shared" si="0"/>
        <v>7842.3300000000745</v>
      </c>
      <c r="F9" t="s">
        <v>23</v>
      </c>
      <c r="G9" t="s">
        <v>113</v>
      </c>
      <c r="I9">
        <v>-20</v>
      </c>
    </row>
    <row r="10" spans="1:12" x14ac:dyDescent="0.25">
      <c r="A10">
        <v>7</v>
      </c>
      <c r="B10" s="6">
        <v>42827</v>
      </c>
      <c r="C10">
        <v>0.81447916666666664</v>
      </c>
      <c r="D10">
        <v>2457846.3429999999</v>
      </c>
      <c r="E10">
        <f t="shared" si="0"/>
        <v>7846.3429999998771</v>
      </c>
      <c r="F10" t="s">
        <v>26</v>
      </c>
      <c r="G10" t="s">
        <v>110</v>
      </c>
      <c r="I10">
        <v>-18</v>
      </c>
      <c r="J10">
        <v>-17.72</v>
      </c>
    </row>
    <row r="11" spans="1:12" x14ac:dyDescent="0.25">
      <c r="A11">
        <v>8</v>
      </c>
      <c r="B11" s="6">
        <v>42828</v>
      </c>
      <c r="C11">
        <v>0.91973379629629637</v>
      </c>
      <c r="D11">
        <v>2457847.4604000002</v>
      </c>
      <c r="E11">
        <f t="shared" si="0"/>
        <v>7847.4604000002146</v>
      </c>
      <c r="F11" t="s">
        <v>23</v>
      </c>
      <c r="G11" t="s">
        <v>113</v>
      </c>
      <c r="I11">
        <v>-21</v>
      </c>
    </row>
    <row r="12" spans="1:12" x14ac:dyDescent="0.25">
      <c r="A12">
        <v>9</v>
      </c>
      <c r="B12" s="6">
        <v>42831</v>
      </c>
      <c r="C12">
        <v>0.91061342592592587</v>
      </c>
      <c r="D12">
        <v>2457850.4432000001</v>
      </c>
      <c r="E12">
        <f t="shared" si="0"/>
        <v>7850.4432000000961</v>
      </c>
      <c r="F12" t="s">
        <v>23</v>
      </c>
      <c r="G12" t="s">
        <v>113</v>
      </c>
      <c r="I12">
        <v>-20</v>
      </c>
    </row>
    <row r="13" spans="1:12" x14ac:dyDescent="0.25">
      <c r="A13">
        <v>11</v>
      </c>
      <c r="B13" s="6">
        <v>42837</v>
      </c>
      <c r="C13">
        <v>0.89189814814814816</v>
      </c>
      <c r="D13">
        <v>2457856.4267000002</v>
      </c>
      <c r="E13">
        <f t="shared" si="0"/>
        <v>7856.4267000001855</v>
      </c>
      <c r="F13" t="s">
        <v>23</v>
      </c>
      <c r="G13" t="s">
        <v>113</v>
      </c>
      <c r="I13">
        <v>-20</v>
      </c>
    </row>
    <row r="14" spans="1:12" x14ac:dyDescent="0.25">
      <c r="A14">
        <v>12</v>
      </c>
      <c r="B14" s="6">
        <v>42845</v>
      </c>
      <c r="C14">
        <v>0.85592592592592587</v>
      </c>
      <c r="D14">
        <v>2457864.3771000002</v>
      </c>
      <c r="E14">
        <f t="shared" si="0"/>
        <v>7864.377100000158</v>
      </c>
      <c r="F14" t="s">
        <v>26</v>
      </c>
      <c r="G14" t="s">
        <v>110</v>
      </c>
      <c r="I14">
        <v>-18</v>
      </c>
      <c r="J14">
        <v>-17.809000000000001</v>
      </c>
    </row>
    <row r="15" spans="1:12" x14ac:dyDescent="0.25">
      <c r="A15">
        <v>13</v>
      </c>
      <c r="B15" s="6">
        <v>42845</v>
      </c>
      <c r="C15">
        <v>0.80350694444444448</v>
      </c>
      <c r="D15">
        <v>2457864.3522999999</v>
      </c>
      <c r="E15">
        <f t="shared" si="0"/>
        <v>7864.3522999999113</v>
      </c>
      <c r="F15" t="s">
        <v>28</v>
      </c>
      <c r="G15" t="s">
        <v>112</v>
      </c>
      <c r="I15">
        <v>-16</v>
      </c>
      <c r="J15">
        <v>-15.927</v>
      </c>
    </row>
    <row r="16" spans="1:12" x14ac:dyDescent="0.25">
      <c r="A16">
        <v>14</v>
      </c>
      <c r="B16" s="6">
        <v>42859</v>
      </c>
      <c r="C16">
        <v>5.0891203703703702E-2</v>
      </c>
      <c r="D16">
        <v>2457877.5718999999</v>
      </c>
      <c r="E16">
        <f t="shared" si="0"/>
        <v>7877.5718999998644</v>
      </c>
      <c r="F16" t="s">
        <v>116</v>
      </c>
      <c r="G16" t="s">
        <v>117</v>
      </c>
    </row>
    <row r="17" spans="1:10" x14ac:dyDescent="0.25">
      <c r="A17">
        <v>15</v>
      </c>
      <c r="B17" s="6">
        <v>42864</v>
      </c>
      <c r="C17">
        <v>0.82240740740740748</v>
      </c>
      <c r="D17">
        <v>2457883.3642000002</v>
      </c>
      <c r="E17">
        <f t="shared" si="0"/>
        <v>7883.3642000001855</v>
      </c>
      <c r="F17" t="s">
        <v>28</v>
      </c>
      <c r="G17" t="s">
        <v>112</v>
      </c>
    </row>
    <row r="18" spans="1:10" x14ac:dyDescent="0.25">
      <c r="A18">
        <v>16</v>
      </c>
      <c r="B18" s="6">
        <v>42865</v>
      </c>
      <c r="C18">
        <v>0.84702546296296299</v>
      </c>
      <c r="D18">
        <v>2457884.3681000001</v>
      </c>
      <c r="E18">
        <f t="shared" si="0"/>
        <v>7884.3681000000797</v>
      </c>
      <c r="F18" t="s">
        <v>26</v>
      </c>
      <c r="G18" t="s">
        <v>110</v>
      </c>
    </row>
    <row r="19" spans="1:10" x14ac:dyDescent="0.25">
      <c r="A19">
        <v>17</v>
      </c>
      <c r="B19" s="6">
        <v>42879</v>
      </c>
      <c r="C19">
        <v>0.82657407407407402</v>
      </c>
      <c r="D19">
        <v>2457898.3544000001</v>
      </c>
      <c r="E19">
        <f t="shared" si="0"/>
        <v>7898.3544000000693</v>
      </c>
      <c r="F19" t="s">
        <v>28</v>
      </c>
      <c r="G19" t="s">
        <v>112</v>
      </c>
    </row>
    <row r="20" spans="1:10" x14ac:dyDescent="0.25">
      <c r="A20">
        <v>18</v>
      </c>
      <c r="B20" s="6">
        <v>43011</v>
      </c>
      <c r="C20">
        <v>0.15530092592592593</v>
      </c>
      <c r="D20">
        <v>2458029.6693000002</v>
      </c>
      <c r="E20">
        <f t="shared" si="0"/>
        <v>8029.6693000001833</v>
      </c>
      <c r="F20" t="s">
        <v>26</v>
      </c>
      <c r="G20" t="s">
        <v>110</v>
      </c>
      <c r="I20">
        <v>-16</v>
      </c>
      <c r="J20">
        <v>-15.324999999999999</v>
      </c>
    </row>
    <row r="21" spans="1:10" x14ac:dyDescent="0.25">
      <c r="A21">
        <v>19</v>
      </c>
      <c r="B21" s="6">
        <v>43040</v>
      </c>
      <c r="C21">
        <v>0.18126157407407406</v>
      </c>
      <c r="D21">
        <v>2458058.7022000002</v>
      </c>
      <c r="E21">
        <f t="shared" si="0"/>
        <v>8058.7022000001743</v>
      </c>
      <c r="F21" t="s">
        <v>26</v>
      </c>
      <c r="G21" t="s">
        <v>110</v>
      </c>
      <c r="I21">
        <v>-15</v>
      </c>
      <c r="J21">
        <v>-14.871</v>
      </c>
    </row>
    <row r="22" spans="1:10" x14ac:dyDescent="0.25">
      <c r="A22">
        <v>20</v>
      </c>
      <c r="B22" s="6">
        <v>43043</v>
      </c>
      <c r="C22">
        <v>0.16304398148148147</v>
      </c>
      <c r="D22">
        <v>2458061.7129000002</v>
      </c>
      <c r="E22">
        <f t="shared" si="0"/>
        <v>8061.7129000001587</v>
      </c>
      <c r="F22" t="s">
        <v>116</v>
      </c>
      <c r="G22" t="s">
        <v>117</v>
      </c>
      <c r="I22">
        <v>-16</v>
      </c>
      <c r="J22">
        <v>-15.673999999999999</v>
      </c>
    </row>
    <row r="23" spans="1:10" x14ac:dyDescent="0.25">
      <c r="A23">
        <v>21</v>
      </c>
      <c r="B23" s="6">
        <v>43084</v>
      </c>
      <c r="C23">
        <v>0.39582175925925928</v>
      </c>
      <c r="D23">
        <v>2458102.9205</v>
      </c>
      <c r="E23">
        <f t="shared" si="0"/>
        <v>8102.9205000000075</v>
      </c>
      <c r="F23" t="s">
        <v>114</v>
      </c>
      <c r="G23" t="s">
        <v>115</v>
      </c>
    </row>
    <row r="24" spans="1:10" x14ac:dyDescent="0.25">
      <c r="A24">
        <v>22</v>
      </c>
      <c r="B24" s="6">
        <v>43111</v>
      </c>
      <c r="C24">
        <v>0.91753472222222221</v>
      </c>
      <c r="D24">
        <v>2458130.4454999999</v>
      </c>
      <c r="E24">
        <f t="shared" si="0"/>
        <v>8130.4454999999143</v>
      </c>
      <c r="F24" t="s">
        <v>23</v>
      </c>
      <c r="G24" t="s">
        <v>113</v>
      </c>
    </row>
    <row r="25" spans="1:10" x14ac:dyDescent="0.25">
      <c r="A25">
        <v>23</v>
      </c>
      <c r="B25" s="6">
        <v>43121</v>
      </c>
      <c r="C25">
        <v>0.7990624999999999</v>
      </c>
      <c r="D25">
        <v>2458140.3645000001</v>
      </c>
      <c r="E25">
        <f t="shared" si="0"/>
        <v>8140.3645000001416</v>
      </c>
      <c r="F25" t="s">
        <v>23</v>
      </c>
      <c r="G25" t="s">
        <v>111</v>
      </c>
    </row>
    <row r="26" spans="1:10" x14ac:dyDescent="0.25">
      <c r="A26">
        <v>24</v>
      </c>
      <c r="B26" s="6">
        <v>43122</v>
      </c>
      <c r="C26">
        <v>0.9356944444444445</v>
      </c>
      <c r="D26">
        <v>2458141.4671</v>
      </c>
      <c r="E26">
        <f t="shared" si="0"/>
        <v>8141.4671000000089</v>
      </c>
      <c r="F26" t="s">
        <v>23</v>
      </c>
      <c r="G26" t="s">
        <v>111</v>
      </c>
    </row>
    <row r="27" spans="1:10" x14ac:dyDescent="0.25">
      <c r="A27">
        <v>25</v>
      </c>
      <c r="B27" s="6">
        <v>43123</v>
      </c>
      <c r="C27">
        <v>0.82052083333333325</v>
      </c>
      <c r="D27">
        <v>2458142.3761999998</v>
      </c>
      <c r="E27">
        <f t="shared" si="0"/>
        <v>8142.3761999998242</v>
      </c>
      <c r="F27" t="s">
        <v>28</v>
      </c>
      <c r="G27" t="s">
        <v>112</v>
      </c>
    </row>
    <row r="28" spans="1:10" x14ac:dyDescent="0.25">
      <c r="A28">
        <v>26</v>
      </c>
      <c r="B28" s="6">
        <v>43123</v>
      </c>
      <c r="C28">
        <v>0.94199074074074074</v>
      </c>
      <c r="D28">
        <v>2458142.4745999998</v>
      </c>
      <c r="E28">
        <f t="shared" si="0"/>
        <v>8142.4745999998413</v>
      </c>
      <c r="F28" t="s">
        <v>23</v>
      </c>
      <c r="G28" t="s">
        <v>113</v>
      </c>
    </row>
    <row r="29" spans="1:10" x14ac:dyDescent="0.25">
      <c r="A29">
        <v>27</v>
      </c>
      <c r="B29" s="6">
        <v>43133</v>
      </c>
      <c r="C29">
        <v>0.94133101851851853</v>
      </c>
      <c r="D29">
        <v>2458152.4761999999</v>
      </c>
      <c r="E29">
        <f t="shared" si="0"/>
        <v>8152.4761999999173</v>
      </c>
      <c r="F29" t="s">
        <v>23</v>
      </c>
      <c r="G29" t="s">
        <v>113</v>
      </c>
      <c r="I29">
        <v>-18</v>
      </c>
      <c r="J29">
        <v>-17.562000000000001</v>
      </c>
    </row>
    <row r="30" spans="1:10" x14ac:dyDescent="0.25">
      <c r="A30">
        <v>28</v>
      </c>
      <c r="B30" s="6">
        <v>43135</v>
      </c>
      <c r="C30">
        <v>0.76224537037037043</v>
      </c>
      <c r="D30">
        <v>2458154.3174999999</v>
      </c>
      <c r="E30">
        <f t="shared" si="0"/>
        <v>8154.3174999998882</v>
      </c>
      <c r="F30" t="s">
        <v>26</v>
      </c>
      <c r="G30" t="s">
        <v>110</v>
      </c>
      <c r="I30">
        <v>-18</v>
      </c>
      <c r="J30">
        <v>-17.596</v>
      </c>
    </row>
    <row r="31" spans="1:10" x14ac:dyDescent="0.25">
      <c r="A31">
        <v>29</v>
      </c>
      <c r="B31" s="6">
        <v>43138</v>
      </c>
      <c r="C31">
        <v>0.88770833333333332</v>
      </c>
      <c r="D31">
        <v>2458157.4284000001</v>
      </c>
      <c r="E31">
        <f t="shared" si="0"/>
        <v>8157.4284000000916</v>
      </c>
      <c r="F31" t="s">
        <v>23</v>
      </c>
      <c r="G31" t="s">
        <v>111</v>
      </c>
      <c r="I31">
        <v>-17</v>
      </c>
      <c r="J31">
        <v>-17.318999999999999</v>
      </c>
    </row>
    <row r="32" spans="1:10" x14ac:dyDescent="0.25">
      <c r="A32">
        <v>30</v>
      </c>
      <c r="B32" s="6">
        <v>43143</v>
      </c>
      <c r="C32">
        <v>0.78793981481481479</v>
      </c>
      <c r="D32">
        <v>2458162.3435999998</v>
      </c>
      <c r="E32">
        <f t="shared" si="0"/>
        <v>8162.3435999997891</v>
      </c>
      <c r="F32" t="s">
        <v>28</v>
      </c>
      <c r="G32" t="s">
        <v>112</v>
      </c>
      <c r="I32">
        <v>-16</v>
      </c>
      <c r="J32">
        <v>-16.042000000000002</v>
      </c>
    </row>
    <row r="33" spans="1:10" x14ac:dyDescent="0.25">
      <c r="A33">
        <v>31</v>
      </c>
      <c r="B33" s="6">
        <v>43146</v>
      </c>
      <c r="C33">
        <v>1.5925925925925927E-2</v>
      </c>
      <c r="D33">
        <v>2458164.5775000001</v>
      </c>
      <c r="E33">
        <f t="shared" si="0"/>
        <v>8164.5775000001304</v>
      </c>
      <c r="F33" t="s">
        <v>116</v>
      </c>
      <c r="G33" t="s">
        <v>117</v>
      </c>
      <c r="I33">
        <v>-16</v>
      </c>
      <c r="J33">
        <v>-15.77</v>
      </c>
    </row>
  </sheetData>
  <sortState xmlns:xlrd2="http://schemas.microsoft.com/office/spreadsheetml/2017/richdata2" ref="B4:G33">
    <sortCondition ref="B4:B33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Index</vt:lpstr>
      <vt:lpstr>Feuil2</vt:lpstr>
      <vt:lpstr>V</vt:lpstr>
      <vt:lpstr>Vis</vt:lpstr>
      <vt:lpstr>B</vt:lpstr>
      <vt:lpstr>Feuil1</vt:lpstr>
      <vt:lpstr>M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2017-04-09T07:26:17Z</cp:lastPrinted>
  <dcterms:created xsi:type="dcterms:W3CDTF">2015-04-04T15:31:14Z</dcterms:created>
  <dcterms:modified xsi:type="dcterms:W3CDTF">2020-04-26T19:53:01Z</dcterms:modified>
</cp:coreProperties>
</file>