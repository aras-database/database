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76114FB4-B861-46F8-805E-1ADC463A87C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dex" sheetId="2" r:id="rId1"/>
    <sheet name="Feuil1" sheetId="3" r:id="rId2"/>
    <sheet name="m_phot" sheetId="9" r:id="rId3"/>
    <sheet name="V" sheetId="1" r:id="rId4"/>
    <sheet name="Vis" sheetId="7" r:id="rId5"/>
    <sheet name="Feuil2" sheetId="10" r:id="rId6"/>
    <sheet name="B-V" sheetId="8" r:id="rId7"/>
    <sheet name="B" sheetId="4" r:id="rId8"/>
    <sheet name="M" sheetId="6" r:id="rId9"/>
  </sheets>
  <externalReferences>
    <externalReference r:id="rId10"/>
    <externalReference r:id="rId11"/>
    <externalReference r:id="rId12"/>
    <externalReference r:id="rId13"/>
  </externalReferences>
  <definedNames>
    <definedName name="Date0">[1]SySt_Orb!$Q$30</definedName>
    <definedName name="JD0">[1]SySt_Orb!$Q$29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5" i="2" l="1"/>
  <c r="C125" i="2"/>
  <c r="D125" i="2"/>
  <c r="E125" i="2"/>
  <c r="F125" i="2"/>
  <c r="G125" i="2"/>
  <c r="H125" i="2"/>
  <c r="I125" i="2"/>
  <c r="M125" i="2"/>
  <c r="N125" i="2"/>
  <c r="B126" i="2"/>
  <c r="C126" i="2"/>
  <c r="D126" i="2"/>
  <c r="E126" i="2"/>
  <c r="M126" i="2" s="1"/>
  <c r="F126" i="2"/>
  <c r="G126" i="2"/>
  <c r="H126" i="2"/>
  <c r="I126" i="2"/>
  <c r="N126" i="2"/>
  <c r="B127" i="2"/>
  <c r="C127" i="2"/>
  <c r="D127" i="2"/>
  <c r="E127" i="2"/>
  <c r="M127" i="2" s="1"/>
  <c r="F127" i="2"/>
  <c r="G127" i="2"/>
  <c r="H127" i="2"/>
  <c r="I127" i="2"/>
  <c r="N127" i="2"/>
  <c r="B128" i="2"/>
  <c r="C128" i="2"/>
  <c r="D128" i="2"/>
  <c r="E128" i="2"/>
  <c r="M128" i="2" s="1"/>
  <c r="F128" i="2"/>
  <c r="G128" i="2"/>
  <c r="H128" i="2"/>
  <c r="I128" i="2"/>
  <c r="N128" i="2"/>
  <c r="B129" i="2"/>
  <c r="C129" i="2"/>
  <c r="D129" i="2"/>
  <c r="E129" i="2"/>
  <c r="F129" i="2"/>
  <c r="G129" i="2"/>
  <c r="H129" i="2"/>
  <c r="I129" i="2"/>
  <c r="M129" i="2"/>
  <c r="N129" i="2"/>
  <c r="B130" i="2"/>
  <c r="C130" i="2"/>
  <c r="D130" i="2"/>
  <c r="E130" i="2"/>
  <c r="M130" i="2" s="1"/>
  <c r="F130" i="2"/>
  <c r="G130" i="2"/>
  <c r="H130" i="2"/>
  <c r="I130" i="2"/>
  <c r="N130" i="2"/>
  <c r="B131" i="2"/>
  <c r="C131" i="2"/>
  <c r="D131" i="2"/>
  <c r="E131" i="2"/>
  <c r="M131" i="2" s="1"/>
  <c r="F131" i="2"/>
  <c r="G131" i="2"/>
  <c r="H131" i="2"/>
  <c r="I131" i="2"/>
  <c r="N131" i="2"/>
  <c r="B132" i="2"/>
  <c r="C132" i="2"/>
  <c r="D132" i="2"/>
  <c r="E132" i="2"/>
  <c r="M132" i="2" s="1"/>
  <c r="F132" i="2"/>
  <c r="G132" i="2"/>
  <c r="H132" i="2"/>
  <c r="I132" i="2"/>
  <c r="N132" i="2"/>
  <c r="B133" i="2"/>
  <c r="C133" i="2"/>
  <c r="D133" i="2"/>
  <c r="E133" i="2"/>
  <c r="F133" i="2"/>
  <c r="G133" i="2"/>
  <c r="H133" i="2"/>
  <c r="I133" i="2"/>
  <c r="M133" i="2"/>
  <c r="N133" i="2"/>
  <c r="B134" i="2"/>
  <c r="C134" i="2"/>
  <c r="D134" i="2"/>
  <c r="E134" i="2"/>
  <c r="M134" i="2" s="1"/>
  <c r="F134" i="2"/>
  <c r="G134" i="2"/>
  <c r="H134" i="2"/>
  <c r="I134" i="2"/>
  <c r="N134" i="2"/>
  <c r="B135" i="2"/>
  <c r="C135" i="2"/>
  <c r="D135" i="2"/>
  <c r="E135" i="2"/>
  <c r="M135" i="2" s="1"/>
  <c r="F135" i="2"/>
  <c r="G135" i="2"/>
  <c r="H135" i="2"/>
  <c r="I135" i="2"/>
  <c r="N135" i="2"/>
  <c r="B136" i="2"/>
  <c r="C136" i="2"/>
  <c r="D136" i="2"/>
  <c r="E136" i="2"/>
  <c r="M136" i="2" s="1"/>
  <c r="F136" i="2"/>
  <c r="G136" i="2"/>
  <c r="H136" i="2"/>
  <c r="I136" i="2"/>
  <c r="N136" i="2"/>
  <c r="B137" i="2"/>
  <c r="C137" i="2"/>
  <c r="D137" i="2"/>
  <c r="E137" i="2"/>
  <c r="F137" i="2"/>
  <c r="G137" i="2"/>
  <c r="H137" i="2"/>
  <c r="I137" i="2"/>
  <c r="M137" i="2"/>
  <c r="N137" i="2"/>
  <c r="B138" i="2"/>
  <c r="C138" i="2"/>
  <c r="D138" i="2"/>
  <c r="E138" i="2"/>
  <c r="M138" i="2" s="1"/>
  <c r="F138" i="2"/>
  <c r="G138" i="2"/>
  <c r="H138" i="2"/>
  <c r="I138" i="2"/>
  <c r="N138" i="2"/>
  <c r="B139" i="2"/>
  <c r="C139" i="2"/>
  <c r="D139" i="2"/>
  <c r="E139" i="2"/>
  <c r="M139" i="2" s="1"/>
  <c r="F139" i="2"/>
  <c r="G139" i="2"/>
  <c r="H139" i="2"/>
  <c r="I139" i="2"/>
  <c r="N139" i="2"/>
  <c r="B140" i="2"/>
  <c r="C140" i="2"/>
  <c r="D140" i="2"/>
  <c r="E140" i="2"/>
  <c r="M140" i="2" s="1"/>
  <c r="F140" i="2"/>
  <c r="G140" i="2"/>
  <c r="H140" i="2"/>
  <c r="I140" i="2"/>
  <c r="N140" i="2"/>
  <c r="B141" i="2"/>
  <c r="C141" i="2"/>
  <c r="D141" i="2"/>
  <c r="E141" i="2"/>
  <c r="F141" i="2"/>
  <c r="G141" i="2"/>
  <c r="H141" i="2"/>
  <c r="I141" i="2"/>
  <c r="M141" i="2"/>
  <c r="N141" i="2"/>
  <c r="B142" i="2"/>
  <c r="C142" i="2"/>
  <c r="D142" i="2"/>
  <c r="E142" i="2"/>
  <c r="M142" i="2" s="1"/>
  <c r="F142" i="2"/>
  <c r="G142" i="2"/>
  <c r="H142" i="2"/>
  <c r="I142" i="2"/>
  <c r="N142" i="2"/>
  <c r="B143" i="2"/>
  <c r="C143" i="2"/>
  <c r="D143" i="2"/>
  <c r="E143" i="2"/>
  <c r="M143" i="2" s="1"/>
  <c r="F143" i="2"/>
  <c r="G143" i="2"/>
  <c r="H143" i="2"/>
  <c r="I143" i="2"/>
  <c r="N143" i="2"/>
  <c r="B144" i="2"/>
  <c r="C144" i="2"/>
  <c r="D144" i="2"/>
  <c r="E144" i="2"/>
  <c r="M144" i="2" s="1"/>
  <c r="F144" i="2"/>
  <c r="G144" i="2"/>
  <c r="H144" i="2"/>
  <c r="I144" i="2"/>
  <c r="N144" i="2"/>
  <c r="B145" i="2"/>
  <c r="C145" i="2"/>
  <c r="D145" i="2"/>
  <c r="E145" i="2"/>
  <c r="F145" i="2"/>
  <c r="G145" i="2"/>
  <c r="H145" i="2"/>
  <c r="I145" i="2"/>
  <c r="M145" i="2"/>
  <c r="N145" i="2"/>
  <c r="B146" i="2"/>
  <c r="C146" i="2"/>
  <c r="D146" i="2"/>
  <c r="E146" i="2"/>
  <c r="M146" i="2" s="1"/>
  <c r="F146" i="2"/>
  <c r="G146" i="2"/>
  <c r="H146" i="2"/>
  <c r="I146" i="2"/>
  <c r="N146" i="2"/>
  <c r="B147" i="2"/>
  <c r="C147" i="2"/>
  <c r="D147" i="2"/>
  <c r="E147" i="2"/>
  <c r="M147" i="2" s="1"/>
  <c r="F147" i="2"/>
  <c r="G147" i="2"/>
  <c r="H147" i="2"/>
  <c r="I147" i="2"/>
  <c r="N147" i="2"/>
  <c r="B148" i="2"/>
  <c r="C148" i="2"/>
  <c r="D148" i="2"/>
  <c r="E148" i="2"/>
  <c r="M148" i="2" s="1"/>
  <c r="F148" i="2"/>
  <c r="G148" i="2"/>
  <c r="H148" i="2"/>
  <c r="I148" i="2"/>
  <c r="N148" i="2"/>
  <c r="B149" i="2"/>
  <c r="C149" i="2"/>
  <c r="D149" i="2"/>
  <c r="E149" i="2"/>
  <c r="F149" i="2"/>
  <c r="G149" i="2"/>
  <c r="H149" i="2"/>
  <c r="I149" i="2"/>
  <c r="M149" i="2"/>
  <c r="N149" i="2"/>
  <c r="B150" i="2"/>
  <c r="C150" i="2"/>
  <c r="D150" i="2"/>
  <c r="E150" i="2"/>
  <c r="M150" i="2" s="1"/>
  <c r="F150" i="2"/>
  <c r="G150" i="2"/>
  <c r="H150" i="2"/>
  <c r="I150" i="2"/>
  <c r="N150" i="2"/>
  <c r="B151" i="2"/>
  <c r="C151" i="2"/>
  <c r="D151" i="2"/>
  <c r="E151" i="2"/>
  <c r="M151" i="2" s="1"/>
  <c r="F151" i="2"/>
  <c r="G151" i="2"/>
  <c r="H151" i="2"/>
  <c r="I151" i="2"/>
  <c r="N151" i="2"/>
  <c r="B152" i="2"/>
  <c r="C152" i="2"/>
  <c r="D152" i="2"/>
  <c r="E152" i="2"/>
  <c r="M152" i="2" s="1"/>
  <c r="F152" i="2"/>
  <c r="G152" i="2"/>
  <c r="H152" i="2"/>
  <c r="I152" i="2"/>
  <c r="N152" i="2"/>
  <c r="B153" i="2"/>
  <c r="C153" i="2"/>
  <c r="D153" i="2"/>
  <c r="E153" i="2"/>
  <c r="F153" i="2"/>
  <c r="G153" i="2"/>
  <c r="H153" i="2"/>
  <c r="I153" i="2"/>
  <c r="M153" i="2"/>
  <c r="N153" i="2"/>
  <c r="B154" i="2"/>
  <c r="C154" i="2"/>
  <c r="D154" i="2"/>
  <c r="E154" i="2"/>
  <c r="F154" i="2"/>
  <c r="G154" i="2"/>
  <c r="H154" i="2"/>
  <c r="I154" i="2"/>
  <c r="M154" i="2"/>
  <c r="N154" i="2"/>
  <c r="B155" i="2"/>
  <c r="C155" i="2"/>
  <c r="D155" i="2"/>
  <c r="E155" i="2"/>
  <c r="M155" i="2" s="1"/>
  <c r="F155" i="2"/>
  <c r="G155" i="2"/>
  <c r="H155" i="2"/>
  <c r="I155" i="2"/>
  <c r="N155" i="2"/>
  <c r="B156" i="2"/>
  <c r="C156" i="2"/>
  <c r="D156" i="2"/>
  <c r="E156" i="2"/>
  <c r="M156" i="2" s="1"/>
  <c r="F156" i="2"/>
  <c r="G156" i="2"/>
  <c r="H156" i="2"/>
  <c r="I156" i="2"/>
  <c r="N156" i="2"/>
  <c r="B157" i="2"/>
  <c r="C157" i="2"/>
  <c r="D157" i="2"/>
  <c r="E157" i="2"/>
  <c r="F157" i="2"/>
  <c r="G157" i="2"/>
  <c r="H157" i="2"/>
  <c r="I157" i="2"/>
  <c r="M157" i="2"/>
  <c r="N157" i="2"/>
  <c r="B158" i="2"/>
  <c r="C158" i="2"/>
  <c r="D158" i="2"/>
  <c r="E158" i="2"/>
  <c r="F158" i="2"/>
  <c r="G158" i="2"/>
  <c r="H158" i="2"/>
  <c r="I158" i="2"/>
  <c r="M158" i="2"/>
  <c r="N158" i="2"/>
  <c r="B191" i="2"/>
  <c r="C191" i="2"/>
  <c r="D191" i="2"/>
  <c r="E191" i="2"/>
  <c r="M191" i="2" s="1"/>
  <c r="F191" i="2"/>
  <c r="G191" i="2"/>
  <c r="H191" i="2"/>
  <c r="I191" i="2"/>
  <c r="N191" i="2"/>
  <c r="B192" i="2"/>
  <c r="C192" i="2"/>
  <c r="D192" i="2"/>
  <c r="E192" i="2"/>
  <c r="M192" i="2" s="1"/>
  <c r="F192" i="2"/>
  <c r="G192" i="2"/>
  <c r="H192" i="2"/>
  <c r="I192" i="2"/>
  <c r="N192" i="2"/>
  <c r="M88" i="2" l="1"/>
  <c r="N88" i="2"/>
  <c r="N89" i="2"/>
  <c r="N90" i="2"/>
  <c r="M91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M89" i="2" s="1"/>
  <c r="F89" i="2"/>
  <c r="G89" i="2"/>
  <c r="H89" i="2"/>
  <c r="I89" i="2"/>
  <c r="B90" i="2"/>
  <c r="C90" i="2"/>
  <c r="D90" i="2"/>
  <c r="E90" i="2"/>
  <c r="M90" i="2" s="1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M92" i="2" s="1"/>
  <c r="F92" i="2"/>
  <c r="G92" i="2"/>
  <c r="H92" i="2"/>
  <c r="I92" i="2"/>
  <c r="B93" i="2"/>
  <c r="C93" i="2"/>
  <c r="D93" i="2"/>
  <c r="E93" i="2"/>
  <c r="M93" i="2" s="1"/>
  <c r="F93" i="2"/>
  <c r="G93" i="2"/>
  <c r="H93" i="2"/>
  <c r="I93" i="2"/>
  <c r="B94" i="2"/>
  <c r="C94" i="2"/>
  <c r="D94" i="2"/>
  <c r="E94" i="2"/>
  <c r="M94" i="2" s="1"/>
  <c r="F94" i="2"/>
  <c r="G94" i="2"/>
  <c r="H94" i="2"/>
  <c r="I94" i="2"/>
  <c r="B95" i="2"/>
  <c r="C95" i="2"/>
  <c r="D95" i="2"/>
  <c r="E95" i="2"/>
  <c r="M95" i="2" s="1"/>
  <c r="F95" i="2"/>
  <c r="G95" i="2"/>
  <c r="H95" i="2"/>
  <c r="I95" i="2"/>
  <c r="B96" i="2"/>
  <c r="C96" i="2"/>
  <c r="D96" i="2"/>
  <c r="E96" i="2"/>
  <c r="M96" i="2" s="1"/>
  <c r="F96" i="2"/>
  <c r="G96" i="2"/>
  <c r="H96" i="2"/>
  <c r="I96" i="2"/>
  <c r="B97" i="2"/>
  <c r="C97" i="2"/>
  <c r="D97" i="2"/>
  <c r="E97" i="2"/>
  <c r="M97" i="2" s="1"/>
  <c r="F97" i="2"/>
  <c r="G97" i="2"/>
  <c r="H97" i="2"/>
  <c r="I97" i="2"/>
  <c r="B98" i="2"/>
  <c r="C98" i="2"/>
  <c r="D98" i="2"/>
  <c r="E98" i="2"/>
  <c r="M98" i="2" s="1"/>
  <c r="M99" i="2" s="1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M100" i="2" s="1"/>
  <c r="F100" i="2"/>
  <c r="G100" i="2"/>
  <c r="H100" i="2"/>
  <c r="I100" i="2"/>
  <c r="B101" i="2"/>
  <c r="C101" i="2"/>
  <c r="D101" i="2"/>
  <c r="E101" i="2"/>
  <c r="M101" i="2" s="1"/>
  <c r="F101" i="2"/>
  <c r="G101" i="2"/>
  <c r="H101" i="2"/>
  <c r="I101" i="2"/>
  <c r="B102" i="2"/>
  <c r="C102" i="2"/>
  <c r="D102" i="2"/>
  <c r="E102" i="2"/>
  <c r="M102" i="2" s="1"/>
  <c r="F102" i="2"/>
  <c r="G102" i="2"/>
  <c r="H102" i="2"/>
  <c r="I102" i="2"/>
  <c r="B103" i="2"/>
  <c r="C103" i="2"/>
  <c r="D103" i="2"/>
  <c r="E103" i="2"/>
  <c r="M103" i="2" s="1"/>
  <c r="F103" i="2"/>
  <c r="G103" i="2"/>
  <c r="H103" i="2"/>
  <c r="I103" i="2"/>
  <c r="B104" i="2"/>
  <c r="C104" i="2"/>
  <c r="D104" i="2"/>
  <c r="E104" i="2"/>
  <c r="M104" i="2" s="1"/>
  <c r="F104" i="2"/>
  <c r="G104" i="2"/>
  <c r="H104" i="2"/>
  <c r="I104" i="2"/>
  <c r="B105" i="2"/>
  <c r="C105" i="2"/>
  <c r="D105" i="2"/>
  <c r="E105" i="2"/>
  <c r="M105" i="2" s="1"/>
  <c r="F105" i="2"/>
  <c r="G105" i="2"/>
  <c r="H105" i="2"/>
  <c r="I105" i="2"/>
  <c r="B106" i="2"/>
  <c r="C106" i="2"/>
  <c r="D106" i="2"/>
  <c r="E106" i="2"/>
  <c r="M106" i="2" s="1"/>
  <c r="F106" i="2"/>
  <c r="G106" i="2"/>
  <c r="H106" i="2"/>
  <c r="I106" i="2"/>
  <c r="B107" i="2"/>
  <c r="C107" i="2"/>
  <c r="D107" i="2"/>
  <c r="E107" i="2"/>
  <c r="M107" i="2" s="1"/>
  <c r="F107" i="2"/>
  <c r="G107" i="2"/>
  <c r="H107" i="2"/>
  <c r="I107" i="2"/>
  <c r="B108" i="2"/>
  <c r="C108" i="2"/>
  <c r="D108" i="2"/>
  <c r="E108" i="2"/>
  <c r="M108" i="2" s="1"/>
  <c r="F108" i="2"/>
  <c r="G108" i="2"/>
  <c r="H108" i="2"/>
  <c r="I108" i="2"/>
  <c r="B109" i="2"/>
  <c r="C109" i="2"/>
  <c r="D109" i="2"/>
  <c r="E109" i="2"/>
  <c r="M109" i="2" s="1"/>
  <c r="F109" i="2"/>
  <c r="G109" i="2"/>
  <c r="H109" i="2"/>
  <c r="I109" i="2"/>
  <c r="B110" i="2"/>
  <c r="C110" i="2"/>
  <c r="D110" i="2"/>
  <c r="E110" i="2"/>
  <c r="M110" i="2" s="1"/>
  <c r="F110" i="2"/>
  <c r="G110" i="2"/>
  <c r="H110" i="2"/>
  <c r="I110" i="2"/>
  <c r="B111" i="2"/>
  <c r="C111" i="2"/>
  <c r="D111" i="2"/>
  <c r="E111" i="2"/>
  <c r="M111" i="2" s="1"/>
  <c r="F111" i="2"/>
  <c r="G111" i="2"/>
  <c r="H111" i="2"/>
  <c r="I111" i="2"/>
  <c r="B112" i="2"/>
  <c r="C112" i="2"/>
  <c r="D112" i="2"/>
  <c r="E112" i="2"/>
  <c r="M112" i="2" s="1"/>
  <c r="F112" i="2"/>
  <c r="G112" i="2"/>
  <c r="H112" i="2"/>
  <c r="I112" i="2"/>
  <c r="B113" i="2"/>
  <c r="C113" i="2"/>
  <c r="D113" i="2"/>
  <c r="E113" i="2"/>
  <c r="M113" i="2" s="1"/>
  <c r="F113" i="2"/>
  <c r="G113" i="2"/>
  <c r="H113" i="2"/>
  <c r="I113" i="2"/>
  <c r="B114" i="2"/>
  <c r="C114" i="2"/>
  <c r="D114" i="2"/>
  <c r="E114" i="2"/>
  <c r="M114" i="2" s="1"/>
  <c r="F114" i="2"/>
  <c r="G114" i="2"/>
  <c r="H114" i="2"/>
  <c r="I114" i="2"/>
  <c r="B115" i="2"/>
  <c r="C115" i="2"/>
  <c r="D115" i="2"/>
  <c r="E115" i="2"/>
  <c r="M115" i="2" s="1"/>
  <c r="F115" i="2"/>
  <c r="G115" i="2"/>
  <c r="H115" i="2"/>
  <c r="I115" i="2"/>
  <c r="B116" i="2"/>
  <c r="C116" i="2"/>
  <c r="D116" i="2"/>
  <c r="E116" i="2"/>
  <c r="M116" i="2" s="1"/>
  <c r="F116" i="2"/>
  <c r="G116" i="2"/>
  <c r="H116" i="2"/>
  <c r="I116" i="2"/>
  <c r="B117" i="2"/>
  <c r="C117" i="2"/>
  <c r="D117" i="2"/>
  <c r="E117" i="2"/>
  <c r="M117" i="2" s="1"/>
  <c r="F117" i="2"/>
  <c r="G117" i="2"/>
  <c r="H117" i="2"/>
  <c r="I117" i="2"/>
  <c r="B118" i="2"/>
  <c r="C118" i="2"/>
  <c r="D118" i="2"/>
  <c r="E118" i="2"/>
  <c r="M118" i="2" s="1"/>
  <c r="F118" i="2"/>
  <c r="G118" i="2"/>
  <c r="H118" i="2"/>
  <c r="I118" i="2"/>
  <c r="B119" i="2"/>
  <c r="C119" i="2"/>
  <c r="D119" i="2"/>
  <c r="E119" i="2"/>
  <c r="M119" i="2" s="1"/>
  <c r="F119" i="2"/>
  <c r="G119" i="2"/>
  <c r="H119" i="2"/>
  <c r="I119" i="2"/>
  <c r="B120" i="2"/>
  <c r="C120" i="2"/>
  <c r="D120" i="2"/>
  <c r="E120" i="2"/>
  <c r="M120" i="2" s="1"/>
  <c r="F120" i="2"/>
  <c r="G120" i="2"/>
  <c r="H120" i="2"/>
  <c r="I120" i="2"/>
  <c r="B121" i="2"/>
  <c r="C121" i="2"/>
  <c r="D121" i="2"/>
  <c r="E121" i="2"/>
  <c r="M121" i="2" s="1"/>
  <c r="F121" i="2"/>
  <c r="G121" i="2"/>
  <c r="H121" i="2"/>
  <c r="I121" i="2"/>
  <c r="B122" i="2"/>
  <c r="C122" i="2"/>
  <c r="D122" i="2"/>
  <c r="E122" i="2"/>
  <c r="M122" i="2" s="1"/>
  <c r="F122" i="2"/>
  <c r="G122" i="2"/>
  <c r="H122" i="2"/>
  <c r="I122" i="2"/>
  <c r="B123" i="2"/>
  <c r="C123" i="2"/>
  <c r="D123" i="2"/>
  <c r="E123" i="2"/>
  <c r="M123" i="2" s="1"/>
  <c r="F123" i="2"/>
  <c r="G123" i="2"/>
  <c r="H123" i="2"/>
  <c r="I123" i="2"/>
  <c r="B124" i="2"/>
  <c r="C124" i="2"/>
  <c r="D124" i="2"/>
  <c r="E124" i="2"/>
  <c r="M124" i="2" s="1"/>
  <c r="F124" i="2"/>
  <c r="G124" i="2"/>
  <c r="H124" i="2"/>
  <c r="I124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81" i="2" l="1"/>
  <c r="C81" i="2"/>
  <c r="D81" i="2"/>
  <c r="E81" i="2"/>
  <c r="G81" i="2"/>
  <c r="H81" i="2"/>
  <c r="I81" i="2"/>
  <c r="J81" i="2"/>
  <c r="K81" i="2"/>
  <c r="B82" i="2"/>
  <c r="C82" i="2"/>
  <c r="D82" i="2"/>
  <c r="E82" i="2"/>
  <c r="F82" i="2"/>
  <c r="G82" i="2"/>
  <c r="H82" i="2"/>
  <c r="I82" i="2"/>
  <c r="J82" i="2"/>
  <c r="K82" i="2"/>
  <c r="B83" i="2"/>
  <c r="C83" i="2"/>
  <c r="D83" i="2"/>
  <c r="E83" i="2"/>
  <c r="F83" i="2"/>
  <c r="G83" i="2"/>
  <c r="H83" i="2"/>
  <c r="I83" i="2"/>
  <c r="J83" i="2"/>
  <c r="K83" i="2"/>
  <c r="B84" i="2"/>
  <c r="C84" i="2"/>
  <c r="D84" i="2"/>
  <c r="E84" i="2"/>
  <c r="F84" i="2"/>
  <c r="G84" i="2"/>
  <c r="H84" i="2"/>
  <c r="I84" i="2"/>
  <c r="J84" i="2"/>
  <c r="K84" i="2"/>
  <c r="B85" i="2"/>
  <c r="C85" i="2"/>
  <c r="D85" i="2"/>
  <c r="E85" i="2"/>
  <c r="F85" i="2"/>
  <c r="G85" i="2"/>
  <c r="H85" i="2"/>
  <c r="I85" i="2"/>
  <c r="J85" i="2"/>
  <c r="K85" i="2"/>
  <c r="B79" i="2"/>
  <c r="C79" i="2"/>
  <c r="D79" i="2"/>
  <c r="E79" i="2"/>
  <c r="F79" i="2"/>
  <c r="G79" i="2"/>
  <c r="H79" i="2"/>
  <c r="I79" i="2"/>
  <c r="J79" i="2"/>
  <c r="K79" i="2"/>
  <c r="B80" i="2"/>
  <c r="C80" i="2"/>
  <c r="D80" i="2"/>
  <c r="E80" i="2"/>
  <c r="F80" i="2"/>
  <c r="G80" i="2"/>
  <c r="H80" i="2"/>
  <c r="I80" i="2"/>
  <c r="J80" i="2"/>
  <c r="K80" i="2"/>
  <c r="B76" i="2"/>
  <c r="C76" i="2"/>
  <c r="D76" i="2"/>
  <c r="E76" i="2"/>
  <c r="F76" i="2"/>
  <c r="G76" i="2"/>
  <c r="H76" i="2"/>
  <c r="I76" i="2"/>
  <c r="J76" i="2"/>
  <c r="K76" i="2"/>
  <c r="B77" i="2"/>
  <c r="C77" i="2"/>
  <c r="D77" i="2"/>
  <c r="E77" i="2"/>
  <c r="F77" i="2"/>
  <c r="G77" i="2"/>
  <c r="H77" i="2"/>
  <c r="I77" i="2"/>
  <c r="J77" i="2"/>
  <c r="K77" i="2"/>
  <c r="B78" i="2"/>
  <c r="C78" i="2"/>
  <c r="D78" i="2"/>
  <c r="E78" i="2"/>
  <c r="F78" i="2"/>
  <c r="G78" i="2"/>
  <c r="H78" i="2"/>
  <c r="I78" i="2"/>
  <c r="J78" i="2"/>
  <c r="K78" i="2"/>
  <c r="B62" i="2"/>
  <c r="C62" i="2"/>
  <c r="D62" i="2"/>
  <c r="E62" i="2"/>
  <c r="F62" i="2"/>
  <c r="G62" i="2"/>
  <c r="H62" i="2"/>
  <c r="I62" i="2"/>
  <c r="J62" i="2"/>
  <c r="K62" i="2"/>
  <c r="B63" i="2"/>
  <c r="C63" i="2"/>
  <c r="D63" i="2"/>
  <c r="E63" i="2"/>
  <c r="F63" i="2"/>
  <c r="G63" i="2"/>
  <c r="H63" i="2"/>
  <c r="I63" i="2"/>
  <c r="J63" i="2"/>
  <c r="K63" i="2"/>
  <c r="B64" i="2"/>
  <c r="C64" i="2"/>
  <c r="D64" i="2"/>
  <c r="E64" i="2"/>
  <c r="F64" i="2"/>
  <c r="G64" i="2"/>
  <c r="H64" i="2"/>
  <c r="I64" i="2"/>
  <c r="J64" i="2"/>
  <c r="K64" i="2"/>
  <c r="B65" i="2"/>
  <c r="C65" i="2"/>
  <c r="D65" i="2"/>
  <c r="E65" i="2"/>
  <c r="F65" i="2"/>
  <c r="G65" i="2"/>
  <c r="H65" i="2"/>
  <c r="I65" i="2"/>
  <c r="J65" i="2"/>
  <c r="K65" i="2"/>
  <c r="B66" i="2"/>
  <c r="C66" i="2"/>
  <c r="D66" i="2"/>
  <c r="E66" i="2"/>
  <c r="F66" i="2"/>
  <c r="G66" i="2"/>
  <c r="H66" i="2"/>
  <c r="I66" i="2"/>
  <c r="J66" i="2"/>
  <c r="K66" i="2"/>
  <c r="B67" i="2"/>
  <c r="C67" i="2"/>
  <c r="D67" i="2"/>
  <c r="E67" i="2"/>
  <c r="F67" i="2"/>
  <c r="G67" i="2"/>
  <c r="H67" i="2"/>
  <c r="I67" i="2"/>
  <c r="J67" i="2"/>
  <c r="K67" i="2"/>
  <c r="B68" i="2"/>
  <c r="C68" i="2"/>
  <c r="D68" i="2"/>
  <c r="E68" i="2"/>
  <c r="F68" i="2"/>
  <c r="G68" i="2"/>
  <c r="H68" i="2"/>
  <c r="I68" i="2"/>
  <c r="J68" i="2"/>
  <c r="K68" i="2"/>
  <c r="B69" i="2"/>
  <c r="C69" i="2"/>
  <c r="D69" i="2"/>
  <c r="E69" i="2"/>
  <c r="F69" i="2"/>
  <c r="G69" i="2"/>
  <c r="H69" i="2"/>
  <c r="I69" i="2"/>
  <c r="J69" i="2"/>
  <c r="K69" i="2"/>
  <c r="B70" i="2"/>
  <c r="C70" i="2"/>
  <c r="D70" i="2"/>
  <c r="E70" i="2"/>
  <c r="F70" i="2"/>
  <c r="G70" i="2"/>
  <c r="H70" i="2"/>
  <c r="I70" i="2"/>
  <c r="J70" i="2"/>
  <c r="K70" i="2"/>
  <c r="B71" i="2"/>
  <c r="C71" i="2"/>
  <c r="D71" i="2"/>
  <c r="E71" i="2"/>
  <c r="F71" i="2"/>
  <c r="G71" i="2"/>
  <c r="H71" i="2"/>
  <c r="I71" i="2"/>
  <c r="J71" i="2"/>
  <c r="K71" i="2"/>
  <c r="B72" i="2"/>
  <c r="C72" i="2"/>
  <c r="D72" i="2"/>
  <c r="E72" i="2"/>
  <c r="F72" i="2"/>
  <c r="G72" i="2"/>
  <c r="H72" i="2"/>
  <c r="I72" i="2"/>
  <c r="J72" i="2"/>
  <c r="K72" i="2"/>
  <c r="B73" i="2"/>
  <c r="C73" i="2"/>
  <c r="D73" i="2"/>
  <c r="E73" i="2"/>
  <c r="F73" i="2"/>
  <c r="G73" i="2"/>
  <c r="H73" i="2"/>
  <c r="I73" i="2"/>
  <c r="J73" i="2"/>
  <c r="K73" i="2"/>
  <c r="B74" i="2"/>
  <c r="C74" i="2"/>
  <c r="D74" i="2"/>
  <c r="E74" i="2"/>
  <c r="F74" i="2"/>
  <c r="G74" i="2"/>
  <c r="H74" i="2"/>
  <c r="I74" i="2"/>
  <c r="J74" i="2"/>
  <c r="K74" i="2"/>
  <c r="B75" i="2"/>
  <c r="C75" i="2"/>
  <c r="D75" i="2"/>
  <c r="E75" i="2"/>
  <c r="F75" i="2"/>
  <c r="G75" i="2"/>
  <c r="H75" i="2"/>
  <c r="I75" i="2"/>
  <c r="J75" i="2"/>
  <c r="K75" i="2"/>
  <c r="B28" i="2" l="1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F30" i="2"/>
  <c r="G30" i="2"/>
  <c r="H30" i="2"/>
  <c r="I30" i="2"/>
  <c r="J30" i="2"/>
  <c r="K30" i="2"/>
  <c r="B31" i="2"/>
  <c r="C31" i="2"/>
  <c r="D31" i="2"/>
  <c r="E31" i="2"/>
  <c r="F31" i="2"/>
  <c r="G31" i="2"/>
  <c r="H31" i="2"/>
  <c r="I31" i="2"/>
  <c r="J31" i="2"/>
  <c r="K31" i="2"/>
  <c r="B32" i="2"/>
  <c r="C32" i="2"/>
  <c r="D32" i="2"/>
  <c r="E32" i="2"/>
  <c r="F32" i="2"/>
  <c r="G32" i="2"/>
  <c r="H32" i="2"/>
  <c r="I32" i="2"/>
  <c r="J32" i="2"/>
  <c r="K32" i="2"/>
  <c r="B33" i="2"/>
  <c r="C33" i="2"/>
  <c r="D33" i="2"/>
  <c r="E33" i="2"/>
  <c r="F33" i="2"/>
  <c r="G33" i="2"/>
  <c r="H33" i="2"/>
  <c r="I33" i="2"/>
  <c r="J33" i="2"/>
  <c r="K33" i="2"/>
  <c r="B34" i="2"/>
  <c r="C34" i="2"/>
  <c r="D34" i="2"/>
  <c r="E34" i="2"/>
  <c r="F34" i="2"/>
  <c r="G34" i="2"/>
  <c r="H34" i="2"/>
  <c r="I34" i="2"/>
  <c r="J34" i="2"/>
  <c r="K34" i="2"/>
  <c r="B35" i="2"/>
  <c r="C35" i="2"/>
  <c r="D35" i="2"/>
  <c r="E35" i="2"/>
  <c r="F35" i="2"/>
  <c r="G35" i="2"/>
  <c r="H35" i="2"/>
  <c r="I35" i="2"/>
  <c r="J35" i="2"/>
  <c r="K35" i="2"/>
  <c r="B36" i="2"/>
  <c r="C36" i="2"/>
  <c r="D36" i="2"/>
  <c r="E36" i="2"/>
  <c r="F36" i="2"/>
  <c r="G36" i="2"/>
  <c r="H36" i="2"/>
  <c r="I36" i="2"/>
  <c r="J36" i="2"/>
  <c r="K36" i="2"/>
  <c r="B37" i="2"/>
  <c r="C37" i="2"/>
  <c r="D37" i="2"/>
  <c r="E37" i="2"/>
  <c r="F37" i="2"/>
  <c r="G37" i="2"/>
  <c r="H37" i="2"/>
  <c r="I37" i="2"/>
  <c r="J37" i="2"/>
  <c r="K37" i="2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K39" i="2"/>
  <c r="B40" i="2"/>
  <c r="C40" i="2"/>
  <c r="D40" i="2"/>
  <c r="E40" i="2"/>
  <c r="F40" i="2"/>
  <c r="G40" i="2"/>
  <c r="H40" i="2"/>
  <c r="I40" i="2"/>
  <c r="J40" i="2"/>
  <c r="K40" i="2"/>
  <c r="B41" i="2"/>
  <c r="C41" i="2"/>
  <c r="D41" i="2"/>
  <c r="E41" i="2"/>
  <c r="F41" i="2"/>
  <c r="G41" i="2"/>
  <c r="H41" i="2"/>
  <c r="I41" i="2"/>
  <c r="J41" i="2"/>
  <c r="K41" i="2"/>
  <c r="B42" i="2"/>
  <c r="C42" i="2"/>
  <c r="D42" i="2"/>
  <c r="E42" i="2"/>
  <c r="F42" i="2"/>
  <c r="G42" i="2"/>
  <c r="H42" i="2"/>
  <c r="I42" i="2"/>
  <c r="J42" i="2"/>
  <c r="K42" i="2"/>
  <c r="B43" i="2"/>
  <c r="C43" i="2"/>
  <c r="D43" i="2"/>
  <c r="E43" i="2"/>
  <c r="F43" i="2"/>
  <c r="G43" i="2"/>
  <c r="H43" i="2"/>
  <c r="I43" i="2"/>
  <c r="J43" i="2"/>
  <c r="K43" i="2"/>
  <c r="B44" i="2"/>
  <c r="C44" i="2"/>
  <c r="D44" i="2"/>
  <c r="E44" i="2"/>
  <c r="F44" i="2"/>
  <c r="G44" i="2"/>
  <c r="H44" i="2"/>
  <c r="I44" i="2"/>
  <c r="J44" i="2"/>
  <c r="K44" i="2"/>
  <c r="B45" i="2"/>
  <c r="C45" i="2"/>
  <c r="D45" i="2"/>
  <c r="E45" i="2"/>
  <c r="F45" i="2"/>
  <c r="G45" i="2"/>
  <c r="H45" i="2"/>
  <c r="I45" i="2"/>
  <c r="J45" i="2"/>
  <c r="K45" i="2"/>
  <c r="B46" i="2"/>
  <c r="C46" i="2"/>
  <c r="D46" i="2"/>
  <c r="E46" i="2"/>
  <c r="F46" i="2"/>
  <c r="G46" i="2"/>
  <c r="H46" i="2"/>
  <c r="I46" i="2"/>
  <c r="J46" i="2"/>
  <c r="K46" i="2"/>
  <c r="B47" i="2"/>
  <c r="C47" i="2"/>
  <c r="D47" i="2"/>
  <c r="E47" i="2"/>
  <c r="F47" i="2"/>
  <c r="G47" i="2"/>
  <c r="H47" i="2"/>
  <c r="I47" i="2"/>
  <c r="J47" i="2"/>
  <c r="K47" i="2"/>
  <c r="B48" i="2"/>
  <c r="C48" i="2"/>
  <c r="D48" i="2"/>
  <c r="E48" i="2"/>
  <c r="F48" i="2"/>
  <c r="G48" i="2"/>
  <c r="H48" i="2"/>
  <c r="I48" i="2"/>
  <c r="J48" i="2"/>
  <c r="K48" i="2"/>
  <c r="B49" i="2"/>
  <c r="C49" i="2"/>
  <c r="D49" i="2"/>
  <c r="E49" i="2"/>
  <c r="F49" i="2"/>
  <c r="G49" i="2"/>
  <c r="H49" i="2"/>
  <c r="I49" i="2"/>
  <c r="J49" i="2"/>
  <c r="K49" i="2"/>
  <c r="B50" i="2"/>
  <c r="C50" i="2"/>
  <c r="D50" i="2"/>
  <c r="E50" i="2"/>
  <c r="F50" i="2"/>
  <c r="G50" i="2"/>
  <c r="H50" i="2"/>
  <c r="I50" i="2"/>
  <c r="J50" i="2"/>
  <c r="K50" i="2"/>
  <c r="B51" i="2"/>
  <c r="C51" i="2"/>
  <c r="D51" i="2"/>
  <c r="E51" i="2"/>
  <c r="F51" i="2"/>
  <c r="G51" i="2"/>
  <c r="H51" i="2"/>
  <c r="I51" i="2"/>
  <c r="J51" i="2"/>
  <c r="K51" i="2"/>
  <c r="B52" i="2"/>
  <c r="C52" i="2"/>
  <c r="D52" i="2"/>
  <c r="E52" i="2"/>
  <c r="F52" i="2"/>
  <c r="G52" i="2"/>
  <c r="H52" i="2"/>
  <c r="I52" i="2"/>
  <c r="J52" i="2"/>
  <c r="K52" i="2"/>
  <c r="B53" i="2"/>
  <c r="C53" i="2"/>
  <c r="D53" i="2"/>
  <c r="E53" i="2"/>
  <c r="F53" i="2"/>
  <c r="G53" i="2"/>
  <c r="H53" i="2"/>
  <c r="I53" i="2"/>
  <c r="J53" i="2"/>
  <c r="K53" i="2"/>
  <c r="B54" i="2"/>
  <c r="C54" i="2"/>
  <c r="D54" i="2"/>
  <c r="E54" i="2"/>
  <c r="F54" i="2"/>
  <c r="G54" i="2"/>
  <c r="H54" i="2"/>
  <c r="I54" i="2"/>
  <c r="J54" i="2"/>
  <c r="K54" i="2"/>
  <c r="B55" i="2"/>
  <c r="C55" i="2"/>
  <c r="D55" i="2"/>
  <c r="E55" i="2"/>
  <c r="F55" i="2"/>
  <c r="G55" i="2"/>
  <c r="H55" i="2"/>
  <c r="I55" i="2"/>
  <c r="J55" i="2"/>
  <c r="K55" i="2"/>
  <c r="B56" i="2"/>
  <c r="C56" i="2"/>
  <c r="D56" i="2"/>
  <c r="E56" i="2"/>
  <c r="F56" i="2"/>
  <c r="G56" i="2"/>
  <c r="H56" i="2"/>
  <c r="I56" i="2"/>
  <c r="J56" i="2"/>
  <c r="K56" i="2"/>
  <c r="B57" i="2"/>
  <c r="C57" i="2"/>
  <c r="D57" i="2"/>
  <c r="E57" i="2"/>
  <c r="F57" i="2"/>
  <c r="G57" i="2"/>
  <c r="H57" i="2"/>
  <c r="I57" i="2"/>
  <c r="J57" i="2"/>
  <c r="K57" i="2"/>
  <c r="B58" i="2"/>
  <c r="C58" i="2"/>
  <c r="D58" i="2"/>
  <c r="E58" i="2"/>
  <c r="F58" i="2"/>
  <c r="G58" i="2"/>
  <c r="H58" i="2"/>
  <c r="I58" i="2"/>
  <c r="J58" i="2"/>
  <c r="K58" i="2"/>
  <c r="B59" i="2"/>
  <c r="C59" i="2"/>
  <c r="D59" i="2"/>
  <c r="E59" i="2"/>
  <c r="F59" i="2"/>
  <c r="G59" i="2"/>
  <c r="H59" i="2"/>
  <c r="I59" i="2"/>
  <c r="J59" i="2"/>
  <c r="K59" i="2"/>
  <c r="B60" i="2"/>
  <c r="C60" i="2"/>
  <c r="D60" i="2"/>
  <c r="E60" i="2"/>
  <c r="F60" i="2"/>
  <c r="G60" i="2"/>
  <c r="H60" i="2"/>
  <c r="I60" i="2"/>
  <c r="J60" i="2"/>
  <c r="K60" i="2"/>
  <c r="B61" i="2"/>
  <c r="C61" i="2"/>
  <c r="D61" i="2"/>
  <c r="E61" i="2"/>
  <c r="F61" i="2"/>
  <c r="G61" i="2"/>
  <c r="H61" i="2"/>
  <c r="I61" i="2"/>
  <c r="J61" i="2"/>
  <c r="K61" i="2"/>
  <c r="C27" i="2"/>
  <c r="D27" i="2"/>
  <c r="E27" i="2"/>
  <c r="F27" i="2"/>
  <c r="G27" i="2"/>
  <c r="H27" i="2"/>
  <c r="I27" i="2"/>
  <c r="J27" i="2"/>
  <c r="K27" i="2"/>
  <c r="B27" i="2"/>
  <c r="B25" i="2" l="1"/>
  <c r="C25" i="2"/>
  <c r="D25" i="2"/>
  <c r="E25" i="2"/>
  <c r="G25" i="2"/>
  <c r="H25" i="2"/>
  <c r="I25" i="2"/>
  <c r="J25" i="2"/>
  <c r="K25" i="2"/>
  <c r="B26" i="2"/>
  <c r="C26" i="2"/>
  <c r="D26" i="2"/>
  <c r="E26" i="2"/>
  <c r="G26" i="2"/>
  <c r="H26" i="2"/>
  <c r="I26" i="2"/>
  <c r="J26" i="2"/>
  <c r="K26" i="2"/>
  <c r="D5" i="9" l="1"/>
  <c r="D4" i="9"/>
  <c r="C31" i="6" l="1"/>
  <c r="D13" i="6" l="1"/>
  <c r="C34" i="6" l="1"/>
  <c r="C33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G14" i="6" s="1"/>
  <c r="G13" i="6"/>
  <c r="G12" i="6"/>
  <c r="G10" i="6"/>
  <c r="G9" i="6"/>
  <c r="G7" i="6"/>
  <c r="E5" i="6"/>
  <c r="H4" i="6" l="1"/>
  <c r="E4" i="6"/>
</calcChain>
</file>

<file path=xl/sharedStrings.xml><?xml version="1.0" encoding="utf-8"?>
<sst xmlns="http://schemas.openxmlformats.org/spreadsheetml/2006/main" count="3249" uniqueCount="2571">
  <si>
    <t>date</t>
  </si>
  <si>
    <t>2015 MAY 15</t>
  </si>
  <si>
    <t>2015 JUN 27</t>
  </si>
  <si>
    <t>2015 JUL 9</t>
  </si>
  <si>
    <t>2015 JUL 10</t>
  </si>
  <si>
    <t>2014 AUG 26</t>
  </si>
  <si>
    <t>2014 SEP 4</t>
  </si>
  <si>
    <t>2016 JUN 1</t>
  </si>
  <si>
    <t>2016 JUL 1</t>
  </si>
  <si>
    <t>2016 JUL 3</t>
  </si>
  <si>
    <t>2016 JUL 12</t>
  </si>
  <si>
    <t>AG Peg</t>
  </si>
  <si>
    <t>2016 AUG 12</t>
  </si>
  <si>
    <t>2016 SEP 19</t>
  </si>
  <si>
    <t>NA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</si>
  <si>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</si>
  <si>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</si>
  <si>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</si>
  <si>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</si>
  <si>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</si>
  <si>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</si>
  <si>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</si>
  <si>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</si>
  <si>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</si>
  <si>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</si>
  <si>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</si>
  <si>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</si>
  <si>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</si>
  <si>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</si>
  <si>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</si>
  <si>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</si>
  <si>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</si>
  <si>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</si>
  <si>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</si>
  <si>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</si>
  <si>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</si>
  <si>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</si>
  <si>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</si>
  <si>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</si>
  <si>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</si>
  <si>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</si>
  <si>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</si>
  <si>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</si>
  <si>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</si>
  <si>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</si>
  <si>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</si>
  <si>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</si>
  <si>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</si>
  <si>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</si>
  <si>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</si>
  <si>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</si>
  <si>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</si>
  <si>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</si>
  <si>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</si>
  <si>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</si>
  <si>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</si>
  <si>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</si>
  <si>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</si>
  <si>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</si>
  <si>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</si>
  <si>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</si>
  <si>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</si>
  <si>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</si>
  <si>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</si>
  <si>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</si>
  <si>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</si>
  <si>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</si>
  <si>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</si>
  <si>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</si>
  <si>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</si>
  <si>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</si>
  <si>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</si>
  <si>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</si>
  <si>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</si>
  <si>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</si>
  <si>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</si>
  <si>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</si>
  <si>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</si>
  <si>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</si>
  <si>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</si>
  <si>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</si>
  <si>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\2016</t>
  </si>
  <si>
    <t>NaI D</t>
  </si>
  <si>
    <t>1941 JUL 26</t>
  </si>
  <si>
    <t>1941 SEP 16</t>
  </si>
  <si>
    <t>1941 OCT 17</t>
  </si>
  <si>
    <t>1954 SEP 24</t>
  </si>
  <si>
    <t>1956 JUN 15</t>
  </si>
  <si>
    <t>1956 JUL 19</t>
  </si>
  <si>
    <t>1956 AUG 3</t>
  </si>
  <si>
    <t>1956 SEP 4</t>
  </si>
  <si>
    <t>1957 JUL 28</t>
  </si>
  <si>
    <t>1958 JUL 15</t>
  </si>
  <si>
    <t>1962 JUL 6</t>
  </si>
  <si>
    <t>1967 NOV 22</t>
  </si>
  <si>
    <t>1970 AUG 7</t>
  </si>
  <si>
    <t>1970 AUG 24</t>
  </si>
  <si>
    <t>1970 OCT 8</t>
  </si>
  <si>
    <t>1971 AUG 15</t>
  </si>
  <si>
    <t>1972 JUL 22</t>
  </si>
  <si>
    <t>1972 SEP 5</t>
  </si>
  <si>
    <t>1972 OCT 5</t>
  </si>
  <si>
    <t>1973 APR 9</t>
  </si>
  <si>
    <t>1974 JAN 24</t>
  </si>
  <si>
    <t>1974 APR 25</t>
  </si>
  <si>
    <t>1976 JUN 28</t>
  </si>
  <si>
    <t>1976 JUL 28</t>
  </si>
  <si>
    <t>1977 OCT 25</t>
  </si>
  <si>
    <t>1978 SEP 26</t>
  </si>
  <si>
    <t>1978 OCT 28</t>
  </si>
  <si>
    <t>1979 FEB 28</t>
  </si>
  <si>
    <t>1979 JUL 12</t>
  </si>
  <si>
    <t>1979 SEP 24</t>
  </si>
  <si>
    <t>1979 NOV 13</t>
  </si>
  <si>
    <t>1981 AUG 18</t>
  </si>
  <si>
    <t>1983 MAY 14</t>
  </si>
  <si>
    <t>1984 APR 2</t>
  </si>
  <si>
    <t>1986 JAN 12</t>
  </si>
  <si>
    <t>1988 JUL 7</t>
  </si>
  <si>
    <t>1988 AUG 5</t>
  </si>
  <si>
    <t>1988 AUG 18</t>
  </si>
  <si>
    <t>1988 SEP 5</t>
  </si>
  <si>
    <t>1988 SEP 19</t>
  </si>
  <si>
    <t>1988 NOV 18</t>
  </si>
  <si>
    <t>1989 JUN 13</t>
  </si>
  <si>
    <t>1993 JUN 25</t>
  </si>
  <si>
    <t>1993 JUL 12</t>
  </si>
  <si>
    <t>1993 JUL 25</t>
  </si>
  <si>
    <t>1993 SEP 9</t>
  </si>
  <si>
    <t>1993 OCT 11</t>
  </si>
  <si>
    <t>1993 NOV 10</t>
  </si>
  <si>
    <t>1995 APR 6</t>
  </si>
  <si>
    <t>1995 NOV 17</t>
  </si>
  <si>
    <t>2001 MAY 26</t>
  </si>
  <si>
    <t>2001 AUG 29</t>
  </si>
  <si>
    <t>2002 MAY 3</t>
  </si>
  <si>
    <t>2004 MAR 26</t>
  </si>
  <si>
    <t>2005 JUN 23</t>
  </si>
  <si>
    <t>2005 JUL 8</t>
  </si>
  <si>
    <t>2005 NOV 5</t>
  </si>
  <si>
    <t>2006 MAR 14</t>
  </si>
  <si>
    <t>2006 MAY 8</t>
  </si>
  <si>
    <t>2006 MAY 29</t>
  </si>
  <si>
    <t>2006 JUN 14</t>
  </si>
  <si>
    <t>2006 JUL 17</t>
  </si>
  <si>
    <t>2006 AUG 31</t>
  </si>
  <si>
    <t>2006 SEP 15</t>
  </si>
  <si>
    <t>2007 MAR 24</t>
  </si>
  <si>
    <t>2007 MAY 14</t>
  </si>
  <si>
    <t>2007 JUN 19</t>
  </si>
  <si>
    <t>2007 SEP 6</t>
  </si>
  <si>
    <t>2007 OCT 5</t>
  </si>
  <si>
    <t>2008 FEB 3</t>
  </si>
  <si>
    <t>2008 JUN 2</t>
  </si>
  <si>
    <t>2008 JUL 2</t>
  </si>
  <si>
    <t>2009 AUG 16</t>
  </si>
  <si>
    <t>2009 AUG 26</t>
  </si>
  <si>
    <t>2009 SEP 25</t>
  </si>
  <si>
    <t>2010 APR 15</t>
  </si>
  <si>
    <t>2010 AUG 6</t>
  </si>
  <si>
    <t>2011 MAY 1</t>
  </si>
  <si>
    <t>2011 JUL 22</t>
  </si>
  <si>
    <t>2011 OCT 23</t>
  </si>
  <si>
    <t>2012 MAR 26</t>
  </si>
  <si>
    <t>2012 APR 15</t>
  </si>
  <si>
    <t>2012 MAY 20</t>
  </si>
  <si>
    <t>2012 MAY 31</t>
  </si>
  <si>
    <t>2012 JUN 19</t>
  </si>
  <si>
    <t>2012 JUL 22</t>
  </si>
  <si>
    <t>2012 SEP 9</t>
  </si>
  <si>
    <t>2013 MAY 14</t>
  </si>
  <si>
    <t>2013 JUN 2</t>
  </si>
  <si>
    <t>2013 JUL 16</t>
  </si>
  <si>
    <t>2013 AUG 2</t>
  </si>
  <si>
    <t>2013 SEP 2</t>
  </si>
  <si>
    <t>2013 NOV 1</t>
  </si>
  <si>
    <t>2014 MAY 25</t>
  </si>
  <si>
    <t>2014 JUL 18</t>
  </si>
  <si>
    <t>2015 JAN 13</t>
  </si>
  <si>
    <t>2015 APR 19</t>
  </si>
  <si>
    <t>2015 JUN 12</t>
  </si>
  <si>
    <t>2016 FEB 8</t>
  </si>
  <si>
    <t>2016 MAY 10</t>
  </si>
  <si>
    <t>2016 AUG 28</t>
  </si>
  <si>
    <t>2016 SEP 29</t>
  </si>
  <si>
    <t>2005 AUG 30</t>
  </si>
  <si>
    <t>2006 JUL 23</t>
  </si>
  <si>
    <t>2012 JUN 27</t>
  </si>
  <si>
    <t>2012 JUN 30</t>
  </si>
  <si>
    <t>2012 AUG 11</t>
  </si>
  <si>
    <t>2012 AUG 29</t>
  </si>
  <si>
    <t>2012 SEP 12</t>
  </si>
  <si>
    <t>2013 JUN 19</t>
  </si>
  <si>
    <t>2013 JUL 2</t>
  </si>
  <si>
    <t>2013 JUL 14</t>
  </si>
  <si>
    <t>2013 AUG 4</t>
  </si>
  <si>
    <t>2013 AUG 11</t>
  </si>
  <si>
    <t>2013 AUG 26</t>
  </si>
  <si>
    <t>2013 AUG 31</t>
  </si>
  <si>
    <t>2013 OCT 1</t>
  </si>
  <si>
    <t>2011 AUG 28</t>
  </si>
  <si>
    <t>2012 JUL 28</t>
  </si>
  <si>
    <t>2012 AUG 8</t>
  </si>
  <si>
    <t>V</t>
  </si>
  <si>
    <t>Vis</t>
  </si>
  <si>
    <t>B</t>
  </si>
  <si>
    <t>B-V</t>
  </si>
  <si>
    <t>2001 JUN 26</t>
  </si>
  <si>
    <t>2001 JUN 27</t>
  </si>
  <si>
    <t>2002 JUL 12</t>
  </si>
  <si>
    <t>2002 JUL 17</t>
  </si>
  <si>
    <t>2002 AUG 7</t>
  </si>
  <si>
    <t>2002 OCT 15</t>
  </si>
  <si>
    <t>2002 OCT 16</t>
  </si>
  <si>
    <t>2003 JAN 16</t>
  </si>
  <si>
    <t>2003 MAY 18</t>
  </si>
  <si>
    <t>2003 JUN 1</t>
  </si>
  <si>
    <t>2003 JUN 10</t>
  </si>
  <si>
    <t>2003 JUN 21</t>
  </si>
  <si>
    <t>2003 JUN 30</t>
  </si>
  <si>
    <t>2003 JUL 7</t>
  </si>
  <si>
    <t>2003 JUL 14</t>
  </si>
  <si>
    <t>2003 JUL 21</t>
  </si>
  <si>
    <t>2003 JUL 30</t>
  </si>
  <si>
    <t>2003 AUG 3</t>
  </si>
  <si>
    <t>2003 AUG 7</t>
  </si>
  <si>
    <t>2003 AUG 11</t>
  </si>
  <si>
    <t>2003 AUG 19</t>
  </si>
  <si>
    <t>2003 AUG 24</t>
  </si>
  <si>
    <t>2003 AUG 31</t>
  </si>
  <si>
    <t>2003 SEP 8</t>
  </si>
  <si>
    <t>2003 SEP 17</t>
  </si>
  <si>
    <t>2003 SEP 24</t>
  </si>
  <si>
    <t>2003 SEP 26</t>
  </si>
  <si>
    <t>2003 OCT 8</t>
  </si>
  <si>
    <t>2003 OCT 14</t>
  </si>
  <si>
    <t>2003 OCT 22</t>
  </si>
  <si>
    <t>2003 OCT 25</t>
  </si>
  <si>
    <t>2003 NOV 9</t>
  </si>
  <si>
    <t>2003 NOV 20</t>
  </si>
  <si>
    <t>2004 MAR 23</t>
  </si>
  <si>
    <t>2004 MAY 17</t>
  </si>
  <si>
    <t>2004 JUN 13</t>
  </si>
  <si>
    <t>2004 JUL 1</t>
  </si>
  <si>
    <t>2004 JUL 2</t>
  </si>
  <si>
    <t>2004 JUL 11</t>
  </si>
  <si>
    <t>2004 JUL 15</t>
  </si>
  <si>
    <t>2004 JUL 29</t>
  </si>
  <si>
    <t>2004 AUG 7</t>
  </si>
  <si>
    <t>2004 AUG 9</t>
  </si>
  <si>
    <t>2004 AUG 14</t>
  </si>
  <si>
    <t>2004 AUG 18</t>
  </si>
  <si>
    <t>2004 AUG 22</t>
  </si>
  <si>
    <t>2004 SEP 1</t>
  </si>
  <si>
    <t>2004 SEP 5</t>
  </si>
  <si>
    <t>2004 SEP 12</t>
  </si>
  <si>
    <t>2004 SEP 16</t>
  </si>
  <si>
    <t>2004 SEP 20</t>
  </si>
  <si>
    <t>2004 OCT 6</t>
  </si>
  <si>
    <t>2004 OCT 12</t>
  </si>
  <si>
    <t>2004 OCT 26</t>
  </si>
  <si>
    <t>2004 NOV 12</t>
  </si>
  <si>
    <t>2004 NOV 21</t>
  </si>
  <si>
    <t>2005 MAR 6</t>
  </si>
  <si>
    <t>2005 APR 5</t>
  </si>
  <si>
    <t>2005 APR 10</t>
  </si>
  <si>
    <t>2005 APR 14</t>
  </si>
  <si>
    <t>2005 APR 28</t>
  </si>
  <si>
    <t>2005 MAY 5</t>
  </si>
  <si>
    <t>2005 MAY 26</t>
  </si>
  <si>
    <t>2005 MAY 30</t>
  </si>
  <si>
    <t>2005 JUN 1</t>
  </si>
  <si>
    <t>2005 JUN 7</t>
  </si>
  <si>
    <t>2005 JUN 10</t>
  </si>
  <si>
    <t>2005 JUN 14</t>
  </si>
  <si>
    <t>2005 JUN 15</t>
  </si>
  <si>
    <t>2005 JUN 18</t>
  </si>
  <si>
    <t>2005 JUN 20</t>
  </si>
  <si>
    <t>2005 JUN 25</t>
  </si>
  <si>
    <t>2005 JUN 28</t>
  </si>
  <si>
    <t>2005 JUN 29</t>
  </si>
  <si>
    <t>2005 JUL 3</t>
  </si>
  <si>
    <t>2005 JUL 7</t>
  </si>
  <si>
    <t>2005 JUL 11</t>
  </si>
  <si>
    <t>2005 JUL 13</t>
  </si>
  <si>
    <t>2005 JUL 18</t>
  </si>
  <si>
    <t>2005 JUL 20</t>
  </si>
  <si>
    <t>2005 JUL 28</t>
  </si>
  <si>
    <t>2005 JUL 29</t>
  </si>
  <si>
    <t>2005 AUG 14</t>
  </si>
  <si>
    <t>2005 AUG 16</t>
  </si>
  <si>
    <t>2005 SEP 3</t>
  </si>
  <si>
    <t>2005 SEP 11</t>
  </si>
  <si>
    <t>2005 SEP 21</t>
  </si>
  <si>
    <t>2005 SEP 28</t>
  </si>
  <si>
    <t>2005 OCT 1</t>
  </si>
  <si>
    <t>2005 OCT 6</t>
  </si>
  <si>
    <t>2005 OCT 29</t>
  </si>
  <si>
    <t>2005 NOV 2</t>
  </si>
  <si>
    <t>2005 NOV 11</t>
  </si>
  <si>
    <t>2006 FEB 1</t>
  </si>
  <si>
    <t>2006 FEB 13</t>
  </si>
  <si>
    <t>2006 FEB 14</t>
  </si>
  <si>
    <t>2006 FEB 16</t>
  </si>
  <si>
    <t>2006 FEB 20</t>
  </si>
  <si>
    <t>2006 FEB 21</t>
  </si>
  <si>
    <t>2006 FEB 24</t>
  </si>
  <si>
    <t>2006 FEB 25</t>
  </si>
  <si>
    <t>2006 FEB 27</t>
  </si>
  <si>
    <t>2006 FEB 28</t>
  </si>
  <si>
    <t>2006 MAR 2</t>
  </si>
  <si>
    <t>2006 MAR 3</t>
  </si>
  <si>
    <t>2006 MAR 5</t>
  </si>
  <si>
    <t>2006 MAR 6</t>
  </si>
  <si>
    <t>2006 MAR 8</t>
  </si>
  <si>
    <t>2006 MAR 16</t>
  </si>
  <si>
    <t>2006 MAR 18</t>
  </si>
  <si>
    <t>2006 MAR 22</t>
  </si>
  <si>
    <t>2006 MAR 24</t>
  </si>
  <si>
    <t>2006 MAR 26</t>
  </si>
  <si>
    <t>2006 MAR 30</t>
  </si>
  <si>
    <t>2006 APR 2</t>
  </si>
  <si>
    <t>2006 APR 3</t>
  </si>
  <si>
    <t>2006 APR 7</t>
  </si>
  <si>
    <t>2006 APR 8</t>
  </si>
  <si>
    <t>2006 APR 11</t>
  </si>
  <si>
    <t>2006 APR 12</t>
  </si>
  <si>
    <t>2006 APR 16</t>
  </si>
  <si>
    <t>2006 APR 17</t>
  </si>
  <si>
    <t>2006 APR 19</t>
  </si>
  <si>
    <t>2006 APR 20</t>
  </si>
  <si>
    <t>2006 APR 25</t>
  </si>
  <si>
    <t>2006 APR 27</t>
  </si>
  <si>
    <t>2006 APR 29</t>
  </si>
  <si>
    <t>2006 APR 30</t>
  </si>
  <si>
    <t>2006 MAY 2</t>
  </si>
  <si>
    <t>2006 MAY 4</t>
  </si>
  <si>
    <t>2006 MAY 5</t>
  </si>
  <si>
    <t>2006 MAY 7</t>
  </si>
  <si>
    <t>2006 MAY 9</t>
  </si>
  <si>
    <t>2006 MAY 10</t>
  </si>
  <si>
    <t>2006 MAY 19</t>
  </si>
  <si>
    <t>2006 MAY 21</t>
  </si>
  <si>
    <t>2006 MAY 23</t>
  </si>
  <si>
    <t>2006 MAY 24</t>
  </si>
  <si>
    <t>2006 MAY 25</t>
  </si>
  <si>
    <t>2006 MAY 27</t>
  </si>
  <si>
    <t>2006 MAY 28</t>
  </si>
  <si>
    <t>2006 MAY 31</t>
  </si>
  <si>
    <t>2006 JUN 3</t>
  </si>
  <si>
    <t>2006 JUN 6</t>
  </si>
  <si>
    <t>2006 JUN 8</t>
  </si>
  <si>
    <t>2006 JUN 11</t>
  </si>
  <si>
    <t>2006 JUN 12</t>
  </si>
  <si>
    <t>2006 JUN 15</t>
  </si>
  <si>
    <t>2006 JUN 17</t>
  </si>
  <si>
    <t>2006 JUN 20</t>
  </si>
  <si>
    <t>2006 JUN 28</t>
  </si>
  <si>
    <t>2006 JUN 30</t>
  </si>
  <si>
    <t>2006 JUL 1</t>
  </si>
  <si>
    <t>2006 JUL 3</t>
  </si>
  <si>
    <t>2006 JUL 6</t>
  </si>
  <si>
    <t>2006 JUL 11</t>
  </si>
  <si>
    <t>2006 JUL 14</t>
  </si>
  <si>
    <t>2006 JUL 18</t>
  </si>
  <si>
    <t>2006 JUL 20</t>
  </si>
  <si>
    <t>2006 JUL 21</t>
  </si>
  <si>
    <t>2006 JUL 25</t>
  </si>
  <si>
    <t>2006 JUL 26</t>
  </si>
  <si>
    <t>2006 JUL 29</t>
  </si>
  <si>
    <t>2006 AUG 4</t>
  </si>
  <si>
    <t>2006 AUG 8</t>
  </si>
  <si>
    <t>2006 AUG 9</t>
  </si>
  <si>
    <t>2006 AUG 10</t>
  </si>
  <si>
    <t>2006 AUG 12</t>
  </si>
  <si>
    <t>2006 AUG 23</t>
  </si>
  <si>
    <t>2006 AUG 24</t>
  </si>
  <si>
    <t>2006 AUG 25</t>
  </si>
  <si>
    <t>2006 AUG 27</t>
  </si>
  <si>
    <t>2006 AUG 30</t>
  </si>
  <si>
    <t>2006 SEP 1</t>
  </si>
  <si>
    <t>2006 SEP 2</t>
  </si>
  <si>
    <t>2006 SEP 3</t>
  </si>
  <si>
    <t>2006 SEP 4</t>
  </si>
  <si>
    <t>2006 SEP 5</t>
  </si>
  <si>
    <t>2006 SEP 7</t>
  </si>
  <si>
    <t>2006 SEP 8</t>
  </si>
  <si>
    <t>2006 SEP 9</t>
  </si>
  <si>
    <t>2006 SEP 11</t>
  </si>
  <si>
    <t>2006 SEP 12</t>
  </si>
  <si>
    <t>2006 SEP 13</t>
  </si>
  <si>
    <t>2006 SEP 14</t>
  </si>
  <si>
    <t>2006 SEP 16</t>
  </si>
  <si>
    <t>2006 SEP 17</t>
  </si>
  <si>
    <t>2006 SEP 18</t>
  </si>
  <si>
    <t>2006 SEP 19</t>
  </si>
  <si>
    <t>2006 SEP 20</t>
  </si>
  <si>
    <t>2006 SEP 21</t>
  </si>
  <si>
    <t>2006 SEP 22</t>
  </si>
  <si>
    <t>2006 SEP 23</t>
  </si>
  <si>
    <t>2006 SEP 24</t>
  </si>
  <si>
    <t>2006 SEP 25</t>
  </si>
  <si>
    <t>2006 SEP 27</t>
  </si>
  <si>
    <t>2006 SEP 28</t>
  </si>
  <si>
    <t>2006 SEP 29</t>
  </si>
  <si>
    <t>2006 OCT 1</t>
  </si>
  <si>
    <t>2006 OCT 2</t>
  </si>
  <si>
    <t>2006 OCT 3</t>
  </si>
  <si>
    <t>2006 OCT 7</t>
  </si>
  <si>
    <t>2006 OCT 10</t>
  </si>
  <si>
    <t>2006 OCT 22</t>
  </si>
  <si>
    <t>2006 OCT 29</t>
  </si>
  <si>
    <t>2006 NOV 2</t>
  </si>
  <si>
    <t>2006 NOV 5</t>
  </si>
  <si>
    <t>2006 NOV 9</t>
  </si>
  <si>
    <t>2006 NOV 21</t>
  </si>
  <si>
    <t>2007 FEB 26</t>
  </si>
  <si>
    <t>2007 FEB 27</t>
  </si>
  <si>
    <t>2007 MAR 2</t>
  </si>
  <si>
    <t>2007 MAR 4</t>
  </si>
  <si>
    <t>2007 MAR 6</t>
  </si>
  <si>
    <t>2007 MAR 9</t>
  </si>
  <si>
    <t>2007 MAR 16</t>
  </si>
  <si>
    <t>2007 MAR 19</t>
  </si>
  <si>
    <t>2007 MAR 21</t>
  </si>
  <si>
    <t>2007 MAR 25</t>
  </si>
  <si>
    <t>2007 MAR 27</t>
  </si>
  <si>
    <t>2007 MAR 29</t>
  </si>
  <si>
    <t>2007 MAR 31</t>
  </si>
  <si>
    <t>2007 APR 1</t>
  </si>
  <si>
    <t>2007 APR 3</t>
  </si>
  <si>
    <t>2007 APR 5</t>
  </si>
  <si>
    <t>2007 APR 8</t>
  </si>
  <si>
    <t>2007 APR 11</t>
  </si>
  <si>
    <t>2007 APR 12</t>
  </si>
  <si>
    <t>2007 APR 15</t>
  </si>
  <si>
    <t>2007 APR 18</t>
  </si>
  <si>
    <t>2007 APR 20</t>
  </si>
  <si>
    <t>2007 APR 22</t>
  </si>
  <si>
    <t>2007 APR 25</t>
  </si>
  <si>
    <t>2007 APR 27</t>
  </si>
  <si>
    <t>2007 MAY 3</t>
  </si>
  <si>
    <t>2007 MAY 5</t>
  </si>
  <si>
    <t>2007 MAY 7</t>
  </si>
  <si>
    <t>2007 MAY 10</t>
  </si>
  <si>
    <t>2007 MAY 12</t>
  </si>
  <si>
    <t>2007 MAY 20</t>
  </si>
  <si>
    <t>2007 MAY 22</t>
  </si>
  <si>
    <t>2007 MAY 29</t>
  </si>
  <si>
    <t>2007 JUN 11</t>
  </si>
  <si>
    <t>2007 JUN 15</t>
  </si>
  <si>
    <t>2007 JUN 23</t>
  </si>
  <si>
    <t>2007 JUL 7</t>
  </si>
  <si>
    <t>2007 JUL 16</t>
  </si>
  <si>
    <t>2007 JUL 31</t>
  </si>
  <si>
    <t>2007 AUG 2</t>
  </si>
  <si>
    <t>2007 AUG 4</t>
  </si>
  <si>
    <t>2007 AUG 11</t>
  </si>
  <si>
    <t>2007 AUG 24</t>
  </si>
  <si>
    <t>2007 AUG 28</t>
  </si>
  <si>
    <t>2007 SEP 1</t>
  </si>
  <si>
    <t>2007 SEP 14</t>
  </si>
  <si>
    <t>2007 SEP 16</t>
  </si>
  <si>
    <t>2007 SEP 17</t>
  </si>
  <si>
    <t>2007 OCT 21</t>
  </si>
  <si>
    <t>2007 OCT 29</t>
  </si>
  <si>
    <t>2007 OCT 31</t>
  </si>
  <si>
    <t>2007 NOV 3</t>
  </si>
  <si>
    <t>2008 APR 17</t>
  </si>
  <si>
    <t>2008 APR 22</t>
  </si>
  <si>
    <t>2008 APR 27</t>
  </si>
  <si>
    <t>2008 MAY 13</t>
  </si>
  <si>
    <t>2008 MAY 25</t>
  </si>
  <si>
    <t>2008 MAY 29</t>
  </si>
  <si>
    <t>2008 JUN 9</t>
  </si>
  <si>
    <t>2008 JUN 24</t>
  </si>
  <si>
    <t>2008 JUL 4</t>
  </si>
  <si>
    <t>2008 JUL 15</t>
  </si>
  <si>
    <t>2008 AUG 26</t>
  </si>
  <si>
    <t>2008 SEP 8</t>
  </si>
  <si>
    <t>2008 SEP 23</t>
  </si>
  <si>
    <t>2008 OCT 4</t>
  </si>
  <si>
    <t>2008 OCT 31</t>
  </si>
  <si>
    <t>2009 MAR 17</t>
  </si>
  <si>
    <t>2009 MAR 27</t>
  </si>
  <si>
    <t>2009 APR 12</t>
  </si>
  <si>
    <t>2009 MAY 12</t>
  </si>
  <si>
    <t>2009 MAY 19</t>
  </si>
  <si>
    <t>2009 JUN 11</t>
  </si>
  <si>
    <t>2009 JUN 15</t>
  </si>
  <si>
    <t>2009 JUL 11</t>
  </si>
  <si>
    <t>2009 JUL 28</t>
  </si>
  <si>
    <t>2009 AUG 1</t>
  </si>
  <si>
    <t>2009 AUG 6</t>
  </si>
  <si>
    <t>2009 AUG 18</t>
  </si>
  <si>
    <t>2009 AUG 22</t>
  </si>
  <si>
    <t>2009 AUG 24</t>
  </si>
  <si>
    <t>2009 AUG 29</t>
  </si>
  <si>
    <t>2009 AUG 31</t>
  </si>
  <si>
    <t>2009 SEP 3</t>
  </si>
  <si>
    <t>2009 SEP 5</t>
  </si>
  <si>
    <t>2009 SEP 7</t>
  </si>
  <si>
    <t>2009 SEP 20</t>
  </si>
  <si>
    <t>2009 SEP 21</t>
  </si>
  <si>
    <t>2009 OCT 19</t>
  </si>
  <si>
    <t>2009 NOV 2</t>
  </si>
  <si>
    <t>2009 NOV 12</t>
  </si>
  <si>
    <t>2009 DEC 1</t>
  </si>
  <si>
    <t>2010 FEB 25</t>
  </si>
  <si>
    <t>2010 MAR 19</t>
  </si>
  <si>
    <t>2010 MAR 24</t>
  </si>
  <si>
    <t>2010 MAR 27</t>
  </si>
  <si>
    <t>2010 APR 18</t>
  </si>
  <si>
    <t>2010 MAY 5</t>
  </si>
  <si>
    <t>2010 MAY 27</t>
  </si>
  <si>
    <t>2010 JUN 26</t>
  </si>
  <si>
    <t>2010 JUL 1</t>
  </si>
  <si>
    <t>2010 JUL 10</t>
  </si>
  <si>
    <t>2010 AUG 9</t>
  </si>
  <si>
    <t>2010 AUG 17</t>
  </si>
  <si>
    <t>2010 AUG 28</t>
  </si>
  <si>
    <t>2010 AUG 30</t>
  </si>
  <si>
    <t>2010 SEP 13</t>
  </si>
  <si>
    <t>2010 OCT 8</t>
  </si>
  <si>
    <t>2010 OCT 10</t>
  </si>
  <si>
    <t>2010 OCT 23</t>
  </si>
  <si>
    <t>2010 NOV 8</t>
  </si>
  <si>
    <t>2011 FEB 22</t>
  </si>
  <si>
    <t>2011 FEB 26</t>
  </si>
  <si>
    <t>2011 MAR 1</t>
  </si>
  <si>
    <t>2011 MAR 3</t>
  </si>
  <si>
    <t>2011 MAR 9</t>
  </si>
  <si>
    <t>2011 MAR 11</t>
  </si>
  <si>
    <t>2011 MAR 14</t>
  </si>
  <si>
    <t>2011 MAR 17</t>
  </si>
  <si>
    <t>2011 MAR 19</t>
  </si>
  <si>
    <t>2011 MAR 23</t>
  </si>
  <si>
    <t>2011 MAR 24</t>
  </si>
  <si>
    <t>2011 MAR 26</t>
  </si>
  <si>
    <t>2011 MAR 29</t>
  </si>
  <si>
    <t>2011 APR 3</t>
  </si>
  <si>
    <t>2011 APR 9</t>
  </si>
  <si>
    <t>2011 APR 14</t>
  </si>
  <si>
    <t>2011 APR 18</t>
  </si>
  <si>
    <t>2011 APR 22</t>
  </si>
  <si>
    <t>2011 APR 26</t>
  </si>
  <si>
    <t>2011 MAY 3</t>
  </si>
  <si>
    <t>2011 MAY 7</t>
  </si>
  <si>
    <t>2011 MAY 12</t>
  </si>
  <si>
    <t>2011 MAY 16</t>
  </si>
  <si>
    <t>2011 MAY 30</t>
  </si>
  <si>
    <t>2011 JUN 6</t>
  </si>
  <si>
    <t>2011 JUN 8</t>
  </si>
  <si>
    <t>2011 JUN 12</t>
  </si>
  <si>
    <t>2011 JUN 16</t>
  </si>
  <si>
    <t>2011 JUN 21</t>
  </si>
  <si>
    <t>2011 JUN 25</t>
  </si>
  <si>
    <t>2011 JUN 27</t>
  </si>
  <si>
    <t>2011 JUN 29</t>
  </si>
  <si>
    <t>2011 JUL 6</t>
  </si>
  <si>
    <t>2011 JUL 11</t>
  </si>
  <si>
    <t>2011 JUL 16</t>
  </si>
  <si>
    <t>2011 JUL 18</t>
  </si>
  <si>
    <t>2011 JUL 19</t>
  </si>
  <si>
    <t>2011 JUL 20</t>
  </si>
  <si>
    <t>2011 JUL 21</t>
  </si>
  <si>
    <t>2011 JUL 26</t>
  </si>
  <si>
    <t>2011 JUL 27</t>
  </si>
  <si>
    <t>2011 JUL 28</t>
  </si>
  <si>
    <t>2011 AUG 2</t>
  </si>
  <si>
    <t>2011 AUG 7</t>
  </si>
  <si>
    <t>2011 AUG 9</t>
  </si>
  <si>
    <t>2011 AUG 12</t>
  </si>
  <si>
    <t>2011 AUG 14</t>
  </si>
  <si>
    <t>2011 AUG 16</t>
  </si>
  <si>
    <t>2011 AUG 22</t>
  </si>
  <si>
    <t>2011 AUG 26</t>
  </si>
  <si>
    <t>2011 AUG 30</t>
  </si>
  <si>
    <t>2011 SEP 8</t>
  </si>
  <si>
    <t>2011 SEP 12</t>
  </si>
  <si>
    <t>2011 OCT 31</t>
  </si>
  <si>
    <t>2011 NOV 4</t>
  </si>
  <si>
    <t>2012 JAN 17</t>
  </si>
  <si>
    <t>2012 JAN 30</t>
  </si>
  <si>
    <t>2012 FEB 14</t>
  </si>
  <si>
    <t>2012 MAR 3</t>
  </si>
  <si>
    <t>2012 MAR 13</t>
  </si>
  <si>
    <t>2012 MAR 15</t>
  </si>
  <si>
    <t>2012 MAR 16</t>
  </si>
  <si>
    <t>2012 MAR 18</t>
  </si>
  <si>
    <t>2012 MAR 21</t>
  </si>
  <si>
    <t>2012 MAR 22</t>
  </si>
  <si>
    <t>2012 MAR 23</t>
  </si>
  <si>
    <t>2012 MAR 28</t>
  </si>
  <si>
    <t>2012 MAR 29</t>
  </si>
  <si>
    <t>2012 APR 1</t>
  </si>
  <si>
    <t>2012 APR 3</t>
  </si>
  <si>
    <t>2012 APR 9</t>
  </si>
  <si>
    <t>2012 APR 10</t>
  </si>
  <si>
    <t>2012 APR 16</t>
  </si>
  <si>
    <t>2012 APR 21</t>
  </si>
  <si>
    <t>2012 APR 23</t>
  </si>
  <si>
    <t>2012 APR 25</t>
  </si>
  <si>
    <t>2012 APR 27</t>
  </si>
  <si>
    <t>2012 APR 29</t>
  </si>
  <si>
    <t>2012 MAY 1</t>
  </si>
  <si>
    <t>2012 MAY 3</t>
  </si>
  <si>
    <t>2012 MAY 6</t>
  </si>
  <si>
    <t>2012 MAY 10</t>
  </si>
  <si>
    <t>2012 MAY 13</t>
  </si>
  <si>
    <t>2012 MAY 15</t>
  </si>
  <si>
    <t>2012 MAY 18</t>
  </si>
  <si>
    <t>2012 MAY 19</t>
  </si>
  <si>
    <t>2012 MAY 22</t>
  </si>
  <si>
    <t>2012 MAY 24</t>
  </si>
  <si>
    <t>2012 MAY 26</t>
  </si>
  <si>
    <t>2012 JUN 3</t>
  </si>
  <si>
    <t>2012 JUN 4</t>
  </si>
  <si>
    <t>2012 JUN 6</t>
  </si>
  <si>
    <t>2012 JUN 7</t>
  </si>
  <si>
    <t>2012 JUN 9</t>
  </si>
  <si>
    <t>2012 JUN 10</t>
  </si>
  <si>
    <t>2012 JUN 12</t>
  </si>
  <si>
    <t>2012 JUN 13</t>
  </si>
  <si>
    <t>2012 JUN 15</t>
  </si>
  <si>
    <t>2012 JUN 16</t>
  </si>
  <si>
    <t>2012 JUN 18</t>
  </si>
  <si>
    <t>2012 JUN 21</t>
  </si>
  <si>
    <t>2012 JUN 22</t>
  </si>
  <si>
    <t>2012 JUN 24</t>
  </si>
  <si>
    <t>2012 JUN 26</t>
  </si>
  <si>
    <t>2012 JUN 28</t>
  </si>
  <si>
    <t>2012 JUL 2</t>
  </si>
  <si>
    <t>2012 JUL 8</t>
  </si>
  <si>
    <t>2012 JUL 9</t>
  </si>
  <si>
    <t>2012 JUL 12</t>
  </si>
  <si>
    <t>2012 JUL 17</t>
  </si>
  <si>
    <t>2012 JUL 19</t>
  </si>
  <si>
    <t>2012 JUL 21</t>
  </si>
  <si>
    <t>2012 JUL 23</t>
  </si>
  <si>
    <t>2012 JUL 24</t>
  </si>
  <si>
    <t>2012 AUG 6</t>
  </si>
  <si>
    <t>2012 AUG 15</t>
  </si>
  <si>
    <t>2012 AUG 18</t>
  </si>
  <si>
    <t>2012 AUG 20</t>
  </si>
  <si>
    <t>2012 AUG 22</t>
  </si>
  <si>
    <t>2012 AUG 31</t>
  </si>
  <si>
    <t>2012 SEP 11</t>
  </si>
  <si>
    <t>2012 SEP 13</t>
  </si>
  <si>
    <t>2012 SEP 23</t>
  </si>
  <si>
    <t>2012 SEP 25</t>
  </si>
  <si>
    <t>2012 SEP 30</t>
  </si>
  <si>
    <t>2012 OCT 2</t>
  </si>
  <si>
    <t>2012 OCT 29</t>
  </si>
  <si>
    <t>2013 JAN 10</t>
  </si>
  <si>
    <t>2013 FEB 5</t>
  </si>
  <si>
    <t>2013 FEB 12</t>
  </si>
  <si>
    <t>2013 FEB 14</t>
  </si>
  <si>
    <t>2013 FEB 16</t>
  </si>
  <si>
    <t>2013 FEB 23</t>
  </si>
  <si>
    <t>2013 FEB 25</t>
  </si>
  <si>
    <t>2013 MAR 3</t>
  </si>
  <si>
    <t>2013 MAR 7</t>
  </si>
  <si>
    <t>2013 MAR 8</t>
  </si>
  <si>
    <t>2013 MAR 12</t>
  </si>
  <si>
    <t>2013 MAR 15</t>
  </si>
  <si>
    <t>2013 MAR 16</t>
  </si>
  <si>
    <t>2013 MAR 19</t>
  </si>
  <si>
    <t>2013 MAR 22</t>
  </si>
  <si>
    <t>2013 MAR 27</t>
  </si>
  <si>
    <t>2013 MAR 29</t>
  </si>
  <si>
    <t>2013 APR 5</t>
  </si>
  <si>
    <t>2013 APR 10</t>
  </si>
  <si>
    <t>2013 APR 13</t>
  </si>
  <si>
    <t>2013 APR 16</t>
  </si>
  <si>
    <t>2013 APR 20</t>
  </si>
  <si>
    <t>2013 APR 22</t>
  </si>
  <si>
    <t>2013 APR 27</t>
  </si>
  <si>
    <t>2013 MAY 10</t>
  </si>
  <si>
    <t>2013 MAY 15</t>
  </si>
  <si>
    <t>2013 MAY 18</t>
  </si>
  <si>
    <t>2013 MAY 23</t>
  </si>
  <si>
    <t>2013 MAY 25</t>
  </si>
  <si>
    <t>2013 JUN 1</t>
  </si>
  <si>
    <t>2013 JUN 4</t>
  </si>
  <si>
    <t>2013 JUN 7</t>
  </si>
  <si>
    <t>2013 JUN 11</t>
  </si>
  <si>
    <t>2013 JUN 13</t>
  </si>
  <si>
    <t>2013 JUN 14</t>
  </si>
  <si>
    <t>2013 JUN 17</t>
  </si>
  <si>
    <t>2013 JUN 26</t>
  </si>
  <si>
    <t>2013 JUN 29</t>
  </si>
  <si>
    <t>2013 JUN 30</t>
  </si>
  <si>
    <t>2013 JUL 5</t>
  </si>
  <si>
    <t>2013 JUL 6</t>
  </si>
  <si>
    <t>2013 JUL 7</t>
  </si>
  <si>
    <t>2013 JUL 9</t>
  </si>
  <si>
    <t>2013 JUL 11</t>
  </si>
  <si>
    <t>2013 JUL 13</t>
  </si>
  <si>
    <t>2013 JUL 18</t>
  </si>
  <si>
    <t>2013 JUL 23</t>
  </si>
  <si>
    <t>2013 JUL 25</t>
  </si>
  <si>
    <t>2013 JUL 27</t>
  </si>
  <si>
    <t>2013 JUL 28</t>
  </si>
  <si>
    <t>2013 JUL 30</t>
  </si>
  <si>
    <t>2013 AUG 1</t>
  </si>
  <si>
    <t>2013 AUG 7</t>
  </si>
  <si>
    <t>2013 AUG 8</t>
  </si>
  <si>
    <t>2013 AUG 13</t>
  </si>
  <si>
    <t>2013 AUG 14</t>
  </si>
  <si>
    <t>2013 AUG 19</t>
  </si>
  <si>
    <t>2013 AUG 20</t>
  </si>
  <si>
    <t>2013 AUG 22</t>
  </si>
  <si>
    <t>2013 AUG 24</t>
  </si>
  <si>
    <t>2013 AUG 28</t>
  </si>
  <si>
    <t>2013 AUG 30</t>
  </si>
  <si>
    <t>2013 SEP 4</t>
  </si>
  <si>
    <t>2013 SEP 5</t>
  </si>
  <si>
    <t>2013 SEP 7</t>
  </si>
  <si>
    <t>2013 SEP 9</t>
  </si>
  <si>
    <t>2013 SEP 10</t>
  </si>
  <si>
    <t>2013 SEP 21</t>
  </si>
  <si>
    <t>2013 OCT 2</t>
  </si>
  <si>
    <t>2013 OCT 4</t>
  </si>
  <si>
    <t>2014 FEB 16</t>
  </si>
  <si>
    <t>2014 FEB 18</t>
  </si>
  <si>
    <t>2014 FEB 19</t>
  </si>
  <si>
    <t>2014 FEB 22</t>
  </si>
  <si>
    <t>2014 FEB 27</t>
  </si>
  <si>
    <t>2014 MAR 7</t>
  </si>
  <si>
    <t>2014 MAR 10</t>
  </si>
  <si>
    <t>2014 APR 3</t>
  </si>
  <si>
    <t>2014 APR 10</t>
  </si>
  <si>
    <t>2014 APR 12</t>
  </si>
  <si>
    <t>2014 APR 23</t>
  </si>
  <si>
    <t>2014 MAY 4</t>
  </si>
  <si>
    <t>2014 MAY 9</t>
  </si>
  <si>
    <t>2014 MAY 19</t>
  </si>
  <si>
    <t>2014 MAY 20</t>
  </si>
  <si>
    <t>2014 MAY 23</t>
  </si>
  <si>
    <t>2014 JUN 3</t>
  </si>
  <si>
    <t>2014 JUL 6</t>
  </si>
  <si>
    <t>2014 JUL 12</t>
  </si>
  <si>
    <t>2014 JUL 22</t>
  </si>
  <si>
    <t>2014 JUL 24</t>
  </si>
  <si>
    <t>2014 JUL 28</t>
  </si>
  <si>
    <t>2014 JUL 30</t>
  </si>
  <si>
    <t>2014 AUG 1</t>
  </si>
  <si>
    <t>2014 AUG 3</t>
  </si>
  <si>
    <t>2014 AUG 14</t>
  </si>
  <si>
    <t>2014 AUG 22</t>
  </si>
  <si>
    <t>2014 AUG 24</t>
  </si>
  <si>
    <t>2014 SEP 1</t>
  </si>
  <si>
    <t>2014 SEP 15</t>
  </si>
  <si>
    <t>2015 FEB 8</t>
  </si>
  <si>
    <t>2015 FEB 11</t>
  </si>
  <si>
    <t>2015 FEB 12</t>
  </si>
  <si>
    <t>2015 FEB 15</t>
  </si>
  <si>
    <t>2015 MAR 9</t>
  </si>
  <si>
    <t>2015 MAR 13</t>
  </si>
  <si>
    <t>2015 MAR 17</t>
  </si>
  <si>
    <t>2015 MAR 31</t>
  </si>
  <si>
    <t>2015 APR 1</t>
  </si>
  <si>
    <t>2015 APR 4</t>
  </si>
  <si>
    <t>2015 MAY 16</t>
  </si>
  <si>
    <t>2015 MAY 20</t>
  </si>
  <si>
    <t>2015 MAY 22</t>
  </si>
  <si>
    <t>2015 MAY 27</t>
  </si>
  <si>
    <t>2015 MAY 28</t>
  </si>
  <si>
    <t>2015 JUN 15</t>
  </si>
  <si>
    <t>2016 FEB 28</t>
  </si>
  <si>
    <t>2016 MAR 5</t>
  </si>
  <si>
    <t>2016 MAR 7</t>
  </si>
  <si>
    <t>2016 MAR 11</t>
  </si>
  <si>
    <t>2016 MAR 24</t>
  </si>
  <si>
    <t>2016 APR 8</t>
  </si>
  <si>
    <t>2016 APR 11</t>
  </si>
  <si>
    <t>2016 APR 27</t>
  </si>
  <si>
    <t>2016 JUN 23</t>
  </si>
  <si>
    <t>2016 OCT 10</t>
  </si>
  <si>
    <t>2017 JAN 31</t>
  </si>
  <si>
    <t>2017 FEB 1</t>
  </si>
  <si>
    <t>1958 JUL 17</t>
  </si>
  <si>
    <t>1958 JUL 19</t>
  </si>
  <si>
    <t>1958 JUL 21</t>
  </si>
  <si>
    <t>1958 JUL 23</t>
  </si>
  <si>
    <t>1958 JUL 24</t>
  </si>
  <si>
    <t>2017 MAY 21</t>
  </si>
  <si>
    <t>2017 MAY 23</t>
  </si>
  <si>
    <t>2017 MAY 30</t>
  </si>
  <si>
    <t>1904 JUN 13</t>
  </si>
  <si>
    <t>1904 OCT 2</t>
  </si>
  <si>
    <t>1904 OCT 25</t>
  </si>
  <si>
    <t>1905 MAY 1</t>
  </si>
  <si>
    <t>1905 JUN 10</t>
  </si>
  <si>
    <t>1905 AUG 3</t>
  </si>
  <si>
    <t>1905 AUG 25</t>
  </si>
  <si>
    <t>1906 APR 1</t>
  </si>
  <si>
    <t>1906 MAY 2</t>
  </si>
  <si>
    <t>1906 JUN 21</t>
  </si>
  <si>
    <t>1906 JUL 17</t>
  </si>
  <si>
    <t>1906 AUG 14</t>
  </si>
  <si>
    <t>1906 SEP 7</t>
  </si>
  <si>
    <t>1906 SEP 26</t>
  </si>
  <si>
    <t>1907 JUN 29</t>
  </si>
  <si>
    <t>1907 JUL 16</t>
  </si>
  <si>
    <t>1907 AUG 14</t>
  </si>
  <si>
    <t>1907 SEP 8</t>
  </si>
  <si>
    <t>1907 OCT 8</t>
  </si>
  <si>
    <t>1908 MAR 10</t>
  </si>
  <si>
    <t>1908 APR 3</t>
  </si>
  <si>
    <t>1908 MAY 4</t>
  </si>
  <si>
    <t>1908 JUL 1</t>
  </si>
  <si>
    <t>1908 JUL 22</t>
  </si>
  <si>
    <t>1908 AUG 19</t>
  </si>
  <si>
    <t>1908 SEP 30</t>
  </si>
  <si>
    <t>1909 MAR 24</t>
  </si>
  <si>
    <t>1909 APR 27</t>
  </si>
  <si>
    <t>1909 MAY 31</t>
  </si>
  <si>
    <t>1909 JUN 17</t>
  </si>
  <si>
    <t>1909 JUL 14</t>
  </si>
  <si>
    <t>1909 AUG 11</t>
  </si>
  <si>
    <t>1909 SEP 3</t>
  </si>
  <si>
    <t>1909 OCT 12</t>
  </si>
  <si>
    <t>1910 JUL 18</t>
  </si>
  <si>
    <t>1910 AUG 27</t>
  </si>
  <si>
    <t>1910 SEP 11</t>
  </si>
  <si>
    <t>1914 JUN 16</t>
  </si>
  <si>
    <t>1918 JUL 25</t>
  </si>
  <si>
    <t>1918 AUG 15</t>
  </si>
  <si>
    <t>1918 OCT 18</t>
  </si>
  <si>
    <t>1920 JAN 29</t>
  </si>
  <si>
    <t>1921 FEB 17</t>
  </si>
  <si>
    <t>1921 APR 4</t>
  </si>
  <si>
    <t>1921 MAY 14</t>
  </si>
  <si>
    <t>1921 JUN 5</t>
  </si>
  <si>
    <t>1921 JUN 29</t>
  </si>
  <si>
    <t>1921 JUL 30</t>
  </si>
  <si>
    <t>1921 AUG 30</t>
  </si>
  <si>
    <t>1921 SEP 23</t>
  </si>
  <si>
    <t>1921 OCT 22</t>
  </si>
  <si>
    <t>1922 MAR 3</t>
  </si>
  <si>
    <t>1922 APR 25</t>
  </si>
  <si>
    <t>1922 MAY 28</t>
  </si>
  <si>
    <t>1922 JUL 16</t>
  </si>
  <si>
    <t>1922 AUG 20</t>
  </si>
  <si>
    <t>1922 SEP 23</t>
  </si>
  <si>
    <t>1922 NOV 7</t>
  </si>
  <si>
    <t>1923 FEB 16</t>
  </si>
  <si>
    <t>1923 MAR 18</t>
  </si>
  <si>
    <t>1923 MAY 7</t>
  </si>
  <si>
    <t>1923 JUN 9</t>
  </si>
  <si>
    <t>1923 JUL 7</t>
  </si>
  <si>
    <t>1923 AUG 7</t>
  </si>
  <si>
    <t>1923 SEP 7</t>
  </si>
  <si>
    <t>1923 OCT 1</t>
  </si>
  <si>
    <t>1924 APR 8</t>
  </si>
  <si>
    <t>1924 MAY 2</t>
  </si>
  <si>
    <t>1924 MAY 30</t>
  </si>
  <si>
    <t>1924 JUL 27</t>
  </si>
  <si>
    <t>1924 AUG 26</t>
  </si>
  <si>
    <t>1924 OCT 21</t>
  </si>
  <si>
    <t>1924 NOV 20</t>
  </si>
  <si>
    <t>1925 JAN 31</t>
  </si>
  <si>
    <t>1925 FEB 28</t>
  </si>
  <si>
    <t>1925 MAR 27</t>
  </si>
  <si>
    <t>1925 MAY 19</t>
  </si>
  <si>
    <t>1925 JUL 17</t>
  </si>
  <si>
    <t>1925 AUG 21</t>
  </si>
  <si>
    <t>1925 SEP 21</t>
  </si>
  <si>
    <t>1925 NOV 3</t>
  </si>
  <si>
    <t>1926 FEB 16</t>
  </si>
  <si>
    <t>1926 MAR 10</t>
  </si>
  <si>
    <t>1926 APR 10</t>
  </si>
  <si>
    <t>1926 MAY 5</t>
  </si>
  <si>
    <t>1926 JUN 4</t>
  </si>
  <si>
    <t>1926 JUL 1</t>
  </si>
  <si>
    <t>1926 AUG 5</t>
  </si>
  <si>
    <t>1926 AUG 28</t>
  </si>
  <si>
    <t>1926 OCT 3</t>
  </si>
  <si>
    <t>1926 OCT 27</t>
  </si>
  <si>
    <t>1927 MAR 4</t>
  </si>
  <si>
    <t>1927 APR 7</t>
  </si>
  <si>
    <t>1927 MAY 1</t>
  </si>
  <si>
    <t>1927 MAY 26</t>
  </si>
  <si>
    <t>1927 JUN 25</t>
  </si>
  <si>
    <t>1927 JUL 25</t>
  </si>
  <si>
    <t>1927 AUG 22</t>
  </si>
  <si>
    <t>1927 SEP 17</t>
  </si>
  <si>
    <t>1927 OCT 16</t>
  </si>
  <si>
    <t>1928 JAN 26</t>
  </si>
  <si>
    <t>1928 FEB 26</t>
  </si>
  <si>
    <t>1928 APR 14</t>
  </si>
  <si>
    <t>1928 MAY 18</t>
  </si>
  <si>
    <t>1928 JUN 15</t>
  </si>
  <si>
    <t>1928 JUL 17</t>
  </si>
  <si>
    <t>1928 AUG 14</t>
  </si>
  <si>
    <t>1928 SEP 16</t>
  </si>
  <si>
    <t>1928 OCT 13</t>
  </si>
  <si>
    <t>1929 FEB 10</t>
  </si>
  <si>
    <t>1929 MAR 13</t>
  </si>
  <si>
    <t>1929 MAY 7</t>
  </si>
  <si>
    <t>1929 JUN 1</t>
  </si>
  <si>
    <t>1929 JUN 27</t>
  </si>
  <si>
    <t>1929 AUG 4</t>
  </si>
  <si>
    <t>1929 SEP 2</t>
  </si>
  <si>
    <t>1929 SEP 24</t>
  </si>
  <si>
    <t>1929 OCT 26</t>
  </si>
  <si>
    <t>1930 MAR 6</t>
  </si>
  <si>
    <t>1930 MAY 3</t>
  </si>
  <si>
    <t>1930 MAY 25</t>
  </si>
  <si>
    <t>1930 JUN 19</t>
  </si>
  <si>
    <t>1930 JUL 17</t>
  </si>
  <si>
    <t>1930 AUG 16</t>
  </si>
  <si>
    <t>1930 SEP 18</t>
  </si>
  <si>
    <t>1930 OCT 21</t>
  </si>
  <si>
    <t>1930 NOV 13</t>
  </si>
  <si>
    <t>1931 FEB 24</t>
  </si>
  <si>
    <t>1931 APR 9</t>
  </si>
  <si>
    <t>1931 MAY 15</t>
  </si>
  <si>
    <t>1931 JUN 19</t>
  </si>
  <si>
    <t>1931 JUL 15</t>
  </si>
  <si>
    <t>1931 AUG 16</t>
  </si>
  <si>
    <t>1931 SEP 17</t>
  </si>
  <si>
    <t>1931 OCT 17</t>
  </si>
  <si>
    <t>1931 NOV 14</t>
  </si>
  <si>
    <t>1932 FEB 14</t>
  </si>
  <si>
    <t>1932 MAY 29</t>
  </si>
  <si>
    <t>1932 JUN 25</t>
  </si>
  <si>
    <t>1932 AUG 5</t>
  </si>
  <si>
    <t>1932 AUG 28</t>
  </si>
  <si>
    <t>1932 SEP 29</t>
  </si>
  <si>
    <t>1932 OCT 25</t>
  </si>
  <si>
    <t>1932 NOV 23</t>
  </si>
  <si>
    <t>1933 FEB 22</t>
  </si>
  <si>
    <t>1933 MAR 28</t>
  </si>
  <si>
    <t>1933 APR 24</t>
  </si>
  <si>
    <t>1933 MAY 30</t>
  </si>
  <si>
    <t>1933 JUN 16</t>
  </si>
  <si>
    <t>1933 JUL 18</t>
  </si>
  <si>
    <t>1933 AUG 18</t>
  </si>
  <si>
    <t>1933 AUG 29</t>
  </si>
  <si>
    <t>1933 SEP 13</t>
  </si>
  <si>
    <t>1933 SEP 29</t>
  </si>
  <si>
    <t>1933 OCT 13</t>
  </si>
  <si>
    <t>1933 OCT 30</t>
  </si>
  <si>
    <t>1933 NOV 13</t>
  </si>
  <si>
    <t>1933 NOV 29</t>
  </si>
  <si>
    <t>1934 JAN 23</t>
  </si>
  <si>
    <t>1934 FEB 14</t>
  </si>
  <si>
    <t>1934 MAR 1</t>
  </si>
  <si>
    <t>1934 MAR 17</t>
  </si>
  <si>
    <t>1934 APR 3</t>
  </si>
  <si>
    <t>1934 APR 16</t>
  </si>
  <si>
    <t>1934 MAY 2</t>
  </si>
  <si>
    <t>1934 MAY 18</t>
  </si>
  <si>
    <t>1934 JUN 5</t>
  </si>
  <si>
    <t>1934 JUN 18</t>
  </si>
  <si>
    <t>1934 JUL 6</t>
  </si>
  <si>
    <t>1934 JUL 18</t>
  </si>
  <si>
    <t>1934 AUG 4</t>
  </si>
  <si>
    <t>1934 AUG 22</t>
  </si>
  <si>
    <t>1934 SEP 5</t>
  </si>
  <si>
    <t>1934 SEP 22</t>
  </si>
  <si>
    <t>1934 OCT 5</t>
  </si>
  <si>
    <t>1934 OCT 25</t>
  </si>
  <si>
    <t>1934 NOV 6</t>
  </si>
  <si>
    <t>1935 FEB 7</t>
  </si>
  <si>
    <t>1935 MAR 6</t>
  </si>
  <si>
    <t>1935 APR 1</t>
  </si>
  <si>
    <t>1935 APR 22</t>
  </si>
  <si>
    <t>1935 MAY 6</t>
  </si>
  <si>
    <t>1935 MAY 30</t>
  </si>
  <si>
    <t>1935 JUN 13</t>
  </si>
  <si>
    <t>1935 JUN 29</t>
  </si>
  <si>
    <t>1935 JUL 16</t>
  </si>
  <si>
    <t>1935 JUL 31</t>
  </si>
  <si>
    <t>1935 AUG 16</t>
  </si>
  <si>
    <t>1935 AUG 29</t>
  </si>
  <si>
    <t>1935 SEP 17</t>
  </si>
  <si>
    <t>1935 SEP 29</t>
  </si>
  <si>
    <t>1935 OCT 16</t>
  </si>
  <si>
    <t>1935 OCT 29</t>
  </si>
  <si>
    <t>1935 NOV 22</t>
  </si>
  <si>
    <t>1936 JAN 31</t>
  </si>
  <si>
    <t>1936 MAR 2</t>
  </si>
  <si>
    <t>1936 MAR 27</t>
  </si>
  <si>
    <t>1936 APR 26</t>
  </si>
  <si>
    <t>1936 MAY 17</t>
  </si>
  <si>
    <t>1936 MAY 28</t>
  </si>
  <si>
    <t>1936 JUN 14</t>
  </si>
  <si>
    <t>1936 JUN 26</t>
  </si>
  <si>
    <t>1936 JUL 15</t>
  </si>
  <si>
    <t>1936 JUL 27</t>
  </si>
  <si>
    <t>1936 AUG 14</t>
  </si>
  <si>
    <t>1936 AUG 27</t>
  </si>
  <si>
    <t>1936 SEP 13</t>
  </si>
  <si>
    <t>1936 SEP 28</t>
  </si>
  <si>
    <t>1936 OCT 13</t>
  </si>
  <si>
    <t>1936 NOV 4</t>
  </si>
  <si>
    <t>1937 MAR 18</t>
  </si>
  <si>
    <t>1937 APR 14</t>
  </si>
  <si>
    <t>1937 APR 23</t>
  </si>
  <si>
    <t>1937 MAY 8</t>
  </si>
  <si>
    <t>1937 MAY 26</t>
  </si>
  <si>
    <t>1937 JUN 9</t>
  </si>
  <si>
    <t>1937 JUL 2</t>
  </si>
  <si>
    <t>1937 JUL 11</t>
  </si>
  <si>
    <t>1937 AUG 1</t>
  </si>
  <si>
    <t>1937 AUG 19</t>
  </si>
  <si>
    <t>1937 SEP 4</t>
  </si>
  <si>
    <t>1937 SEP 21</t>
  </si>
  <si>
    <t>1937 OCT 3</t>
  </si>
  <si>
    <t>1937 OCT 29</t>
  </si>
  <si>
    <t>1937 NOV 17</t>
  </si>
  <si>
    <t>1938 MAR 29</t>
  </si>
  <si>
    <t>1938 MAY 3</t>
  </si>
  <si>
    <t>1938 MAY 15</t>
  </si>
  <si>
    <t>1938 MAY 30</t>
  </si>
  <si>
    <t>1938 JUN 18</t>
  </si>
  <si>
    <t>1938 JUL 1</t>
  </si>
  <si>
    <t>1938 JUL 21</t>
  </si>
  <si>
    <t>1938 AUG 1</t>
  </si>
  <si>
    <t>1938 AUG 20</t>
  </si>
  <si>
    <t>1938 SEP 1</t>
  </si>
  <si>
    <t>1938 SEP 20</t>
  </si>
  <si>
    <t>1938 OCT 11</t>
  </si>
  <si>
    <t>1938 OCT 23</t>
  </si>
  <si>
    <t>1938 NOV 14</t>
  </si>
  <si>
    <t>1939 FEB 15</t>
  </si>
  <si>
    <t>1939 MAR 12</t>
  </si>
  <si>
    <t>1939 MAR 25</t>
  </si>
  <si>
    <t>1939 APR 26</t>
  </si>
  <si>
    <t>1939 MAY 18</t>
  </si>
  <si>
    <t>1939 JUN 3</t>
  </si>
  <si>
    <t>1939 JUN 18</t>
  </si>
  <si>
    <t>1939 JUL 4</t>
  </si>
  <si>
    <t>1939 JUL 18</t>
  </si>
  <si>
    <t>1939 AUG 6</t>
  </si>
  <si>
    <t>1939 AUG 18</t>
  </si>
  <si>
    <t>1939 SEP 4</t>
  </si>
  <si>
    <t>1939 SEP 16</t>
  </si>
  <si>
    <t>1939 OCT 8</t>
  </si>
  <si>
    <t>1939 OCT 20</t>
  </si>
  <si>
    <t>1939 NOV 7</t>
  </si>
  <si>
    <t>1940 FEB 3</t>
  </si>
  <si>
    <t>1940 FEB 16</t>
  </si>
  <si>
    <t>1940 MAR 11</t>
  </si>
  <si>
    <t>1940 APR 8</t>
  </si>
  <si>
    <t>1940 APR 22</t>
  </si>
  <si>
    <t>1940 MAY 9</t>
  </si>
  <si>
    <t>1940 MAY 27</t>
  </si>
  <si>
    <t>1940 JUN 8</t>
  </si>
  <si>
    <t>1940 JUL 1</t>
  </si>
  <si>
    <t>1940 JUL 11</t>
  </si>
  <si>
    <t>1940 JUL 31</t>
  </si>
  <si>
    <t>1940 AUG 12</t>
  </si>
  <si>
    <t>1940 AUG 31</t>
  </si>
  <si>
    <t>1940 SEP 16</t>
  </si>
  <si>
    <t>1940 SEP 29</t>
  </si>
  <si>
    <t>1940 OCT 19</t>
  </si>
  <si>
    <t>1940 OCT 31</t>
  </si>
  <si>
    <t>1941 FEB 10</t>
  </si>
  <si>
    <t>1941 MAR 6</t>
  </si>
  <si>
    <t>1941 MAR 17</t>
  </si>
  <si>
    <t>1941 APR 1</t>
  </si>
  <si>
    <t>1941 APR 28</t>
  </si>
  <si>
    <t>1941 MAY 8</t>
  </si>
  <si>
    <t>1941 MAY 23</t>
  </si>
  <si>
    <t>1941 JUN 14</t>
  </si>
  <si>
    <t>1941 JUN 26</t>
  </si>
  <si>
    <t>1941 JUL 12</t>
  </si>
  <si>
    <t>1941 AUG 16</t>
  </si>
  <si>
    <t>1941 AUG 29</t>
  </si>
  <si>
    <t>1941 OCT 3</t>
  </si>
  <si>
    <t>1941 NOV 14</t>
  </si>
  <si>
    <t>1942 FEB 21</t>
  </si>
  <si>
    <t>1942 MAR 14</t>
  </si>
  <si>
    <t>1942 APR 1</t>
  </si>
  <si>
    <t>1942 APR 21</t>
  </si>
  <si>
    <t>1942 MAY 11</t>
  </si>
  <si>
    <t>1942 MAY 21</t>
  </si>
  <si>
    <t>1942 JUN 10</t>
  </si>
  <si>
    <t>1942 JUN 23</t>
  </si>
  <si>
    <t>1942 JUL 12</t>
  </si>
  <si>
    <t>1942 JUL 28</t>
  </si>
  <si>
    <t>1942 AUG 8</t>
  </si>
  <si>
    <t>1942 AUG 29</t>
  </si>
  <si>
    <t>1942 SEP 11</t>
  </si>
  <si>
    <t>1942 SEP 30</t>
  </si>
  <si>
    <t>1942 OCT 12</t>
  </si>
  <si>
    <t>1942 NOV 3</t>
  </si>
  <si>
    <t>1943 JAN 15</t>
  </si>
  <si>
    <t>1943 FEB 16</t>
  </si>
  <si>
    <t>1943 MAR 11</t>
  </si>
  <si>
    <t>1943 APR 10</t>
  </si>
  <si>
    <t>1943 MAY 8</t>
  </si>
  <si>
    <t>1943 MAY 29</t>
  </si>
  <si>
    <t>1943 JUN 15</t>
  </si>
  <si>
    <t>1943 JUN 28</t>
  </si>
  <si>
    <t>1943 JUL 16</t>
  </si>
  <si>
    <t>1943 AUG 2</t>
  </si>
  <si>
    <t>1943 AUG 20</t>
  </si>
  <si>
    <t>1943 SEP 3</t>
  </si>
  <si>
    <t>1943 SEP 21</t>
  </si>
  <si>
    <t>1943 OCT 6</t>
  </si>
  <si>
    <t>1943 OCT 25</t>
  </si>
  <si>
    <t>1943 NOV 12</t>
  </si>
  <si>
    <t>1944 JAN 30</t>
  </si>
  <si>
    <t>1944 FEB 21</t>
  </si>
  <si>
    <t>1944 MAR 31</t>
  </si>
  <si>
    <t>1944 APR 26</t>
  </si>
  <si>
    <t>1944 MAY 18</t>
  </si>
  <si>
    <t>1944 MAY 29</t>
  </si>
  <si>
    <t>1944 JUN 17</t>
  </si>
  <si>
    <t>1944 JUL 3</t>
  </si>
  <si>
    <t>1944 JUL 20</t>
  </si>
  <si>
    <t>1944 AUG 7</t>
  </si>
  <si>
    <t>1944 AUG 19</t>
  </si>
  <si>
    <t>1944 SEP 11</t>
  </si>
  <si>
    <t>1944 SEP 28</t>
  </si>
  <si>
    <t>1944 OCT 14</t>
  </si>
  <si>
    <t>1944 OCT 29</t>
  </si>
  <si>
    <t>1945 FEB 12</t>
  </si>
  <si>
    <t>1945 FEB 23</t>
  </si>
  <si>
    <t>1945 MAR 14</t>
  </si>
  <si>
    <t>1945 MAR 31</t>
  </si>
  <si>
    <t>1945 APR 14</t>
  </si>
  <si>
    <t>1945 MAY 15</t>
  </si>
  <si>
    <t>1945 MAY 23</t>
  </si>
  <si>
    <t>1945 JUN 10</t>
  </si>
  <si>
    <t>1945 JUL 6</t>
  </si>
  <si>
    <t>1945 JUL 21</t>
  </si>
  <si>
    <t>1945 AUG 6</t>
  </si>
  <si>
    <t>1945 AUG 25</t>
  </si>
  <si>
    <t>1945 SEP 5</t>
  </si>
  <si>
    <t>1945 SEP 26</t>
  </si>
  <si>
    <t>1945 OCT 10</t>
  </si>
  <si>
    <t>1945 OCT 29</t>
  </si>
  <si>
    <t>1945 NOV 18</t>
  </si>
  <si>
    <t>1946 FEB 2</t>
  </si>
  <si>
    <t>1946 FEB 13</t>
  </si>
  <si>
    <t>1946 MAR 3</t>
  </si>
  <si>
    <t>1946 MAR 14</t>
  </si>
  <si>
    <t>1946 APR 3</t>
  </si>
  <si>
    <t>1946 APR 23</t>
  </si>
  <si>
    <t>1946 MAY 12</t>
  </si>
  <si>
    <t>1946 MAY 26</t>
  </si>
  <si>
    <t>1946 JUN 13</t>
  </si>
  <si>
    <t>1946 JUN 28</t>
  </si>
  <si>
    <t>1946 JUL 15</t>
  </si>
  <si>
    <t>1946 JUL 29</t>
  </si>
  <si>
    <t>1946 AUG 15</t>
  </si>
  <si>
    <t>1946 AUG 29</t>
  </si>
  <si>
    <t>1946 SEP 16</t>
  </si>
  <si>
    <t>1946 SEP 29</t>
  </si>
  <si>
    <t>1946 OCT 16</t>
  </si>
  <si>
    <t>1946 OCT 29</t>
  </si>
  <si>
    <t>1946 NOV 19</t>
  </si>
  <si>
    <t>1947 JAN 23</t>
  </si>
  <si>
    <t>1947 FEB 16</t>
  </si>
  <si>
    <t>1947 MAR 3</t>
  </si>
  <si>
    <t>1947 MAR 20</t>
  </si>
  <si>
    <t>1947 APR 3</t>
  </si>
  <si>
    <t>1947 APR 21</t>
  </si>
  <si>
    <t>1947 MAY 8</t>
  </si>
  <si>
    <t>1947 MAY 26</t>
  </si>
  <si>
    <t>1947 JUN 10</t>
  </si>
  <si>
    <t>1947 JUN 22</t>
  </si>
  <si>
    <t>1947 JUL 11</t>
  </si>
  <si>
    <t>1947 JUL 24</t>
  </si>
  <si>
    <t>1947 AUG 11</t>
  </si>
  <si>
    <t>1947 AUG 30</t>
  </si>
  <si>
    <t>1947 SEP 14</t>
  </si>
  <si>
    <t>1947 SEP 29</t>
  </si>
  <si>
    <t>1947 OCT 11</t>
  </si>
  <si>
    <t>1947 OCT 29</t>
  </si>
  <si>
    <t>1947 NOV 12</t>
  </si>
  <si>
    <t>1948 FEB 16</t>
  </si>
  <si>
    <t>1948 MAR 2</t>
  </si>
  <si>
    <t>1948 MAR 18</t>
  </si>
  <si>
    <t>1948 APR 3</t>
  </si>
  <si>
    <t>1948 APR 17</t>
  </si>
  <si>
    <t>1948 MAY 5</t>
  </si>
  <si>
    <t>1948 MAY 23</t>
  </si>
  <si>
    <t>1948 JUN 6</t>
  </si>
  <si>
    <t>1948 JUN 25</t>
  </si>
  <si>
    <t>1948 JUL 8</t>
  </si>
  <si>
    <t>1948 JUL 27</t>
  </si>
  <si>
    <t>1948 AUG 9</t>
  </si>
  <si>
    <t>1948 AUG 26</t>
  </si>
  <si>
    <t>1948 SEP 9</t>
  </si>
  <si>
    <t>1948 SEP 27</t>
  </si>
  <si>
    <t>1948 OCT 9</t>
  </si>
  <si>
    <t>1948 OCT 29</t>
  </si>
  <si>
    <t>1948 NOV 14</t>
  </si>
  <si>
    <t>1949 FEB 5</t>
  </si>
  <si>
    <t>1949 FEB 24</t>
  </si>
  <si>
    <t>1949 MAR 6</t>
  </si>
  <si>
    <t>1949 MAR 26</t>
  </si>
  <si>
    <t>1949 APR 9</t>
  </si>
  <si>
    <t>1949 MAY 1</t>
  </si>
  <si>
    <t>1949 MAY 16</t>
  </si>
  <si>
    <t>1949 MAY 30</t>
  </si>
  <si>
    <t>1949 JUN 16</t>
  </si>
  <si>
    <t>1949 JUN 29</t>
  </si>
  <si>
    <t>1949 JUL 16</t>
  </si>
  <si>
    <t>1949 JUL 29</t>
  </si>
  <si>
    <t>1949 AUG 16</t>
  </si>
  <si>
    <t>1949 AUG 28</t>
  </si>
  <si>
    <t>1949 SEP 15</t>
  </si>
  <si>
    <t>1949 SEP 29</t>
  </si>
  <si>
    <t>1949 OCT 16</t>
  </si>
  <si>
    <t>1949 OCT 30</t>
  </si>
  <si>
    <t>1949 NOV 16</t>
  </si>
  <si>
    <t>1950 JAN 28</t>
  </si>
  <si>
    <t>1950 FEB 23</t>
  </si>
  <si>
    <t>1950 MAR 15</t>
  </si>
  <si>
    <t>1950 MAR 29</t>
  </si>
  <si>
    <t>1950 APR 19</t>
  </si>
  <si>
    <t>1950 MAY 7</t>
  </si>
  <si>
    <t>1950 MAY 21</t>
  </si>
  <si>
    <t>1950 JUN 9</t>
  </si>
  <si>
    <t>1950 JUN 21</t>
  </si>
  <si>
    <t>1950 JUL 9</t>
  </si>
  <si>
    <t>1950 JUL 22</t>
  </si>
  <si>
    <t>1950 AUG 8</t>
  </si>
  <si>
    <t>1950 AUG 22</t>
  </si>
  <si>
    <t>1950 SEP 7</t>
  </si>
  <si>
    <t>1950 SEP 20</t>
  </si>
  <si>
    <t>1950 OCT 7</t>
  </si>
  <si>
    <t>1950 OCT 22</t>
  </si>
  <si>
    <t>1950 NOV 6</t>
  </si>
  <si>
    <t>1951 FEB 4</t>
  </si>
  <si>
    <t>1951 FEB 20</t>
  </si>
  <si>
    <t>1951 MAR 13</t>
  </si>
  <si>
    <t>1951 APR 7</t>
  </si>
  <si>
    <t>1951 APR 26</t>
  </si>
  <si>
    <t>1951 MAY 10</t>
  </si>
  <si>
    <t>1951 MAY 29</t>
  </si>
  <si>
    <t>1951 JUN 10</t>
  </si>
  <si>
    <t>1951 JUN 29</t>
  </si>
  <si>
    <t>1951 JUL 12</t>
  </si>
  <si>
    <t>1951 JUL 29</t>
  </si>
  <si>
    <t>1951 AUG 14</t>
  </si>
  <si>
    <t>1951 AUG 28</t>
  </si>
  <si>
    <t>1951 SEP 13</t>
  </si>
  <si>
    <t>1951 SEP 26</t>
  </si>
  <si>
    <t>1951 OCT 12</t>
  </si>
  <si>
    <t>1951 OCT 26</t>
  </si>
  <si>
    <t>1951 NOV 21</t>
  </si>
  <si>
    <t>1952 JAN 29</t>
  </si>
  <si>
    <t>1952 FEB 11</t>
  </si>
  <si>
    <t>1952 FEB 28</t>
  </si>
  <si>
    <t>1952 MAR 18</t>
  </si>
  <si>
    <t>1952 APR 2</t>
  </si>
  <si>
    <t>1952 APR 22</t>
  </si>
  <si>
    <t>1952 MAY 4</t>
  </si>
  <si>
    <t>1952 MAY 25</t>
  </si>
  <si>
    <t>1952 JUN 10</t>
  </si>
  <si>
    <t>1952 JUN 23</t>
  </si>
  <si>
    <t>1952 JUL 11</t>
  </si>
  <si>
    <t>1952 JUL 24</t>
  </si>
  <si>
    <t>1952 AUG 10</t>
  </si>
  <si>
    <t>1952 AUG 22</t>
  </si>
  <si>
    <t>1952 SEP 9</t>
  </si>
  <si>
    <t>1952 SEP 23</t>
  </si>
  <si>
    <t>1952 OCT 9</t>
  </si>
  <si>
    <t>1952 OCT 24</t>
  </si>
  <si>
    <t>1952 NOV 11</t>
  </si>
  <si>
    <t>1953 FEB 18</t>
  </si>
  <si>
    <t>1953 MAR 7</t>
  </si>
  <si>
    <t>1953 MAR 22</t>
  </si>
  <si>
    <t>1953 APR 15</t>
  </si>
  <si>
    <t>1953 APR 25</t>
  </si>
  <si>
    <t>1953 MAY 14</t>
  </si>
  <si>
    <t>1953 MAY 30</t>
  </si>
  <si>
    <t>1953 JUN 14</t>
  </si>
  <si>
    <t>1953 JUL 2</t>
  </si>
  <si>
    <t>1953 JUL 13</t>
  </si>
  <si>
    <t>1953 AUG 1</t>
  </si>
  <si>
    <t>1953 AUG 16</t>
  </si>
  <si>
    <t>1953 SEP 1</t>
  </si>
  <si>
    <t>1953 SEP 13</t>
  </si>
  <si>
    <t>1953 SEP 30</t>
  </si>
  <si>
    <t>1953 OCT 15</t>
  </si>
  <si>
    <t>1953 NOV 1</t>
  </si>
  <si>
    <t>1953 NOV 14</t>
  </si>
  <si>
    <t>1954 FEB 10</t>
  </si>
  <si>
    <t>1954 MAR 5</t>
  </si>
  <si>
    <t>1954 MAR 19</t>
  </si>
  <si>
    <t>1954 APR 4</t>
  </si>
  <si>
    <t>1954 APR 18</t>
  </si>
  <si>
    <t>1954 MAY 7</t>
  </si>
  <si>
    <t>1954 MAY 21</t>
  </si>
  <si>
    <t>1954 JUN 4</t>
  </si>
  <si>
    <t>1954 JUN 26</t>
  </si>
  <si>
    <t>1954 JUL 8</t>
  </si>
  <si>
    <t>1954 JUL 25</t>
  </si>
  <si>
    <t>1954 AUG 8</t>
  </si>
  <si>
    <t>1954 AUG 25</t>
  </si>
  <si>
    <t>1954 SEP 7</t>
  </si>
  <si>
    <t>1954 OCT 10</t>
  </si>
  <si>
    <t>1954 OCT 23</t>
  </si>
  <si>
    <t>1954 NOV 17</t>
  </si>
  <si>
    <t>1955 FEB 18</t>
  </si>
  <si>
    <t>1955 MAR 4</t>
  </si>
  <si>
    <t>1955 MAR 21</t>
  </si>
  <si>
    <t>1955 APR 3</t>
  </si>
  <si>
    <t>1955 APR 26</t>
  </si>
  <si>
    <t>1955 MAY 17</t>
  </si>
  <si>
    <t>1955 JUN 3</t>
  </si>
  <si>
    <t>1955 JUN 20</t>
  </si>
  <si>
    <t>1955 JUL 9</t>
  </si>
  <si>
    <t>1955 JUL 21</t>
  </si>
  <si>
    <t>1955 AUG 8</t>
  </si>
  <si>
    <t>1955 AUG 20</t>
  </si>
  <si>
    <t>1955 SEP 6</t>
  </si>
  <si>
    <t>1955 SEP 19</t>
  </si>
  <si>
    <t>1955 OCT 9</t>
  </si>
  <si>
    <t>1955 OCT 24</t>
  </si>
  <si>
    <t>1955 NOV 11</t>
  </si>
  <si>
    <t>1956 FEB 19</t>
  </si>
  <si>
    <t>1956 MAR 3</t>
  </si>
  <si>
    <t>1956 MAR 19</t>
  </si>
  <si>
    <t>1956 APR 9</t>
  </si>
  <si>
    <t>1956 APR 26</t>
  </si>
  <si>
    <t>1956 MAY 14</t>
  </si>
  <si>
    <t>1956 JUN 6</t>
  </si>
  <si>
    <t>1956 JUL 4</t>
  </si>
  <si>
    <t>1956 AUG 19</t>
  </si>
  <si>
    <t>1956 SEP 24</t>
  </si>
  <si>
    <t>1956 OCT 6</t>
  </si>
  <si>
    <t>1956 OCT 26</t>
  </si>
  <si>
    <t>1957 FEB 7</t>
  </si>
  <si>
    <t>1957 FEB 25</t>
  </si>
  <si>
    <t>1957 MAR 14</t>
  </si>
  <si>
    <t>1957 APR 6</t>
  </si>
  <si>
    <t>1957 APR 22</t>
  </si>
  <si>
    <t>1957 MAY 7</t>
  </si>
  <si>
    <t>1957 MAY 27</t>
  </si>
  <si>
    <t>1957 JUN 11</t>
  </si>
  <si>
    <t>1957 JUN 25</t>
  </si>
  <si>
    <t>1957 JUL 12</t>
  </si>
  <si>
    <t>1957 AUG 14</t>
  </si>
  <si>
    <t>1957 AUG 26</t>
  </si>
  <si>
    <t>1957 SEP 15</t>
  </si>
  <si>
    <t>1957 SEP 28</t>
  </si>
  <si>
    <t>1957 OCT 15</t>
  </si>
  <si>
    <t>1957 NOV 5</t>
  </si>
  <si>
    <t>1958 FEB 10</t>
  </si>
  <si>
    <t>1958 FEB 19</t>
  </si>
  <si>
    <t>1958 MAR 7</t>
  </si>
  <si>
    <t>1958 MAR 26</t>
  </si>
  <si>
    <t>1958 APR 12</t>
  </si>
  <si>
    <t>1958 MAY 2</t>
  </si>
  <si>
    <t>1958 MAY 21</t>
  </si>
  <si>
    <t>1958 JUN 4</t>
  </si>
  <si>
    <t>1958 JUN 19</t>
  </si>
  <si>
    <t>1958 JUL 5</t>
  </si>
  <si>
    <t>1958 AUG 3</t>
  </si>
  <si>
    <t>1958 AUG 15</t>
  </si>
  <si>
    <t>1958 SEP 3</t>
  </si>
  <si>
    <t>1958 SEP 15</t>
  </si>
  <si>
    <t>1958 OCT 2</t>
  </si>
  <si>
    <t>1958 OCT 16</t>
  </si>
  <si>
    <t>1958 OCT 31</t>
  </si>
  <si>
    <t>1959 FEB 7</t>
  </si>
  <si>
    <t>1959 FEB 21</t>
  </si>
  <si>
    <t>1959 MAR 14</t>
  </si>
  <si>
    <t>1959 MAR 30</t>
  </si>
  <si>
    <t>1959 APR 16</t>
  </si>
  <si>
    <t>1959 MAY 5</t>
  </si>
  <si>
    <t>1959 MAY 22</t>
  </si>
  <si>
    <t>1959 JUN 5</t>
  </si>
  <si>
    <t>1959 JUN 24</t>
  </si>
  <si>
    <t>1959 JUL 6</t>
  </si>
  <si>
    <t>1959 JUL 25</t>
  </si>
  <si>
    <t>1959 AUG 6</t>
  </si>
  <si>
    <t>1959 AUG 25</t>
  </si>
  <si>
    <t>1959 SEP 6</t>
  </si>
  <si>
    <t>1959 SEP 23</t>
  </si>
  <si>
    <t>1959 OCT 6</t>
  </si>
  <si>
    <t>1959 OCT 24</t>
  </si>
  <si>
    <t>1959 NOV 7</t>
  </si>
  <si>
    <t>1960 FEB 7</t>
  </si>
  <si>
    <t>1960 FEB 22</t>
  </si>
  <si>
    <t>1960 MAR 5</t>
  </si>
  <si>
    <t>1960 MAR 23</t>
  </si>
  <si>
    <t>1960 APR 6</t>
  </si>
  <si>
    <t>1960 APR 27</t>
  </si>
  <si>
    <t>1960 MAY 17</t>
  </si>
  <si>
    <t>1960 MAY 31</t>
  </si>
  <si>
    <t>1960 JUN 17</t>
  </si>
  <si>
    <t>1960 JUN 30</t>
  </si>
  <si>
    <t>1960 JUL 17</t>
  </si>
  <si>
    <t>1960 JUL 29</t>
  </si>
  <si>
    <t>1960 AUG 15</t>
  </si>
  <si>
    <t>1960 AUG 28</t>
  </si>
  <si>
    <t>1960 SEP 14</t>
  </si>
  <si>
    <t>1960 SEP 30</t>
  </si>
  <si>
    <t>1960 OCT 15</t>
  </si>
  <si>
    <t>1960 OCT 29</t>
  </si>
  <si>
    <t>1960 NOV 14</t>
  </si>
  <si>
    <t>1961 FEB 8</t>
  </si>
  <si>
    <t>1961 FEB 22</t>
  </si>
  <si>
    <t>1961 MAR 15</t>
  </si>
  <si>
    <t>1961 MAR 27</t>
  </si>
  <si>
    <t>1961 APR 19</t>
  </si>
  <si>
    <t>1961 MAY 14</t>
  </si>
  <si>
    <t>1961 JUN 2</t>
  </si>
  <si>
    <t>1961 JUN 15</t>
  </si>
  <si>
    <t>1961 JUL 1</t>
  </si>
  <si>
    <t>1961 JUL 13</t>
  </si>
  <si>
    <t>1961 AUG 2</t>
  </si>
  <si>
    <t>1961 AUG 15</t>
  </si>
  <si>
    <t>1961 SEP 3</t>
  </si>
  <si>
    <t>1961 SEP 16</t>
  </si>
  <si>
    <t>1961 OCT 2</t>
  </si>
  <si>
    <t>1961 OCT 17</t>
  </si>
  <si>
    <t>1961 NOV 1</t>
  </si>
  <si>
    <t>1962 FEB 16</t>
  </si>
  <si>
    <t>1962 MAR 5</t>
  </si>
  <si>
    <t>1962 MAR 21</t>
  </si>
  <si>
    <t>1962 APR 10</t>
  </si>
  <si>
    <t>1962 MAY 6</t>
  </si>
  <si>
    <t>1962 MAY 24</t>
  </si>
  <si>
    <t>1962 JUN 5</t>
  </si>
  <si>
    <t>1962 JUN 24</t>
  </si>
  <si>
    <t>1962 JUL 25</t>
  </si>
  <si>
    <t>1962 AUG 8</t>
  </si>
  <si>
    <t>1962 AUG 24</t>
  </si>
  <si>
    <t>1962 SEP 8</t>
  </si>
  <si>
    <t>1962 SEP 22</t>
  </si>
  <si>
    <t>1962 OCT 8</t>
  </si>
  <si>
    <t>1962 OCT 23</t>
  </si>
  <si>
    <t>1962 NOV 19</t>
  </si>
  <si>
    <t>1963 FEB 5</t>
  </si>
  <si>
    <t>1963 FEB 20</t>
  </si>
  <si>
    <t>1963 MAR 1</t>
  </si>
  <si>
    <t>1963 MAR 24</t>
  </si>
  <si>
    <t>1963 APR 7</t>
  </si>
  <si>
    <t>1963 APR 24</t>
  </si>
  <si>
    <t>1963 MAY 7</t>
  </si>
  <si>
    <t>1963 MAY 23</t>
  </si>
  <si>
    <t>1963 JUN 8</t>
  </si>
  <si>
    <t>1963 JUN 22</t>
  </si>
  <si>
    <t>1963 JUL 13</t>
  </si>
  <si>
    <t>1963 JUL 25</t>
  </si>
  <si>
    <t>1963 AUG 12</t>
  </si>
  <si>
    <t>1963 AUG 24</t>
  </si>
  <si>
    <t>1963 SEP 11</t>
  </si>
  <si>
    <t>1963 SEP 23</t>
  </si>
  <si>
    <t>1963 OCT 10</t>
  </si>
  <si>
    <t>1963 OCT 24</t>
  </si>
  <si>
    <t>1963 NOV 10</t>
  </si>
  <si>
    <t>1964 JAN 25</t>
  </si>
  <si>
    <t>1964 FEB 16</t>
  </si>
  <si>
    <t>1964 MAR 19</t>
  </si>
  <si>
    <t>1964 APR 11</t>
  </si>
  <si>
    <t>1964 APR 24</t>
  </si>
  <si>
    <t>1964 MAY 12</t>
  </si>
  <si>
    <t>1964 MAY 28</t>
  </si>
  <si>
    <t>1964 JUN 10</t>
  </si>
  <si>
    <t>1964 JUN 30</t>
  </si>
  <si>
    <t>1964 JUL 12</t>
  </si>
  <si>
    <t>1964 JUL 30</t>
  </si>
  <si>
    <t>1964 AUG 10</t>
  </si>
  <si>
    <t>1964 AUG 29</t>
  </si>
  <si>
    <t>1964 SEP 10</t>
  </si>
  <si>
    <t>1964 SEP 29</t>
  </si>
  <si>
    <t>1964 OCT 12</t>
  </si>
  <si>
    <t>1964 OCT 30</t>
  </si>
  <si>
    <t>1964 NOV 17</t>
  </si>
  <si>
    <t>1965 FEB 3</t>
  </si>
  <si>
    <t>1965 FEB 15</t>
  </si>
  <si>
    <t>1965 MAR 1</t>
  </si>
  <si>
    <t>1965 MAR 26</t>
  </si>
  <si>
    <t>1965 APR 4</t>
  </si>
  <si>
    <t>1965 MAY 1</t>
  </si>
  <si>
    <t>1965 MAY 13</t>
  </si>
  <si>
    <t>1965 MAY 29</t>
  </si>
  <si>
    <t>1965 JUN 13</t>
  </si>
  <si>
    <t>1965 JUN 28</t>
  </si>
  <si>
    <t>1965 JUL 13</t>
  </si>
  <si>
    <t>1965 JUL 27</t>
  </si>
  <si>
    <t>1965 AUG 12</t>
  </si>
  <si>
    <t>1965 AUG 26</t>
  </si>
  <si>
    <t>1965 SEP 12</t>
  </si>
  <si>
    <t>1965 SEP 25</t>
  </si>
  <si>
    <t>1965 OCT 14</t>
  </si>
  <si>
    <t>1965 OCT 28</t>
  </si>
  <si>
    <t>1965 NOV 16</t>
  </si>
  <si>
    <t>1966 FEB 9</t>
  </si>
  <si>
    <t>1966 FEB 26</t>
  </si>
  <si>
    <t>1966 MAR 15</t>
  </si>
  <si>
    <t>1966 MAR 30</t>
  </si>
  <si>
    <t>1966 APR 21</t>
  </si>
  <si>
    <t>1966 MAY 6</t>
  </si>
  <si>
    <t>1966 MAY 20</t>
  </si>
  <si>
    <t>1966 JUN 3</t>
  </si>
  <si>
    <t>1966 JUN 18</t>
  </si>
  <si>
    <t>1966 JUL 6</t>
  </si>
  <si>
    <t>1966 JUL 18</t>
  </si>
  <si>
    <t>1966 AUG 5</t>
  </si>
  <si>
    <t>1966 AUG 18</t>
  </si>
  <si>
    <t>1966 SEP 6</t>
  </si>
  <si>
    <t>1966 SEP 18</t>
  </si>
  <si>
    <t>1966 OCT 6</t>
  </si>
  <si>
    <t>1966 OCT 21</t>
  </si>
  <si>
    <t>1966 NOV 9</t>
  </si>
  <si>
    <t>1967 JAN 16</t>
  </si>
  <si>
    <t>1967 FEB 17</t>
  </si>
  <si>
    <t>1967 MAR 7</t>
  </si>
  <si>
    <t>1967 MAR 21</t>
  </si>
  <si>
    <t>1967 APR 8</t>
  </si>
  <si>
    <t>1967 APR 21</t>
  </si>
  <si>
    <t>1967 MAY 7</t>
  </si>
  <si>
    <t>1967 MAY 22</t>
  </si>
  <si>
    <t>1967 JUN 6</t>
  </si>
  <si>
    <t>1967 JUN 23</t>
  </si>
  <si>
    <t>1967 JUL 6</t>
  </si>
  <si>
    <t>1967 JUL 24</t>
  </si>
  <si>
    <t>1967 AUG 6</t>
  </si>
  <si>
    <t>1967 AUG 21</t>
  </si>
  <si>
    <t>1967 SEP 6</t>
  </si>
  <si>
    <t>1967 SEP 21</t>
  </si>
  <si>
    <t>1967 OCT 4</t>
  </si>
  <si>
    <t>1967 OCT 27</t>
  </si>
  <si>
    <t>1967 NOV 6</t>
  </si>
  <si>
    <t>1968 JAN 20</t>
  </si>
  <si>
    <t>1968 FEB 3</t>
  </si>
  <si>
    <t>1968 FEB 24</t>
  </si>
  <si>
    <t>1968 MAR 8</t>
  </si>
  <si>
    <t>1968 MAR 27</t>
  </si>
  <si>
    <t>1968 APR 7</t>
  </si>
  <si>
    <t>1968 APR 26</t>
  </si>
  <si>
    <t>1968 MAY 14</t>
  </si>
  <si>
    <t>1968 MAY 26</t>
  </si>
  <si>
    <t>1968 JUN 10</t>
  </si>
  <si>
    <t>1968 JUN 26</t>
  </si>
  <si>
    <t>1968 JUL 12</t>
  </si>
  <si>
    <t>1968 JUL 26</t>
  </si>
  <si>
    <t>1968 AUG 14</t>
  </si>
  <si>
    <t>1968 AUG 25</t>
  </si>
  <si>
    <t>1968 SEP 15</t>
  </si>
  <si>
    <t>1968 SEP 27</t>
  </si>
  <si>
    <t>1968 OCT 16</t>
  </si>
  <si>
    <t>1968 OCT 29</t>
  </si>
  <si>
    <t>1968 NOV 24</t>
  </si>
  <si>
    <t>1969 JAN 14</t>
  </si>
  <si>
    <t>1969 JAN 29</t>
  </si>
  <si>
    <t>1969 FEB 19</t>
  </si>
  <si>
    <t>1969 MAR 8</t>
  </si>
  <si>
    <t>1969 MAR 21</t>
  </si>
  <si>
    <t>1969 APR 7</t>
  </si>
  <si>
    <t>1969 APR 24</t>
  </si>
  <si>
    <t>1969 MAY 11</t>
  </si>
  <si>
    <t>1969 MAY 23</t>
  </si>
  <si>
    <t>1969 JUN 9</t>
  </si>
  <si>
    <t>1969 JUN 22</t>
  </si>
  <si>
    <t>1969 JUL 8</t>
  </si>
  <si>
    <t>1969 JUL 22</t>
  </si>
  <si>
    <t>1969 AUG 7</t>
  </si>
  <si>
    <t>1969 AUG 21</t>
  </si>
  <si>
    <t>1969 SEP 8</t>
  </si>
  <si>
    <t>1969 SEP 23</t>
  </si>
  <si>
    <t>1969 OCT 8</t>
  </si>
  <si>
    <t>1969 OCT 25</t>
  </si>
  <si>
    <t>1969 NOV 9</t>
  </si>
  <si>
    <t>1969 NOV 23</t>
  </si>
  <si>
    <t>1970 JAN 18</t>
  </si>
  <si>
    <t>1970 FEB 7</t>
  </si>
  <si>
    <t>1970 FEB 21</t>
  </si>
  <si>
    <t>1970 MAR 14</t>
  </si>
  <si>
    <t>1970 APR 6</t>
  </si>
  <si>
    <t>1970 APR 21</t>
  </si>
  <si>
    <t>1970 MAY 7</t>
  </si>
  <si>
    <t>1970 MAY 25</t>
  </si>
  <si>
    <t>1970 JUN 6</t>
  </si>
  <si>
    <t>1970 JUN 25</t>
  </si>
  <si>
    <t>1970 JUL 8</t>
  </si>
  <si>
    <t>1970 JUL 25</t>
  </si>
  <si>
    <t>1970 SEP 6</t>
  </si>
  <si>
    <t>1970 SEP 23</t>
  </si>
  <si>
    <t>1970 OCT 22</t>
  </si>
  <si>
    <t>1970 NOV 8</t>
  </si>
  <si>
    <t>1970 NOV 22</t>
  </si>
  <si>
    <t>1971 JAN 29</t>
  </si>
  <si>
    <t>1971 FEB 4</t>
  </si>
  <si>
    <t>1971 FEB 27</t>
  </si>
  <si>
    <t>1971 MAR 16</t>
  </si>
  <si>
    <t>1971 MAR 31</t>
  </si>
  <si>
    <t>1971 APR 17</t>
  </si>
  <si>
    <t>1971 APR 28</t>
  </si>
  <si>
    <t>1971 MAY 19</t>
  </si>
  <si>
    <t>1971 MAY 31</t>
  </si>
  <si>
    <t>1971 JUN 16</t>
  </si>
  <si>
    <t>1971 JUN 30</t>
  </si>
  <si>
    <t>1971 JUL 16</t>
  </si>
  <si>
    <t>1971 JUL 30</t>
  </si>
  <si>
    <t>1971 AUG 29</t>
  </si>
  <si>
    <t>1971 SEP 14</t>
  </si>
  <si>
    <t>1971 SEP 29</t>
  </si>
  <si>
    <t>1971 OCT 14</t>
  </si>
  <si>
    <t>1971 NOV 1</t>
  </si>
  <si>
    <t>1971 NOV 12</t>
  </si>
  <si>
    <t>1972 JAN 17</t>
  </si>
  <si>
    <t>1972 FEB 5</t>
  </si>
  <si>
    <t>1972 FEB 23</t>
  </si>
  <si>
    <t>1972 MAR 18</t>
  </si>
  <si>
    <t>1972 APR 4</t>
  </si>
  <si>
    <t>1972 APR 22</t>
  </si>
  <si>
    <t>1972 MAY 9</t>
  </si>
  <si>
    <t>1972 MAY 22</t>
  </si>
  <si>
    <t>1972 JUN 7</t>
  </si>
  <si>
    <t>1972 JUN 21</t>
  </si>
  <si>
    <t>1972 JUL 7</t>
  </si>
  <si>
    <t>1972 AUG 7</t>
  </si>
  <si>
    <t>1972 AUG 20</t>
  </si>
  <si>
    <t>1972 SEP 19</t>
  </si>
  <si>
    <t>1972 OCT 21</t>
  </si>
  <si>
    <t>1972 NOV 6</t>
  </si>
  <si>
    <t>1972 NOV 20</t>
  </si>
  <si>
    <t>1973 JAN 7</t>
  </si>
  <si>
    <t>1973 JAN 27</t>
  </si>
  <si>
    <t>1973 FEB 12</t>
  </si>
  <si>
    <t>1973 MAR 4</t>
  </si>
  <si>
    <t>1973 MAR 24</t>
  </si>
  <si>
    <t>1973 MAY 3</t>
  </si>
  <si>
    <t>1973 MAY 17</t>
  </si>
  <si>
    <t>1973 JUN 3</t>
  </si>
  <si>
    <t>1973 JUN 17</t>
  </si>
  <si>
    <t>1973 JUL 3</t>
  </si>
  <si>
    <t>1973 JUL 18</t>
  </si>
  <si>
    <t>1973 AUG 2</t>
  </si>
  <si>
    <t>1973 AUG 20</t>
  </si>
  <si>
    <t>1973 SEP 1</t>
  </si>
  <si>
    <t>1973 SEP 18</t>
  </si>
  <si>
    <t>1973 OCT 2</t>
  </si>
  <si>
    <t>1973 OCT 17</t>
  </si>
  <si>
    <t>1973 OCT 30</t>
  </si>
  <si>
    <t>1973 NOV 16</t>
  </si>
  <si>
    <t>1974 FEB 4</t>
  </si>
  <si>
    <t>1974 FEB 22</t>
  </si>
  <si>
    <t>1974 MAR 14</t>
  </si>
  <si>
    <t>1974 MAR 25</t>
  </si>
  <si>
    <t>1974 APR 13</t>
  </si>
  <si>
    <t>1974 MAY 12</t>
  </si>
  <si>
    <t>1974 MAY 25</t>
  </si>
  <si>
    <t>1974 JUN 12</t>
  </si>
  <si>
    <t>1974 JUN 23</t>
  </si>
  <si>
    <t>1974 JUL 13</t>
  </si>
  <si>
    <t>1974 JUL 25</t>
  </si>
  <si>
    <t>1974 AUG 12</t>
  </si>
  <si>
    <t>1974 AUG 23</t>
  </si>
  <si>
    <t>1974 SEP 11</t>
  </si>
  <si>
    <t>1974 SEP 25</t>
  </si>
  <si>
    <t>1974 OCT 10</t>
  </si>
  <si>
    <t>1974 OCT 25</t>
  </si>
  <si>
    <t>1974 NOV 11</t>
  </si>
  <si>
    <t>1975 JAN 16</t>
  </si>
  <si>
    <t>1975 JAN 28</t>
  </si>
  <si>
    <t>1975 FEB 12</t>
  </si>
  <si>
    <t>1975 FEB 26</t>
  </si>
  <si>
    <t>1975 MAR 16</t>
  </si>
  <si>
    <t>1975 MAR 31</t>
  </si>
  <si>
    <t>1975 APR 14</t>
  </si>
  <si>
    <t>1975 MAY 4</t>
  </si>
  <si>
    <t>1975 MAY 16</t>
  </si>
  <si>
    <t>1975 JUN 4</t>
  </si>
  <si>
    <t>1975 JUN 15</t>
  </si>
  <si>
    <t>1975 JUL 2</t>
  </si>
  <si>
    <t>1975 JUL 16</t>
  </si>
  <si>
    <t>1975 AUG 2</t>
  </si>
  <si>
    <t>1975 AUG 15</t>
  </si>
  <si>
    <t>1975 SEP 1</t>
  </si>
  <si>
    <t>1975 SEP 13</t>
  </si>
  <si>
    <t>1975 OCT 2</t>
  </si>
  <si>
    <t>1975 OCT 16</t>
  </si>
  <si>
    <t>1975 OCT 31</t>
  </si>
  <si>
    <t>1975 NOV 16</t>
  </si>
  <si>
    <t>1976 JAN 7</t>
  </si>
  <si>
    <t>1976 FEB 5</t>
  </si>
  <si>
    <t>1976 FEB 18</t>
  </si>
  <si>
    <t>1976 MAR 4</t>
  </si>
  <si>
    <t>1976 MAR 30</t>
  </si>
  <si>
    <t>1976 APR 9</t>
  </si>
  <si>
    <t>1976 APR 26</t>
  </si>
  <si>
    <t>1976 MAY 11</t>
  </si>
  <si>
    <t>1976 MAY 28</t>
  </si>
  <si>
    <t>1976 JUN 10</t>
  </si>
  <si>
    <t>1976 JUL 13</t>
  </si>
  <si>
    <t>1976 AUG 12</t>
  </si>
  <si>
    <t>1976 AUG 25</t>
  </si>
  <si>
    <t>1976 SEP 9</t>
  </si>
  <si>
    <t>1976 SEP 24</t>
  </si>
  <si>
    <t>1976 OCT 12</t>
  </si>
  <si>
    <t>1976 OCT 27</t>
  </si>
  <si>
    <t>1976 NOV 13</t>
  </si>
  <si>
    <t>1977 JAN 24</t>
  </si>
  <si>
    <t>1977 FEB 6</t>
  </si>
  <si>
    <t>1977 FEB 22</t>
  </si>
  <si>
    <t>1977 MAR 18</t>
  </si>
  <si>
    <t>1977 MAR 30</t>
  </si>
  <si>
    <t>1977 APR 18</t>
  </si>
  <si>
    <t>1977 MAY 4</t>
  </si>
  <si>
    <t>1977 MAY 21</t>
  </si>
  <si>
    <t>1977 JUN 3</t>
  </si>
  <si>
    <t>1977 JUN 20</t>
  </si>
  <si>
    <t>1977 JUL 8</t>
  </si>
  <si>
    <t>1977 JUL 20</t>
  </si>
  <si>
    <t>1977 AUG 8</t>
  </si>
  <si>
    <t>1977 AUG 21</t>
  </si>
  <si>
    <t>1977 SEP 8</t>
  </si>
  <si>
    <t>1977 SEP 22</t>
  </si>
  <si>
    <t>1977 OCT 8</t>
  </si>
  <si>
    <t>1977 NOV 11</t>
  </si>
  <si>
    <t>1978 FEB 18</t>
  </si>
  <si>
    <t>1978 MAR 11</t>
  </si>
  <si>
    <t>1978 MAR 22</t>
  </si>
  <si>
    <t>1978 APR 9</t>
  </si>
  <si>
    <t>1978 APR 25</t>
  </si>
  <si>
    <t>1978 MAY 12</t>
  </si>
  <si>
    <t>1978 MAY 28</t>
  </si>
  <si>
    <t>1978 JUN 9</t>
  </si>
  <si>
    <t>1978 JUN 27</t>
  </si>
  <si>
    <t>1978 JUL 9</t>
  </si>
  <si>
    <t>1978 JUL 29</t>
  </si>
  <si>
    <t>1978 AUG 12</t>
  </si>
  <si>
    <t>1978 AUG 28</t>
  </si>
  <si>
    <t>1978 SEP 8</t>
  </si>
  <si>
    <t>1978 OCT 11</t>
  </si>
  <si>
    <t>1978 NOV 14</t>
  </si>
  <si>
    <t>1979 JAN 26</t>
  </si>
  <si>
    <t>1979 FEB 11</t>
  </si>
  <si>
    <t>1979 MAR 25</t>
  </si>
  <si>
    <t>1979 APR 6</t>
  </si>
  <si>
    <t>1979 APR 27</t>
  </si>
  <si>
    <t>1979 MAY 13</t>
  </si>
  <si>
    <t>1979 MAY 28</t>
  </si>
  <si>
    <t>1979 JUN 13</t>
  </si>
  <si>
    <t>1979 JUN 25</t>
  </si>
  <si>
    <t>1979 JUL 26</t>
  </si>
  <si>
    <t>1979 AUG 13</t>
  </si>
  <si>
    <t>1979 AUG 25</t>
  </si>
  <si>
    <t>1979 SEP 12</t>
  </si>
  <si>
    <t>1979 OCT 12</t>
  </si>
  <si>
    <t>1979 OCT 23</t>
  </si>
  <si>
    <t>1980 JAN 24</t>
  </si>
  <si>
    <t>1980 FEB 10</t>
  </si>
  <si>
    <t>1980 FEB 23</t>
  </si>
  <si>
    <t>1980 MAR 17</t>
  </si>
  <si>
    <t>1980 APR 3</t>
  </si>
  <si>
    <t>1980 APR 20</t>
  </si>
  <si>
    <t>1980 MAY 10</t>
  </si>
  <si>
    <t>1980 MAY 18</t>
  </si>
  <si>
    <t>1980 JUN 5</t>
  </si>
  <si>
    <t>1980 JUN 17</t>
  </si>
  <si>
    <t>1980 JUL 7</t>
  </si>
  <si>
    <t>1980 JUL 19</t>
  </si>
  <si>
    <t>1980 AUG 6</t>
  </si>
  <si>
    <t>1980 AUG 19</t>
  </si>
  <si>
    <t>1980 SEP 5</t>
  </si>
  <si>
    <t>1980 SEP 20</t>
  </si>
  <si>
    <t>1980 OCT 6</t>
  </si>
  <si>
    <t>1980 OCT 19</t>
  </si>
  <si>
    <t>1980 NOV 4</t>
  </si>
  <si>
    <t>1981 FEB 8</t>
  </si>
  <si>
    <t>1981 FEB 17</t>
  </si>
  <si>
    <t>1981 MAR 12</t>
  </si>
  <si>
    <t>1981 MAR 31</t>
  </si>
  <si>
    <t>1981 APR 14</t>
  </si>
  <si>
    <t>1981 MAY 3</t>
  </si>
  <si>
    <t>1981 MAY 15</t>
  </si>
  <si>
    <t>1981 JUN 3</t>
  </si>
  <si>
    <t>1981 JUN 17</t>
  </si>
  <si>
    <t>1981 JUL 2</t>
  </si>
  <si>
    <t>1981 JUL 18</t>
  </si>
  <si>
    <t>1981 JUL 31</t>
  </si>
  <si>
    <t>1981 AUG 30</t>
  </si>
  <si>
    <t>1981 SEP 17</t>
  </si>
  <si>
    <t>1981 OCT 1</t>
  </si>
  <si>
    <t>1981 OCT 18</t>
  </si>
  <si>
    <t>1981 NOV 1</t>
  </si>
  <si>
    <t>1981 NOV 17</t>
  </si>
  <si>
    <t>1982 JAN 30</t>
  </si>
  <si>
    <t>1982 FEB 28</t>
  </si>
  <si>
    <t>1982 MAR 13</t>
  </si>
  <si>
    <t>1982 MAR 28</t>
  </si>
  <si>
    <t>1982 APR 16</t>
  </si>
  <si>
    <t>1982 APR 28</t>
  </si>
  <si>
    <t>1982 MAY 18</t>
  </si>
  <si>
    <t>1982 MAY 31</t>
  </si>
  <si>
    <t>1982 JUN 18</t>
  </si>
  <si>
    <t>1982 JUL 2</t>
  </si>
  <si>
    <t>1982 JUL 18</t>
  </si>
  <si>
    <t>1982 JUL 31</t>
  </si>
  <si>
    <t>1982 AUG 16</t>
  </si>
  <si>
    <t>1982 SEP 1</t>
  </si>
  <si>
    <t>1982 SEP 15</t>
  </si>
  <si>
    <t>1982 OCT 1</t>
  </si>
  <si>
    <t>1982 OCT 17</t>
  </si>
  <si>
    <t>1982 NOV 2</t>
  </si>
  <si>
    <t>1982 NOV 15</t>
  </si>
  <si>
    <t>1983 JAN 21</t>
  </si>
  <si>
    <t>1983 FEB 7</t>
  </si>
  <si>
    <t>1983 FEB 22</t>
  </si>
  <si>
    <t>1983 MAR 11</t>
  </si>
  <si>
    <t>1983 MAR 25</t>
  </si>
  <si>
    <t>1983 APR 13</t>
  </si>
  <si>
    <t>1983 APR 27</t>
  </si>
  <si>
    <t>1983 JUN 2</t>
  </si>
  <si>
    <t>1983 JUN 13</t>
  </si>
  <si>
    <t>1983 JUL 3</t>
  </si>
  <si>
    <t>1983 JUL 14</t>
  </si>
  <si>
    <t>1983 AUG 2</t>
  </si>
  <si>
    <t>1983 AUG 13</t>
  </si>
  <si>
    <t>1983 SEP 2</t>
  </si>
  <si>
    <t>1983 SEP 15</t>
  </si>
  <si>
    <t>1983 OCT 1</t>
  </si>
  <si>
    <t>1983 OCT 14</t>
  </si>
  <si>
    <t>1983 OCT 31</t>
  </si>
  <si>
    <t>1983 NOV 16</t>
  </si>
  <si>
    <t>1984 JAN 25</t>
  </si>
  <si>
    <t>1984 FEB 13</t>
  </si>
  <si>
    <t>1984 FEB 29</t>
  </si>
  <si>
    <t>1984 MAR 20</t>
  </si>
  <si>
    <t>1984 APR 19</t>
  </si>
  <si>
    <t>1984 MAY 2</t>
  </si>
  <si>
    <t>1984 MAY 21</t>
  </si>
  <si>
    <t>1984 JUN 2</t>
  </si>
  <si>
    <t>1984 JUN 20</t>
  </si>
  <si>
    <t>1984 JUL 2</t>
  </si>
  <si>
    <t>1984 JUL 19</t>
  </si>
  <si>
    <t>1984 AUG 1</t>
  </si>
  <si>
    <t>1984 AUG 19</t>
  </si>
  <si>
    <t>1984 SEP 1</t>
  </si>
  <si>
    <t>1984 SEP 18</t>
  </si>
  <si>
    <t>1984 OCT 2</t>
  </si>
  <si>
    <t>1984 OCT 18</t>
  </si>
  <si>
    <t>1984 NOV 1</t>
  </si>
  <si>
    <t>1984 NOV 18</t>
  </si>
  <si>
    <t>1985 JAN 30</t>
  </si>
  <si>
    <t>1985 FEB 11</t>
  </si>
  <si>
    <t>1985 FEB 24</t>
  </si>
  <si>
    <t>1985 MAR 14</t>
  </si>
  <si>
    <t>1985 MAR 26</t>
  </si>
  <si>
    <t>1985 APR 14</t>
  </si>
  <si>
    <t>1985 APR 25</t>
  </si>
  <si>
    <t>1985 MAY 13</t>
  </si>
  <si>
    <t>1985 MAY 27</t>
  </si>
  <si>
    <t>1985 JUN 11</t>
  </si>
  <si>
    <t>1985 JUN 25</t>
  </si>
  <si>
    <t>1985 JUL 12</t>
  </si>
  <si>
    <t>1985 JUL 25</t>
  </si>
  <si>
    <t>1985 AUG 11</t>
  </si>
  <si>
    <t>1985 AUG 24</t>
  </si>
  <si>
    <t>1985 SEP 10</t>
  </si>
  <si>
    <t>1985 SEP 26</t>
  </si>
  <si>
    <t>1985 OCT 10</t>
  </si>
  <si>
    <t>1985 OCT 25</t>
  </si>
  <si>
    <t>1985 NOV 8</t>
  </si>
  <si>
    <t>1986 JAN 22</t>
  </si>
  <si>
    <t>1986 FEB 10</t>
  </si>
  <si>
    <t>1986 FEB 25</t>
  </si>
  <si>
    <t>1986 MAR 13</t>
  </si>
  <si>
    <t>1986 MAR 28</t>
  </si>
  <si>
    <t>1986 APR 11</t>
  </si>
  <si>
    <t>1986 MAY 1</t>
  </si>
  <si>
    <t>1986 MAY 13</t>
  </si>
  <si>
    <t>1986 MAY 30</t>
  </si>
  <si>
    <t>1986 JUN 12</t>
  </si>
  <si>
    <t>1986 JUN 30</t>
  </si>
  <si>
    <t>1986 JUL 13</t>
  </si>
  <si>
    <t>1986 JUL 30</t>
  </si>
  <si>
    <t>1986 AUG 12</t>
  </si>
  <si>
    <t>1986 AUG 30</t>
  </si>
  <si>
    <t>1986 SEP 11</t>
  </si>
  <si>
    <t>1986 SEP 28</t>
  </si>
  <si>
    <t>1986 OCT 12</t>
  </si>
  <si>
    <t>1986 OCT 29</t>
  </si>
  <si>
    <t>1986 NOV 12</t>
  </si>
  <si>
    <t>1986 NOV 28</t>
  </si>
  <si>
    <t>1987 JAN 12</t>
  </si>
  <si>
    <t>1987 FEB 2</t>
  </si>
  <si>
    <t>1987 FEB 20</t>
  </si>
  <si>
    <t>1987 MAR 7</t>
  </si>
  <si>
    <t>1987 MAR 26</t>
  </si>
  <si>
    <t>1987 APR 9</t>
  </si>
  <si>
    <t>1987 APR 26</t>
  </si>
  <si>
    <t>1987 MAY 10</t>
  </si>
  <si>
    <t>1987 MAY 26</t>
  </si>
  <si>
    <t>1987 JUN 10</t>
  </si>
  <si>
    <t>1987 JUN 24</t>
  </si>
  <si>
    <t>1987 JUL 10</t>
  </si>
  <si>
    <t>1987 JUL 25</t>
  </si>
  <si>
    <t>1987 AUG 9</t>
  </si>
  <si>
    <t>1987 AUG 23</t>
  </si>
  <si>
    <t>1987 SEP 9</t>
  </si>
  <si>
    <t>1987 SEP 24</t>
  </si>
  <si>
    <t>1987 OCT 9</t>
  </si>
  <si>
    <t>1987 OCT 21</t>
  </si>
  <si>
    <t>1987 NOV 9</t>
  </si>
  <si>
    <t>1987 NOV 23</t>
  </si>
  <si>
    <t>1988 JAN 20</t>
  </si>
  <si>
    <t>1988 FEB 6</t>
  </si>
  <si>
    <t>1988 FEB 21</t>
  </si>
  <si>
    <t>1988 MAR 6</t>
  </si>
  <si>
    <t>1988 MAR 23</t>
  </si>
  <si>
    <t>1988 APR 8</t>
  </si>
  <si>
    <t>1988 APR 21</t>
  </si>
  <si>
    <t>1988 MAY 7</t>
  </si>
  <si>
    <t>1988 MAY 21</t>
  </si>
  <si>
    <t>1988 JUN 7</t>
  </si>
  <si>
    <t>1988 JUN 19</t>
  </si>
  <si>
    <t>1988 JUL 20</t>
  </si>
  <si>
    <t>1988 OCT 4</t>
  </si>
  <si>
    <t>1988 OCT 19</t>
  </si>
  <si>
    <t>1988 NOV 2</t>
  </si>
  <si>
    <t>1989 JAN 14</t>
  </si>
  <si>
    <t>1989 JAN 25</t>
  </si>
  <si>
    <t>1989 FEB 13</t>
  </si>
  <si>
    <t>1989 FEB 26</t>
  </si>
  <si>
    <t>1989 MAR 13</t>
  </si>
  <si>
    <t>1989 MAR 29</t>
  </si>
  <si>
    <t>1989 APR 12</t>
  </si>
  <si>
    <t>1989 MAY 2</t>
  </si>
  <si>
    <t>1989 MAY 13</t>
  </si>
  <si>
    <t>1989 MAY 30</t>
  </si>
  <si>
    <t>1989 JUN 30</t>
  </si>
  <si>
    <t>1989 JUL 13</t>
  </si>
  <si>
    <t>1989 JUL 31</t>
  </si>
  <si>
    <t>1989 AUG 14</t>
  </si>
  <si>
    <t>1989 AUG 30</t>
  </si>
  <si>
    <t>1989 SEP 14</t>
  </si>
  <si>
    <t>1989 SEP 29</t>
  </si>
  <si>
    <t>1989 OCT 15</t>
  </si>
  <si>
    <t>1989 OCT 28</t>
  </si>
  <si>
    <t>1989 NOV 16</t>
  </si>
  <si>
    <t>1989 NOV 26</t>
  </si>
  <si>
    <t>1990 JAN 24</t>
  </si>
  <si>
    <t>1990 FEB 11</t>
  </si>
  <si>
    <t>1990 FEB 26</t>
  </si>
  <si>
    <t>1990 MAR 16</t>
  </si>
  <si>
    <t>1990 MAR 29</t>
  </si>
  <si>
    <t>1990 APR 14</t>
  </si>
  <si>
    <t>1990 APR 30</t>
  </si>
  <si>
    <t>1990 MAY 16</t>
  </si>
  <si>
    <t>1990 MAY 29</t>
  </si>
  <si>
    <t>1990 JUN 13</t>
  </si>
  <si>
    <t>1990 JUN 27</t>
  </si>
  <si>
    <t>1990 JUL 15</t>
  </si>
  <si>
    <t>1990 JUL 27</t>
  </si>
  <si>
    <t>1990 AUG 13</t>
  </si>
  <si>
    <t>1990 AUG 26</t>
  </si>
  <si>
    <t>1990 SEP 13</t>
  </si>
  <si>
    <t>1990 SEP 26</t>
  </si>
  <si>
    <t>1990 OCT 11</t>
  </si>
  <si>
    <t>1990 OCT 25</t>
  </si>
  <si>
    <t>1990 NOV 9</t>
  </si>
  <si>
    <t>1990 NOV 22</t>
  </si>
  <si>
    <t>1991 JAN 5</t>
  </si>
  <si>
    <t>1991 JAN 29</t>
  </si>
  <si>
    <t>1991 FEB 15</t>
  </si>
  <si>
    <t>1991 FEB 28</t>
  </si>
  <si>
    <t>1991 MAR 17</t>
  </si>
  <si>
    <t>1991 APR 2</t>
  </si>
  <si>
    <t>1991 APR 17</t>
  </si>
  <si>
    <t>1991 MAY 2</t>
  </si>
  <si>
    <t>1991 MAY 17</t>
  </si>
  <si>
    <t>1991 JUN 3</t>
  </si>
  <si>
    <t>1991 JUN 16</t>
  </si>
  <si>
    <t>1991 JUL 3</t>
  </si>
  <si>
    <t>1991 JUL 16</t>
  </si>
  <si>
    <t>1991 AUG 2</t>
  </si>
  <si>
    <t>1991 AUG 15</t>
  </si>
  <si>
    <t>1991 SEP 1</t>
  </si>
  <si>
    <t>1991 SEP 14</t>
  </si>
  <si>
    <t>1991 OCT 3</t>
  </si>
  <si>
    <t>1991 OCT 16</t>
  </si>
  <si>
    <t>1991 NOV 2</t>
  </si>
  <si>
    <t>1991 NOV 15</t>
  </si>
  <si>
    <t>1992 FEB 8</t>
  </si>
  <si>
    <t>1992 FEB 28</t>
  </si>
  <si>
    <t>1992 MAR 11</t>
  </si>
  <si>
    <t>1992 MAR 30</t>
  </si>
  <si>
    <t>1992 APR 10</t>
  </si>
  <si>
    <t>1992 APR 30</t>
  </si>
  <si>
    <t>1992 MAY 14</t>
  </si>
  <si>
    <t>1992 MAY 29</t>
  </si>
  <si>
    <t>1992 JUN 13</t>
  </si>
  <si>
    <t>1992 JUN 29</t>
  </si>
  <si>
    <t>1992 JUL 14</t>
  </si>
  <si>
    <t>1992 JUL 29</t>
  </si>
  <si>
    <t>1992 AUG 13</t>
  </si>
  <si>
    <t>1992 AUG 26</t>
  </si>
  <si>
    <t>1992 SEP 13</t>
  </si>
  <si>
    <t>1992 SEP 26</t>
  </si>
  <si>
    <t>1992 OCT 13</t>
  </si>
  <si>
    <t>1992 OCT 25</t>
  </si>
  <si>
    <t>1992 NOV 12</t>
  </si>
  <si>
    <t>1992 NOV 26</t>
  </si>
  <si>
    <t>1993 JAN 22</t>
  </si>
  <si>
    <t>1993 FEB 6</t>
  </si>
  <si>
    <t>1993 FEB 23</t>
  </si>
  <si>
    <t>1993 MAR 13</t>
  </si>
  <si>
    <t>1993 MAR 27</t>
  </si>
  <si>
    <t>1993 APR 14</t>
  </si>
  <si>
    <t>1993 APR 26</t>
  </si>
  <si>
    <t>1993 MAY 13</t>
  </si>
  <si>
    <t>1993 MAY 26</t>
  </si>
  <si>
    <t>1993 JUN 11</t>
  </si>
  <si>
    <t>1993 AUG 10</t>
  </si>
  <si>
    <t>1993 AUG 25</t>
  </si>
  <si>
    <t>1993 SEP 24</t>
  </si>
  <si>
    <t>1993 OCT 25</t>
  </si>
  <si>
    <t>1993 NOV 25</t>
  </si>
  <si>
    <t>1993 DEC 5</t>
  </si>
  <si>
    <t>1994 JAN 16</t>
  </si>
  <si>
    <t>1994 FEB 5</t>
  </si>
  <si>
    <t>1994 FEB 17</t>
  </si>
  <si>
    <t>1994 MAR 7</t>
  </si>
  <si>
    <t>1994 MAR 21</t>
  </si>
  <si>
    <t>1994 APR 6</t>
  </si>
  <si>
    <t>1994 APR 19</t>
  </si>
  <si>
    <t>1994 MAY 8</t>
  </si>
  <si>
    <t>1994 MAY 22</t>
  </si>
  <si>
    <t>1994 JUN 6</t>
  </si>
  <si>
    <t>1994 JUN 20</t>
  </si>
  <si>
    <t>1994 JUL 7</t>
  </si>
  <si>
    <t>1994 JUL 20</t>
  </si>
  <si>
    <t>1994 AUG 5</t>
  </si>
  <si>
    <t>1994 AUG 20</t>
  </si>
  <si>
    <t>1994 SEP 4</t>
  </si>
  <si>
    <t>1994 SEP 19</t>
  </si>
  <si>
    <t>1994 OCT 6</t>
  </si>
  <si>
    <t>1994 OCT 20</t>
  </si>
  <si>
    <t>1994 NOV 3</t>
  </si>
  <si>
    <t>1994 NOV 20</t>
  </si>
  <si>
    <t>1995 JAN 12</t>
  </si>
  <si>
    <t>1995 FEB 3</t>
  </si>
  <si>
    <t>1995 FEB 16</t>
  </si>
  <si>
    <t>1995 MAR 8</t>
  </si>
  <si>
    <t>1995 MAR 19</t>
  </si>
  <si>
    <t>1995 APR 22</t>
  </si>
  <si>
    <t>1995 MAY 6</t>
  </si>
  <si>
    <t>1995 MAY 24</t>
  </si>
  <si>
    <t>1995 JUN 4</t>
  </si>
  <si>
    <t>1995 JUN 24</t>
  </si>
  <si>
    <t>1995 JUL 4</t>
  </si>
  <si>
    <t>1995 JUL 23</t>
  </si>
  <si>
    <t>1995 AUG 5</t>
  </si>
  <si>
    <t>1995 AUG 21</t>
  </si>
  <si>
    <t>1995 SEP 5</t>
  </si>
  <si>
    <t>1995 SEP 22</t>
  </si>
  <si>
    <t>1995 OCT 5</t>
  </si>
  <si>
    <t>1995 OCT 20</t>
  </si>
  <si>
    <t>1995 NOV 4</t>
  </si>
  <si>
    <t>1996 JAN 28</t>
  </si>
  <si>
    <t>1996 FEB 16</t>
  </si>
  <si>
    <t>1996 FEB 28</t>
  </si>
  <si>
    <t>1996 MAR 15</t>
  </si>
  <si>
    <t>1996 MAR 29</t>
  </si>
  <si>
    <t>1996 APR 17</t>
  </si>
  <si>
    <t>1996 APR 28</t>
  </si>
  <si>
    <t>1996 MAY 15</t>
  </si>
  <si>
    <t>1996 MAY 31</t>
  </si>
  <si>
    <t>1996 JUN 14</t>
  </si>
  <si>
    <t>1996 JUN 29</t>
  </si>
  <si>
    <t>1996 JUL 15</t>
  </si>
  <si>
    <t>1996 JUL 31</t>
  </si>
  <si>
    <t>1996 AUG 14</t>
  </si>
  <si>
    <t>1996 SEP 1</t>
  </si>
  <si>
    <t>1996 SEP 14</t>
  </si>
  <si>
    <t>1996 OCT 1</t>
  </si>
  <si>
    <t>1996 OCT 13</t>
  </si>
  <si>
    <t>1996 OCT 30</t>
  </si>
  <si>
    <t>1996 NOV 12</t>
  </si>
  <si>
    <t>1996 NOV 30</t>
  </si>
  <si>
    <t>1997 JAN 19</t>
  </si>
  <si>
    <t>1997 FEB 8</t>
  </si>
  <si>
    <t>1997 FEB 18</t>
  </si>
  <si>
    <t>1997 MAR 9</t>
  </si>
  <si>
    <t>1997 MAR 23</t>
  </si>
  <si>
    <t>1997 APR 9</t>
  </si>
  <si>
    <t>1997 APR 24</t>
  </si>
  <si>
    <t>1997 MAY 8</t>
  </si>
  <si>
    <t>1997 MAY 25</t>
  </si>
  <si>
    <t>1997 JUN 8</t>
  </si>
  <si>
    <t>1997 JUN 24</t>
  </si>
  <si>
    <t>1997 JUL 8</t>
  </si>
  <si>
    <t>1997 JUL 25</t>
  </si>
  <si>
    <t>1997 AUG 7</t>
  </si>
  <si>
    <t>1997 AUG 24</t>
  </si>
  <si>
    <t>1997 SEP 6</t>
  </si>
  <si>
    <t>1997 SEP 24</t>
  </si>
  <si>
    <t>1997 OCT 6</t>
  </si>
  <si>
    <t>1997 OCT 24</t>
  </si>
  <si>
    <t>1997 NOV 5</t>
  </si>
  <si>
    <t>1997 NOV 20</t>
  </si>
  <si>
    <t>1998 JAN 23</t>
  </si>
  <si>
    <t>1998 FEB 9</t>
  </si>
  <si>
    <t>1998 FEB 27</t>
  </si>
  <si>
    <t>1998 MAR 14</t>
  </si>
  <si>
    <t>1998 MAR 28</t>
  </si>
  <si>
    <t>1998 APR 12</t>
  </si>
  <si>
    <t>1998 APR 27</t>
  </si>
  <si>
    <t>1998 MAY 15</t>
  </si>
  <si>
    <t>1998 MAY 28</t>
  </si>
  <si>
    <t>1998 JUN 12</t>
  </si>
  <si>
    <t>1998 JUN 27</t>
  </si>
  <si>
    <t>1998 JUL 15</t>
  </si>
  <si>
    <t>1998 JUL 27</t>
  </si>
  <si>
    <t>1998 AUG 14</t>
  </si>
  <si>
    <t>1998 AUG 26</t>
  </si>
  <si>
    <t>1998 SEP 13</t>
  </si>
  <si>
    <t>1998 SEP 24</t>
  </si>
  <si>
    <t>1998 OCT 14</t>
  </si>
  <si>
    <t>1998 OCT 25</t>
  </si>
  <si>
    <t>1998 NOV 11</t>
  </si>
  <si>
    <t>1998 NOV 23</t>
  </si>
  <si>
    <t>1999 JAN 18</t>
  </si>
  <si>
    <t>1999 FEB 6</t>
  </si>
  <si>
    <t>1999 FEB 20</t>
  </si>
  <si>
    <t>1999 MAR 4</t>
  </si>
  <si>
    <t>1999 MAR 21</t>
  </si>
  <si>
    <t>1999 APR 8</t>
  </si>
  <si>
    <t>1999 APR 22</t>
  </si>
  <si>
    <t>1999 MAY 8</t>
  </si>
  <si>
    <t>1999 MAY 21</t>
  </si>
  <si>
    <t>1999 JUN 10</t>
  </si>
  <si>
    <t>1999 JUN 22</t>
  </si>
  <si>
    <t>1999 JUL 11</t>
  </si>
  <si>
    <t>1999 JUL 25</t>
  </si>
  <si>
    <t>1999 AUG 9</t>
  </si>
  <si>
    <t>1999 AUG 24</t>
  </si>
  <si>
    <t>1999 SEP 8</t>
  </si>
  <si>
    <t>1999 SEP 23</t>
  </si>
  <si>
    <t>1999 OCT 8</t>
  </si>
  <si>
    <t>1999 OCT 24</t>
  </si>
  <si>
    <t>1999 NOV 6</t>
  </si>
  <si>
    <t>1999 NOV 21</t>
  </si>
  <si>
    <t>1999 DEC 3</t>
  </si>
  <si>
    <t>2000 JAN 10</t>
  </si>
  <si>
    <t>2000 FEB 1</t>
  </si>
  <si>
    <t>2000 FEB 16</t>
  </si>
  <si>
    <t>2000 MAR 4</t>
  </si>
  <si>
    <t>2000 MAR 18</t>
  </si>
  <si>
    <t>2000 APR 6</t>
  </si>
  <si>
    <t>2000 MAY 1</t>
  </si>
  <si>
    <t>2000 MAY 15</t>
  </si>
  <si>
    <t>2000 MAY 31</t>
  </si>
  <si>
    <t>2000 JUN 14</t>
  </si>
  <si>
    <t>2000 JUL 1</t>
  </si>
  <si>
    <t>2000 JUL 17</t>
  </si>
  <si>
    <t>2000 JUL 31</t>
  </si>
  <si>
    <t>2000 AUG 15</t>
  </si>
  <si>
    <t>2000 AUG 29</t>
  </si>
  <si>
    <t>2000 SEP 15</t>
  </si>
  <si>
    <t>2000 SEP 29</t>
  </si>
  <si>
    <t>2000 OCT 15</t>
  </si>
  <si>
    <t>2000 OCT 30</t>
  </si>
  <si>
    <t>2000 NOV 19</t>
  </si>
  <si>
    <t>2001 JAN 22</t>
  </si>
  <si>
    <t>2001 FEB 7</t>
  </si>
  <si>
    <t>2001 FEB 24</t>
  </si>
  <si>
    <t>2001 MAR 13</t>
  </si>
  <si>
    <t>2001 MAR 28</t>
  </si>
  <si>
    <t>2001 APR 10</t>
  </si>
  <si>
    <t>2001 APR 28</t>
  </si>
  <si>
    <t>2001 MAY 16</t>
  </si>
  <si>
    <t>2001 JUN 14</t>
  </si>
  <si>
    <t>2001 JUL 15</t>
  </si>
  <si>
    <t>2001 JUL 29</t>
  </si>
  <si>
    <t>2001 AUG 14</t>
  </si>
  <si>
    <t>2001 SEP 14</t>
  </si>
  <si>
    <t>2001 SEP 30</t>
  </si>
  <si>
    <t>2001 OCT 13</t>
  </si>
  <si>
    <t>2001 OCT 29</t>
  </si>
  <si>
    <t>2001 NOV 10</t>
  </si>
  <si>
    <t>2001 DEC 1</t>
  </si>
  <si>
    <t>2002 JAN 26</t>
  </si>
  <si>
    <t>2002 FEB 12</t>
  </si>
  <si>
    <t>2002 FEB 25</t>
  </si>
  <si>
    <t>2002 MAR 12</t>
  </si>
  <si>
    <t>2002 MAR 30</t>
  </si>
  <si>
    <t>2002 APR 14</t>
  </si>
  <si>
    <t>2002 MAY 16</t>
  </si>
  <si>
    <t>2002 JUN 4</t>
  </si>
  <si>
    <t>2002 JUN 18</t>
  </si>
  <si>
    <t>2002 JUL 6</t>
  </si>
  <si>
    <t>2002 JUL 19</t>
  </si>
  <si>
    <t>2002 AUG 4</t>
  </si>
  <si>
    <t>2002 AUG 18</t>
  </si>
  <si>
    <t>2002 SEP 5</t>
  </si>
  <si>
    <t>2002 SEP 19</t>
  </si>
  <si>
    <t>2002 OCT 3</t>
  </si>
  <si>
    <t>2002 OCT 21</t>
  </si>
  <si>
    <t>2002 NOV 4</t>
  </si>
  <si>
    <t>2002 NOV 22</t>
  </si>
  <si>
    <t>2002 NOV 28</t>
  </si>
  <si>
    <t>2003 JAN 13</t>
  </si>
  <si>
    <t>2003 FEB 3</t>
  </si>
  <si>
    <t>2003 FEB 20</t>
  </si>
  <si>
    <t>2003 MAR 10</t>
  </si>
  <si>
    <t>2003 MAR 23</t>
  </si>
  <si>
    <t>2003 APR 9</t>
  </si>
  <si>
    <t>2003 APR 26</t>
  </si>
  <si>
    <t>2003 MAY 9</t>
  </si>
  <si>
    <t>2003 MAY 29</t>
  </si>
  <si>
    <t>2003 JUN 11</t>
  </si>
  <si>
    <t>2003 JUN 25</t>
  </si>
  <si>
    <t>2003 JUL 13</t>
  </si>
  <si>
    <t>2003 JUL 28</t>
  </si>
  <si>
    <t>2003 AUG 13</t>
  </si>
  <si>
    <t>2003 AUG 27</t>
  </si>
  <si>
    <t>2003 SEP 13</t>
  </si>
  <si>
    <t>2003 SEP 25</t>
  </si>
  <si>
    <t>2003 OCT 13</t>
  </si>
  <si>
    <t>2003 NOV 12</t>
  </si>
  <si>
    <t>2004 JAN 21</t>
  </si>
  <si>
    <t>2004 FEB 8</t>
  </si>
  <si>
    <t>2004 FEB 24</t>
  </si>
  <si>
    <t>2004 MAR 6</t>
  </si>
  <si>
    <t>2004 APR 10</t>
  </si>
  <si>
    <t>2004 APR 24</t>
  </si>
  <si>
    <t>2004 MAY 16</t>
  </si>
  <si>
    <t>2004 MAY 27</t>
  </si>
  <si>
    <t>2004 JUN 14</t>
  </si>
  <si>
    <t>2004 JUN 28</t>
  </si>
  <si>
    <t>2004 JUL 14</t>
  </si>
  <si>
    <t>2004 AUG 12</t>
  </si>
  <si>
    <t>2004 AUG 29</t>
  </si>
  <si>
    <t>2004 SEP 29</t>
  </si>
  <si>
    <t>2004 OCT 27</t>
  </si>
  <si>
    <t>2004 NOV 11</t>
  </si>
  <si>
    <t>2004 NOV 22</t>
  </si>
  <si>
    <t>2005 JAN 13</t>
  </si>
  <si>
    <t>2005 JAN 30</t>
  </si>
  <si>
    <t>2005 FEB 17</t>
  </si>
  <si>
    <t>2005 MAR 20</t>
  </si>
  <si>
    <t>2005 APR 7</t>
  </si>
  <si>
    <t>2005 APR 20</t>
  </si>
  <si>
    <t>2005 MAY 8</t>
  </si>
  <si>
    <t>2005 MAY 25</t>
  </si>
  <si>
    <t>2005 JUL 23</t>
  </si>
  <si>
    <t>2005 AUG 7</t>
  </si>
  <si>
    <t>2005 AUG 23</t>
  </si>
  <si>
    <t>2005 SEP 5</t>
  </si>
  <si>
    <t>2005 SEP 22</t>
  </si>
  <si>
    <t>2005 OCT 23</t>
  </si>
  <si>
    <t>2005 NOV 21</t>
  </si>
  <si>
    <t>2006 JAN 20</t>
  </si>
  <si>
    <t>2006 FEB 6</t>
  </si>
  <si>
    <t>2006 APR 23</t>
  </si>
  <si>
    <t>2006 MAY 6</t>
  </si>
  <si>
    <t>2006 MAY 26</t>
  </si>
  <si>
    <t>2006 JUN 10</t>
  </si>
  <si>
    <t>2006 JUN 25</t>
  </si>
  <si>
    <t>2006 JUL 10</t>
  </si>
  <si>
    <t>2006 JUL 24</t>
  </si>
  <si>
    <t>2006 OCT 25</t>
  </si>
  <si>
    <t>2006 NOV 7</t>
  </si>
  <si>
    <t>2006 NOV 19</t>
  </si>
  <si>
    <t>2007 JAN 20</t>
  </si>
  <si>
    <t>2007 FEB 3</t>
  </si>
  <si>
    <t>2007 FEB 19</t>
  </si>
  <si>
    <t>2007 MAR 10</t>
  </si>
  <si>
    <t>2007 APR 10</t>
  </si>
  <si>
    <t>2007 MAY 25</t>
  </si>
  <si>
    <t>2007 JUN 12</t>
  </si>
  <si>
    <t>2007 JUN 25</t>
  </si>
  <si>
    <t>2007 JUL 12</t>
  </si>
  <si>
    <t>2007 JUL 27</t>
  </si>
  <si>
    <t>2007 SEP 11</t>
  </si>
  <si>
    <t>2007 SEP 24</t>
  </si>
  <si>
    <t>2007 OCT 10</t>
  </si>
  <si>
    <t>2007 OCT 26</t>
  </si>
  <si>
    <t>2007 NOV 10</t>
  </si>
  <si>
    <t>2007 NOV 27</t>
  </si>
  <si>
    <t>2008 JAN 9</t>
  </si>
  <si>
    <t>2008 FEB 16</t>
  </si>
  <si>
    <t>2008 MAR 5</t>
  </si>
  <si>
    <t>2008 MAR 24</t>
  </si>
  <si>
    <t>2008 APR 11</t>
  </si>
  <si>
    <t>2008 APR 26</t>
  </si>
  <si>
    <t>2008 MAY 9</t>
  </si>
  <si>
    <t>2008 MAY 26</t>
  </si>
  <si>
    <t>2008 JUN 27</t>
  </si>
  <si>
    <t>2008 JUL 9</t>
  </si>
  <si>
    <t>2008 JUL 27</t>
  </si>
  <si>
    <t>2008 AUG 10</t>
  </si>
  <si>
    <t>2008 AUG 27</t>
  </si>
  <si>
    <t>2008 SEP 24</t>
  </si>
  <si>
    <t>2008 OCT 10</t>
  </si>
  <si>
    <t>2008 OCT 25</t>
  </si>
  <si>
    <t>2008 NOV 10</t>
  </si>
  <si>
    <t>2008 NOV 21</t>
  </si>
  <si>
    <t>2009 JAN 11</t>
  </si>
  <si>
    <t>2009 JAN 24</t>
  </si>
  <si>
    <t>2009 FEB 13</t>
  </si>
  <si>
    <t>2009 FEB 28</t>
  </si>
  <si>
    <t>2009 MAR 16</t>
  </si>
  <si>
    <t>2009 MAR 31</t>
  </si>
  <si>
    <t>2009 APR 17</t>
  </si>
  <si>
    <t>2009 APR 30</t>
  </si>
  <si>
    <t>2009 MAY 18</t>
  </si>
  <si>
    <t>2009 MAY 30</t>
  </si>
  <si>
    <t>2009 JUN 17</t>
  </si>
  <si>
    <t>2009 JUN 30</t>
  </si>
  <si>
    <t>2009 JUL 15</t>
  </si>
  <si>
    <t>2009 JUL 30</t>
  </si>
  <si>
    <t>2009 AUG 17</t>
  </si>
  <si>
    <t>2009 AUG 30</t>
  </si>
  <si>
    <t>2009 SEP 14</t>
  </si>
  <si>
    <t>2009 SEP 29</t>
  </si>
  <si>
    <t>2009 OCT 14</t>
  </si>
  <si>
    <t>2009 OCT 28</t>
  </si>
  <si>
    <t>2009 NOV 28</t>
  </si>
  <si>
    <t>2010 JAN 17</t>
  </si>
  <si>
    <t>2010 JAN 30</t>
  </si>
  <si>
    <t>2010 FEB 17</t>
  </si>
  <si>
    <t>2010 MAR 6</t>
  </si>
  <si>
    <t>2010 MAR 20</t>
  </si>
  <si>
    <t>2010 APR 7</t>
  </si>
  <si>
    <t>2010 APR 20</t>
  </si>
  <si>
    <t>2010 MAY 8</t>
  </si>
  <si>
    <t>2010 MAY 21</t>
  </si>
  <si>
    <t>2010 JUN 7</t>
  </si>
  <si>
    <t>2010 JUN 21</t>
  </si>
  <si>
    <t>2010 JUL 8</t>
  </si>
  <si>
    <t>2010 JUL 20</t>
  </si>
  <si>
    <t>2010 AUG 7</t>
  </si>
  <si>
    <t>2010 AUG 22</t>
  </si>
  <si>
    <t>2010 SEP 5</t>
  </si>
  <si>
    <t>2010 SEP 19</t>
  </si>
  <si>
    <t>2010 OCT 7</t>
  </si>
  <si>
    <t>2010 OCT 21</t>
  </si>
  <si>
    <t>2010 NOV 7</t>
  </si>
  <si>
    <t>2010 NOV 15</t>
  </si>
  <si>
    <t>2011 JAN 16</t>
  </si>
  <si>
    <t>2011 FEB 1</t>
  </si>
  <si>
    <t>2011 FEB 15</t>
  </si>
  <si>
    <t>2011 MAR 6</t>
  </si>
  <si>
    <t>2011 MAR 20</t>
  </si>
  <si>
    <t>2011 APR 6</t>
  </si>
  <si>
    <t>2011 APR 23</t>
  </si>
  <si>
    <t>2011 MAY 5</t>
  </si>
  <si>
    <t>2011 MAY 24</t>
  </si>
  <si>
    <t>2011 JUN 5</t>
  </si>
  <si>
    <t>2011 JUN 24</t>
  </si>
  <si>
    <t>2011 JUL 24</t>
  </si>
  <si>
    <t>2011 AUG 6</t>
  </si>
  <si>
    <t>2011 SEP 7</t>
  </si>
  <si>
    <t>2011 SEP 22</t>
  </si>
  <si>
    <t>2011 OCT 6</t>
  </si>
  <si>
    <t>2011 NOV 27</t>
  </si>
  <si>
    <t>2012 FEB 2</t>
  </si>
  <si>
    <t>2012 FEB 22</t>
  </si>
  <si>
    <t>2012 MAR 14</t>
  </si>
  <si>
    <t>2012 MAR 27</t>
  </si>
  <si>
    <t>2012 APR 28</t>
  </si>
  <si>
    <t>2012 MAY 16</t>
  </si>
  <si>
    <t>2012 MAY 30</t>
  </si>
  <si>
    <t>2012 AUG 3</t>
  </si>
  <si>
    <t>2012 AUG 17</t>
  </si>
  <si>
    <t>2012 SEP 2</t>
  </si>
  <si>
    <t>2012 SEP 15</t>
  </si>
  <si>
    <t>2012 OCT 17</t>
  </si>
  <si>
    <t>2012 NOV 4</t>
  </si>
  <si>
    <t>2012 NOV 19</t>
  </si>
  <si>
    <t>2012 DEC 3</t>
  </si>
  <si>
    <t>2013 JAN 21</t>
  </si>
  <si>
    <t>2013 FEB 2</t>
  </si>
  <si>
    <t>2013 FEB 18</t>
  </si>
  <si>
    <t>2013 MAR 11</t>
  </si>
  <si>
    <t>2013 MAR 28</t>
  </si>
  <si>
    <t>2013 APR 14</t>
  </si>
  <si>
    <t>2013 APR 30</t>
  </si>
  <si>
    <t>2013 MAY 12</t>
  </si>
  <si>
    <t>2013 JUL 4</t>
  </si>
  <si>
    <t>2013 AUG 16</t>
  </si>
  <si>
    <t>2013 SEP 19</t>
  </si>
  <si>
    <t>2013 OCT 15</t>
  </si>
  <si>
    <t>2013 NOV 19</t>
  </si>
  <si>
    <t>2013 NOV 30</t>
  </si>
  <si>
    <t>2014 JAN 10</t>
  </si>
  <si>
    <t>2014 JAN 29</t>
  </si>
  <si>
    <t>2014 FEB 11</t>
  </si>
  <si>
    <t>2014 MAR 5</t>
  </si>
  <si>
    <t>2014 MAR 20</t>
  </si>
  <si>
    <t>2014 APR 6</t>
  </si>
  <si>
    <t>2014 APR 22</t>
  </si>
  <si>
    <t>2014 MAY 7</t>
  </si>
  <si>
    <t>2014 JUN 8</t>
  </si>
  <si>
    <t>2014 JUN 26</t>
  </si>
  <si>
    <t>2014 JUL 10</t>
  </si>
  <si>
    <t>2014 JUL 26</t>
  </si>
  <si>
    <t>2014 SEP 11</t>
  </si>
  <si>
    <t>2014 SEP 25</t>
  </si>
  <si>
    <t>2014 OCT 11</t>
  </si>
  <si>
    <t>2014 OCT 23</t>
  </si>
  <si>
    <t>2014 NOV 11</t>
  </si>
  <si>
    <t>2014 NOV 24</t>
  </si>
  <si>
    <t>2015 JAN 26</t>
  </si>
  <si>
    <t>2015 FEB 27</t>
  </si>
  <si>
    <t>2015 MAR 19</t>
  </si>
  <si>
    <t>2015 APR 3</t>
  </si>
  <si>
    <t>2015 MAY 3</t>
  </si>
  <si>
    <t>2015 JUN 7</t>
  </si>
  <si>
    <t>2015 JUN 20</t>
  </si>
  <si>
    <t>2015 JUL 8</t>
  </si>
  <si>
    <t>2015 JUL 19</t>
  </si>
  <si>
    <t>2015 AUG 7</t>
  </si>
  <si>
    <t>2015 AUG 21</t>
  </si>
  <si>
    <t>2015 SEP 7</t>
  </si>
  <si>
    <t>2015 SEP 21</t>
  </si>
  <si>
    <t>2015 OCT 5</t>
  </si>
  <si>
    <t>2015 OCT 21</t>
  </si>
  <si>
    <t>2015 NOV 4</t>
  </si>
  <si>
    <t>2015 NOV 22</t>
  </si>
  <si>
    <t>2016 JAN 13</t>
  </si>
  <si>
    <t>2016 FEB 6</t>
  </si>
  <si>
    <t>2016 FEB 18</t>
  </si>
  <si>
    <t>2016 MAR 23</t>
  </si>
  <si>
    <t>2016 APR 10</t>
  </si>
  <si>
    <t>2016 MAY 28</t>
  </si>
  <si>
    <t>2016 JUN 9</t>
  </si>
  <si>
    <t>2016 JUL 13</t>
  </si>
  <si>
    <t>2016 JUL 31</t>
  </si>
  <si>
    <t>2016 SEP 12</t>
  </si>
  <si>
    <t>2016 OCT 14</t>
  </si>
  <si>
    <t>2016 OCT 31</t>
  </si>
  <si>
    <t>2016 NOV 17</t>
  </si>
  <si>
    <t>2016 NOV 28</t>
  </si>
  <si>
    <t>2017 JAN 17</t>
  </si>
  <si>
    <t>2017 FEB 2</t>
  </si>
  <si>
    <t>2017 FEB 25</t>
  </si>
  <si>
    <t>2017 MAR 10</t>
  </si>
  <si>
    <t>2017 MAR 29</t>
  </si>
  <si>
    <t>2017 APR 11</t>
  </si>
  <si>
    <t>2017 APR 29</t>
  </si>
  <si>
    <t>2017 MAY 31</t>
  </si>
  <si>
    <t>2005 APR 15</t>
  </si>
  <si>
    <t>2005 JUL 4</t>
  </si>
  <si>
    <t>2006 FEB 26</t>
  </si>
  <si>
    <t>2006 MAR 1</t>
  </si>
  <si>
    <t>2006 MAR 7</t>
  </si>
  <si>
    <t>2006 SEP 26</t>
  </si>
  <si>
    <t>2007 MAR 30</t>
  </si>
  <si>
    <t>2009 NOV 13</t>
  </si>
  <si>
    <t>2011 MAR 25</t>
  </si>
  <si>
    <t>2011 MAY 29</t>
  </si>
  <si>
    <t>2012 MAY 7</t>
  </si>
  <si>
    <t>2012 MAY 23</t>
  </si>
  <si>
    <t>2012 MAY 27</t>
  </si>
  <si>
    <t>2012 SEP 14</t>
  </si>
  <si>
    <t>2006 FEB 22</t>
  </si>
  <si>
    <t>2006 MAR 4</t>
  </si>
  <si>
    <t>2011 MAR 2</t>
  </si>
  <si>
    <t>2011 MAR 10</t>
  </si>
  <si>
    <t>2011 MAR 18</t>
  </si>
  <si>
    <t>2017 AUG 11</t>
  </si>
  <si>
    <t>2017 AUG 12</t>
  </si>
  <si>
    <t>2017 AUG 26</t>
  </si>
  <si>
    <t>2017 SEP 11</t>
  </si>
  <si>
    <t>2017 SEP 14</t>
  </si>
  <si>
    <t>2017 SEP 15</t>
  </si>
  <si>
    <t>2017 SEP 23</t>
  </si>
  <si>
    <t>2017 OCT 18</t>
  </si>
  <si>
    <t>2017 OCT 21</t>
  </si>
  <si>
    <t>2018 MAR 29</t>
  </si>
  <si>
    <t>2018 JUN 4</t>
  </si>
  <si>
    <t>2018 JUL 17</t>
  </si>
  <si>
    <t>2018 AUG 6</t>
  </si>
  <si>
    <t>2018 SEP 14</t>
  </si>
  <si>
    <t>2018 SEP 16</t>
  </si>
  <si>
    <t>2018 OCT 16</t>
  </si>
  <si>
    <t>2019 JUN 28</t>
  </si>
  <si>
    <t>2019 JUL 19</t>
  </si>
  <si>
    <t>2019 JUL 20</t>
  </si>
  <si>
    <t>2019 JUL 28</t>
  </si>
  <si>
    <t>2017 AUG 16</t>
  </si>
  <si>
    <t>2017 AUG 27</t>
  </si>
  <si>
    <t>2017 SEP 27</t>
  </si>
  <si>
    <t>2017 OCT 16</t>
  </si>
  <si>
    <t>2017 NOV 1</t>
  </si>
  <si>
    <t>2017 NOV 19</t>
  </si>
  <si>
    <t>2018 JAN 7</t>
  </si>
  <si>
    <t>2018 JAN 17</t>
  </si>
  <si>
    <t>2018 FEB 2</t>
  </si>
  <si>
    <t>2018 FEB 17</t>
  </si>
  <si>
    <t>2018 MAR 6</t>
  </si>
  <si>
    <t>2018 MAR 23</t>
  </si>
  <si>
    <t>2018 APR 11</t>
  </si>
  <si>
    <t>2018 APR 23</t>
  </si>
  <si>
    <t>2018 MAY 10</t>
  </si>
  <si>
    <t>2018 MAY 23</t>
  </si>
  <si>
    <t>2018 JUN 10</t>
  </si>
  <si>
    <t>2018 JUN 26</t>
  </si>
  <si>
    <t>2018 JUL 12</t>
  </si>
  <si>
    <t>2018 JUL 28</t>
  </si>
  <si>
    <t>2018 AUG 10</t>
  </si>
  <si>
    <t>2018 AUG 27</t>
  </si>
  <si>
    <t>2018 SEP 12</t>
  </si>
  <si>
    <t>2018 SEP 26</t>
  </si>
  <si>
    <t>2018 OCT 11</t>
  </si>
  <si>
    <t>2018 OCT 25</t>
  </si>
  <si>
    <t>2018 NOV 13</t>
  </si>
  <si>
    <t>2018 DEC 2</t>
  </si>
  <si>
    <t>2019 JAN 12</t>
  </si>
  <si>
    <t>2019 FEB 1</t>
  </si>
  <si>
    <t>2019 FEB 22</t>
  </si>
  <si>
    <t>2019 MAR 22</t>
  </si>
  <si>
    <t>2019 APR 7</t>
  </si>
  <si>
    <t>2019 APR 30</t>
  </si>
  <si>
    <t>2019 MAY 17</t>
  </si>
  <si>
    <t>2019 JUN 1</t>
  </si>
  <si>
    <t>2019 JUN 20</t>
  </si>
  <si>
    <t>2019 JUL 2</t>
  </si>
  <si>
    <t>2019 JUL 25</t>
  </si>
  <si>
    <t>2019 AUG 4</t>
  </si>
  <si>
    <t>2019 JUL 29</t>
  </si>
  <si>
    <t>2019 AUG 6</t>
  </si>
  <si>
    <t>2019 AUG 10</t>
  </si>
  <si>
    <t>2019 AUG 31</t>
  </si>
  <si>
    <t>2019 SEP 1</t>
  </si>
  <si>
    <t>2019 SEP 2</t>
  </si>
  <si>
    <t>2019 SEP 8</t>
  </si>
  <si>
    <t>2019 SEP 9</t>
  </si>
  <si>
    <t>2019 SEP 12</t>
  </si>
  <si>
    <t>2019 OCT 1</t>
  </si>
  <si>
    <t>2019 OCT 28</t>
  </si>
  <si>
    <t>2020 FEB 3</t>
  </si>
  <si>
    <t>2020 FEB 8</t>
  </si>
  <si>
    <t>2020 FEB 9</t>
  </si>
  <si>
    <t>2020 FEB 10</t>
  </si>
  <si>
    <t>2020 FEB 16</t>
  </si>
  <si>
    <t>2020 FEB 25</t>
  </si>
  <si>
    <t>2020 MAR 13</t>
  </si>
  <si>
    <t>2020 MAR 24</t>
  </si>
  <si>
    <t>2020 APR 28</t>
  </si>
  <si>
    <t>2020 MAY 4</t>
  </si>
  <si>
    <t>2020 MAY 5</t>
  </si>
  <si>
    <t>2020 MAY 17</t>
  </si>
  <si>
    <t>2020 MAY 21</t>
  </si>
  <si>
    <t>2020 JUN 3</t>
  </si>
  <si>
    <t>2020 JUN 8</t>
  </si>
  <si>
    <t>2020 JUN 9</t>
  </si>
  <si>
    <t>2020 JUN 10</t>
  </si>
  <si>
    <t>2020 JUN 11</t>
  </si>
  <si>
    <t>2020 JUN 18</t>
  </si>
  <si>
    <t>2020 JUN 19</t>
  </si>
  <si>
    <t>2020 JUN 20</t>
  </si>
  <si>
    <t>2020 JUN 21</t>
  </si>
  <si>
    <t>2020 JUN 25</t>
  </si>
  <si>
    <t>2020 JUN 29</t>
  </si>
  <si>
    <t>2020 JUL 10</t>
  </si>
  <si>
    <t>2020 JUL 21</t>
  </si>
  <si>
    <t>2020 AUG 4</t>
  </si>
  <si>
    <t>2020 AUG 7</t>
  </si>
  <si>
    <t>2020 AUG 11</t>
  </si>
  <si>
    <t>2020 AUG 17</t>
  </si>
  <si>
    <t>2020 AUG 24</t>
  </si>
  <si>
    <t>2020 SEP 2</t>
  </si>
  <si>
    <t>2020 SEP 7</t>
  </si>
  <si>
    <t>2020 SEP 19</t>
  </si>
  <si>
    <t>2020 SEP 26</t>
  </si>
  <si>
    <t>2020 NOV 2</t>
  </si>
  <si>
    <t>2020 NOV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</si>
</sst>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 wrapText="1"/>
    </xf>
    <xf numFmtId="0" fontId="0" fillId="3" borderId="0" xfId="0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0" fontId="0" fillId="2" borderId="0" xfId="0" applyFill="1"/>
    <xf numFmtId="0" fontId="0" fillId="4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5" borderId="0" xfId="0" applyFill="1"/>
    <xf numFmtId="0" fontId="0" fillId="0" borderId="0" xfId="0" applyAlignment="1">
      <alignment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Index!$N$3</c:f>
          <c:strCache>
            <c:ptCount val="1"/>
          </c:strCache>
        </c:strRef>
      </c:tx>
      <c:layout>
        <c:manualLayout>
          <c:xMode val="edge"/>
          <c:yMode val="edge"/>
          <c:x val="9.5243025441567805E-2"/>
          <c:y val="0.1155956040254326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V!$A$1:$A$1022</c:f>
              <c:numCache>
                <c:formatCode>General</c:formatCode>
                <c:ptCount val="1022"/>
                <c:pt idx="0">
                  <c:v>2436400.0596699999</c:v>
                </c:pt>
                <c:pt idx="1">
                  <c:v>2436402.1905</c:v>
                </c:pt>
                <c:pt idx="2">
                  <c:v>2436404.1804999998</c:v>
                </c:pt>
                <c:pt idx="3">
                  <c:v>2436405.6860000002</c:v>
                </c:pt>
                <c:pt idx="4">
                  <c:v>2436407.6839999999</c:v>
                </c:pt>
                <c:pt idx="5">
                  <c:v>2436408.6880000001</c:v>
                </c:pt>
                <c:pt idx="6">
                  <c:v>2452086.6213000002</c:v>
                </c:pt>
                <c:pt idx="7">
                  <c:v>2452087.6230000001</c:v>
                </c:pt>
                <c:pt idx="8">
                  <c:v>2452467.6411000001</c:v>
                </c:pt>
                <c:pt idx="9">
                  <c:v>2452472.9323</c:v>
                </c:pt>
                <c:pt idx="10">
                  <c:v>2452493.6205000002</c:v>
                </c:pt>
                <c:pt idx="11">
                  <c:v>2452562.5348</c:v>
                </c:pt>
                <c:pt idx="12">
                  <c:v>2452563.6076000002</c:v>
                </c:pt>
                <c:pt idx="13">
                  <c:v>2452655.7310000001</c:v>
                </c:pt>
                <c:pt idx="14">
                  <c:v>2452777.7993000001</c:v>
                </c:pt>
                <c:pt idx="15">
                  <c:v>2452791.53547</c:v>
                </c:pt>
                <c:pt idx="16">
                  <c:v>2452800.7152999998</c:v>
                </c:pt>
                <c:pt idx="17">
                  <c:v>2452811.6653</c:v>
                </c:pt>
                <c:pt idx="18">
                  <c:v>2452820.6674000002</c:v>
                </c:pt>
                <c:pt idx="19">
                  <c:v>2452827.8028000002</c:v>
                </c:pt>
                <c:pt idx="20">
                  <c:v>2452834.75507</c:v>
                </c:pt>
                <c:pt idx="21">
                  <c:v>2452841.6916999999</c:v>
                </c:pt>
                <c:pt idx="22">
                  <c:v>2452850.6833000001</c:v>
                </c:pt>
                <c:pt idx="23">
                  <c:v>2452855.1934000002</c:v>
                </c:pt>
                <c:pt idx="24">
                  <c:v>2452858.6464999998</c:v>
                </c:pt>
                <c:pt idx="25">
                  <c:v>2452862.6458000001</c:v>
                </c:pt>
                <c:pt idx="26">
                  <c:v>2452871.1079500001</c:v>
                </c:pt>
                <c:pt idx="27">
                  <c:v>2452875.5943</c:v>
                </c:pt>
                <c:pt idx="28">
                  <c:v>2452882.6565</c:v>
                </c:pt>
                <c:pt idx="29">
                  <c:v>2452890.6277999999</c:v>
                </c:pt>
                <c:pt idx="30">
                  <c:v>2452900.1153500001</c:v>
                </c:pt>
                <c:pt idx="31">
                  <c:v>2452906.62115</c:v>
                </c:pt>
                <c:pt idx="32">
                  <c:v>2452908.6046000002</c:v>
                </c:pt>
                <c:pt idx="33">
                  <c:v>2452921.0578000001</c:v>
                </c:pt>
                <c:pt idx="34">
                  <c:v>2452926.5531000001</c:v>
                </c:pt>
                <c:pt idx="35">
                  <c:v>2452935.2259999998</c:v>
                </c:pt>
                <c:pt idx="36">
                  <c:v>2452937.5375000001</c:v>
                </c:pt>
                <c:pt idx="37">
                  <c:v>2452953.4912</c:v>
                </c:pt>
                <c:pt idx="38">
                  <c:v>2452964.4843299999</c:v>
                </c:pt>
                <c:pt idx="39">
                  <c:v>2453087.8640000001</c:v>
                </c:pt>
                <c:pt idx="40">
                  <c:v>2453143.1943000001</c:v>
                </c:pt>
                <c:pt idx="41">
                  <c:v>2453169.5014</c:v>
                </c:pt>
                <c:pt idx="42">
                  <c:v>2453187.7308</c:v>
                </c:pt>
                <c:pt idx="43">
                  <c:v>2453189.4183</c:v>
                </c:pt>
                <c:pt idx="44">
                  <c:v>2453197.7592000002</c:v>
                </c:pt>
                <c:pt idx="45">
                  <c:v>2453201.5019</c:v>
                </c:pt>
                <c:pt idx="46">
                  <c:v>2453215.6820999999</c:v>
                </c:pt>
                <c:pt idx="47">
                  <c:v>2453224.7371999999</c:v>
                </c:pt>
                <c:pt idx="48">
                  <c:v>2453226.71257</c:v>
                </c:pt>
                <c:pt idx="49">
                  <c:v>2453231.5318</c:v>
                </c:pt>
                <c:pt idx="50">
                  <c:v>2453236.3434000001</c:v>
                </c:pt>
                <c:pt idx="51">
                  <c:v>2453239.7036000001</c:v>
                </c:pt>
                <c:pt idx="52">
                  <c:v>2453249.6573000001</c:v>
                </c:pt>
                <c:pt idx="53">
                  <c:v>2453254.4007000001</c:v>
                </c:pt>
                <c:pt idx="54">
                  <c:v>2453261.41017</c:v>
                </c:pt>
                <c:pt idx="55">
                  <c:v>2453265.3684</c:v>
                </c:pt>
                <c:pt idx="56">
                  <c:v>2453269.0953000002</c:v>
                </c:pt>
                <c:pt idx="57">
                  <c:v>2453284.5891</c:v>
                </c:pt>
                <c:pt idx="58">
                  <c:v>2453290.5328000002</c:v>
                </c:pt>
                <c:pt idx="59">
                  <c:v>2453304.51933</c:v>
                </c:pt>
                <c:pt idx="60">
                  <c:v>2453322.48673</c:v>
                </c:pt>
                <c:pt idx="61">
                  <c:v>2453330.6800000002</c:v>
                </c:pt>
                <c:pt idx="62">
                  <c:v>2453435.9097000002</c:v>
                </c:pt>
                <c:pt idx="63">
                  <c:v>2453465.8580999998</c:v>
                </c:pt>
                <c:pt idx="64">
                  <c:v>2453470.8221999998</c:v>
                </c:pt>
                <c:pt idx="65">
                  <c:v>2453475.3605</c:v>
                </c:pt>
                <c:pt idx="66">
                  <c:v>2453488.9068</c:v>
                </c:pt>
                <c:pt idx="67">
                  <c:v>2453495.8478000001</c:v>
                </c:pt>
                <c:pt idx="68">
                  <c:v>2453516.8709999998</c:v>
                </c:pt>
                <c:pt idx="69">
                  <c:v>2453520.517</c:v>
                </c:pt>
                <c:pt idx="70">
                  <c:v>2453523.1908499999</c:v>
                </c:pt>
                <c:pt idx="71">
                  <c:v>2453528.5019999999</c:v>
                </c:pt>
                <c:pt idx="72">
                  <c:v>2453531.503</c:v>
                </c:pt>
                <c:pt idx="73">
                  <c:v>2453535.7420000001</c:v>
                </c:pt>
                <c:pt idx="74">
                  <c:v>2453537.477</c:v>
                </c:pt>
                <c:pt idx="75">
                  <c:v>2453539.64175</c:v>
                </c:pt>
                <c:pt idx="76">
                  <c:v>2453541.7552</c:v>
                </c:pt>
                <c:pt idx="77">
                  <c:v>2453545.477</c:v>
                </c:pt>
                <c:pt idx="78">
                  <c:v>2453547.469</c:v>
                </c:pt>
                <c:pt idx="79">
                  <c:v>2453549.9654999999</c:v>
                </c:pt>
                <c:pt idx="80">
                  <c:v>2453551.463</c:v>
                </c:pt>
                <c:pt idx="81">
                  <c:v>2453555.2071500001</c:v>
                </c:pt>
                <c:pt idx="82">
                  <c:v>2453559.4440000001</c:v>
                </c:pt>
                <c:pt idx="83">
                  <c:v>2453563.1096000001</c:v>
                </c:pt>
                <c:pt idx="84">
                  <c:v>2453565.48</c:v>
                </c:pt>
                <c:pt idx="85">
                  <c:v>2453569.9794999999</c:v>
                </c:pt>
                <c:pt idx="86">
                  <c:v>2453571.7439999999</c:v>
                </c:pt>
                <c:pt idx="87">
                  <c:v>2453580.4479999999</c:v>
                </c:pt>
                <c:pt idx="88">
                  <c:v>2453581.4479999999</c:v>
                </c:pt>
                <c:pt idx="89">
                  <c:v>2453597.3420000002</c:v>
                </c:pt>
                <c:pt idx="90">
                  <c:v>2453599.3879999998</c:v>
                </c:pt>
                <c:pt idx="91">
                  <c:v>2453613.3629999999</c:v>
                </c:pt>
                <c:pt idx="92">
                  <c:v>2453617.35</c:v>
                </c:pt>
                <c:pt idx="93">
                  <c:v>2453624.6439999999</c:v>
                </c:pt>
                <c:pt idx="94">
                  <c:v>2453634.6290000002</c:v>
                </c:pt>
                <c:pt idx="95">
                  <c:v>2453641.6052000001</c:v>
                </c:pt>
                <c:pt idx="96">
                  <c:v>2453644.5010000002</c:v>
                </c:pt>
                <c:pt idx="97">
                  <c:v>2453649.5824000002</c:v>
                </c:pt>
                <c:pt idx="98">
                  <c:v>2453673.4718999998</c:v>
                </c:pt>
                <c:pt idx="99">
                  <c:v>2453677.4937999998</c:v>
                </c:pt>
                <c:pt idx="100">
                  <c:v>2453686.4657999999</c:v>
                </c:pt>
                <c:pt idx="101">
                  <c:v>2453767.9737</c:v>
                </c:pt>
                <c:pt idx="102">
                  <c:v>2453780.04421</c:v>
                </c:pt>
                <c:pt idx="103">
                  <c:v>2453781.0529299998</c:v>
                </c:pt>
                <c:pt idx="104">
                  <c:v>2453782.9475799999</c:v>
                </c:pt>
                <c:pt idx="105">
                  <c:v>2453787.3621499999</c:v>
                </c:pt>
                <c:pt idx="106">
                  <c:v>2453788.4750000001</c:v>
                </c:pt>
                <c:pt idx="107">
                  <c:v>2453790.9454000001</c:v>
                </c:pt>
                <c:pt idx="108">
                  <c:v>2453791.4750000001</c:v>
                </c:pt>
                <c:pt idx="109">
                  <c:v>2453792.4841</c:v>
                </c:pt>
                <c:pt idx="110">
                  <c:v>2453793.6488700002</c:v>
                </c:pt>
                <c:pt idx="111">
                  <c:v>2453795.47028</c:v>
                </c:pt>
                <c:pt idx="112">
                  <c:v>2453796.9731999999</c:v>
                </c:pt>
                <c:pt idx="113">
                  <c:v>2453798.4553</c:v>
                </c:pt>
                <c:pt idx="114">
                  <c:v>2453799.9496800001</c:v>
                </c:pt>
                <c:pt idx="115">
                  <c:v>2453800.1375799999</c:v>
                </c:pt>
                <c:pt idx="116">
                  <c:v>2453801.4787300001</c:v>
                </c:pt>
                <c:pt idx="117">
                  <c:v>2453802.98</c:v>
                </c:pt>
                <c:pt idx="118">
                  <c:v>2453808.9497000002</c:v>
                </c:pt>
                <c:pt idx="119">
                  <c:v>2453810.9503500001</c:v>
                </c:pt>
                <c:pt idx="120">
                  <c:v>2453812.9441999998</c:v>
                </c:pt>
                <c:pt idx="121">
                  <c:v>2453817.4325999999</c:v>
                </c:pt>
                <c:pt idx="122">
                  <c:v>2453818.9286000002</c:v>
                </c:pt>
                <c:pt idx="123">
                  <c:v>2453820.9205999998</c:v>
                </c:pt>
                <c:pt idx="124">
                  <c:v>2453824.8647500002</c:v>
                </c:pt>
                <c:pt idx="125">
                  <c:v>2453827.8975</c:v>
                </c:pt>
                <c:pt idx="126">
                  <c:v>2453829.3951500002</c:v>
                </c:pt>
                <c:pt idx="127">
                  <c:v>2453832.8950999998</c:v>
                </c:pt>
                <c:pt idx="128">
                  <c:v>2453834.3844499998</c:v>
                </c:pt>
                <c:pt idx="129">
                  <c:v>2453836.8122999999</c:v>
                </c:pt>
                <c:pt idx="130">
                  <c:v>2453838.37445</c:v>
                </c:pt>
                <c:pt idx="131">
                  <c:v>2453841.8399499999</c:v>
                </c:pt>
                <c:pt idx="132">
                  <c:v>2453843.3606500002</c:v>
                </c:pt>
                <c:pt idx="133">
                  <c:v>2453844.85995</c:v>
                </c:pt>
                <c:pt idx="134">
                  <c:v>2453846.3547999999</c:v>
                </c:pt>
                <c:pt idx="135">
                  <c:v>2453851.3327000001</c:v>
                </c:pt>
                <c:pt idx="136">
                  <c:v>2453853.3332000002</c:v>
                </c:pt>
                <c:pt idx="137">
                  <c:v>2453854.8672500001</c:v>
                </c:pt>
                <c:pt idx="138">
                  <c:v>2453856.3175499998</c:v>
                </c:pt>
                <c:pt idx="139">
                  <c:v>2453857.8210999998</c:v>
                </c:pt>
                <c:pt idx="140">
                  <c:v>2453860.2928999998</c:v>
                </c:pt>
                <c:pt idx="141">
                  <c:v>2453861.3084499999</c:v>
                </c:pt>
                <c:pt idx="142">
                  <c:v>2453863.2931499998</c:v>
                </c:pt>
                <c:pt idx="143">
                  <c:v>2453864.7958</c:v>
                </c:pt>
                <c:pt idx="144">
                  <c:v>2453866.2921000002</c:v>
                </c:pt>
                <c:pt idx="145">
                  <c:v>2453874.7697999999</c:v>
                </c:pt>
                <c:pt idx="146">
                  <c:v>2453876.7647000002</c:v>
                </c:pt>
                <c:pt idx="147">
                  <c:v>2453878.7596</c:v>
                </c:pt>
                <c:pt idx="148">
                  <c:v>2453879.7790999999</c:v>
                </c:pt>
                <c:pt idx="149">
                  <c:v>2453881.39793</c:v>
                </c:pt>
                <c:pt idx="150">
                  <c:v>2453882.7514999998</c:v>
                </c:pt>
                <c:pt idx="151">
                  <c:v>2453883.7884</c:v>
                </c:pt>
                <c:pt idx="152">
                  <c:v>2453885.23985</c:v>
                </c:pt>
                <c:pt idx="153">
                  <c:v>2453886.7404999998</c:v>
                </c:pt>
                <c:pt idx="154">
                  <c:v>2453890.2419500002</c:v>
                </c:pt>
                <c:pt idx="155">
                  <c:v>2453893.2267499999</c:v>
                </c:pt>
                <c:pt idx="156">
                  <c:v>2453894.8297999999</c:v>
                </c:pt>
                <c:pt idx="157">
                  <c:v>2453897.7234999998</c:v>
                </c:pt>
                <c:pt idx="158">
                  <c:v>2453899.2162500001</c:v>
                </c:pt>
                <c:pt idx="159">
                  <c:v>2453900.7173000001</c:v>
                </c:pt>
                <c:pt idx="160">
                  <c:v>2453902.4879999999</c:v>
                </c:pt>
                <c:pt idx="161">
                  <c:v>2453904.2001</c:v>
                </c:pt>
                <c:pt idx="162">
                  <c:v>2453906.6995000001</c:v>
                </c:pt>
                <c:pt idx="163">
                  <c:v>2453915.4730000002</c:v>
                </c:pt>
                <c:pt idx="164">
                  <c:v>2453916.7102000001</c:v>
                </c:pt>
                <c:pt idx="165">
                  <c:v>2453918.2017999999</c:v>
                </c:pt>
                <c:pt idx="166">
                  <c:v>2453919.7001</c:v>
                </c:pt>
                <c:pt idx="167">
                  <c:v>2453922.7204</c:v>
                </c:pt>
                <c:pt idx="168">
                  <c:v>2453927.6864999998</c:v>
                </c:pt>
                <c:pt idx="169">
                  <c:v>2453930.6771999998</c:v>
                </c:pt>
                <c:pt idx="170">
                  <c:v>2453933.6745000002</c:v>
                </c:pt>
                <c:pt idx="171">
                  <c:v>2453934.6745000002</c:v>
                </c:pt>
                <c:pt idx="172">
                  <c:v>2453936.7192500001</c:v>
                </c:pt>
                <c:pt idx="173">
                  <c:v>2453938.2331500002</c:v>
                </c:pt>
                <c:pt idx="174">
                  <c:v>2453940.1689499998</c:v>
                </c:pt>
                <c:pt idx="175">
                  <c:v>2453941.6710000001</c:v>
                </c:pt>
                <c:pt idx="176">
                  <c:v>2453943.0581999999</c:v>
                </c:pt>
                <c:pt idx="177">
                  <c:v>2453946.0894200001</c:v>
                </c:pt>
                <c:pt idx="178">
                  <c:v>2453952.3621</c:v>
                </c:pt>
                <c:pt idx="179">
                  <c:v>2453955.6403000001</c:v>
                </c:pt>
                <c:pt idx="180">
                  <c:v>2453957.1099</c:v>
                </c:pt>
                <c:pt idx="181">
                  <c:v>2453958.1568499999</c:v>
                </c:pt>
                <c:pt idx="182">
                  <c:v>2453960.1414000001</c:v>
                </c:pt>
                <c:pt idx="183">
                  <c:v>2453970.6264999998</c:v>
                </c:pt>
                <c:pt idx="184">
                  <c:v>2453971.6279000002</c:v>
                </c:pt>
                <c:pt idx="185">
                  <c:v>2453972.6740999999</c:v>
                </c:pt>
                <c:pt idx="186">
                  <c:v>2453975.1324499999</c:v>
                </c:pt>
                <c:pt idx="187">
                  <c:v>2453977.6209</c:v>
                </c:pt>
                <c:pt idx="188">
                  <c:v>2453978.7446300001</c:v>
                </c:pt>
                <c:pt idx="189">
                  <c:v>2453979.7179100001</c:v>
                </c:pt>
                <c:pt idx="190">
                  <c:v>2453980.7433600002</c:v>
                </c:pt>
                <c:pt idx="191">
                  <c:v>2453981.9443299999</c:v>
                </c:pt>
                <c:pt idx="192">
                  <c:v>2453982.9790699999</c:v>
                </c:pt>
                <c:pt idx="193">
                  <c:v>2453983.9963199999</c:v>
                </c:pt>
                <c:pt idx="194">
                  <c:v>2453985.9088099999</c:v>
                </c:pt>
                <c:pt idx="195">
                  <c:v>2453987.0875599999</c:v>
                </c:pt>
                <c:pt idx="196">
                  <c:v>2453987.9629899999</c:v>
                </c:pt>
                <c:pt idx="197">
                  <c:v>2453989.7544200001</c:v>
                </c:pt>
                <c:pt idx="198">
                  <c:v>2453990.83231</c:v>
                </c:pt>
                <c:pt idx="199">
                  <c:v>2453991.93469</c:v>
                </c:pt>
                <c:pt idx="200">
                  <c:v>2453992.9651700002</c:v>
                </c:pt>
                <c:pt idx="201">
                  <c:v>2453993.9788500001</c:v>
                </c:pt>
                <c:pt idx="202">
                  <c:v>2453995.73911</c:v>
                </c:pt>
                <c:pt idx="203">
                  <c:v>2453996.4162300001</c:v>
                </c:pt>
                <c:pt idx="204">
                  <c:v>2453997.2400799999</c:v>
                </c:pt>
                <c:pt idx="205">
                  <c:v>2453998.3105700002</c:v>
                </c:pt>
                <c:pt idx="206">
                  <c:v>2453999.34711</c:v>
                </c:pt>
                <c:pt idx="207">
                  <c:v>2454000.3255599998</c:v>
                </c:pt>
                <c:pt idx="208">
                  <c:v>2454001.2788900002</c:v>
                </c:pt>
                <c:pt idx="209">
                  <c:v>2454002.7731300001</c:v>
                </c:pt>
                <c:pt idx="210">
                  <c:v>2454002.9504999998</c:v>
                </c:pt>
                <c:pt idx="211">
                  <c:v>2454004.4897799999</c:v>
                </c:pt>
                <c:pt idx="212">
                  <c:v>2454005.5391000002</c:v>
                </c:pt>
                <c:pt idx="213">
                  <c:v>2454006.90026</c:v>
                </c:pt>
                <c:pt idx="214">
                  <c:v>2454007.8932699999</c:v>
                </c:pt>
                <c:pt idx="215">
                  <c:v>2454009.8209600002</c:v>
                </c:pt>
                <c:pt idx="216">
                  <c:v>2454010.9408200001</c:v>
                </c:pt>
                <c:pt idx="217">
                  <c:v>2454011.6814299999</c:v>
                </c:pt>
                <c:pt idx="218">
                  <c:v>2454015.5491999998</c:v>
                </c:pt>
                <c:pt idx="219">
                  <c:v>2454018.5882000001</c:v>
                </c:pt>
                <c:pt idx="220">
                  <c:v>2454030.5224000001</c:v>
                </c:pt>
                <c:pt idx="221">
                  <c:v>2454037.5696</c:v>
                </c:pt>
                <c:pt idx="222">
                  <c:v>2454042.0655999999</c:v>
                </c:pt>
                <c:pt idx="223">
                  <c:v>2454044.5666</c:v>
                </c:pt>
                <c:pt idx="224">
                  <c:v>2454049.4871</c:v>
                </c:pt>
                <c:pt idx="225">
                  <c:v>2454061.4704999998</c:v>
                </c:pt>
                <c:pt idx="226">
                  <c:v>2454157.9989999998</c:v>
                </c:pt>
                <c:pt idx="227">
                  <c:v>2454159.0030999999</c:v>
                </c:pt>
                <c:pt idx="228">
                  <c:v>2454162.4889000002</c:v>
                </c:pt>
                <c:pt idx="229">
                  <c:v>2454163.9761999999</c:v>
                </c:pt>
                <c:pt idx="230">
                  <c:v>2454166.4801500002</c:v>
                </c:pt>
                <c:pt idx="231">
                  <c:v>2454169.4638</c:v>
                </c:pt>
                <c:pt idx="232">
                  <c:v>2454176.4454999999</c:v>
                </c:pt>
                <c:pt idx="233">
                  <c:v>2454179.4382500001</c:v>
                </c:pt>
                <c:pt idx="234">
                  <c:v>2454180.9300000002</c:v>
                </c:pt>
                <c:pt idx="235">
                  <c:v>2454185.4219999998</c:v>
                </c:pt>
                <c:pt idx="236">
                  <c:v>2454186.9125000001</c:v>
                </c:pt>
                <c:pt idx="237">
                  <c:v>2454189.4024</c:v>
                </c:pt>
                <c:pt idx="238">
                  <c:v>2454190.9043000001</c:v>
                </c:pt>
                <c:pt idx="239">
                  <c:v>2454192.4053500001</c:v>
                </c:pt>
                <c:pt idx="240">
                  <c:v>2454194.3938500001</c:v>
                </c:pt>
                <c:pt idx="241">
                  <c:v>2454195.8905000002</c:v>
                </c:pt>
                <c:pt idx="242">
                  <c:v>2454199.3872000002</c:v>
                </c:pt>
                <c:pt idx="243">
                  <c:v>2454201.8714999999</c:v>
                </c:pt>
                <c:pt idx="244">
                  <c:v>2454202.8834000002</c:v>
                </c:pt>
                <c:pt idx="245">
                  <c:v>2454206.3663499998</c:v>
                </c:pt>
                <c:pt idx="246">
                  <c:v>2454209.3547999999</c:v>
                </c:pt>
                <c:pt idx="247">
                  <c:v>2454210.8698</c:v>
                </c:pt>
                <c:pt idx="248">
                  <c:v>2454212.8418000001</c:v>
                </c:pt>
                <c:pt idx="249">
                  <c:v>2454216.3412000001</c:v>
                </c:pt>
                <c:pt idx="250">
                  <c:v>2454217.8292999999</c:v>
                </c:pt>
                <c:pt idx="251">
                  <c:v>2454224.31745</c:v>
                </c:pt>
                <c:pt idx="252">
                  <c:v>2454225.8308999999</c:v>
                </c:pt>
                <c:pt idx="253">
                  <c:v>2454227.8078999999</c:v>
                </c:pt>
                <c:pt idx="254">
                  <c:v>2454231.2951500001</c:v>
                </c:pt>
                <c:pt idx="255">
                  <c:v>2454233.2894000001</c:v>
                </c:pt>
                <c:pt idx="256">
                  <c:v>2454234.8128499999</c:v>
                </c:pt>
                <c:pt idx="257">
                  <c:v>2454241.2700999998</c:v>
                </c:pt>
                <c:pt idx="258">
                  <c:v>2454243.2642999999</c:v>
                </c:pt>
                <c:pt idx="259">
                  <c:v>2454249.8459000001</c:v>
                </c:pt>
                <c:pt idx="260">
                  <c:v>2454262.7582</c:v>
                </c:pt>
                <c:pt idx="261">
                  <c:v>2454267.44</c:v>
                </c:pt>
                <c:pt idx="262">
                  <c:v>2454271.46</c:v>
                </c:pt>
                <c:pt idx="263">
                  <c:v>2454274.6976800002</c:v>
                </c:pt>
                <c:pt idx="264">
                  <c:v>2454289.33</c:v>
                </c:pt>
                <c:pt idx="265">
                  <c:v>2454297.7831999999</c:v>
                </c:pt>
                <c:pt idx="266">
                  <c:v>2454313.4133000001</c:v>
                </c:pt>
                <c:pt idx="267">
                  <c:v>2454314.7546999999</c:v>
                </c:pt>
                <c:pt idx="268">
                  <c:v>2454316.7483000001</c:v>
                </c:pt>
                <c:pt idx="269">
                  <c:v>2454323.7244000002</c:v>
                </c:pt>
                <c:pt idx="270">
                  <c:v>2454336.6642999998</c:v>
                </c:pt>
                <c:pt idx="271">
                  <c:v>2454341.1851499998</c:v>
                </c:pt>
                <c:pt idx="272">
                  <c:v>2454344.6694999998</c:v>
                </c:pt>
                <c:pt idx="273">
                  <c:v>2454349.6507999999</c:v>
                </c:pt>
                <c:pt idx="274">
                  <c:v>2454357.6390999998</c:v>
                </c:pt>
                <c:pt idx="275">
                  <c:v>2454359.59583</c:v>
                </c:pt>
                <c:pt idx="276">
                  <c:v>2454360.6150000002</c:v>
                </c:pt>
                <c:pt idx="277">
                  <c:v>2454378.5682000001</c:v>
                </c:pt>
                <c:pt idx="278">
                  <c:v>2454394.5395</c:v>
                </c:pt>
                <c:pt idx="279">
                  <c:v>2454402.5207000002</c:v>
                </c:pt>
                <c:pt idx="280">
                  <c:v>2454404.5085</c:v>
                </c:pt>
                <c:pt idx="281">
                  <c:v>2454407.5128000001</c:v>
                </c:pt>
                <c:pt idx="282">
                  <c:v>2454573.8602</c:v>
                </c:pt>
                <c:pt idx="283">
                  <c:v>2454578.8651999999</c:v>
                </c:pt>
                <c:pt idx="284">
                  <c:v>2454583.7083999999</c:v>
                </c:pt>
                <c:pt idx="285">
                  <c:v>2454600.37</c:v>
                </c:pt>
                <c:pt idx="286">
                  <c:v>2454611.8692999999</c:v>
                </c:pt>
                <c:pt idx="287">
                  <c:v>2454615.7272000001</c:v>
                </c:pt>
                <c:pt idx="288">
                  <c:v>2454620.48</c:v>
                </c:pt>
                <c:pt idx="289">
                  <c:v>2454627.38</c:v>
                </c:pt>
                <c:pt idx="290">
                  <c:v>2454641.8379000002</c:v>
                </c:pt>
                <c:pt idx="291">
                  <c:v>2454649.7662</c:v>
                </c:pt>
                <c:pt idx="292">
                  <c:v>2454652.4305599998</c:v>
                </c:pt>
                <c:pt idx="293">
                  <c:v>2454662.7292999998</c:v>
                </c:pt>
                <c:pt idx="294">
                  <c:v>2454704.5843000002</c:v>
                </c:pt>
                <c:pt idx="295">
                  <c:v>2454717.6236999999</c:v>
                </c:pt>
                <c:pt idx="296">
                  <c:v>2454732.5913</c:v>
                </c:pt>
                <c:pt idx="297">
                  <c:v>2454743.5551999998</c:v>
                </c:pt>
                <c:pt idx="298">
                  <c:v>2454770.5134000001</c:v>
                </c:pt>
                <c:pt idx="299">
                  <c:v>2454907.9416999999</c:v>
                </c:pt>
                <c:pt idx="300">
                  <c:v>2454918.0218799999</c:v>
                </c:pt>
                <c:pt idx="301">
                  <c:v>2454933.8577000001</c:v>
                </c:pt>
                <c:pt idx="302">
                  <c:v>2454963.8213999998</c:v>
                </c:pt>
                <c:pt idx="303">
                  <c:v>2454970.7925999998</c:v>
                </c:pt>
                <c:pt idx="304">
                  <c:v>2454994.4873700002</c:v>
                </c:pt>
                <c:pt idx="305">
                  <c:v>2454997.7077000001</c:v>
                </c:pt>
                <c:pt idx="306">
                  <c:v>2455024.4158899998</c:v>
                </c:pt>
                <c:pt idx="307">
                  <c:v>2455041.2477799999</c:v>
                </c:pt>
                <c:pt idx="308">
                  <c:v>2455044.8015999999</c:v>
                </c:pt>
                <c:pt idx="309">
                  <c:v>2455049.7083000001</c:v>
                </c:pt>
                <c:pt idx="310">
                  <c:v>2455060.0865699998</c:v>
                </c:pt>
                <c:pt idx="311">
                  <c:v>2455061.57571</c:v>
                </c:pt>
                <c:pt idx="312">
                  <c:v>2455066.0241399999</c:v>
                </c:pt>
                <c:pt idx="313">
                  <c:v>2455067.5921200002</c:v>
                </c:pt>
                <c:pt idx="314">
                  <c:v>2455069.56476</c:v>
                </c:pt>
                <c:pt idx="315">
                  <c:v>2455072.6097900001</c:v>
                </c:pt>
                <c:pt idx="316">
                  <c:v>2455074.5676899999</c:v>
                </c:pt>
                <c:pt idx="317">
                  <c:v>2455077.6453999998</c:v>
                </c:pt>
                <c:pt idx="318">
                  <c:v>2455080.0625999998</c:v>
                </c:pt>
                <c:pt idx="319">
                  <c:v>2455081.5544199999</c:v>
                </c:pt>
                <c:pt idx="320">
                  <c:v>2455094.5221500001</c:v>
                </c:pt>
                <c:pt idx="321">
                  <c:v>2455096.0136299999</c:v>
                </c:pt>
                <c:pt idx="322">
                  <c:v>2455100.4992200001</c:v>
                </c:pt>
                <c:pt idx="323">
                  <c:v>2455123.5395999998</c:v>
                </c:pt>
                <c:pt idx="324">
                  <c:v>2455137.5178</c:v>
                </c:pt>
                <c:pt idx="325">
                  <c:v>2455148.4923</c:v>
                </c:pt>
                <c:pt idx="326">
                  <c:v>2455167.4712999999</c:v>
                </c:pt>
                <c:pt idx="327">
                  <c:v>2455252.9648000002</c:v>
                </c:pt>
                <c:pt idx="328">
                  <c:v>2455274.9415000002</c:v>
                </c:pt>
                <c:pt idx="329">
                  <c:v>2455279.9207000001</c:v>
                </c:pt>
                <c:pt idx="330">
                  <c:v>2455282.9256000002</c:v>
                </c:pt>
                <c:pt idx="331">
                  <c:v>2455301.8867000001</c:v>
                </c:pt>
                <c:pt idx="332">
                  <c:v>2455304.5274999999</c:v>
                </c:pt>
                <c:pt idx="333">
                  <c:v>2455321.8184000002</c:v>
                </c:pt>
                <c:pt idx="334">
                  <c:v>2455343.8264000001</c:v>
                </c:pt>
                <c:pt idx="335">
                  <c:v>2455373.6784999999</c:v>
                </c:pt>
                <c:pt idx="336">
                  <c:v>2455378.7486100001</c:v>
                </c:pt>
                <c:pt idx="337">
                  <c:v>2455388.42154</c:v>
                </c:pt>
                <c:pt idx="338">
                  <c:v>2455414.7013400001</c:v>
                </c:pt>
                <c:pt idx="339">
                  <c:v>2455417.7220000001</c:v>
                </c:pt>
                <c:pt idx="340">
                  <c:v>2455425.7072999999</c:v>
                </c:pt>
                <c:pt idx="341">
                  <c:v>2455436.6729000001</c:v>
                </c:pt>
                <c:pt idx="342">
                  <c:v>2455438.6367000001</c:v>
                </c:pt>
                <c:pt idx="343">
                  <c:v>2455452.6501799999</c:v>
                </c:pt>
                <c:pt idx="344">
                  <c:v>2455477.5641999999</c:v>
                </c:pt>
                <c:pt idx="345">
                  <c:v>2455479.5495000002</c:v>
                </c:pt>
                <c:pt idx="346">
                  <c:v>2455492.5222999998</c:v>
                </c:pt>
                <c:pt idx="347">
                  <c:v>2455509.4696</c:v>
                </c:pt>
                <c:pt idx="348">
                  <c:v>2455615.4772199998</c:v>
                </c:pt>
                <c:pt idx="349">
                  <c:v>2455618.96753</c:v>
                </c:pt>
                <c:pt idx="350">
                  <c:v>2455622.45793</c:v>
                </c:pt>
                <c:pt idx="351">
                  <c:v>2455624.4525199998</c:v>
                </c:pt>
                <c:pt idx="352">
                  <c:v>2455630.4361399999</c:v>
                </c:pt>
                <c:pt idx="353">
                  <c:v>2455632.4306399999</c:v>
                </c:pt>
                <c:pt idx="354">
                  <c:v>2455634.9238800001</c:v>
                </c:pt>
                <c:pt idx="355">
                  <c:v>2455638.41432</c:v>
                </c:pt>
                <c:pt idx="356">
                  <c:v>2455640.4088400002</c:v>
                </c:pt>
                <c:pt idx="357">
                  <c:v>2455643.8991999999</c:v>
                </c:pt>
                <c:pt idx="358">
                  <c:v>2455645.3992400002</c:v>
                </c:pt>
                <c:pt idx="359">
                  <c:v>2455646.8950499999</c:v>
                </c:pt>
                <c:pt idx="360">
                  <c:v>2455649.9500500001</c:v>
                </c:pt>
                <c:pt idx="361">
                  <c:v>2455655.4507300002</c:v>
                </c:pt>
                <c:pt idx="362">
                  <c:v>2455660.9521599999</c:v>
                </c:pt>
                <c:pt idx="363">
                  <c:v>2455665.9229100002</c:v>
                </c:pt>
                <c:pt idx="364">
                  <c:v>2455669.9016200001</c:v>
                </c:pt>
                <c:pt idx="365">
                  <c:v>2455673.8439799999</c:v>
                </c:pt>
                <c:pt idx="366">
                  <c:v>2455677.8339200001</c:v>
                </c:pt>
                <c:pt idx="367">
                  <c:v>2455682.96801</c:v>
                </c:pt>
                <c:pt idx="368">
                  <c:v>2455684.81244</c:v>
                </c:pt>
                <c:pt idx="369">
                  <c:v>2455688.8017600002</c:v>
                </c:pt>
                <c:pt idx="370">
                  <c:v>2455693.7694700002</c:v>
                </c:pt>
                <c:pt idx="371">
                  <c:v>2455697.7535999999</c:v>
                </c:pt>
                <c:pt idx="372">
                  <c:v>2455712.4375</c:v>
                </c:pt>
                <c:pt idx="373">
                  <c:v>2455718.824</c:v>
                </c:pt>
                <c:pt idx="374">
                  <c:v>2455720.7752999999</c:v>
                </c:pt>
                <c:pt idx="375">
                  <c:v>2455724.80669</c:v>
                </c:pt>
                <c:pt idx="376">
                  <c:v>2455728.7462200001</c:v>
                </c:pt>
                <c:pt idx="377">
                  <c:v>2455734.0852000001</c:v>
                </c:pt>
                <c:pt idx="378">
                  <c:v>2455738.07675</c:v>
                </c:pt>
                <c:pt idx="379">
                  <c:v>2455739.7927000001</c:v>
                </c:pt>
                <c:pt idx="380">
                  <c:v>2455741.7758999998</c:v>
                </c:pt>
                <c:pt idx="381">
                  <c:v>2455749.38056</c:v>
                </c:pt>
                <c:pt idx="382">
                  <c:v>2455753.77434</c:v>
                </c:pt>
                <c:pt idx="383">
                  <c:v>2455758.8017099998</c:v>
                </c:pt>
                <c:pt idx="384">
                  <c:v>2455760.6545199999</c:v>
                </c:pt>
                <c:pt idx="385">
                  <c:v>2455761.6616799999</c:v>
                </c:pt>
                <c:pt idx="386">
                  <c:v>2455762.67827</c:v>
                </c:pt>
                <c:pt idx="387">
                  <c:v>2455763.72511</c:v>
                </c:pt>
                <c:pt idx="388">
                  <c:v>2455765.23655</c:v>
                </c:pt>
                <c:pt idx="389">
                  <c:v>2455769.0338900001</c:v>
                </c:pt>
                <c:pt idx="390">
                  <c:v>2455769.71844</c:v>
                </c:pt>
                <c:pt idx="391">
                  <c:v>2455771.3930899999</c:v>
                </c:pt>
                <c:pt idx="392">
                  <c:v>2455775.6953699999</c:v>
                </c:pt>
                <c:pt idx="393">
                  <c:v>2455780.7160499999</c:v>
                </c:pt>
                <c:pt idx="394">
                  <c:v>2455783.3076399998</c:v>
                </c:pt>
                <c:pt idx="395">
                  <c:v>2455785.65337</c:v>
                </c:pt>
                <c:pt idx="396">
                  <c:v>2455788.16383</c:v>
                </c:pt>
                <c:pt idx="397">
                  <c:v>2455789.6964500002</c:v>
                </c:pt>
                <c:pt idx="398">
                  <c:v>2455796.4049200001</c:v>
                </c:pt>
                <c:pt idx="399">
                  <c:v>2455799.66047</c:v>
                </c:pt>
                <c:pt idx="400">
                  <c:v>2455801.6102900002</c:v>
                </c:pt>
                <c:pt idx="401">
                  <c:v>2455803.6685100002</c:v>
                </c:pt>
                <c:pt idx="402">
                  <c:v>2455812.6549499999</c:v>
                </c:pt>
                <c:pt idx="403">
                  <c:v>2455816.5798999998</c:v>
                </c:pt>
                <c:pt idx="404">
                  <c:v>2455865.5560099999</c:v>
                </c:pt>
                <c:pt idx="405">
                  <c:v>2455869.5583199998</c:v>
                </c:pt>
                <c:pt idx="406">
                  <c:v>2455943.9854799998</c:v>
                </c:pt>
                <c:pt idx="407">
                  <c:v>2455956.9739799998</c:v>
                </c:pt>
                <c:pt idx="408">
                  <c:v>2455972.0274</c:v>
                </c:pt>
                <c:pt idx="409">
                  <c:v>2455989.9730799999</c:v>
                </c:pt>
                <c:pt idx="410">
                  <c:v>2455999.9363000002</c:v>
                </c:pt>
                <c:pt idx="411">
                  <c:v>2456001.9290999998</c:v>
                </c:pt>
                <c:pt idx="412">
                  <c:v>2456002.9381900001</c:v>
                </c:pt>
                <c:pt idx="413">
                  <c:v>2456005.4306100002</c:v>
                </c:pt>
                <c:pt idx="414">
                  <c:v>2456007.92343</c:v>
                </c:pt>
                <c:pt idx="415">
                  <c:v>2456008.9452800001</c:v>
                </c:pt>
                <c:pt idx="416">
                  <c:v>2456009.9253400001</c:v>
                </c:pt>
                <c:pt idx="417">
                  <c:v>2456012.9238900002</c:v>
                </c:pt>
                <c:pt idx="418">
                  <c:v>2456014.5583600001</c:v>
                </c:pt>
                <c:pt idx="419">
                  <c:v>2456015.8548300001</c:v>
                </c:pt>
                <c:pt idx="420">
                  <c:v>2456018.9271499999</c:v>
                </c:pt>
                <c:pt idx="421">
                  <c:v>2456021.4304900002</c:v>
                </c:pt>
                <c:pt idx="422">
                  <c:v>2456026.8305500001</c:v>
                </c:pt>
                <c:pt idx="423">
                  <c:v>2456027.9803200001</c:v>
                </c:pt>
                <c:pt idx="424">
                  <c:v>2456033.34136</c:v>
                </c:pt>
                <c:pt idx="425">
                  <c:v>2456034.4444200001</c:v>
                </c:pt>
                <c:pt idx="426">
                  <c:v>2456038.8303499999</c:v>
                </c:pt>
                <c:pt idx="427">
                  <c:v>2456041.2820000001</c:v>
                </c:pt>
                <c:pt idx="428">
                  <c:v>2456042.8078800002</c:v>
                </c:pt>
                <c:pt idx="429">
                  <c:v>2456045.3357299999</c:v>
                </c:pt>
                <c:pt idx="430">
                  <c:v>2456046.8051</c:v>
                </c:pt>
                <c:pt idx="431">
                  <c:v>2456049.3581300001</c:v>
                </c:pt>
                <c:pt idx="432">
                  <c:v>2456050.8312400002</c:v>
                </c:pt>
                <c:pt idx="433">
                  <c:v>2456053.8172900002</c:v>
                </c:pt>
                <c:pt idx="434">
                  <c:v>2456058.2050200002</c:v>
                </c:pt>
                <c:pt idx="435">
                  <c:v>2456061.2584600002</c:v>
                </c:pt>
                <c:pt idx="436">
                  <c:v>2456063.1947499998</c:v>
                </c:pt>
                <c:pt idx="437">
                  <c:v>2456065.69741</c:v>
                </c:pt>
                <c:pt idx="438">
                  <c:v>2456067.1214399999</c:v>
                </c:pt>
                <c:pt idx="439">
                  <c:v>2456067.7354199998</c:v>
                </c:pt>
                <c:pt idx="440">
                  <c:v>2456070.3331800001</c:v>
                </c:pt>
                <c:pt idx="441">
                  <c:v>2456071.8299799999</c:v>
                </c:pt>
                <c:pt idx="442">
                  <c:v>2456074.3975399998</c:v>
                </c:pt>
                <c:pt idx="443">
                  <c:v>2456078.6856800001</c:v>
                </c:pt>
                <c:pt idx="444">
                  <c:v>2456081.8396399999</c:v>
                </c:pt>
                <c:pt idx="445">
                  <c:v>2456083.2719700001</c:v>
                </c:pt>
                <c:pt idx="446">
                  <c:v>2456085.2176899998</c:v>
                </c:pt>
                <c:pt idx="447">
                  <c:v>2456086.3153499998</c:v>
                </c:pt>
                <c:pt idx="448">
                  <c:v>2456087.66976</c:v>
                </c:pt>
                <c:pt idx="449">
                  <c:v>2456089.1858899998</c:v>
                </c:pt>
                <c:pt idx="450">
                  <c:v>2456090.7378099998</c:v>
                </c:pt>
                <c:pt idx="451">
                  <c:v>2456092.1868699999</c:v>
                </c:pt>
                <c:pt idx="452">
                  <c:v>2456093.5346300001</c:v>
                </c:pt>
                <c:pt idx="453">
                  <c:v>2456094.5553899999</c:v>
                </c:pt>
                <c:pt idx="454">
                  <c:v>2456096.74126</c:v>
                </c:pt>
                <c:pt idx="455">
                  <c:v>2456097.7821200001</c:v>
                </c:pt>
                <c:pt idx="456">
                  <c:v>2456099.6800500001</c:v>
                </c:pt>
                <c:pt idx="457">
                  <c:v>2456101.25551</c:v>
                </c:pt>
                <c:pt idx="458">
                  <c:v>2456103.2399800001</c:v>
                </c:pt>
                <c:pt idx="459">
                  <c:v>2456104.65179</c:v>
                </c:pt>
                <c:pt idx="460">
                  <c:v>2456106.3570300001</c:v>
                </c:pt>
                <c:pt idx="461">
                  <c:v>2456107.2078100001</c:v>
                </c:pt>
                <c:pt idx="462">
                  <c:v>2456109.2149899998</c:v>
                </c:pt>
                <c:pt idx="463">
                  <c:v>2456110.6055899998</c:v>
                </c:pt>
                <c:pt idx="464">
                  <c:v>2456117.21269</c:v>
                </c:pt>
                <c:pt idx="465">
                  <c:v>2456118.3478999999</c:v>
                </c:pt>
                <c:pt idx="466">
                  <c:v>2456120.6389299999</c:v>
                </c:pt>
                <c:pt idx="467">
                  <c:v>2456126.3292</c:v>
                </c:pt>
                <c:pt idx="468">
                  <c:v>2456128.4138400001</c:v>
                </c:pt>
                <c:pt idx="469">
                  <c:v>2456129.6061399998</c:v>
                </c:pt>
                <c:pt idx="470">
                  <c:v>2456131.0129200001</c:v>
                </c:pt>
                <c:pt idx="471">
                  <c:v>2456132.0410099998</c:v>
                </c:pt>
                <c:pt idx="472">
                  <c:v>2456133.4065899998</c:v>
                </c:pt>
                <c:pt idx="473">
                  <c:v>2456137.3951400002</c:v>
                </c:pt>
                <c:pt idx="474">
                  <c:v>2456146.16353</c:v>
                </c:pt>
                <c:pt idx="475">
                  <c:v>2456147.6736300001</c:v>
                </c:pt>
                <c:pt idx="476">
                  <c:v>2456150.7185200001</c:v>
                </c:pt>
                <c:pt idx="477">
                  <c:v>2456155.2237999998</c:v>
                </c:pt>
                <c:pt idx="478">
                  <c:v>2456157.7119300002</c:v>
                </c:pt>
                <c:pt idx="479">
                  <c:v>2456159.6770600001</c:v>
                </c:pt>
                <c:pt idx="480">
                  <c:v>2456162.1676400001</c:v>
                </c:pt>
                <c:pt idx="481">
                  <c:v>2456169.14995</c:v>
                </c:pt>
                <c:pt idx="482">
                  <c:v>2456170.6793900002</c:v>
                </c:pt>
                <c:pt idx="483">
                  <c:v>2456180.1306799999</c:v>
                </c:pt>
                <c:pt idx="484">
                  <c:v>2456181.5808100002</c:v>
                </c:pt>
                <c:pt idx="485">
                  <c:v>2456182.6398100001</c:v>
                </c:pt>
                <c:pt idx="486">
                  <c:v>2456184.0801599999</c:v>
                </c:pt>
                <c:pt idx="487">
                  <c:v>2456193.6296999999</c:v>
                </c:pt>
                <c:pt idx="488">
                  <c:v>2456195.5048600002</c:v>
                </c:pt>
                <c:pt idx="489">
                  <c:v>2456200.6058100001</c:v>
                </c:pt>
                <c:pt idx="490">
                  <c:v>2456202.6091100001</c:v>
                </c:pt>
                <c:pt idx="491">
                  <c:v>2456229.5497300001</c:v>
                </c:pt>
                <c:pt idx="492">
                  <c:v>2456303.0598399998</c:v>
                </c:pt>
                <c:pt idx="493">
                  <c:v>2456328.9910200001</c:v>
                </c:pt>
                <c:pt idx="494">
                  <c:v>2456335.9925199999</c:v>
                </c:pt>
                <c:pt idx="495">
                  <c:v>2456337.9938300001</c:v>
                </c:pt>
                <c:pt idx="496">
                  <c:v>2456339.9458699999</c:v>
                </c:pt>
                <c:pt idx="497">
                  <c:v>2456347.4147199998</c:v>
                </c:pt>
                <c:pt idx="498">
                  <c:v>2456348.9078600002</c:v>
                </c:pt>
                <c:pt idx="499">
                  <c:v>2456354.8953900002</c:v>
                </c:pt>
                <c:pt idx="500">
                  <c:v>2456358.9243999999</c:v>
                </c:pt>
                <c:pt idx="501">
                  <c:v>2456359.9247099999</c:v>
                </c:pt>
                <c:pt idx="502">
                  <c:v>2456363.8690399998</c:v>
                </c:pt>
                <c:pt idx="503">
                  <c:v>2456366.5475300001</c:v>
                </c:pt>
                <c:pt idx="504">
                  <c:v>2456367.8677500002</c:v>
                </c:pt>
                <c:pt idx="505">
                  <c:v>2456370.8477099999</c:v>
                </c:pt>
                <c:pt idx="506">
                  <c:v>2456373.8664099998</c:v>
                </c:pt>
                <c:pt idx="507">
                  <c:v>2456378.8312300001</c:v>
                </c:pt>
                <c:pt idx="508">
                  <c:v>2456380.8813299998</c:v>
                </c:pt>
                <c:pt idx="509">
                  <c:v>2456387.8693400002</c:v>
                </c:pt>
                <c:pt idx="510">
                  <c:v>2456392.88393</c:v>
                </c:pt>
                <c:pt idx="511">
                  <c:v>2456396.2817899999</c:v>
                </c:pt>
                <c:pt idx="512">
                  <c:v>2456398.93456</c:v>
                </c:pt>
                <c:pt idx="513">
                  <c:v>2456402.8258099998</c:v>
                </c:pt>
                <c:pt idx="514">
                  <c:v>2456404.7665499998</c:v>
                </c:pt>
                <c:pt idx="515">
                  <c:v>2456409.8162600002</c:v>
                </c:pt>
                <c:pt idx="516">
                  <c:v>2456422.8000400001</c:v>
                </c:pt>
                <c:pt idx="517">
                  <c:v>2456427.2701699999</c:v>
                </c:pt>
                <c:pt idx="518">
                  <c:v>2456428.28217</c:v>
                </c:pt>
                <c:pt idx="519">
                  <c:v>2456430.72413</c:v>
                </c:pt>
                <c:pt idx="520">
                  <c:v>2456436.22572</c:v>
                </c:pt>
                <c:pt idx="521">
                  <c:v>2456437.71539</c:v>
                </c:pt>
                <c:pt idx="522">
                  <c:v>2456444.8897899999</c:v>
                </c:pt>
                <c:pt idx="523">
                  <c:v>2456447.7215399998</c:v>
                </c:pt>
                <c:pt idx="524">
                  <c:v>2456450.5706500001</c:v>
                </c:pt>
                <c:pt idx="525">
                  <c:v>2456455.1329899998</c:v>
                </c:pt>
                <c:pt idx="526">
                  <c:v>2456456.7911999999</c:v>
                </c:pt>
                <c:pt idx="527">
                  <c:v>2456457.7471500002</c:v>
                </c:pt>
                <c:pt idx="528">
                  <c:v>2456461.3875000002</c:v>
                </c:pt>
                <c:pt idx="529">
                  <c:v>2456463.3972499999</c:v>
                </c:pt>
                <c:pt idx="530">
                  <c:v>2456470.2711800002</c:v>
                </c:pt>
                <c:pt idx="531">
                  <c:v>2456472.7615700001</c:v>
                </c:pt>
                <c:pt idx="532">
                  <c:v>2456474.3785000001</c:v>
                </c:pt>
                <c:pt idx="533">
                  <c:v>2456476.3931</c:v>
                </c:pt>
                <c:pt idx="534">
                  <c:v>2456478.5699300002</c:v>
                </c:pt>
                <c:pt idx="535">
                  <c:v>2456479.6779700001</c:v>
                </c:pt>
                <c:pt idx="536">
                  <c:v>2456481.2417299999</c:v>
                </c:pt>
                <c:pt idx="537">
                  <c:v>2456483.2393899998</c:v>
                </c:pt>
                <c:pt idx="538">
                  <c:v>2456485.2290400001</c:v>
                </c:pt>
                <c:pt idx="539">
                  <c:v>2456487.22493</c:v>
                </c:pt>
                <c:pt idx="540">
                  <c:v>2456488.3638499998</c:v>
                </c:pt>
                <c:pt idx="541">
                  <c:v>2456490.21563</c:v>
                </c:pt>
                <c:pt idx="542">
                  <c:v>2456491.7259399998</c:v>
                </c:pt>
                <c:pt idx="543">
                  <c:v>2456497.2019000002</c:v>
                </c:pt>
                <c:pt idx="544">
                  <c:v>2456498.7205400001</c:v>
                </c:pt>
                <c:pt idx="545">
                  <c:v>2456500.5191299999</c:v>
                </c:pt>
                <c:pt idx="546">
                  <c:v>2456501.6804599999</c:v>
                </c:pt>
                <c:pt idx="547">
                  <c:v>2456503.6864700001</c:v>
                </c:pt>
                <c:pt idx="548">
                  <c:v>2456505.6850899998</c:v>
                </c:pt>
                <c:pt idx="549">
                  <c:v>2456506.71019</c:v>
                </c:pt>
                <c:pt idx="550">
                  <c:v>2456508.6887300001</c:v>
                </c:pt>
                <c:pt idx="551">
                  <c:v>2456511.65454</c:v>
                </c:pt>
                <c:pt idx="552">
                  <c:v>2456512.6929700002</c:v>
                </c:pt>
                <c:pt idx="553">
                  <c:v>2456515.6469800002</c:v>
                </c:pt>
                <c:pt idx="554">
                  <c:v>2456517.6676699999</c:v>
                </c:pt>
                <c:pt idx="555">
                  <c:v>2456519.16573</c:v>
                </c:pt>
                <c:pt idx="556">
                  <c:v>2456523.6385499998</c:v>
                </c:pt>
                <c:pt idx="557">
                  <c:v>2456525.14481</c:v>
                </c:pt>
                <c:pt idx="558">
                  <c:v>2456526.6391599998</c:v>
                </c:pt>
                <c:pt idx="559">
                  <c:v>2456529.1557100001</c:v>
                </c:pt>
                <c:pt idx="560">
                  <c:v>2456531.1453499999</c:v>
                </c:pt>
                <c:pt idx="561">
                  <c:v>2456533.1431399998</c:v>
                </c:pt>
                <c:pt idx="562">
                  <c:v>2456534.6345799998</c:v>
                </c:pt>
                <c:pt idx="563">
                  <c:v>2456535.63503</c:v>
                </c:pt>
                <c:pt idx="564">
                  <c:v>2456538.13797</c:v>
                </c:pt>
                <c:pt idx="565">
                  <c:v>2456539.6333400002</c:v>
                </c:pt>
                <c:pt idx="566">
                  <c:v>2456540.69575</c:v>
                </c:pt>
                <c:pt idx="567">
                  <c:v>2456542.6350799999</c:v>
                </c:pt>
                <c:pt idx="568">
                  <c:v>2456544.60396</c:v>
                </c:pt>
                <c:pt idx="569">
                  <c:v>2456546.1035600002</c:v>
                </c:pt>
                <c:pt idx="570">
                  <c:v>2456557.4156999998</c:v>
                </c:pt>
                <c:pt idx="571">
                  <c:v>2456566.5422100001</c:v>
                </c:pt>
                <c:pt idx="572">
                  <c:v>2456567.5425100001</c:v>
                </c:pt>
                <c:pt idx="573">
                  <c:v>2456569.54238</c:v>
                </c:pt>
                <c:pt idx="574">
                  <c:v>2456705.4254600001</c:v>
                </c:pt>
                <c:pt idx="575">
                  <c:v>2456706.9475699998</c:v>
                </c:pt>
                <c:pt idx="576">
                  <c:v>2456707.9489799999</c:v>
                </c:pt>
                <c:pt idx="577">
                  <c:v>2456710.9374199999</c:v>
                </c:pt>
                <c:pt idx="578">
                  <c:v>2456715.92484</c:v>
                </c:pt>
                <c:pt idx="579">
                  <c:v>2456723.9015299999</c:v>
                </c:pt>
                <c:pt idx="580">
                  <c:v>2456726.8817500002</c:v>
                </c:pt>
                <c:pt idx="581">
                  <c:v>2456751.24456</c:v>
                </c:pt>
                <c:pt idx="582">
                  <c:v>2456757.81036</c:v>
                </c:pt>
                <c:pt idx="583">
                  <c:v>2456759.8028699998</c:v>
                </c:pt>
                <c:pt idx="584">
                  <c:v>2456770.8189500002</c:v>
                </c:pt>
                <c:pt idx="585">
                  <c:v>2456782.2705999999</c:v>
                </c:pt>
                <c:pt idx="586">
                  <c:v>2456786.7056</c:v>
                </c:pt>
                <c:pt idx="587">
                  <c:v>2456796.7050800002</c:v>
                </c:pt>
                <c:pt idx="588">
                  <c:v>2456798.3234799998</c:v>
                </c:pt>
                <c:pt idx="589">
                  <c:v>2456800.8173799999</c:v>
                </c:pt>
                <c:pt idx="590">
                  <c:v>2456812.0200200002</c:v>
                </c:pt>
                <c:pt idx="591">
                  <c:v>2456844.5162999998</c:v>
                </c:pt>
                <c:pt idx="592">
                  <c:v>2456850.6269499999</c:v>
                </c:pt>
                <c:pt idx="593">
                  <c:v>2456856.85408</c:v>
                </c:pt>
                <c:pt idx="594">
                  <c:v>2456860.8435</c:v>
                </c:pt>
                <c:pt idx="595">
                  <c:v>2456863.1994500002</c:v>
                </c:pt>
                <c:pt idx="596">
                  <c:v>2456866.6866199998</c:v>
                </c:pt>
                <c:pt idx="597">
                  <c:v>2456868.5164999999</c:v>
                </c:pt>
                <c:pt idx="598">
                  <c:v>2456870.6727200001</c:v>
                </c:pt>
                <c:pt idx="599">
                  <c:v>2456872.6662499998</c:v>
                </c:pt>
                <c:pt idx="600">
                  <c:v>2456884.1391400001</c:v>
                </c:pt>
                <c:pt idx="601">
                  <c:v>2456891.6496899999</c:v>
                </c:pt>
                <c:pt idx="602">
                  <c:v>2456894.1111400002</c:v>
                </c:pt>
                <c:pt idx="603">
                  <c:v>2456895.60427</c:v>
                </c:pt>
                <c:pt idx="604">
                  <c:v>2456901.5888899998</c:v>
                </c:pt>
                <c:pt idx="605">
                  <c:v>2456904.8167599998</c:v>
                </c:pt>
                <c:pt idx="606">
                  <c:v>2456916.3129500002</c:v>
                </c:pt>
                <c:pt idx="607">
                  <c:v>2457061.94936</c:v>
                </c:pt>
                <c:pt idx="608">
                  <c:v>2457064.9540800001</c:v>
                </c:pt>
                <c:pt idx="609">
                  <c:v>2457065.9664500002</c:v>
                </c:pt>
                <c:pt idx="610">
                  <c:v>2457068.9301999998</c:v>
                </c:pt>
                <c:pt idx="611">
                  <c:v>2457090.8667899999</c:v>
                </c:pt>
                <c:pt idx="612">
                  <c:v>2457094.93487</c:v>
                </c:pt>
                <c:pt idx="613">
                  <c:v>2457098.8922000001</c:v>
                </c:pt>
                <c:pt idx="614">
                  <c:v>2457112.52782</c:v>
                </c:pt>
                <c:pt idx="615">
                  <c:v>2457114.3210499999</c:v>
                </c:pt>
                <c:pt idx="616">
                  <c:v>2457116.9210700002</c:v>
                </c:pt>
                <c:pt idx="617">
                  <c:v>2457157.7617299999</c:v>
                </c:pt>
                <c:pt idx="618">
                  <c:v>2457159.2082799999</c:v>
                </c:pt>
                <c:pt idx="619">
                  <c:v>2457163.2257599998</c:v>
                </c:pt>
                <c:pt idx="620">
                  <c:v>2457164.8844400002</c:v>
                </c:pt>
                <c:pt idx="621">
                  <c:v>2457170.1218900001</c:v>
                </c:pt>
                <c:pt idx="622">
                  <c:v>2457171.1345199998</c:v>
                </c:pt>
                <c:pt idx="623">
                  <c:v>2457186.0510200001</c:v>
                </c:pt>
                <c:pt idx="624">
                  <c:v>2457188.8330700002</c:v>
                </c:pt>
                <c:pt idx="625">
                  <c:v>2457201.1437300001</c:v>
                </c:pt>
                <c:pt idx="626">
                  <c:v>2457213.4049499999</c:v>
                </c:pt>
                <c:pt idx="627">
                  <c:v>2457214.05877</c:v>
                </c:pt>
                <c:pt idx="628">
                  <c:v>2457426.9570499999</c:v>
                </c:pt>
                <c:pt idx="629">
                  <c:v>2457446.5581200002</c:v>
                </c:pt>
                <c:pt idx="630">
                  <c:v>2457452.88106</c:v>
                </c:pt>
                <c:pt idx="631">
                  <c:v>2457454.8764</c:v>
                </c:pt>
                <c:pt idx="632">
                  <c:v>2457459.3603300001</c:v>
                </c:pt>
                <c:pt idx="633">
                  <c:v>2457471.8695200002</c:v>
                </c:pt>
                <c:pt idx="634">
                  <c:v>2457486.7845299998</c:v>
                </c:pt>
                <c:pt idx="635">
                  <c:v>2457489.7782100001</c:v>
                </c:pt>
                <c:pt idx="636">
                  <c:v>2457506.2721299999</c:v>
                </c:pt>
                <c:pt idx="637">
                  <c:v>2457540.88735</c:v>
                </c:pt>
                <c:pt idx="638">
                  <c:v>2457562.66555</c:v>
                </c:pt>
                <c:pt idx="639">
                  <c:v>2457573.3944000001</c:v>
                </c:pt>
                <c:pt idx="640">
                  <c:v>2457582.3977399999</c:v>
                </c:pt>
                <c:pt idx="641">
                  <c:v>2457651.3282499998</c:v>
                </c:pt>
                <c:pt idx="642">
                  <c:v>2457672.2871300001</c:v>
                </c:pt>
                <c:pt idx="643">
                  <c:v>2457784.9704100001</c:v>
                </c:pt>
                <c:pt idx="644">
                  <c:v>2457785.9789800001</c:v>
                </c:pt>
                <c:pt idx="645">
                  <c:v>2457895.4596199999</c:v>
                </c:pt>
                <c:pt idx="646">
                  <c:v>2457896.5148</c:v>
                </c:pt>
                <c:pt idx="647">
                  <c:v>2457904.28859</c:v>
                </c:pt>
                <c:pt idx="648">
                  <c:v>2457977.36858</c:v>
                </c:pt>
                <c:pt idx="649">
                  <c:v>2457977.3687700001</c:v>
                </c:pt>
                <c:pt idx="650">
                  <c:v>2457978.3511800002</c:v>
                </c:pt>
                <c:pt idx="651">
                  <c:v>2457978.3513799999</c:v>
                </c:pt>
                <c:pt idx="652">
                  <c:v>2457991.54734</c:v>
                </c:pt>
                <c:pt idx="653">
                  <c:v>2458007.5923199998</c:v>
                </c:pt>
                <c:pt idx="654">
                  <c:v>2458011.3083899999</c:v>
                </c:pt>
                <c:pt idx="655">
                  <c:v>2458011.5339000002</c:v>
                </c:pt>
                <c:pt idx="656">
                  <c:v>2458011.5368900001</c:v>
                </c:pt>
                <c:pt idx="657">
                  <c:v>2458011.5416299999</c:v>
                </c:pt>
                <c:pt idx="658">
                  <c:v>2458019.5233</c:v>
                </c:pt>
                <c:pt idx="659">
                  <c:v>2458045.4978999998</c:v>
                </c:pt>
                <c:pt idx="660">
                  <c:v>2458048.4728999999</c:v>
                </c:pt>
                <c:pt idx="661">
                  <c:v>2458206.9009500002</c:v>
                </c:pt>
                <c:pt idx="662">
                  <c:v>2458273.8817599998</c:v>
                </c:pt>
                <c:pt idx="663">
                  <c:v>2458316.6847000001</c:v>
                </c:pt>
                <c:pt idx="664">
                  <c:v>2458336.6686999998</c:v>
                </c:pt>
                <c:pt idx="665">
                  <c:v>2458375.5554999998</c:v>
                </c:pt>
                <c:pt idx="666">
                  <c:v>2458377.5888</c:v>
                </c:pt>
                <c:pt idx="667">
                  <c:v>2458408.2797599998</c:v>
                </c:pt>
                <c:pt idx="668">
                  <c:v>2458663.06837</c:v>
                </c:pt>
                <c:pt idx="669">
                  <c:v>2458663.06965</c:v>
                </c:pt>
                <c:pt idx="670">
                  <c:v>2458683.6691700001</c:v>
                </c:pt>
                <c:pt idx="671">
                  <c:v>2458684.6481599999</c:v>
                </c:pt>
                <c:pt idx="672">
                  <c:v>2458692.5565399998</c:v>
                </c:pt>
                <c:pt idx="673">
                  <c:v>2458693.6743000001</c:v>
                </c:pt>
                <c:pt idx="674">
                  <c:v>2458699.5880999998</c:v>
                </c:pt>
                <c:pt idx="675">
                  <c:v>2458701.6118000001</c:v>
                </c:pt>
                <c:pt idx="676">
                  <c:v>2458705.5541599998</c:v>
                </c:pt>
                <c:pt idx="677">
                  <c:v>2458726.5854000002</c:v>
                </c:pt>
                <c:pt idx="678">
                  <c:v>2458727.5306099998</c:v>
                </c:pt>
                <c:pt idx="679">
                  <c:v>2458728.577</c:v>
                </c:pt>
                <c:pt idx="680">
                  <c:v>2458734.5473099998</c:v>
                </c:pt>
                <c:pt idx="681">
                  <c:v>2458735.3253199998</c:v>
                </c:pt>
                <c:pt idx="682">
                  <c:v>2458735.5274800002</c:v>
                </c:pt>
                <c:pt idx="683">
                  <c:v>2458738.5251500001</c:v>
                </c:pt>
                <c:pt idx="684">
                  <c:v>2458757.5104</c:v>
                </c:pt>
                <c:pt idx="685">
                  <c:v>2458785.4722000002</c:v>
                </c:pt>
                <c:pt idx="686">
                  <c:v>2458882.9709100001</c:v>
                </c:pt>
                <c:pt idx="687">
                  <c:v>2458887.9748300002</c:v>
                </c:pt>
                <c:pt idx="688">
                  <c:v>2458888.9606300001</c:v>
                </c:pt>
                <c:pt idx="689">
                  <c:v>2458889.9779500002</c:v>
                </c:pt>
                <c:pt idx="690">
                  <c:v>2458895.9545100001</c:v>
                </c:pt>
                <c:pt idx="691">
                  <c:v>2458904.9652</c:v>
                </c:pt>
                <c:pt idx="692">
                  <c:v>2458921.9440199998</c:v>
                </c:pt>
                <c:pt idx="693">
                  <c:v>2458932.9206400001</c:v>
                </c:pt>
                <c:pt idx="694">
                  <c:v>2458967.91346</c:v>
                </c:pt>
                <c:pt idx="695">
                  <c:v>2458973.9127600002</c:v>
                </c:pt>
                <c:pt idx="696">
                  <c:v>2458974.9091599998</c:v>
                </c:pt>
                <c:pt idx="697">
                  <c:v>2458986.6228999998</c:v>
                </c:pt>
                <c:pt idx="698">
                  <c:v>2458990.9031099998</c:v>
                </c:pt>
                <c:pt idx="699">
                  <c:v>2459004.0649999999</c:v>
                </c:pt>
                <c:pt idx="700">
                  <c:v>2459004.3960000002</c:v>
                </c:pt>
                <c:pt idx="701">
                  <c:v>2459009.0520000001</c:v>
                </c:pt>
                <c:pt idx="702">
                  <c:v>2459010.2400000002</c:v>
                </c:pt>
                <c:pt idx="703">
                  <c:v>2459011.406</c:v>
                </c:pt>
                <c:pt idx="704">
                  <c:v>2459012.3760000002</c:v>
                </c:pt>
                <c:pt idx="705">
                  <c:v>2459019.05583</c:v>
                </c:pt>
                <c:pt idx="706">
                  <c:v>2459019.44625</c:v>
                </c:pt>
                <c:pt idx="707">
                  <c:v>2459020.0970000001</c:v>
                </c:pt>
                <c:pt idx="708">
                  <c:v>2459020.7250100002</c:v>
                </c:pt>
                <c:pt idx="709">
                  <c:v>2459021.5877200002</c:v>
                </c:pt>
                <c:pt idx="710">
                  <c:v>2459026.0929999999</c:v>
                </c:pt>
                <c:pt idx="711">
                  <c:v>2459030.0959999999</c:v>
                </c:pt>
                <c:pt idx="712">
                  <c:v>2459041.1320000002</c:v>
                </c:pt>
                <c:pt idx="713">
                  <c:v>2459052.3960000002</c:v>
                </c:pt>
                <c:pt idx="714">
                  <c:v>2459065.5765499999</c:v>
                </c:pt>
                <c:pt idx="715">
                  <c:v>2459069.4389999998</c:v>
                </c:pt>
                <c:pt idx="716">
                  <c:v>2459072.59424</c:v>
                </c:pt>
                <c:pt idx="717">
                  <c:v>2459072.5950000002</c:v>
                </c:pt>
                <c:pt idx="718">
                  <c:v>2459072.5957599999</c:v>
                </c:pt>
                <c:pt idx="719">
                  <c:v>2459072.5965200001</c:v>
                </c:pt>
                <c:pt idx="720">
                  <c:v>2459072.5972799999</c:v>
                </c:pt>
                <c:pt idx="721">
                  <c:v>2459072.5980500001</c:v>
                </c:pt>
                <c:pt idx="722">
                  <c:v>2459072.7555999998</c:v>
                </c:pt>
                <c:pt idx="723">
                  <c:v>2459078.67472</c:v>
                </c:pt>
                <c:pt idx="724">
                  <c:v>2459078.6754899998</c:v>
                </c:pt>
                <c:pt idx="725">
                  <c:v>2459078.67625</c:v>
                </c:pt>
                <c:pt idx="726">
                  <c:v>2459078.6770100002</c:v>
                </c:pt>
                <c:pt idx="727">
                  <c:v>2459078.6777599999</c:v>
                </c:pt>
                <c:pt idx="728">
                  <c:v>2459078.6785200001</c:v>
                </c:pt>
                <c:pt idx="729">
                  <c:v>2459078.6792799998</c:v>
                </c:pt>
                <c:pt idx="730">
                  <c:v>2459078.6800500001</c:v>
                </c:pt>
                <c:pt idx="731">
                  <c:v>2459078.6808099998</c:v>
                </c:pt>
                <c:pt idx="732">
                  <c:v>2459078.6815599999</c:v>
                </c:pt>
                <c:pt idx="733">
                  <c:v>2459078.6823</c:v>
                </c:pt>
                <c:pt idx="734">
                  <c:v>2459078.6830600002</c:v>
                </c:pt>
                <c:pt idx="735">
                  <c:v>2459078.68383</c:v>
                </c:pt>
                <c:pt idx="736">
                  <c:v>2459078.6845900002</c:v>
                </c:pt>
                <c:pt idx="737">
                  <c:v>2459078.6853399999</c:v>
                </c:pt>
                <c:pt idx="738">
                  <c:v>2459085.6483300002</c:v>
                </c:pt>
                <c:pt idx="739">
                  <c:v>2459085.6491</c:v>
                </c:pt>
                <c:pt idx="740">
                  <c:v>2459085.6498699998</c:v>
                </c:pt>
                <c:pt idx="741">
                  <c:v>2459085.65062</c:v>
                </c:pt>
                <c:pt idx="742">
                  <c:v>2459085.6513700001</c:v>
                </c:pt>
                <c:pt idx="743">
                  <c:v>2459085.6521299998</c:v>
                </c:pt>
                <c:pt idx="744">
                  <c:v>2459085.65289</c:v>
                </c:pt>
                <c:pt idx="745">
                  <c:v>2459085.6538300002</c:v>
                </c:pt>
                <c:pt idx="746">
                  <c:v>2459085.6546299998</c:v>
                </c:pt>
                <c:pt idx="747">
                  <c:v>2459085.6554</c:v>
                </c:pt>
                <c:pt idx="748">
                  <c:v>2459085.6561599998</c:v>
                </c:pt>
                <c:pt idx="749">
                  <c:v>2459085.6569400001</c:v>
                </c:pt>
                <c:pt idx="750">
                  <c:v>2459085.6576899998</c:v>
                </c:pt>
                <c:pt idx="751">
                  <c:v>2459085.6584600001</c:v>
                </c:pt>
                <c:pt idx="752">
                  <c:v>2459085.6592100002</c:v>
                </c:pt>
                <c:pt idx="753">
                  <c:v>2459095.3574799998</c:v>
                </c:pt>
                <c:pt idx="754">
                  <c:v>2459100.3569999998</c:v>
                </c:pt>
                <c:pt idx="755">
                  <c:v>2459111.5095799998</c:v>
                </c:pt>
                <c:pt idx="756">
                  <c:v>2459118.50178</c:v>
                </c:pt>
                <c:pt idx="757">
                  <c:v>2459156.47181</c:v>
                </c:pt>
                <c:pt idx="758">
                  <c:v>2459157.4719699998</c:v>
                </c:pt>
              </c:numCache>
            </c:numRef>
          </c:xVal>
          <c:yVal>
            <c:numRef>
              <c:f>V!$C$1:$C$1022</c:f>
              <c:numCache>
                <c:formatCode>General</c:formatCode>
                <c:ptCount val="1022"/>
                <c:pt idx="0">
                  <c:v>5.35</c:v>
                </c:pt>
                <c:pt idx="1">
                  <c:v>6.2050000000000001</c:v>
                </c:pt>
                <c:pt idx="2">
                  <c:v>6.81</c:v>
                </c:pt>
                <c:pt idx="3">
                  <c:v>7.2</c:v>
                </c:pt>
                <c:pt idx="4">
                  <c:v>7.54</c:v>
                </c:pt>
                <c:pt idx="5">
                  <c:v>7.66</c:v>
                </c:pt>
                <c:pt idx="6">
                  <c:v>11.06</c:v>
                </c:pt>
                <c:pt idx="7">
                  <c:v>11.14</c:v>
                </c:pt>
                <c:pt idx="8">
                  <c:v>11.38</c:v>
                </c:pt>
                <c:pt idx="9">
                  <c:v>11.21</c:v>
                </c:pt>
                <c:pt idx="10">
                  <c:v>11.19</c:v>
                </c:pt>
                <c:pt idx="11">
                  <c:v>11.31</c:v>
                </c:pt>
                <c:pt idx="12">
                  <c:v>11.04</c:v>
                </c:pt>
                <c:pt idx="13">
                  <c:v>11.3</c:v>
                </c:pt>
                <c:pt idx="14">
                  <c:v>10.76</c:v>
                </c:pt>
                <c:pt idx="15">
                  <c:v>10.686667</c:v>
                </c:pt>
                <c:pt idx="16">
                  <c:v>10.5</c:v>
                </c:pt>
                <c:pt idx="17">
                  <c:v>10.74</c:v>
                </c:pt>
                <c:pt idx="18">
                  <c:v>11.01</c:v>
                </c:pt>
                <c:pt idx="19">
                  <c:v>11.08</c:v>
                </c:pt>
                <c:pt idx="20">
                  <c:v>10.77</c:v>
                </c:pt>
                <c:pt idx="21">
                  <c:v>10.92</c:v>
                </c:pt>
                <c:pt idx="22">
                  <c:v>11.175000000000001</c:v>
                </c:pt>
                <c:pt idx="23">
                  <c:v>11.045</c:v>
                </c:pt>
                <c:pt idx="24">
                  <c:v>11.1</c:v>
                </c:pt>
                <c:pt idx="25">
                  <c:v>11.35</c:v>
                </c:pt>
                <c:pt idx="26">
                  <c:v>11.015000000000001</c:v>
                </c:pt>
                <c:pt idx="27">
                  <c:v>11.19</c:v>
                </c:pt>
                <c:pt idx="28">
                  <c:v>11</c:v>
                </c:pt>
                <c:pt idx="29">
                  <c:v>11.26</c:v>
                </c:pt>
                <c:pt idx="30">
                  <c:v>11.205</c:v>
                </c:pt>
                <c:pt idx="31">
                  <c:v>10.96</c:v>
                </c:pt>
                <c:pt idx="32">
                  <c:v>10.95</c:v>
                </c:pt>
                <c:pt idx="33">
                  <c:v>10.755000000000001</c:v>
                </c:pt>
                <c:pt idx="34">
                  <c:v>10.98</c:v>
                </c:pt>
                <c:pt idx="35">
                  <c:v>10.98</c:v>
                </c:pt>
                <c:pt idx="36">
                  <c:v>10.96</c:v>
                </c:pt>
                <c:pt idx="37">
                  <c:v>10.86</c:v>
                </c:pt>
                <c:pt idx="38">
                  <c:v>11.28</c:v>
                </c:pt>
                <c:pt idx="39">
                  <c:v>11.45</c:v>
                </c:pt>
                <c:pt idx="40">
                  <c:v>11.24</c:v>
                </c:pt>
                <c:pt idx="41">
                  <c:v>11.75</c:v>
                </c:pt>
                <c:pt idx="42">
                  <c:v>11.16</c:v>
                </c:pt>
                <c:pt idx="43">
                  <c:v>11.35</c:v>
                </c:pt>
                <c:pt idx="44">
                  <c:v>11.1</c:v>
                </c:pt>
                <c:pt idx="45">
                  <c:v>11.07</c:v>
                </c:pt>
                <c:pt idx="46">
                  <c:v>10.926667</c:v>
                </c:pt>
                <c:pt idx="47">
                  <c:v>11.22</c:v>
                </c:pt>
                <c:pt idx="48">
                  <c:v>11.21</c:v>
                </c:pt>
                <c:pt idx="49">
                  <c:v>11.34</c:v>
                </c:pt>
                <c:pt idx="50">
                  <c:v>11.065</c:v>
                </c:pt>
                <c:pt idx="51">
                  <c:v>11.2</c:v>
                </c:pt>
                <c:pt idx="52">
                  <c:v>11.14</c:v>
                </c:pt>
                <c:pt idx="53">
                  <c:v>11.6</c:v>
                </c:pt>
                <c:pt idx="54">
                  <c:v>11.463333</c:v>
                </c:pt>
                <c:pt idx="55">
                  <c:v>11.3</c:v>
                </c:pt>
                <c:pt idx="56">
                  <c:v>11.3</c:v>
                </c:pt>
                <c:pt idx="57">
                  <c:v>10.88</c:v>
                </c:pt>
                <c:pt idx="58">
                  <c:v>10.82</c:v>
                </c:pt>
                <c:pt idx="59">
                  <c:v>10.826667</c:v>
                </c:pt>
                <c:pt idx="60">
                  <c:v>11.156667000000001</c:v>
                </c:pt>
                <c:pt idx="61">
                  <c:v>10.65</c:v>
                </c:pt>
                <c:pt idx="62">
                  <c:v>10.51</c:v>
                </c:pt>
                <c:pt idx="63">
                  <c:v>10.54</c:v>
                </c:pt>
                <c:pt idx="64">
                  <c:v>10.47</c:v>
                </c:pt>
                <c:pt idx="65">
                  <c:v>10.725</c:v>
                </c:pt>
                <c:pt idx="66">
                  <c:v>10.76</c:v>
                </c:pt>
                <c:pt idx="67">
                  <c:v>10.51</c:v>
                </c:pt>
                <c:pt idx="68">
                  <c:v>10.57</c:v>
                </c:pt>
                <c:pt idx="69">
                  <c:v>10.6</c:v>
                </c:pt>
                <c:pt idx="70">
                  <c:v>10.38</c:v>
                </c:pt>
                <c:pt idx="71">
                  <c:v>10.38</c:v>
                </c:pt>
                <c:pt idx="72">
                  <c:v>10.55</c:v>
                </c:pt>
                <c:pt idx="73">
                  <c:v>10.199999999999999</c:v>
                </c:pt>
                <c:pt idx="74">
                  <c:v>10.45</c:v>
                </c:pt>
                <c:pt idx="75">
                  <c:v>10.36</c:v>
                </c:pt>
                <c:pt idx="76">
                  <c:v>10.199999999999999</c:v>
                </c:pt>
                <c:pt idx="77">
                  <c:v>10.52</c:v>
                </c:pt>
                <c:pt idx="78">
                  <c:v>10.65</c:v>
                </c:pt>
                <c:pt idx="79">
                  <c:v>10.42</c:v>
                </c:pt>
                <c:pt idx="80">
                  <c:v>10.65</c:v>
                </c:pt>
                <c:pt idx="81">
                  <c:v>10.38</c:v>
                </c:pt>
                <c:pt idx="82">
                  <c:v>10.48</c:v>
                </c:pt>
                <c:pt idx="83">
                  <c:v>10.545</c:v>
                </c:pt>
                <c:pt idx="84">
                  <c:v>10.46</c:v>
                </c:pt>
                <c:pt idx="85">
                  <c:v>10.605</c:v>
                </c:pt>
                <c:pt idx="86">
                  <c:v>10.61</c:v>
                </c:pt>
                <c:pt idx="87">
                  <c:v>10.86</c:v>
                </c:pt>
                <c:pt idx="88">
                  <c:v>10.9</c:v>
                </c:pt>
                <c:pt idx="89">
                  <c:v>10.91</c:v>
                </c:pt>
                <c:pt idx="90">
                  <c:v>11.09</c:v>
                </c:pt>
                <c:pt idx="91">
                  <c:v>11.33</c:v>
                </c:pt>
                <c:pt idx="92">
                  <c:v>11.24</c:v>
                </c:pt>
                <c:pt idx="93">
                  <c:v>11.23</c:v>
                </c:pt>
                <c:pt idx="94">
                  <c:v>11.33</c:v>
                </c:pt>
                <c:pt idx="95">
                  <c:v>11.09</c:v>
                </c:pt>
                <c:pt idx="96">
                  <c:v>11.02</c:v>
                </c:pt>
                <c:pt idx="97">
                  <c:v>10.89</c:v>
                </c:pt>
                <c:pt idx="98">
                  <c:v>10.76</c:v>
                </c:pt>
                <c:pt idx="99">
                  <c:v>10.8</c:v>
                </c:pt>
                <c:pt idx="100">
                  <c:v>11.29</c:v>
                </c:pt>
                <c:pt idx="101">
                  <c:v>10.98</c:v>
                </c:pt>
                <c:pt idx="102">
                  <c:v>4.9673109999999996</c:v>
                </c:pt>
                <c:pt idx="103">
                  <c:v>5.5275559999999997</c:v>
                </c:pt>
                <c:pt idx="104">
                  <c:v>6.2402160000000002</c:v>
                </c:pt>
                <c:pt idx="105">
                  <c:v>7.2450000000000001</c:v>
                </c:pt>
                <c:pt idx="106">
                  <c:v>7.3949999999999996</c:v>
                </c:pt>
                <c:pt idx="107">
                  <c:v>7.66</c:v>
                </c:pt>
                <c:pt idx="108">
                  <c:v>7.7249999999999996</c:v>
                </c:pt>
                <c:pt idx="109">
                  <c:v>7.78</c:v>
                </c:pt>
                <c:pt idx="110">
                  <c:v>7.9233330000000004</c:v>
                </c:pt>
                <c:pt idx="111">
                  <c:v>8.0218330000000009</c:v>
                </c:pt>
                <c:pt idx="112">
                  <c:v>8.23</c:v>
                </c:pt>
                <c:pt idx="113">
                  <c:v>8.35</c:v>
                </c:pt>
                <c:pt idx="114">
                  <c:v>8.3887110000000007</c:v>
                </c:pt>
                <c:pt idx="115">
                  <c:v>8.42</c:v>
                </c:pt>
                <c:pt idx="116">
                  <c:v>8.4875000000000007</c:v>
                </c:pt>
                <c:pt idx="117">
                  <c:v>8.66</c:v>
                </c:pt>
                <c:pt idx="118">
                  <c:v>9.1</c:v>
                </c:pt>
                <c:pt idx="119">
                  <c:v>9.1859999999999999</c:v>
                </c:pt>
                <c:pt idx="120">
                  <c:v>9.2100000000000009</c:v>
                </c:pt>
                <c:pt idx="121">
                  <c:v>9.4499999999999993</c:v>
                </c:pt>
                <c:pt idx="122">
                  <c:v>9.6</c:v>
                </c:pt>
                <c:pt idx="123">
                  <c:v>9.6999999999999993</c:v>
                </c:pt>
                <c:pt idx="124">
                  <c:v>9.77</c:v>
                </c:pt>
                <c:pt idx="125">
                  <c:v>9.9</c:v>
                </c:pt>
                <c:pt idx="126">
                  <c:v>9.9</c:v>
                </c:pt>
                <c:pt idx="127">
                  <c:v>10</c:v>
                </c:pt>
                <c:pt idx="128">
                  <c:v>10</c:v>
                </c:pt>
                <c:pt idx="129">
                  <c:v>9.8800000000000008</c:v>
                </c:pt>
                <c:pt idx="130">
                  <c:v>10</c:v>
                </c:pt>
                <c:pt idx="131">
                  <c:v>10.029999999999999</c:v>
                </c:pt>
                <c:pt idx="132">
                  <c:v>10.1</c:v>
                </c:pt>
                <c:pt idx="133">
                  <c:v>10.055</c:v>
                </c:pt>
                <c:pt idx="134">
                  <c:v>10.1</c:v>
                </c:pt>
                <c:pt idx="135">
                  <c:v>10.1</c:v>
                </c:pt>
                <c:pt idx="136">
                  <c:v>10.199999999999999</c:v>
                </c:pt>
                <c:pt idx="137">
                  <c:v>10.244999999999999</c:v>
                </c:pt>
                <c:pt idx="138">
                  <c:v>10.35</c:v>
                </c:pt>
                <c:pt idx="139">
                  <c:v>10.3</c:v>
                </c:pt>
                <c:pt idx="140">
                  <c:v>10.404999999999999</c:v>
                </c:pt>
                <c:pt idx="141">
                  <c:v>10.5</c:v>
                </c:pt>
                <c:pt idx="142">
                  <c:v>10.59</c:v>
                </c:pt>
                <c:pt idx="143">
                  <c:v>10.6</c:v>
                </c:pt>
                <c:pt idx="144">
                  <c:v>10.7</c:v>
                </c:pt>
                <c:pt idx="145">
                  <c:v>11.1</c:v>
                </c:pt>
                <c:pt idx="146">
                  <c:v>11.2</c:v>
                </c:pt>
                <c:pt idx="147">
                  <c:v>11.2</c:v>
                </c:pt>
                <c:pt idx="148">
                  <c:v>11.27</c:v>
                </c:pt>
                <c:pt idx="149">
                  <c:v>11.333333</c:v>
                </c:pt>
                <c:pt idx="150">
                  <c:v>11.4</c:v>
                </c:pt>
                <c:pt idx="151">
                  <c:v>11.47</c:v>
                </c:pt>
                <c:pt idx="152">
                  <c:v>11.55</c:v>
                </c:pt>
                <c:pt idx="153">
                  <c:v>11.6</c:v>
                </c:pt>
                <c:pt idx="154">
                  <c:v>11.6</c:v>
                </c:pt>
                <c:pt idx="155">
                  <c:v>11.55</c:v>
                </c:pt>
                <c:pt idx="156">
                  <c:v>11.5</c:v>
                </c:pt>
                <c:pt idx="157">
                  <c:v>11.48</c:v>
                </c:pt>
                <c:pt idx="158">
                  <c:v>11.5</c:v>
                </c:pt>
                <c:pt idx="159">
                  <c:v>11.5</c:v>
                </c:pt>
                <c:pt idx="160">
                  <c:v>11.54</c:v>
                </c:pt>
                <c:pt idx="161">
                  <c:v>11.6</c:v>
                </c:pt>
                <c:pt idx="162">
                  <c:v>11.7</c:v>
                </c:pt>
                <c:pt idx="163">
                  <c:v>11.94</c:v>
                </c:pt>
                <c:pt idx="164">
                  <c:v>11.965</c:v>
                </c:pt>
                <c:pt idx="165">
                  <c:v>11.95</c:v>
                </c:pt>
                <c:pt idx="166">
                  <c:v>12</c:v>
                </c:pt>
                <c:pt idx="167">
                  <c:v>11.99</c:v>
                </c:pt>
                <c:pt idx="168">
                  <c:v>11.8</c:v>
                </c:pt>
                <c:pt idx="169">
                  <c:v>11.8</c:v>
                </c:pt>
                <c:pt idx="170">
                  <c:v>11.8</c:v>
                </c:pt>
                <c:pt idx="171">
                  <c:v>11.8</c:v>
                </c:pt>
                <c:pt idx="172">
                  <c:v>11.885</c:v>
                </c:pt>
                <c:pt idx="173">
                  <c:v>11.88</c:v>
                </c:pt>
                <c:pt idx="174">
                  <c:v>11.9</c:v>
                </c:pt>
                <c:pt idx="175">
                  <c:v>12</c:v>
                </c:pt>
                <c:pt idx="176">
                  <c:v>12.0875</c:v>
                </c:pt>
                <c:pt idx="177">
                  <c:v>11.862500000000001</c:v>
                </c:pt>
                <c:pt idx="178">
                  <c:v>11.545</c:v>
                </c:pt>
                <c:pt idx="179">
                  <c:v>11.6</c:v>
                </c:pt>
                <c:pt idx="180">
                  <c:v>11.54</c:v>
                </c:pt>
                <c:pt idx="181">
                  <c:v>11.6</c:v>
                </c:pt>
                <c:pt idx="182">
                  <c:v>11.65</c:v>
                </c:pt>
                <c:pt idx="183">
                  <c:v>11.5</c:v>
                </c:pt>
                <c:pt idx="184">
                  <c:v>11.6</c:v>
                </c:pt>
                <c:pt idx="185">
                  <c:v>11.5</c:v>
                </c:pt>
                <c:pt idx="186">
                  <c:v>11.5</c:v>
                </c:pt>
                <c:pt idx="187">
                  <c:v>11.6</c:v>
                </c:pt>
                <c:pt idx="188">
                  <c:v>11.71</c:v>
                </c:pt>
                <c:pt idx="189">
                  <c:v>11.727581000000001</c:v>
                </c:pt>
                <c:pt idx="190">
                  <c:v>11.780628999999999</c:v>
                </c:pt>
                <c:pt idx="191">
                  <c:v>11.783766</c:v>
                </c:pt>
                <c:pt idx="192">
                  <c:v>11.832312</c:v>
                </c:pt>
                <c:pt idx="193">
                  <c:v>11.897347999999999</c:v>
                </c:pt>
                <c:pt idx="194">
                  <c:v>12.112444</c:v>
                </c:pt>
                <c:pt idx="195">
                  <c:v>12.192</c:v>
                </c:pt>
                <c:pt idx="196">
                  <c:v>12.152513000000001</c:v>
                </c:pt>
                <c:pt idx="197">
                  <c:v>12.019333</c:v>
                </c:pt>
                <c:pt idx="198">
                  <c:v>11.963611999999999</c:v>
                </c:pt>
                <c:pt idx="199">
                  <c:v>11.831951</c:v>
                </c:pt>
                <c:pt idx="200">
                  <c:v>11.696320999999999</c:v>
                </c:pt>
                <c:pt idx="201">
                  <c:v>11.593832000000001</c:v>
                </c:pt>
                <c:pt idx="202">
                  <c:v>11.487176</c:v>
                </c:pt>
                <c:pt idx="203">
                  <c:v>11.456965</c:v>
                </c:pt>
                <c:pt idx="204">
                  <c:v>11.448</c:v>
                </c:pt>
                <c:pt idx="205">
                  <c:v>11.443185</c:v>
                </c:pt>
                <c:pt idx="206">
                  <c:v>11.445584999999999</c:v>
                </c:pt>
                <c:pt idx="207">
                  <c:v>11.466804</c:v>
                </c:pt>
                <c:pt idx="208">
                  <c:v>11.4315</c:v>
                </c:pt>
                <c:pt idx="209">
                  <c:v>11.458278</c:v>
                </c:pt>
                <c:pt idx="210">
                  <c:v>11.484477999999999</c:v>
                </c:pt>
                <c:pt idx="211">
                  <c:v>11.503333</c:v>
                </c:pt>
                <c:pt idx="212">
                  <c:v>11.5</c:v>
                </c:pt>
                <c:pt idx="213">
                  <c:v>11.594522</c:v>
                </c:pt>
                <c:pt idx="214">
                  <c:v>11.634258000000001</c:v>
                </c:pt>
                <c:pt idx="215">
                  <c:v>11.5966</c:v>
                </c:pt>
                <c:pt idx="216">
                  <c:v>11.612727</c:v>
                </c:pt>
                <c:pt idx="217">
                  <c:v>11.6135</c:v>
                </c:pt>
                <c:pt idx="218">
                  <c:v>11.55</c:v>
                </c:pt>
                <c:pt idx="219">
                  <c:v>11.4</c:v>
                </c:pt>
                <c:pt idx="220">
                  <c:v>11.6</c:v>
                </c:pt>
                <c:pt idx="221">
                  <c:v>11.75</c:v>
                </c:pt>
                <c:pt idx="222">
                  <c:v>11.654999999999999</c:v>
                </c:pt>
                <c:pt idx="223">
                  <c:v>11.66</c:v>
                </c:pt>
                <c:pt idx="224">
                  <c:v>11.2</c:v>
                </c:pt>
                <c:pt idx="225">
                  <c:v>11.27</c:v>
                </c:pt>
                <c:pt idx="226">
                  <c:v>11.18</c:v>
                </c:pt>
                <c:pt idx="227">
                  <c:v>11.34</c:v>
                </c:pt>
                <c:pt idx="228">
                  <c:v>11.22</c:v>
                </c:pt>
                <c:pt idx="229">
                  <c:v>11.45</c:v>
                </c:pt>
                <c:pt idx="230">
                  <c:v>11.35</c:v>
                </c:pt>
                <c:pt idx="231">
                  <c:v>11.395</c:v>
                </c:pt>
                <c:pt idx="232">
                  <c:v>11.49</c:v>
                </c:pt>
                <c:pt idx="233">
                  <c:v>11.404999999999999</c:v>
                </c:pt>
                <c:pt idx="234">
                  <c:v>11.31</c:v>
                </c:pt>
                <c:pt idx="235">
                  <c:v>11.62</c:v>
                </c:pt>
                <c:pt idx="236">
                  <c:v>11.58</c:v>
                </c:pt>
                <c:pt idx="237">
                  <c:v>11.57</c:v>
                </c:pt>
                <c:pt idx="238">
                  <c:v>11.41</c:v>
                </c:pt>
                <c:pt idx="239">
                  <c:v>11.385</c:v>
                </c:pt>
                <c:pt idx="240">
                  <c:v>11.19</c:v>
                </c:pt>
                <c:pt idx="241">
                  <c:v>11.01</c:v>
                </c:pt>
                <c:pt idx="242">
                  <c:v>11.2</c:v>
                </c:pt>
                <c:pt idx="243">
                  <c:v>11.19</c:v>
                </c:pt>
                <c:pt idx="244">
                  <c:v>11.19</c:v>
                </c:pt>
                <c:pt idx="245">
                  <c:v>11.015000000000001</c:v>
                </c:pt>
                <c:pt idx="246">
                  <c:v>11.185</c:v>
                </c:pt>
                <c:pt idx="247">
                  <c:v>11.125</c:v>
                </c:pt>
                <c:pt idx="248">
                  <c:v>11.04</c:v>
                </c:pt>
                <c:pt idx="249">
                  <c:v>11.02</c:v>
                </c:pt>
                <c:pt idx="250">
                  <c:v>10.98</c:v>
                </c:pt>
                <c:pt idx="251">
                  <c:v>11.05</c:v>
                </c:pt>
                <c:pt idx="252">
                  <c:v>10.975</c:v>
                </c:pt>
                <c:pt idx="253">
                  <c:v>11</c:v>
                </c:pt>
                <c:pt idx="254">
                  <c:v>10.914999999999999</c:v>
                </c:pt>
                <c:pt idx="255">
                  <c:v>10.865</c:v>
                </c:pt>
                <c:pt idx="256">
                  <c:v>11.145</c:v>
                </c:pt>
                <c:pt idx="257">
                  <c:v>10.89</c:v>
                </c:pt>
                <c:pt idx="258">
                  <c:v>10.88</c:v>
                </c:pt>
                <c:pt idx="259">
                  <c:v>10.93</c:v>
                </c:pt>
                <c:pt idx="260">
                  <c:v>10.76</c:v>
                </c:pt>
                <c:pt idx="261">
                  <c:v>10.7</c:v>
                </c:pt>
                <c:pt idx="262">
                  <c:v>10.8</c:v>
                </c:pt>
                <c:pt idx="263">
                  <c:v>11.31</c:v>
                </c:pt>
                <c:pt idx="264">
                  <c:v>11.1</c:v>
                </c:pt>
                <c:pt idx="265">
                  <c:v>10.86</c:v>
                </c:pt>
                <c:pt idx="266">
                  <c:v>11</c:v>
                </c:pt>
                <c:pt idx="267">
                  <c:v>10.67</c:v>
                </c:pt>
                <c:pt idx="268">
                  <c:v>10.52</c:v>
                </c:pt>
                <c:pt idx="269">
                  <c:v>10.81</c:v>
                </c:pt>
                <c:pt idx="270">
                  <c:v>10.87</c:v>
                </c:pt>
                <c:pt idx="271">
                  <c:v>10.484999999999999</c:v>
                </c:pt>
                <c:pt idx="272">
                  <c:v>10.81</c:v>
                </c:pt>
                <c:pt idx="273">
                  <c:v>11.2</c:v>
                </c:pt>
                <c:pt idx="274">
                  <c:v>10.76</c:v>
                </c:pt>
                <c:pt idx="275">
                  <c:v>10.7</c:v>
                </c:pt>
                <c:pt idx="276">
                  <c:v>10.74</c:v>
                </c:pt>
                <c:pt idx="277">
                  <c:v>11</c:v>
                </c:pt>
                <c:pt idx="278">
                  <c:v>10.99</c:v>
                </c:pt>
                <c:pt idx="279">
                  <c:v>11.38</c:v>
                </c:pt>
                <c:pt idx="280">
                  <c:v>11.28</c:v>
                </c:pt>
                <c:pt idx="281">
                  <c:v>11.02</c:v>
                </c:pt>
                <c:pt idx="282">
                  <c:v>11.62</c:v>
                </c:pt>
                <c:pt idx="283">
                  <c:v>11.55</c:v>
                </c:pt>
                <c:pt idx="284">
                  <c:v>11.8</c:v>
                </c:pt>
                <c:pt idx="285">
                  <c:v>11.2</c:v>
                </c:pt>
                <c:pt idx="286">
                  <c:v>10.98</c:v>
                </c:pt>
                <c:pt idx="287">
                  <c:v>11.34</c:v>
                </c:pt>
                <c:pt idx="288">
                  <c:v>10.7</c:v>
                </c:pt>
                <c:pt idx="289">
                  <c:v>11.2</c:v>
                </c:pt>
                <c:pt idx="290">
                  <c:v>10.91</c:v>
                </c:pt>
                <c:pt idx="291">
                  <c:v>10.93</c:v>
                </c:pt>
                <c:pt idx="292">
                  <c:v>11.2</c:v>
                </c:pt>
                <c:pt idx="293">
                  <c:v>11</c:v>
                </c:pt>
                <c:pt idx="294">
                  <c:v>10.85</c:v>
                </c:pt>
                <c:pt idx="295">
                  <c:v>10.95</c:v>
                </c:pt>
                <c:pt idx="296">
                  <c:v>10.84</c:v>
                </c:pt>
                <c:pt idx="297">
                  <c:v>10.62</c:v>
                </c:pt>
                <c:pt idx="298">
                  <c:v>10.78</c:v>
                </c:pt>
                <c:pt idx="299">
                  <c:v>10.96</c:v>
                </c:pt>
                <c:pt idx="300">
                  <c:v>10.856</c:v>
                </c:pt>
                <c:pt idx="301">
                  <c:v>11.01</c:v>
                </c:pt>
                <c:pt idx="302">
                  <c:v>10.73</c:v>
                </c:pt>
                <c:pt idx="303">
                  <c:v>10.74</c:v>
                </c:pt>
                <c:pt idx="304">
                  <c:v>10.641</c:v>
                </c:pt>
                <c:pt idx="305">
                  <c:v>10.82</c:v>
                </c:pt>
                <c:pt idx="306">
                  <c:v>11.071</c:v>
                </c:pt>
                <c:pt idx="307">
                  <c:v>10.8005</c:v>
                </c:pt>
                <c:pt idx="308">
                  <c:v>10.56</c:v>
                </c:pt>
                <c:pt idx="309">
                  <c:v>10.62</c:v>
                </c:pt>
                <c:pt idx="310">
                  <c:v>10.4855</c:v>
                </c:pt>
                <c:pt idx="311">
                  <c:v>10.593999999999999</c:v>
                </c:pt>
                <c:pt idx="312">
                  <c:v>10.4825</c:v>
                </c:pt>
                <c:pt idx="313">
                  <c:v>10.387</c:v>
                </c:pt>
                <c:pt idx="314">
                  <c:v>10.204000000000001</c:v>
                </c:pt>
                <c:pt idx="315">
                  <c:v>10.502000000000001</c:v>
                </c:pt>
                <c:pt idx="316">
                  <c:v>10.608000000000001</c:v>
                </c:pt>
                <c:pt idx="317">
                  <c:v>10.81</c:v>
                </c:pt>
                <c:pt idx="318">
                  <c:v>10.4755</c:v>
                </c:pt>
                <c:pt idx="319">
                  <c:v>10.596</c:v>
                </c:pt>
                <c:pt idx="320">
                  <c:v>10.635999999999999</c:v>
                </c:pt>
                <c:pt idx="321">
                  <c:v>10.698499999999999</c:v>
                </c:pt>
                <c:pt idx="322">
                  <c:v>10.516</c:v>
                </c:pt>
                <c:pt idx="323">
                  <c:v>10.82</c:v>
                </c:pt>
                <c:pt idx="324">
                  <c:v>11</c:v>
                </c:pt>
                <c:pt idx="325">
                  <c:v>10.72</c:v>
                </c:pt>
                <c:pt idx="326">
                  <c:v>11</c:v>
                </c:pt>
                <c:pt idx="327">
                  <c:v>10.65</c:v>
                </c:pt>
                <c:pt idx="328">
                  <c:v>10.599</c:v>
                </c:pt>
                <c:pt idx="329">
                  <c:v>10.96</c:v>
                </c:pt>
                <c:pt idx="330">
                  <c:v>10.766</c:v>
                </c:pt>
                <c:pt idx="331">
                  <c:v>10.61</c:v>
                </c:pt>
                <c:pt idx="332">
                  <c:v>10.79</c:v>
                </c:pt>
                <c:pt idx="333">
                  <c:v>10.47</c:v>
                </c:pt>
                <c:pt idx="334">
                  <c:v>10.67</c:v>
                </c:pt>
                <c:pt idx="335">
                  <c:v>10.82</c:v>
                </c:pt>
                <c:pt idx="336">
                  <c:v>10.959</c:v>
                </c:pt>
                <c:pt idx="337">
                  <c:v>10.888</c:v>
                </c:pt>
                <c:pt idx="338">
                  <c:v>10.581</c:v>
                </c:pt>
                <c:pt idx="339">
                  <c:v>10.97</c:v>
                </c:pt>
                <c:pt idx="340">
                  <c:v>10.67</c:v>
                </c:pt>
                <c:pt idx="341">
                  <c:v>10.59</c:v>
                </c:pt>
                <c:pt idx="342">
                  <c:v>10.78</c:v>
                </c:pt>
                <c:pt idx="343">
                  <c:v>10.804</c:v>
                </c:pt>
                <c:pt idx="344">
                  <c:v>10.84</c:v>
                </c:pt>
                <c:pt idx="345">
                  <c:v>10.68</c:v>
                </c:pt>
                <c:pt idx="346">
                  <c:v>10.86</c:v>
                </c:pt>
                <c:pt idx="347">
                  <c:v>10.94</c:v>
                </c:pt>
                <c:pt idx="348">
                  <c:v>10.8185</c:v>
                </c:pt>
                <c:pt idx="349">
                  <c:v>10.692</c:v>
                </c:pt>
                <c:pt idx="350">
                  <c:v>10.847</c:v>
                </c:pt>
                <c:pt idx="351">
                  <c:v>10.818</c:v>
                </c:pt>
                <c:pt idx="352">
                  <c:v>11.1655</c:v>
                </c:pt>
                <c:pt idx="353">
                  <c:v>11.122</c:v>
                </c:pt>
                <c:pt idx="354">
                  <c:v>11.116</c:v>
                </c:pt>
                <c:pt idx="355">
                  <c:v>11.022</c:v>
                </c:pt>
                <c:pt idx="356">
                  <c:v>10.823</c:v>
                </c:pt>
                <c:pt idx="357">
                  <c:v>10.871</c:v>
                </c:pt>
                <c:pt idx="358">
                  <c:v>10.964</c:v>
                </c:pt>
                <c:pt idx="359">
                  <c:v>10.686999999999999</c:v>
                </c:pt>
                <c:pt idx="360">
                  <c:v>10.882</c:v>
                </c:pt>
                <c:pt idx="361">
                  <c:v>10.878</c:v>
                </c:pt>
                <c:pt idx="362">
                  <c:v>10.803000000000001</c:v>
                </c:pt>
                <c:pt idx="363">
                  <c:v>10.629</c:v>
                </c:pt>
                <c:pt idx="364">
                  <c:v>10.603</c:v>
                </c:pt>
                <c:pt idx="365">
                  <c:v>10.743</c:v>
                </c:pt>
                <c:pt idx="366">
                  <c:v>10.69</c:v>
                </c:pt>
                <c:pt idx="367">
                  <c:v>10.888</c:v>
                </c:pt>
                <c:pt idx="368">
                  <c:v>10.922000000000001</c:v>
                </c:pt>
                <c:pt idx="369">
                  <c:v>11.048</c:v>
                </c:pt>
                <c:pt idx="370">
                  <c:v>10.724</c:v>
                </c:pt>
                <c:pt idx="371">
                  <c:v>11.109</c:v>
                </c:pt>
                <c:pt idx="372">
                  <c:v>10.8</c:v>
                </c:pt>
                <c:pt idx="373">
                  <c:v>11.4</c:v>
                </c:pt>
                <c:pt idx="374">
                  <c:v>11.255000000000001</c:v>
                </c:pt>
                <c:pt idx="375">
                  <c:v>11.486000000000001</c:v>
                </c:pt>
                <c:pt idx="376">
                  <c:v>11.271000000000001</c:v>
                </c:pt>
                <c:pt idx="377">
                  <c:v>10.9955</c:v>
                </c:pt>
                <c:pt idx="378">
                  <c:v>11.015499999999999</c:v>
                </c:pt>
                <c:pt idx="379">
                  <c:v>11.17</c:v>
                </c:pt>
                <c:pt idx="380">
                  <c:v>10.933999999999999</c:v>
                </c:pt>
                <c:pt idx="381">
                  <c:v>11.1</c:v>
                </c:pt>
                <c:pt idx="382">
                  <c:v>10.789</c:v>
                </c:pt>
                <c:pt idx="383">
                  <c:v>11.066750000000001</c:v>
                </c:pt>
                <c:pt idx="384">
                  <c:v>11.0145</c:v>
                </c:pt>
                <c:pt idx="385">
                  <c:v>11.172333</c:v>
                </c:pt>
                <c:pt idx="386">
                  <c:v>10.96</c:v>
                </c:pt>
                <c:pt idx="387">
                  <c:v>10.867667000000001</c:v>
                </c:pt>
                <c:pt idx="388">
                  <c:v>11.172833000000001</c:v>
                </c:pt>
                <c:pt idx="389">
                  <c:v>11.065666999999999</c:v>
                </c:pt>
                <c:pt idx="390">
                  <c:v>10.947333</c:v>
                </c:pt>
                <c:pt idx="391">
                  <c:v>11.154999999999999</c:v>
                </c:pt>
                <c:pt idx="392">
                  <c:v>11.120333</c:v>
                </c:pt>
                <c:pt idx="393">
                  <c:v>11.388999999999999</c:v>
                </c:pt>
                <c:pt idx="394">
                  <c:v>11.180332999999999</c:v>
                </c:pt>
                <c:pt idx="395">
                  <c:v>11.320667</c:v>
                </c:pt>
                <c:pt idx="396">
                  <c:v>10.936166999999999</c:v>
                </c:pt>
                <c:pt idx="397">
                  <c:v>10.890667000000001</c:v>
                </c:pt>
                <c:pt idx="398">
                  <c:v>10.86425</c:v>
                </c:pt>
                <c:pt idx="399">
                  <c:v>10.892666999999999</c:v>
                </c:pt>
                <c:pt idx="400">
                  <c:v>10.725667</c:v>
                </c:pt>
                <c:pt idx="401">
                  <c:v>10.742667000000001</c:v>
                </c:pt>
                <c:pt idx="402">
                  <c:v>11.153</c:v>
                </c:pt>
                <c:pt idx="403">
                  <c:v>10.85</c:v>
                </c:pt>
                <c:pt idx="404">
                  <c:v>11.32</c:v>
                </c:pt>
                <c:pt idx="405">
                  <c:v>11.404999999999999</c:v>
                </c:pt>
                <c:pt idx="406">
                  <c:v>11.58</c:v>
                </c:pt>
                <c:pt idx="407">
                  <c:v>11.635</c:v>
                </c:pt>
                <c:pt idx="408">
                  <c:v>11.212999999999999</c:v>
                </c:pt>
                <c:pt idx="409">
                  <c:v>11.381</c:v>
                </c:pt>
                <c:pt idx="410">
                  <c:v>11.69</c:v>
                </c:pt>
                <c:pt idx="411">
                  <c:v>11.535</c:v>
                </c:pt>
                <c:pt idx="412">
                  <c:v>11.22</c:v>
                </c:pt>
                <c:pt idx="413">
                  <c:v>11.157</c:v>
                </c:pt>
                <c:pt idx="414">
                  <c:v>11.249000000000001</c:v>
                </c:pt>
                <c:pt idx="415">
                  <c:v>11.141500000000001</c:v>
                </c:pt>
                <c:pt idx="416">
                  <c:v>11.27</c:v>
                </c:pt>
                <c:pt idx="417">
                  <c:v>11.03</c:v>
                </c:pt>
                <c:pt idx="418">
                  <c:v>10.988667</c:v>
                </c:pt>
                <c:pt idx="419">
                  <c:v>11.01</c:v>
                </c:pt>
                <c:pt idx="420">
                  <c:v>11.231</c:v>
                </c:pt>
                <c:pt idx="421">
                  <c:v>11.051500000000001</c:v>
                </c:pt>
                <c:pt idx="422">
                  <c:v>11.063499999999999</c:v>
                </c:pt>
                <c:pt idx="423">
                  <c:v>10.93</c:v>
                </c:pt>
                <c:pt idx="424">
                  <c:v>11.041</c:v>
                </c:pt>
                <c:pt idx="425">
                  <c:v>11.103999999999999</c:v>
                </c:pt>
                <c:pt idx="426">
                  <c:v>11.099</c:v>
                </c:pt>
                <c:pt idx="427">
                  <c:v>11.428000000000001</c:v>
                </c:pt>
                <c:pt idx="428">
                  <c:v>11.223000000000001</c:v>
                </c:pt>
                <c:pt idx="429">
                  <c:v>11.297000000000001</c:v>
                </c:pt>
                <c:pt idx="430">
                  <c:v>11.231</c:v>
                </c:pt>
                <c:pt idx="431">
                  <c:v>11.0855</c:v>
                </c:pt>
                <c:pt idx="432">
                  <c:v>10.948</c:v>
                </c:pt>
                <c:pt idx="433">
                  <c:v>10.86</c:v>
                </c:pt>
                <c:pt idx="434">
                  <c:v>11.0885</c:v>
                </c:pt>
                <c:pt idx="435">
                  <c:v>11.221500000000001</c:v>
                </c:pt>
                <c:pt idx="436">
                  <c:v>11.134</c:v>
                </c:pt>
                <c:pt idx="437">
                  <c:v>11.539</c:v>
                </c:pt>
                <c:pt idx="438">
                  <c:v>11.061</c:v>
                </c:pt>
                <c:pt idx="439">
                  <c:v>11.209</c:v>
                </c:pt>
                <c:pt idx="440">
                  <c:v>11.007999999999999</c:v>
                </c:pt>
                <c:pt idx="441">
                  <c:v>11.257</c:v>
                </c:pt>
                <c:pt idx="442">
                  <c:v>10.9542</c:v>
                </c:pt>
                <c:pt idx="443">
                  <c:v>11.355499999999999</c:v>
                </c:pt>
                <c:pt idx="444">
                  <c:v>11.218</c:v>
                </c:pt>
                <c:pt idx="445">
                  <c:v>11.423</c:v>
                </c:pt>
                <c:pt idx="446">
                  <c:v>11.442500000000001</c:v>
                </c:pt>
                <c:pt idx="447">
                  <c:v>11.416499999999999</c:v>
                </c:pt>
                <c:pt idx="448">
                  <c:v>11.292999999999999</c:v>
                </c:pt>
                <c:pt idx="449">
                  <c:v>11.273</c:v>
                </c:pt>
                <c:pt idx="450">
                  <c:v>11.2385</c:v>
                </c:pt>
                <c:pt idx="451">
                  <c:v>11.141500000000001</c:v>
                </c:pt>
                <c:pt idx="452">
                  <c:v>11.301500000000001</c:v>
                </c:pt>
                <c:pt idx="453">
                  <c:v>11.159000000000001</c:v>
                </c:pt>
                <c:pt idx="454">
                  <c:v>11.311</c:v>
                </c:pt>
                <c:pt idx="455">
                  <c:v>11.138</c:v>
                </c:pt>
                <c:pt idx="456">
                  <c:v>11.194000000000001</c:v>
                </c:pt>
                <c:pt idx="457">
                  <c:v>11.272</c:v>
                </c:pt>
                <c:pt idx="458">
                  <c:v>11.193</c:v>
                </c:pt>
                <c:pt idx="459">
                  <c:v>11.287000000000001</c:v>
                </c:pt>
                <c:pt idx="460">
                  <c:v>11.2675</c:v>
                </c:pt>
                <c:pt idx="461">
                  <c:v>11.18</c:v>
                </c:pt>
                <c:pt idx="462">
                  <c:v>11.141667</c:v>
                </c:pt>
                <c:pt idx="463">
                  <c:v>11.172000000000001</c:v>
                </c:pt>
                <c:pt idx="464">
                  <c:v>11.054333</c:v>
                </c:pt>
                <c:pt idx="465">
                  <c:v>11.01</c:v>
                </c:pt>
                <c:pt idx="466">
                  <c:v>10.7</c:v>
                </c:pt>
                <c:pt idx="467">
                  <c:v>11.4</c:v>
                </c:pt>
                <c:pt idx="468">
                  <c:v>11.249000000000001</c:v>
                </c:pt>
                <c:pt idx="469">
                  <c:v>11.55</c:v>
                </c:pt>
                <c:pt idx="470">
                  <c:v>11.6435</c:v>
                </c:pt>
                <c:pt idx="471">
                  <c:v>11.4175</c:v>
                </c:pt>
                <c:pt idx="472">
                  <c:v>11.372999999999999</c:v>
                </c:pt>
                <c:pt idx="473">
                  <c:v>11.539</c:v>
                </c:pt>
                <c:pt idx="474">
                  <c:v>11.49</c:v>
                </c:pt>
                <c:pt idx="475">
                  <c:v>11.577</c:v>
                </c:pt>
                <c:pt idx="476">
                  <c:v>11.271000000000001</c:v>
                </c:pt>
                <c:pt idx="477">
                  <c:v>11.5845</c:v>
                </c:pt>
                <c:pt idx="478">
                  <c:v>11.489000000000001</c:v>
                </c:pt>
                <c:pt idx="479">
                  <c:v>11.321</c:v>
                </c:pt>
                <c:pt idx="480">
                  <c:v>11.407500000000001</c:v>
                </c:pt>
                <c:pt idx="481">
                  <c:v>11.5825</c:v>
                </c:pt>
                <c:pt idx="482">
                  <c:v>11.692</c:v>
                </c:pt>
                <c:pt idx="483">
                  <c:v>11.5655</c:v>
                </c:pt>
                <c:pt idx="484">
                  <c:v>11.672000000000001</c:v>
                </c:pt>
                <c:pt idx="485">
                  <c:v>11.382999999999999</c:v>
                </c:pt>
                <c:pt idx="486">
                  <c:v>11.449</c:v>
                </c:pt>
                <c:pt idx="487">
                  <c:v>11.204000000000001</c:v>
                </c:pt>
                <c:pt idx="488">
                  <c:v>11.523999999999999</c:v>
                </c:pt>
                <c:pt idx="489">
                  <c:v>11.314</c:v>
                </c:pt>
                <c:pt idx="490">
                  <c:v>11.241</c:v>
                </c:pt>
                <c:pt idx="491">
                  <c:v>11.083</c:v>
                </c:pt>
                <c:pt idx="492">
                  <c:v>10.856</c:v>
                </c:pt>
                <c:pt idx="493">
                  <c:v>11.664999999999999</c:v>
                </c:pt>
                <c:pt idx="494">
                  <c:v>11.231999999999999</c:v>
                </c:pt>
                <c:pt idx="495">
                  <c:v>11.247</c:v>
                </c:pt>
                <c:pt idx="496">
                  <c:v>11.186999999999999</c:v>
                </c:pt>
                <c:pt idx="497">
                  <c:v>11.1875</c:v>
                </c:pt>
                <c:pt idx="498">
                  <c:v>10.917999999999999</c:v>
                </c:pt>
                <c:pt idx="499">
                  <c:v>11.254</c:v>
                </c:pt>
                <c:pt idx="500">
                  <c:v>11.3</c:v>
                </c:pt>
                <c:pt idx="501">
                  <c:v>11.186</c:v>
                </c:pt>
                <c:pt idx="502">
                  <c:v>11.009</c:v>
                </c:pt>
                <c:pt idx="503">
                  <c:v>11.067333</c:v>
                </c:pt>
                <c:pt idx="504">
                  <c:v>11.116</c:v>
                </c:pt>
                <c:pt idx="505">
                  <c:v>11.255000000000001</c:v>
                </c:pt>
                <c:pt idx="506">
                  <c:v>11.308999999999999</c:v>
                </c:pt>
                <c:pt idx="507">
                  <c:v>11.521000000000001</c:v>
                </c:pt>
                <c:pt idx="508">
                  <c:v>11.57</c:v>
                </c:pt>
                <c:pt idx="509">
                  <c:v>11.45</c:v>
                </c:pt>
                <c:pt idx="510">
                  <c:v>11.750999999999999</c:v>
                </c:pt>
                <c:pt idx="511">
                  <c:v>11.474500000000001</c:v>
                </c:pt>
                <c:pt idx="512">
                  <c:v>11.56</c:v>
                </c:pt>
                <c:pt idx="513">
                  <c:v>11.574999999999999</c:v>
                </c:pt>
                <c:pt idx="514">
                  <c:v>11.323</c:v>
                </c:pt>
                <c:pt idx="515">
                  <c:v>11.118</c:v>
                </c:pt>
                <c:pt idx="516">
                  <c:v>11.396000000000001</c:v>
                </c:pt>
                <c:pt idx="517">
                  <c:v>11.391500000000001</c:v>
                </c:pt>
                <c:pt idx="518">
                  <c:v>11.255000000000001</c:v>
                </c:pt>
                <c:pt idx="519">
                  <c:v>11.345000000000001</c:v>
                </c:pt>
                <c:pt idx="520">
                  <c:v>11.593999999999999</c:v>
                </c:pt>
                <c:pt idx="521">
                  <c:v>11.75</c:v>
                </c:pt>
                <c:pt idx="522">
                  <c:v>11.28</c:v>
                </c:pt>
                <c:pt idx="523">
                  <c:v>11.333</c:v>
                </c:pt>
                <c:pt idx="524">
                  <c:v>11.044</c:v>
                </c:pt>
                <c:pt idx="525">
                  <c:v>11.278</c:v>
                </c:pt>
                <c:pt idx="526">
                  <c:v>11.06</c:v>
                </c:pt>
                <c:pt idx="527">
                  <c:v>11.52</c:v>
                </c:pt>
                <c:pt idx="528">
                  <c:v>11.125</c:v>
                </c:pt>
                <c:pt idx="529">
                  <c:v>11.065</c:v>
                </c:pt>
                <c:pt idx="530">
                  <c:v>11.284000000000001</c:v>
                </c:pt>
                <c:pt idx="531">
                  <c:v>11.15</c:v>
                </c:pt>
                <c:pt idx="532">
                  <c:v>11.06</c:v>
                </c:pt>
                <c:pt idx="533">
                  <c:v>10.94</c:v>
                </c:pt>
                <c:pt idx="534">
                  <c:v>11.435499999999999</c:v>
                </c:pt>
                <c:pt idx="535">
                  <c:v>11.054</c:v>
                </c:pt>
                <c:pt idx="536">
                  <c:v>11.098000000000001</c:v>
                </c:pt>
                <c:pt idx="537">
                  <c:v>11.278499999999999</c:v>
                </c:pt>
                <c:pt idx="538">
                  <c:v>11.3515</c:v>
                </c:pt>
                <c:pt idx="539">
                  <c:v>11.127000000000001</c:v>
                </c:pt>
                <c:pt idx="540">
                  <c:v>11.17</c:v>
                </c:pt>
                <c:pt idx="541">
                  <c:v>11.1815</c:v>
                </c:pt>
                <c:pt idx="542">
                  <c:v>11.118</c:v>
                </c:pt>
                <c:pt idx="543">
                  <c:v>11.0555</c:v>
                </c:pt>
                <c:pt idx="544">
                  <c:v>11.095000000000001</c:v>
                </c:pt>
                <c:pt idx="545">
                  <c:v>11.096500000000001</c:v>
                </c:pt>
                <c:pt idx="546">
                  <c:v>11.189</c:v>
                </c:pt>
                <c:pt idx="547">
                  <c:v>11.24</c:v>
                </c:pt>
                <c:pt idx="548">
                  <c:v>11.051</c:v>
                </c:pt>
                <c:pt idx="549">
                  <c:v>11.458</c:v>
                </c:pt>
                <c:pt idx="550">
                  <c:v>11.265000000000001</c:v>
                </c:pt>
                <c:pt idx="551">
                  <c:v>11.081</c:v>
                </c:pt>
                <c:pt idx="552">
                  <c:v>11.542999999999999</c:v>
                </c:pt>
                <c:pt idx="553">
                  <c:v>11.214</c:v>
                </c:pt>
                <c:pt idx="554">
                  <c:v>11.411</c:v>
                </c:pt>
                <c:pt idx="555">
                  <c:v>11.3245</c:v>
                </c:pt>
                <c:pt idx="556">
                  <c:v>11.170999999999999</c:v>
                </c:pt>
                <c:pt idx="557">
                  <c:v>11.0915</c:v>
                </c:pt>
                <c:pt idx="558">
                  <c:v>11.31</c:v>
                </c:pt>
                <c:pt idx="559">
                  <c:v>11.063000000000001</c:v>
                </c:pt>
                <c:pt idx="560">
                  <c:v>11.334</c:v>
                </c:pt>
                <c:pt idx="561">
                  <c:v>11.227</c:v>
                </c:pt>
                <c:pt idx="562">
                  <c:v>11.157999999999999</c:v>
                </c:pt>
                <c:pt idx="563">
                  <c:v>10.898</c:v>
                </c:pt>
                <c:pt idx="564">
                  <c:v>11.0335</c:v>
                </c:pt>
                <c:pt idx="565">
                  <c:v>11.271000000000001</c:v>
                </c:pt>
                <c:pt idx="566">
                  <c:v>10.972</c:v>
                </c:pt>
                <c:pt idx="567">
                  <c:v>10.847</c:v>
                </c:pt>
                <c:pt idx="568">
                  <c:v>10.956</c:v>
                </c:pt>
                <c:pt idx="569">
                  <c:v>10.7895</c:v>
                </c:pt>
                <c:pt idx="570">
                  <c:v>10.81</c:v>
                </c:pt>
                <c:pt idx="571">
                  <c:v>10.734999999999999</c:v>
                </c:pt>
                <c:pt idx="572">
                  <c:v>11.095000000000001</c:v>
                </c:pt>
                <c:pt idx="573">
                  <c:v>11.247999999999999</c:v>
                </c:pt>
                <c:pt idx="574">
                  <c:v>11.061999999999999</c:v>
                </c:pt>
                <c:pt idx="575">
                  <c:v>11.298</c:v>
                </c:pt>
                <c:pt idx="576">
                  <c:v>11.147</c:v>
                </c:pt>
                <c:pt idx="577">
                  <c:v>10.971</c:v>
                </c:pt>
                <c:pt idx="578">
                  <c:v>11.118</c:v>
                </c:pt>
                <c:pt idx="579">
                  <c:v>11.116</c:v>
                </c:pt>
                <c:pt idx="580">
                  <c:v>11.3285</c:v>
                </c:pt>
                <c:pt idx="581">
                  <c:v>11.215</c:v>
                </c:pt>
                <c:pt idx="582">
                  <c:v>11.06</c:v>
                </c:pt>
                <c:pt idx="583">
                  <c:v>11.234</c:v>
                </c:pt>
                <c:pt idx="584">
                  <c:v>11.266999999999999</c:v>
                </c:pt>
                <c:pt idx="585">
                  <c:v>11.0825</c:v>
                </c:pt>
                <c:pt idx="586">
                  <c:v>11.195</c:v>
                </c:pt>
                <c:pt idx="587">
                  <c:v>11.016500000000001</c:v>
                </c:pt>
                <c:pt idx="588">
                  <c:v>11.33</c:v>
                </c:pt>
                <c:pt idx="589">
                  <c:v>11.452999999999999</c:v>
                </c:pt>
                <c:pt idx="590">
                  <c:v>11.42</c:v>
                </c:pt>
                <c:pt idx="591">
                  <c:v>11.37</c:v>
                </c:pt>
                <c:pt idx="592">
                  <c:v>11.4015</c:v>
                </c:pt>
                <c:pt idx="593">
                  <c:v>11.391753</c:v>
                </c:pt>
                <c:pt idx="594">
                  <c:v>11.583458</c:v>
                </c:pt>
                <c:pt idx="595">
                  <c:v>11.205</c:v>
                </c:pt>
                <c:pt idx="596">
                  <c:v>11.234</c:v>
                </c:pt>
                <c:pt idx="597">
                  <c:v>11.27</c:v>
                </c:pt>
                <c:pt idx="598">
                  <c:v>11.404999999999999</c:v>
                </c:pt>
                <c:pt idx="599">
                  <c:v>11.547000000000001</c:v>
                </c:pt>
                <c:pt idx="600">
                  <c:v>11.4665</c:v>
                </c:pt>
                <c:pt idx="601">
                  <c:v>11.073</c:v>
                </c:pt>
                <c:pt idx="602">
                  <c:v>11.472</c:v>
                </c:pt>
                <c:pt idx="603">
                  <c:v>11.332000000000001</c:v>
                </c:pt>
                <c:pt idx="604">
                  <c:v>11.113</c:v>
                </c:pt>
                <c:pt idx="605">
                  <c:v>11.175000000000001</c:v>
                </c:pt>
                <c:pt idx="606">
                  <c:v>11.494999999999999</c:v>
                </c:pt>
                <c:pt idx="607">
                  <c:v>11.87</c:v>
                </c:pt>
                <c:pt idx="608">
                  <c:v>11.571</c:v>
                </c:pt>
                <c:pt idx="609">
                  <c:v>11.637</c:v>
                </c:pt>
                <c:pt idx="610">
                  <c:v>11.477</c:v>
                </c:pt>
                <c:pt idx="611">
                  <c:v>11.353999999999999</c:v>
                </c:pt>
                <c:pt idx="612">
                  <c:v>11.414999999999999</c:v>
                </c:pt>
                <c:pt idx="613">
                  <c:v>11.855</c:v>
                </c:pt>
                <c:pt idx="614">
                  <c:v>11.4145</c:v>
                </c:pt>
                <c:pt idx="615">
                  <c:v>11.682499999999999</c:v>
                </c:pt>
                <c:pt idx="616">
                  <c:v>11.349</c:v>
                </c:pt>
                <c:pt idx="617">
                  <c:v>11.263</c:v>
                </c:pt>
                <c:pt idx="618">
                  <c:v>11.349586</c:v>
                </c:pt>
                <c:pt idx="619">
                  <c:v>11.274347000000001</c:v>
                </c:pt>
                <c:pt idx="620">
                  <c:v>11.41</c:v>
                </c:pt>
                <c:pt idx="621">
                  <c:v>11.477931999999999</c:v>
                </c:pt>
                <c:pt idx="622">
                  <c:v>11.403911000000001</c:v>
                </c:pt>
                <c:pt idx="623">
                  <c:v>11.471</c:v>
                </c:pt>
                <c:pt idx="624">
                  <c:v>11.683</c:v>
                </c:pt>
                <c:pt idx="625">
                  <c:v>11.563000000000001</c:v>
                </c:pt>
                <c:pt idx="626">
                  <c:v>11.162096999999999</c:v>
                </c:pt>
                <c:pt idx="627">
                  <c:v>11.251279</c:v>
                </c:pt>
                <c:pt idx="628">
                  <c:v>11.433</c:v>
                </c:pt>
                <c:pt idx="629">
                  <c:v>11.1465</c:v>
                </c:pt>
                <c:pt idx="630">
                  <c:v>11.333</c:v>
                </c:pt>
                <c:pt idx="631">
                  <c:v>10.906000000000001</c:v>
                </c:pt>
                <c:pt idx="632">
                  <c:v>11.272500000000001</c:v>
                </c:pt>
                <c:pt idx="633">
                  <c:v>11.587999999999999</c:v>
                </c:pt>
                <c:pt idx="634">
                  <c:v>11.430999999999999</c:v>
                </c:pt>
                <c:pt idx="635">
                  <c:v>11.372999999999999</c:v>
                </c:pt>
                <c:pt idx="636">
                  <c:v>11.535</c:v>
                </c:pt>
                <c:pt idx="637">
                  <c:v>11.282</c:v>
                </c:pt>
                <c:pt idx="638">
                  <c:v>11.552</c:v>
                </c:pt>
                <c:pt idx="639">
                  <c:v>11.3</c:v>
                </c:pt>
                <c:pt idx="640">
                  <c:v>11.404999999999999</c:v>
                </c:pt>
                <c:pt idx="641">
                  <c:v>11.224</c:v>
                </c:pt>
                <c:pt idx="642">
                  <c:v>11.792999999999999</c:v>
                </c:pt>
                <c:pt idx="643">
                  <c:v>10.881</c:v>
                </c:pt>
                <c:pt idx="644">
                  <c:v>11.016</c:v>
                </c:pt>
                <c:pt idx="645">
                  <c:v>10.999511999999999</c:v>
                </c:pt>
                <c:pt idx="646">
                  <c:v>11.114321</c:v>
                </c:pt>
                <c:pt idx="647">
                  <c:v>10.93375</c:v>
                </c:pt>
                <c:pt idx="648">
                  <c:v>10.624000000000001</c:v>
                </c:pt>
                <c:pt idx="649">
                  <c:v>10.64</c:v>
                </c:pt>
                <c:pt idx="650">
                  <c:v>10.4</c:v>
                </c:pt>
                <c:pt idx="651">
                  <c:v>10.356999999999999</c:v>
                </c:pt>
                <c:pt idx="652">
                  <c:v>10.628</c:v>
                </c:pt>
                <c:pt idx="653">
                  <c:v>10.673999999999999</c:v>
                </c:pt>
                <c:pt idx="654">
                  <c:v>10.657999999999999</c:v>
                </c:pt>
                <c:pt idx="655">
                  <c:v>11.118</c:v>
                </c:pt>
                <c:pt idx="656">
                  <c:v>11.055</c:v>
                </c:pt>
                <c:pt idx="657">
                  <c:v>10.992000000000001</c:v>
                </c:pt>
                <c:pt idx="658">
                  <c:v>10.957000000000001</c:v>
                </c:pt>
                <c:pt idx="659">
                  <c:v>10.781000000000001</c:v>
                </c:pt>
                <c:pt idx="660">
                  <c:v>10.877000000000001</c:v>
                </c:pt>
                <c:pt idx="661">
                  <c:v>11.103999999999999</c:v>
                </c:pt>
                <c:pt idx="662">
                  <c:v>11.029</c:v>
                </c:pt>
                <c:pt idx="663">
                  <c:v>11.015000000000001</c:v>
                </c:pt>
                <c:pt idx="664">
                  <c:v>10.901999999999999</c:v>
                </c:pt>
                <c:pt idx="665">
                  <c:v>10.923999999999999</c:v>
                </c:pt>
                <c:pt idx="666">
                  <c:v>10.942</c:v>
                </c:pt>
                <c:pt idx="667">
                  <c:v>10.702999999999999</c:v>
                </c:pt>
                <c:pt idx="668">
                  <c:v>11.055</c:v>
                </c:pt>
                <c:pt idx="669">
                  <c:v>11.074999999999999</c:v>
                </c:pt>
                <c:pt idx="670">
                  <c:v>10.692</c:v>
                </c:pt>
                <c:pt idx="671">
                  <c:v>10.678000000000001</c:v>
                </c:pt>
                <c:pt idx="672">
                  <c:v>11.005000000000001</c:v>
                </c:pt>
                <c:pt idx="673">
                  <c:v>11.15</c:v>
                </c:pt>
                <c:pt idx="674">
                  <c:v>10.939</c:v>
                </c:pt>
                <c:pt idx="675">
                  <c:v>10.962</c:v>
                </c:pt>
                <c:pt idx="676">
                  <c:v>10.574</c:v>
                </c:pt>
                <c:pt idx="677">
                  <c:v>10.682</c:v>
                </c:pt>
                <c:pt idx="678">
                  <c:v>10.888999999999999</c:v>
                </c:pt>
                <c:pt idx="679">
                  <c:v>10.771000000000001</c:v>
                </c:pt>
                <c:pt idx="680">
                  <c:v>10.227</c:v>
                </c:pt>
                <c:pt idx="681">
                  <c:v>10.401</c:v>
                </c:pt>
                <c:pt idx="682">
                  <c:v>10.538</c:v>
                </c:pt>
                <c:pt idx="683">
                  <c:v>10.856999999999999</c:v>
                </c:pt>
                <c:pt idx="684">
                  <c:v>10.638999999999999</c:v>
                </c:pt>
                <c:pt idx="685">
                  <c:v>10.913</c:v>
                </c:pt>
                <c:pt idx="686">
                  <c:v>10.502000000000001</c:v>
                </c:pt>
                <c:pt idx="687">
                  <c:v>10.581</c:v>
                </c:pt>
                <c:pt idx="688">
                  <c:v>10.6</c:v>
                </c:pt>
                <c:pt idx="689">
                  <c:v>10.429</c:v>
                </c:pt>
                <c:pt idx="690">
                  <c:v>10.571</c:v>
                </c:pt>
                <c:pt idx="691">
                  <c:v>10.625999999999999</c:v>
                </c:pt>
                <c:pt idx="692">
                  <c:v>10.526999999999999</c:v>
                </c:pt>
                <c:pt idx="693">
                  <c:v>11.009</c:v>
                </c:pt>
                <c:pt idx="694">
                  <c:v>10.394</c:v>
                </c:pt>
                <c:pt idx="695">
                  <c:v>10.574</c:v>
                </c:pt>
                <c:pt idx="696">
                  <c:v>10.542</c:v>
                </c:pt>
                <c:pt idx="697">
                  <c:v>10.920999999999999</c:v>
                </c:pt>
                <c:pt idx="698">
                  <c:v>10.669</c:v>
                </c:pt>
                <c:pt idx="699">
                  <c:v>10.923999999999999</c:v>
                </c:pt>
                <c:pt idx="700">
                  <c:v>10.771000000000001</c:v>
                </c:pt>
                <c:pt idx="701">
                  <c:v>11.079000000000001</c:v>
                </c:pt>
                <c:pt idx="702">
                  <c:v>11.128</c:v>
                </c:pt>
                <c:pt idx="703">
                  <c:v>10.948</c:v>
                </c:pt>
                <c:pt idx="704">
                  <c:v>10.737</c:v>
                </c:pt>
                <c:pt idx="705">
                  <c:v>10.587999999999999</c:v>
                </c:pt>
                <c:pt idx="706">
                  <c:v>10.714</c:v>
                </c:pt>
                <c:pt idx="707">
                  <c:v>10.680999999999999</c:v>
                </c:pt>
                <c:pt idx="708">
                  <c:v>10.827999999999999</c:v>
                </c:pt>
                <c:pt idx="709">
                  <c:v>10.879</c:v>
                </c:pt>
                <c:pt idx="710">
                  <c:v>10.978999999999999</c:v>
                </c:pt>
                <c:pt idx="711">
                  <c:v>10.757</c:v>
                </c:pt>
                <c:pt idx="712">
                  <c:v>10.91</c:v>
                </c:pt>
                <c:pt idx="713">
                  <c:v>10.85</c:v>
                </c:pt>
                <c:pt idx="714">
                  <c:v>10.647</c:v>
                </c:pt>
                <c:pt idx="715">
                  <c:v>10.81</c:v>
                </c:pt>
                <c:pt idx="716">
                  <c:v>10.743399999999999</c:v>
                </c:pt>
                <c:pt idx="717">
                  <c:v>10.7713</c:v>
                </c:pt>
                <c:pt idx="718">
                  <c:v>10.758100000000001</c:v>
                </c:pt>
                <c:pt idx="719">
                  <c:v>10.7684</c:v>
                </c:pt>
                <c:pt idx="720">
                  <c:v>10.7599</c:v>
                </c:pt>
                <c:pt idx="721">
                  <c:v>10.8064</c:v>
                </c:pt>
                <c:pt idx="722">
                  <c:v>10.6</c:v>
                </c:pt>
                <c:pt idx="723">
                  <c:v>11.1022</c:v>
                </c:pt>
                <c:pt idx="724">
                  <c:v>11.0853</c:v>
                </c:pt>
                <c:pt idx="725">
                  <c:v>11.100199999999999</c:v>
                </c:pt>
                <c:pt idx="726">
                  <c:v>11.144299999999999</c:v>
                </c:pt>
                <c:pt idx="727">
                  <c:v>11.1546</c:v>
                </c:pt>
                <c:pt idx="728">
                  <c:v>11.182499999999999</c:v>
                </c:pt>
                <c:pt idx="729">
                  <c:v>11.095599999999999</c:v>
                </c:pt>
                <c:pt idx="730">
                  <c:v>11.0951</c:v>
                </c:pt>
                <c:pt idx="731">
                  <c:v>11.0845</c:v>
                </c:pt>
                <c:pt idx="732">
                  <c:v>11.061400000000001</c:v>
                </c:pt>
                <c:pt idx="733">
                  <c:v>11.1526</c:v>
                </c:pt>
                <c:pt idx="734">
                  <c:v>11.065099999999999</c:v>
                </c:pt>
                <c:pt idx="735">
                  <c:v>11.0983</c:v>
                </c:pt>
                <c:pt idx="736">
                  <c:v>11.0932</c:v>
                </c:pt>
                <c:pt idx="737">
                  <c:v>11.0602</c:v>
                </c:pt>
                <c:pt idx="738">
                  <c:v>10.8771</c:v>
                </c:pt>
                <c:pt idx="739">
                  <c:v>10.869199999999999</c:v>
                </c:pt>
                <c:pt idx="740">
                  <c:v>10.840199999999999</c:v>
                </c:pt>
                <c:pt idx="741">
                  <c:v>10.811299999999999</c:v>
                </c:pt>
                <c:pt idx="742">
                  <c:v>10.831799999999999</c:v>
                </c:pt>
                <c:pt idx="743">
                  <c:v>10.848000000000001</c:v>
                </c:pt>
                <c:pt idx="744">
                  <c:v>10.8169</c:v>
                </c:pt>
                <c:pt idx="745">
                  <c:v>10.803699999999999</c:v>
                </c:pt>
                <c:pt idx="746">
                  <c:v>10.7493</c:v>
                </c:pt>
                <c:pt idx="747">
                  <c:v>10.770300000000001</c:v>
                </c:pt>
                <c:pt idx="748">
                  <c:v>10.8194</c:v>
                </c:pt>
                <c:pt idx="749">
                  <c:v>10.842000000000001</c:v>
                </c:pt>
                <c:pt idx="750">
                  <c:v>10.8238</c:v>
                </c:pt>
                <c:pt idx="751">
                  <c:v>10.8438</c:v>
                </c:pt>
                <c:pt idx="752">
                  <c:v>10.7904</c:v>
                </c:pt>
                <c:pt idx="753">
                  <c:v>10.827999999999999</c:v>
                </c:pt>
                <c:pt idx="754">
                  <c:v>10.78</c:v>
                </c:pt>
                <c:pt idx="755">
                  <c:v>11.05</c:v>
                </c:pt>
                <c:pt idx="756">
                  <c:v>10.78</c:v>
                </c:pt>
                <c:pt idx="757">
                  <c:v>11.085000000000001</c:v>
                </c:pt>
                <c:pt idx="758">
                  <c:v>10.651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3-4F9C-B4C9-20D8F312D67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Index!$N$25:$N$61</c:f>
              <c:numCache>
                <c:formatCode>General</c:formatCode>
                <c:ptCount val="37"/>
              </c:numCache>
            </c:numRef>
          </c:xVal>
          <c:yVal>
            <c:numRef>
              <c:f>Index!$P$25:$P$61</c:f>
              <c:numCache>
                <c:formatCode>General</c:formatCode>
                <c:ptCount val="3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3-4F9C-B4C9-20D8F312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2568"/>
        <c:axId val="514192960"/>
      </c:scatterChart>
      <c:valAx>
        <c:axId val="514192568"/>
        <c:scaling>
          <c:orientation val="minMax"/>
          <c:min val="2452799.9999999995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960"/>
        <c:crosses val="max"/>
        <c:crossBetween val="midCat"/>
        <c:majorUnit val="1000"/>
      </c:valAx>
      <c:valAx>
        <c:axId val="514192960"/>
        <c:scaling>
          <c:orientation val="maxMin"/>
          <c:min val="3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568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Index!$N$3</c:f>
          <c:strCache>
            <c:ptCount val="1"/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V!$A$1:$A$1022</c:f>
              <c:numCache>
                <c:formatCode>General</c:formatCode>
                <c:ptCount val="1022"/>
                <c:pt idx="0">
                  <c:v>2436400.0596699999</c:v>
                </c:pt>
                <c:pt idx="1">
                  <c:v>2436402.1905</c:v>
                </c:pt>
                <c:pt idx="2">
                  <c:v>2436404.1804999998</c:v>
                </c:pt>
                <c:pt idx="3">
                  <c:v>2436405.6860000002</c:v>
                </c:pt>
                <c:pt idx="4">
                  <c:v>2436407.6839999999</c:v>
                </c:pt>
                <c:pt idx="5">
                  <c:v>2436408.6880000001</c:v>
                </c:pt>
                <c:pt idx="6">
                  <c:v>2452086.6213000002</c:v>
                </c:pt>
                <c:pt idx="7">
                  <c:v>2452087.6230000001</c:v>
                </c:pt>
                <c:pt idx="8">
                  <c:v>2452467.6411000001</c:v>
                </c:pt>
                <c:pt idx="9">
                  <c:v>2452472.9323</c:v>
                </c:pt>
                <c:pt idx="10">
                  <c:v>2452493.6205000002</c:v>
                </c:pt>
                <c:pt idx="11">
                  <c:v>2452562.5348</c:v>
                </c:pt>
                <c:pt idx="12">
                  <c:v>2452563.6076000002</c:v>
                </c:pt>
                <c:pt idx="13">
                  <c:v>2452655.7310000001</c:v>
                </c:pt>
                <c:pt idx="14">
                  <c:v>2452777.7993000001</c:v>
                </c:pt>
                <c:pt idx="15">
                  <c:v>2452791.53547</c:v>
                </c:pt>
                <c:pt idx="16">
                  <c:v>2452800.7152999998</c:v>
                </c:pt>
                <c:pt idx="17">
                  <c:v>2452811.6653</c:v>
                </c:pt>
                <c:pt idx="18">
                  <c:v>2452820.6674000002</c:v>
                </c:pt>
                <c:pt idx="19">
                  <c:v>2452827.8028000002</c:v>
                </c:pt>
                <c:pt idx="20">
                  <c:v>2452834.75507</c:v>
                </c:pt>
                <c:pt idx="21">
                  <c:v>2452841.6916999999</c:v>
                </c:pt>
                <c:pt idx="22">
                  <c:v>2452850.6833000001</c:v>
                </c:pt>
                <c:pt idx="23">
                  <c:v>2452855.1934000002</c:v>
                </c:pt>
                <c:pt idx="24">
                  <c:v>2452858.6464999998</c:v>
                </c:pt>
                <c:pt idx="25">
                  <c:v>2452862.6458000001</c:v>
                </c:pt>
                <c:pt idx="26">
                  <c:v>2452871.1079500001</c:v>
                </c:pt>
                <c:pt idx="27">
                  <c:v>2452875.5943</c:v>
                </c:pt>
                <c:pt idx="28">
                  <c:v>2452882.6565</c:v>
                </c:pt>
                <c:pt idx="29">
                  <c:v>2452890.6277999999</c:v>
                </c:pt>
                <c:pt idx="30">
                  <c:v>2452900.1153500001</c:v>
                </c:pt>
                <c:pt idx="31">
                  <c:v>2452906.62115</c:v>
                </c:pt>
                <c:pt idx="32">
                  <c:v>2452908.6046000002</c:v>
                </c:pt>
                <c:pt idx="33">
                  <c:v>2452921.0578000001</c:v>
                </c:pt>
                <c:pt idx="34">
                  <c:v>2452926.5531000001</c:v>
                </c:pt>
                <c:pt idx="35">
                  <c:v>2452935.2259999998</c:v>
                </c:pt>
                <c:pt idx="36">
                  <c:v>2452937.5375000001</c:v>
                </c:pt>
                <c:pt idx="37">
                  <c:v>2452953.4912</c:v>
                </c:pt>
                <c:pt idx="38">
                  <c:v>2452964.4843299999</c:v>
                </c:pt>
                <c:pt idx="39">
                  <c:v>2453087.8640000001</c:v>
                </c:pt>
                <c:pt idx="40">
                  <c:v>2453143.1943000001</c:v>
                </c:pt>
                <c:pt idx="41">
                  <c:v>2453169.5014</c:v>
                </c:pt>
                <c:pt idx="42">
                  <c:v>2453187.7308</c:v>
                </c:pt>
                <c:pt idx="43">
                  <c:v>2453189.4183</c:v>
                </c:pt>
                <c:pt idx="44">
                  <c:v>2453197.7592000002</c:v>
                </c:pt>
                <c:pt idx="45">
                  <c:v>2453201.5019</c:v>
                </c:pt>
                <c:pt idx="46">
                  <c:v>2453215.6820999999</c:v>
                </c:pt>
                <c:pt idx="47">
                  <c:v>2453224.7371999999</c:v>
                </c:pt>
                <c:pt idx="48">
                  <c:v>2453226.71257</c:v>
                </c:pt>
                <c:pt idx="49">
                  <c:v>2453231.5318</c:v>
                </c:pt>
                <c:pt idx="50">
                  <c:v>2453236.3434000001</c:v>
                </c:pt>
                <c:pt idx="51">
                  <c:v>2453239.7036000001</c:v>
                </c:pt>
                <c:pt idx="52">
                  <c:v>2453249.6573000001</c:v>
                </c:pt>
                <c:pt idx="53">
                  <c:v>2453254.4007000001</c:v>
                </c:pt>
                <c:pt idx="54">
                  <c:v>2453261.41017</c:v>
                </c:pt>
                <c:pt idx="55">
                  <c:v>2453265.3684</c:v>
                </c:pt>
                <c:pt idx="56">
                  <c:v>2453269.0953000002</c:v>
                </c:pt>
                <c:pt idx="57">
                  <c:v>2453284.5891</c:v>
                </c:pt>
                <c:pt idx="58">
                  <c:v>2453290.5328000002</c:v>
                </c:pt>
                <c:pt idx="59">
                  <c:v>2453304.51933</c:v>
                </c:pt>
                <c:pt idx="60">
                  <c:v>2453322.48673</c:v>
                </c:pt>
                <c:pt idx="61">
                  <c:v>2453330.6800000002</c:v>
                </c:pt>
                <c:pt idx="62">
                  <c:v>2453435.9097000002</c:v>
                </c:pt>
                <c:pt idx="63">
                  <c:v>2453465.8580999998</c:v>
                </c:pt>
                <c:pt idx="64">
                  <c:v>2453470.8221999998</c:v>
                </c:pt>
                <c:pt idx="65">
                  <c:v>2453475.3605</c:v>
                </c:pt>
                <c:pt idx="66">
                  <c:v>2453488.9068</c:v>
                </c:pt>
                <c:pt idx="67">
                  <c:v>2453495.8478000001</c:v>
                </c:pt>
                <c:pt idx="68">
                  <c:v>2453516.8709999998</c:v>
                </c:pt>
                <c:pt idx="69">
                  <c:v>2453520.517</c:v>
                </c:pt>
                <c:pt idx="70">
                  <c:v>2453523.1908499999</c:v>
                </c:pt>
                <c:pt idx="71">
                  <c:v>2453528.5019999999</c:v>
                </c:pt>
                <c:pt idx="72">
                  <c:v>2453531.503</c:v>
                </c:pt>
                <c:pt idx="73">
                  <c:v>2453535.7420000001</c:v>
                </c:pt>
                <c:pt idx="74">
                  <c:v>2453537.477</c:v>
                </c:pt>
                <c:pt idx="75">
                  <c:v>2453539.64175</c:v>
                </c:pt>
                <c:pt idx="76">
                  <c:v>2453541.7552</c:v>
                </c:pt>
                <c:pt idx="77">
                  <c:v>2453545.477</c:v>
                </c:pt>
                <c:pt idx="78">
                  <c:v>2453547.469</c:v>
                </c:pt>
                <c:pt idx="79">
                  <c:v>2453549.9654999999</c:v>
                </c:pt>
                <c:pt idx="80">
                  <c:v>2453551.463</c:v>
                </c:pt>
                <c:pt idx="81">
                  <c:v>2453555.2071500001</c:v>
                </c:pt>
                <c:pt idx="82">
                  <c:v>2453559.4440000001</c:v>
                </c:pt>
                <c:pt idx="83">
                  <c:v>2453563.1096000001</c:v>
                </c:pt>
                <c:pt idx="84">
                  <c:v>2453565.48</c:v>
                </c:pt>
                <c:pt idx="85">
                  <c:v>2453569.9794999999</c:v>
                </c:pt>
                <c:pt idx="86">
                  <c:v>2453571.7439999999</c:v>
                </c:pt>
                <c:pt idx="87">
                  <c:v>2453580.4479999999</c:v>
                </c:pt>
                <c:pt idx="88">
                  <c:v>2453581.4479999999</c:v>
                </c:pt>
                <c:pt idx="89">
                  <c:v>2453597.3420000002</c:v>
                </c:pt>
                <c:pt idx="90">
                  <c:v>2453599.3879999998</c:v>
                </c:pt>
                <c:pt idx="91">
                  <c:v>2453613.3629999999</c:v>
                </c:pt>
                <c:pt idx="92">
                  <c:v>2453617.35</c:v>
                </c:pt>
                <c:pt idx="93">
                  <c:v>2453624.6439999999</c:v>
                </c:pt>
                <c:pt idx="94">
                  <c:v>2453634.6290000002</c:v>
                </c:pt>
                <c:pt idx="95">
                  <c:v>2453641.6052000001</c:v>
                </c:pt>
                <c:pt idx="96">
                  <c:v>2453644.5010000002</c:v>
                </c:pt>
                <c:pt idx="97">
                  <c:v>2453649.5824000002</c:v>
                </c:pt>
                <c:pt idx="98">
                  <c:v>2453673.4718999998</c:v>
                </c:pt>
                <c:pt idx="99">
                  <c:v>2453677.4937999998</c:v>
                </c:pt>
                <c:pt idx="100">
                  <c:v>2453686.4657999999</c:v>
                </c:pt>
                <c:pt idx="101">
                  <c:v>2453767.9737</c:v>
                </c:pt>
                <c:pt idx="102">
                  <c:v>2453780.04421</c:v>
                </c:pt>
                <c:pt idx="103">
                  <c:v>2453781.0529299998</c:v>
                </c:pt>
                <c:pt idx="104">
                  <c:v>2453782.9475799999</c:v>
                </c:pt>
                <c:pt idx="105">
                  <c:v>2453787.3621499999</c:v>
                </c:pt>
                <c:pt idx="106">
                  <c:v>2453788.4750000001</c:v>
                </c:pt>
                <c:pt idx="107">
                  <c:v>2453790.9454000001</c:v>
                </c:pt>
                <c:pt idx="108">
                  <c:v>2453791.4750000001</c:v>
                </c:pt>
                <c:pt idx="109">
                  <c:v>2453792.4841</c:v>
                </c:pt>
                <c:pt idx="110">
                  <c:v>2453793.6488700002</c:v>
                </c:pt>
                <c:pt idx="111">
                  <c:v>2453795.47028</c:v>
                </c:pt>
                <c:pt idx="112">
                  <c:v>2453796.9731999999</c:v>
                </c:pt>
                <c:pt idx="113">
                  <c:v>2453798.4553</c:v>
                </c:pt>
                <c:pt idx="114">
                  <c:v>2453799.9496800001</c:v>
                </c:pt>
                <c:pt idx="115">
                  <c:v>2453800.1375799999</c:v>
                </c:pt>
                <c:pt idx="116">
                  <c:v>2453801.4787300001</c:v>
                </c:pt>
                <c:pt idx="117">
                  <c:v>2453802.98</c:v>
                </c:pt>
                <c:pt idx="118">
                  <c:v>2453808.9497000002</c:v>
                </c:pt>
                <c:pt idx="119">
                  <c:v>2453810.9503500001</c:v>
                </c:pt>
                <c:pt idx="120">
                  <c:v>2453812.9441999998</c:v>
                </c:pt>
                <c:pt idx="121">
                  <c:v>2453817.4325999999</c:v>
                </c:pt>
                <c:pt idx="122">
                  <c:v>2453818.9286000002</c:v>
                </c:pt>
                <c:pt idx="123">
                  <c:v>2453820.9205999998</c:v>
                </c:pt>
                <c:pt idx="124">
                  <c:v>2453824.8647500002</c:v>
                </c:pt>
                <c:pt idx="125">
                  <c:v>2453827.8975</c:v>
                </c:pt>
                <c:pt idx="126">
                  <c:v>2453829.3951500002</c:v>
                </c:pt>
                <c:pt idx="127">
                  <c:v>2453832.8950999998</c:v>
                </c:pt>
                <c:pt idx="128">
                  <c:v>2453834.3844499998</c:v>
                </c:pt>
                <c:pt idx="129">
                  <c:v>2453836.8122999999</c:v>
                </c:pt>
                <c:pt idx="130">
                  <c:v>2453838.37445</c:v>
                </c:pt>
                <c:pt idx="131">
                  <c:v>2453841.8399499999</c:v>
                </c:pt>
                <c:pt idx="132">
                  <c:v>2453843.3606500002</c:v>
                </c:pt>
                <c:pt idx="133">
                  <c:v>2453844.85995</c:v>
                </c:pt>
                <c:pt idx="134">
                  <c:v>2453846.3547999999</c:v>
                </c:pt>
                <c:pt idx="135">
                  <c:v>2453851.3327000001</c:v>
                </c:pt>
                <c:pt idx="136">
                  <c:v>2453853.3332000002</c:v>
                </c:pt>
                <c:pt idx="137">
                  <c:v>2453854.8672500001</c:v>
                </c:pt>
                <c:pt idx="138">
                  <c:v>2453856.3175499998</c:v>
                </c:pt>
                <c:pt idx="139">
                  <c:v>2453857.8210999998</c:v>
                </c:pt>
                <c:pt idx="140">
                  <c:v>2453860.2928999998</c:v>
                </c:pt>
                <c:pt idx="141">
                  <c:v>2453861.3084499999</c:v>
                </c:pt>
                <c:pt idx="142">
                  <c:v>2453863.2931499998</c:v>
                </c:pt>
                <c:pt idx="143">
                  <c:v>2453864.7958</c:v>
                </c:pt>
                <c:pt idx="144">
                  <c:v>2453866.2921000002</c:v>
                </c:pt>
                <c:pt idx="145">
                  <c:v>2453874.7697999999</c:v>
                </c:pt>
                <c:pt idx="146">
                  <c:v>2453876.7647000002</c:v>
                </c:pt>
                <c:pt idx="147">
                  <c:v>2453878.7596</c:v>
                </c:pt>
                <c:pt idx="148">
                  <c:v>2453879.7790999999</c:v>
                </c:pt>
                <c:pt idx="149">
                  <c:v>2453881.39793</c:v>
                </c:pt>
                <c:pt idx="150">
                  <c:v>2453882.7514999998</c:v>
                </c:pt>
                <c:pt idx="151">
                  <c:v>2453883.7884</c:v>
                </c:pt>
                <c:pt idx="152">
                  <c:v>2453885.23985</c:v>
                </c:pt>
                <c:pt idx="153">
                  <c:v>2453886.7404999998</c:v>
                </c:pt>
                <c:pt idx="154">
                  <c:v>2453890.2419500002</c:v>
                </c:pt>
                <c:pt idx="155">
                  <c:v>2453893.2267499999</c:v>
                </c:pt>
                <c:pt idx="156">
                  <c:v>2453894.8297999999</c:v>
                </c:pt>
                <c:pt idx="157">
                  <c:v>2453897.7234999998</c:v>
                </c:pt>
                <c:pt idx="158">
                  <c:v>2453899.2162500001</c:v>
                </c:pt>
                <c:pt idx="159">
                  <c:v>2453900.7173000001</c:v>
                </c:pt>
                <c:pt idx="160">
                  <c:v>2453902.4879999999</c:v>
                </c:pt>
                <c:pt idx="161">
                  <c:v>2453904.2001</c:v>
                </c:pt>
                <c:pt idx="162">
                  <c:v>2453906.6995000001</c:v>
                </c:pt>
                <c:pt idx="163">
                  <c:v>2453915.4730000002</c:v>
                </c:pt>
                <c:pt idx="164">
                  <c:v>2453916.7102000001</c:v>
                </c:pt>
                <c:pt idx="165">
                  <c:v>2453918.2017999999</c:v>
                </c:pt>
                <c:pt idx="166">
                  <c:v>2453919.7001</c:v>
                </c:pt>
                <c:pt idx="167">
                  <c:v>2453922.7204</c:v>
                </c:pt>
                <c:pt idx="168">
                  <c:v>2453927.6864999998</c:v>
                </c:pt>
                <c:pt idx="169">
                  <c:v>2453930.6771999998</c:v>
                </c:pt>
                <c:pt idx="170">
                  <c:v>2453933.6745000002</c:v>
                </c:pt>
                <c:pt idx="171">
                  <c:v>2453934.6745000002</c:v>
                </c:pt>
                <c:pt idx="172">
                  <c:v>2453936.7192500001</c:v>
                </c:pt>
                <c:pt idx="173">
                  <c:v>2453938.2331500002</c:v>
                </c:pt>
                <c:pt idx="174">
                  <c:v>2453940.1689499998</c:v>
                </c:pt>
                <c:pt idx="175">
                  <c:v>2453941.6710000001</c:v>
                </c:pt>
                <c:pt idx="176">
                  <c:v>2453943.0581999999</c:v>
                </c:pt>
                <c:pt idx="177">
                  <c:v>2453946.0894200001</c:v>
                </c:pt>
                <c:pt idx="178">
                  <c:v>2453952.3621</c:v>
                </c:pt>
                <c:pt idx="179">
                  <c:v>2453955.6403000001</c:v>
                </c:pt>
                <c:pt idx="180">
                  <c:v>2453957.1099</c:v>
                </c:pt>
                <c:pt idx="181">
                  <c:v>2453958.1568499999</c:v>
                </c:pt>
                <c:pt idx="182">
                  <c:v>2453960.1414000001</c:v>
                </c:pt>
                <c:pt idx="183">
                  <c:v>2453970.6264999998</c:v>
                </c:pt>
                <c:pt idx="184">
                  <c:v>2453971.6279000002</c:v>
                </c:pt>
                <c:pt idx="185">
                  <c:v>2453972.6740999999</c:v>
                </c:pt>
                <c:pt idx="186">
                  <c:v>2453975.1324499999</c:v>
                </c:pt>
                <c:pt idx="187">
                  <c:v>2453977.6209</c:v>
                </c:pt>
                <c:pt idx="188">
                  <c:v>2453978.7446300001</c:v>
                </c:pt>
                <c:pt idx="189">
                  <c:v>2453979.7179100001</c:v>
                </c:pt>
                <c:pt idx="190">
                  <c:v>2453980.7433600002</c:v>
                </c:pt>
                <c:pt idx="191">
                  <c:v>2453981.9443299999</c:v>
                </c:pt>
                <c:pt idx="192">
                  <c:v>2453982.9790699999</c:v>
                </c:pt>
                <c:pt idx="193">
                  <c:v>2453983.9963199999</c:v>
                </c:pt>
                <c:pt idx="194">
                  <c:v>2453985.9088099999</c:v>
                </c:pt>
                <c:pt idx="195">
                  <c:v>2453987.0875599999</c:v>
                </c:pt>
                <c:pt idx="196">
                  <c:v>2453987.9629899999</c:v>
                </c:pt>
                <c:pt idx="197">
                  <c:v>2453989.7544200001</c:v>
                </c:pt>
                <c:pt idx="198">
                  <c:v>2453990.83231</c:v>
                </c:pt>
                <c:pt idx="199">
                  <c:v>2453991.93469</c:v>
                </c:pt>
                <c:pt idx="200">
                  <c:v>2453992.9651700002</c:v>
                </c:pt>
                <c:pt idx="201">
                  <c:v>2453993.9788500001</c:v>
                </c:pt>
                <c:pt idx="202">
                  <c:v>2453995.73911</c:v>
                </c:pt>
                <c:pt idx="203">
                  <c:v>2453996.4162300001</c:v>
                </c:pt>
                <c:pt idx="204">
                  <c:v>2453997.2400799999</c:v>
                </c:pt>
                <c:pt idx="205">
                  <c:v>2453998.3105700002</c:v>
                </c:pt>
                <c:pt idx="206">
                  <c:v>2453999.34711</c:v>
                </c:pt>
                <c:pt idx="207">
                  <c:v>2454000.3255599998</c:v>
                </c:pt>
                <c:pt idx="208">
                  <c:v>2454001.2788900002</c:v>
                </c:pt>
                <c:pt idx="209">
                  <c:v>2454002.7731300001</c:v>
                </c:pt>
                <c:pt idx="210">
                  <c:v>2454002.9504999998</c:v>
                </c:pt>
                <c:pt idx="211">
                  <c:v>2454004.4897799999</c:v>
                </c:pt>
                <c:pt idx="212">
                  <c:v>2454005.5391000002</c:v>
                </c:pt>
                <c:pt idx="213">
                  <c:v>2454006.90026</c:v>
                </c:pt>
                <c:pt idx="214">
                  <c:v>2454007.8932699999</c:v>
                </c:pt>
                <c:pt idx="215">
                  <c:v>2454009.8209600002</c:v>
                </c:pt>
                <c:pt idx="216">
                  <c:v>2454010.9408200001</c:v>
                </c:pt>
                <c:pt idx="217">
                  <c:v>2454011.6814299999</c:v>
                </c:pt>
                <c:pt idx="218">
                  <c:v>2454015.5491999998</c:v>
                </c:pt>
                <c:pt idx="219">
                  <c:v>2454018.5882000001</c:v>
                </c:pt>
                <c:pt idx="220">
                  <c:v>2454030.5224000001</c:v>
                </c:pt>
                <c:pt idx="221">
                  <c:v>2454037.5696</c:v>
                </c:pt>
                <c:pt idx="222">
                  <c:v>2454042.0655999999</c:v>
                </c:pt>
                <c:pt idx="223">
                  <c:v>2454044.5666</c:v>
                </c:pt>
                <c:pt idx="224">
                  <c:v>2454049.4871</c:v>
                </c:pt>
                <c:pt idx="225">
                  <c:v>2454061.4704999998</c:v>
                </c:pt>
                <c:pt idx="226">
                  <c:v>2454157.9989999998</c:v>
                </c:pt>
                <c:pt idx="227">
                  <c:v>2454159.0030999999</c:v>
                </c:pt>
                <c:pt idx="228">
                  <c:v>2454162.4889000002</c:v>
                </c:pt>
                <c:pt idx="229">
                  <c:v>2454163.9761999999</c:v>
                </c:pt>
                <c:pt idx="230">
                  <c:v>2454166.4801500002</c:v>
                </c:pt>
                <c:pt idx="231">
                  <c:v>2454169.4638</c:v>
                </c:pt>
                <c:pt idx="232">
                  <c:v>2454176.4454999999</c:v>
                </c:pt>
                <c:pt idx="233">
                  <c:v>2454179.4382500001</c:v>
                </c:pt>
                <c:pt idx="234">
                  <c:v>2454180.9300000002</c:v>
                </c:pt>
                <c:pt idx="235">
                  <c:v>2454185.4219999998</c:v>
                </c:pt>
                <c:pt idx="236">
                  <c:v>2454186.9125000001</c:v>
                </c:pt>
                <c:pt idx="237">
                  <c:v>2454189.4024</c:v>
                </c:pt>
                <c:pt idx="238">
                  <c:v>2454190.9043000001</c:v>
                </c:pt>
                <c:pt idx="239">
                  <c:v>2454192.4053500001</c:v>
                </c:pt>
                <c:pt idx="240">
                  <c:v>2454194.3938500001</c:v>
                </c:pt>
                <c:pt idx="241">
                  <c:v>2454195.8905000002</c:v>
                </c:pt>
                <c:pt idx="242">
                  <c:v>2454199.3872000002</c:v>
                </c:pt>
                <c:pt idx="243">
                  <c:v>2454201.8714999999</c:v>
                </c:pt>
                <c:pt idx="244">
                  <c:v>2454202.8834000002</c:v>
                </c:pt>
                <c:pt idx="245">
                  <c:v>2454206.3663499998</c:v>
                </c:pt>
                <c:pt idx="246">
                  <c:v>2454209.3547999999</c:v>
                </c:pt>
                <c:pt idx="247">
                  <c:v>2454210.8698</c:v>
                </c:pt>
                <c:pt idx="248">
                  <c:v>2454212.8418000001</c:v>
                </c:pt>
                <c:pt idx="249">
                  <c:v>2454216.3412000001</c:v>
                </c:pt>
                <c:pt idx="250">
                  <c:v>2454217.8292999999</c:v>
                </c:pt>
                <c:pt idx="251">
                  <c:v>2454224.31745</c:v>
                </c:pt>
                <c:pt idx="252">
                  <c:v>2454225.8308999999</c:v>
                </c:pt>
                <c:pt idx="253">
                  <c:v>2454227.8078999999</c:v>
                </c:pt>
                <c:pt idx="254">
                  <c:v>2454231.2951500001</c:v>
                </c:pt>
                <c:pt idx="255">
                  <c:v>2454233.2894000001</c:v>
                </c:pt>
                <c:pt idx="256">
                  <c:v>2454234.8128499999</c:v>
                </c:pt>
                <c:pt idx="257">
                  <c:v>2454241.2700999998</c:v>
                </c:pt>
                <c:pt idx="258">
                  <c:v>2454243.2642999999</c:v>
                </c:pt>
                <c:pt idx="259">
                  <c:v>2454249.8459000001</c:v>
                </c:pt>
                <c:pt idx="260">
                  <c:v>2454262.7582</c:v>
                </c:pt>
                <c:pt idx="261">
                  <c:v>2454267.44</c:v>
                </c:pt>
                <c:pt idx="262">
                  <c:v>2454271.46</c:v>
                </c:pt>
                <c:pt idx="263">
                  <c:v>2454274.6976800002</c:v>
                </c:pt>
                <c:pt idx="264">
                  <c:v>2454289.33</c:v>
                </c:pt>
                <c:pt idx="265">
                  <c:v>2454297.7831999999</c:v>
                </c:pt>
                <c:pt idx="266">
                  <c:v>2454313.4133000001</c:v>
                </c:pt>
                <c:pt idx="267">
                  <c:v>2454314.7546999999</c:v>
                </c:pt>
                <c:pt idx="268">
                  <c:v>2454316.7483000001</c:v>
                </c:pt>
                <c:pt idx="269">
                  <c:v>2454323.7244000002</c:v>
                </c:pt>
                <c:pt idx="270">
                  <c:v>2454336.6642999998</c:v>
                </c:pt>
                <c:pt idx="271">
                  <c:v>2454341.1851499998</c:v>
                </c:pt>
                <c:pt idx="272">
                  <c:v>2454344.6694999998</c:v>
                </c:pt>
                <c:pt idx="273">
                  <c:v>2454349.6507999999</c:v>
                </c:pt>
                <c:pt idx="274">
                  <c:v>2454357.6390999998</c:v>
                </c:pt>
                <c:pt idx="275">
                  <c:v>2454359.59583</c:v>
                </c:pt>
                <c:pt idx="276">
                  <c:v>2454360.6150000002</c:v>
                </c:pt>
                <c:pt idx="277">
                  <c:v>2454378.5682000001</c:v>
                </c:pt>
                <c:pt idx="278">
                  <c:v>2454394.5395</c:v>
                </c:pt>
                <c:pt idx="279">
                  <c:v>2454402.5207000002</c:v>
                </c:pt>
                <c:pt idx="280">
                  <c:v>2454404.5085</c:v>
                </c:pt>
                <c:pt idx="281">
                  <c:v>2454407.5128000001</c:v>
                </c:pt>
                <c:pt idx="282">
                  <c:v>2454573.8602</c:v>
                </c:pt>
                <c:pt idx="283">
                  <c:v>2454578.8651999999</c:v>
                </c:pt>
                <c:pt idx="284">
                  <c:v>2454583.7083999999</c:v>
                </c:pt>
                <c:pt idx="285">
                  <c:v>2454600.37</c:v>
                </c:pt>
                <c:pt idx="286">
                  <c:v>2454611.8692999999</c:v>
                </c:pt>
                <c:pt idx="287">
                  <c:v>2454615.7272000001</c:v>
                </c:pt>
                <c:pt idx="288">
                  <c:v>2454620.48</c:v>
                </c:pt>
                <c:pt idx="289">
                  <c:v>2454627.38</c:v>
                </c:pt>
                <c:pt idx="290">
                  <c:v>2454641.8379000002</c:v>
                </c:pt>
                <c:pt idx="291">
                  <c:v>2454649.7662</c:v>
                </c:pt>
                <c:pt idx="292">
                  <c:v>2454652.4305599998</c:v>
                </c:pt>
                <c:pt idx="293">
                  <c:v>2454662.7292999998</c:v>
                </c:pt>
                <c:pt idx="294">
                  <c:v>2454704.5843000002</c:v>
                </c:pt>
                <c:pt idx="295">
                  <c:v>2454717.6236999999</c:v>
                </c:pt>
                <c:pt idx="296">
                  <c:v>2454732.5913</c:v>
                </c:pt>
                <c:pt idx="297">
                  <c:v>2454743.5551999998</c:v>
                </c:pt>
                <c:pt idx="298">
                  <c:v>2454770.5134000001</c:v>
                </c:pt>
                <c:pt idx="299">
                  <c:v>2454907.9416999999</c:v>
                </c:pt>
                <c:pt idx="300">
                  <c:v>2454918.0218799999</c:v>
                </c:pt>
                <c:pt idx="301">
                  <c:v>2454933.8577000001</c:v>
                </c:pt>
                <c:pt idx="302">
                  <c:v>2454963.8213999998</c:v>
                </c:pt>
                <c:pt idx="303">
                  <c:v>2454970.7925999998</c:v>
                </c:pt>
                <c:pt idx="304">
                  <c:v>2454994.4873700002</c:v>
                </c:pt>
                <c:pt idx="305">
                  <c:v>2454997.7077000001</c:v>
                </c:pt>
                <c:pt idx="306">
                  <c:v>2455024.4158899998</c:v>
                </c:pt>
                <c:pt idx="307">
                  <c:v>2455041.2477799999</c:v>
                </c:pt>
                <c:pt idx="308">
                  <c:v>2455044.8015999999</c:v>
                </c:pt>
                <c:pt idx="309">
                  <c:v>2455049.7083000001</c:v>
                </c:pt>
                <c:pt idx="310">
                  <c:v>2455060.0865699998</c:v>
                </c:pt>
                <c:pt idx="311">
                  <c:v>2455061.57571</c:v>
                </c:pt>
                <c:pt idx="312">
                  <c:v>2455066.0241399999</c:v>
                </c:pt>
                <c:pt idx="313">
                  <c:v>2455067.5921200002</c:v>
                </c:pt>
                <c:pt idx="314">
                  <c:v>2455069.56476</c:v>
                </c:pt>
                <c:pt idx="315">
                  <c:v>2455072.6097900001</c:v>
                </c:pt>
                <c:pt idx="316">
                  <c:v>2455074.5676899999</c:v>
                </c:pt>
                <c:pt idx="317">
                  <c:v>2455077.6453999998</c:v>
                </c:pt>
                <c:pt idx="318">
                  <c:v>2455080.0625999998</c:v>
                </c:pt>
                <c:pt idx="319">
                  <c:v>2455081.5544199999</c:v>
                </c:pt>
                <c:pt idx="320">
                  <c:v>2455094.5221500001</c:v>
                </c:pt>
                <c:pt idx="321">
                  <c:v>2455096.0136299999</c:v>
                </c:pt>
                <c:pt idx="322">
                  <c:v>2455100.4992200001</c:v>
                </c:pt>
                <c:pt idx="323">
                  <c:v>2455123.5395999998</c:v>
                </c:pt>
                <c:pt idx="324">
                  <c:v>2455137.5178</c:v>
                </c:pt>
                <c:pt idx="325">
                  <c:v>2455148.4923</c:v>
                </c:pt>
                <c:pt idx="326">
                  <c:v>2455167.4712999999</c:v>
                </c:pt>
                <c:pt idx="327">
                  <c:v>2455252.9648000002</c:v>
                </c:pt>
                <c:pt idx="328">
                  <c:v>2455274.9415000002</c:v>
                </c:pt>
                <c:pt idx="329">
                  <c:v>2455279.9207000001</c:v>
                </c:pt>
                <c:pt idx="330">
                  <c:v>2455282.9256000002</c:v>
                </c:pt>
                <c:pt idx="331">
                  <c:v>2455301.8867000001</c:v>
                </c:pt>
                <c:pt idx="332">
                  <c:v>2455304.5274999999</c:v>
                </c:pt>
                <c:pt idx="333">
                  <c:v>2455321.8184000002</c:v>
                </c:pt>
                <c:pt idx="334">
                  <c:v>2455343.8264000001</c:v>
                </c:pt>
                <c:pt idx="335">
                  <c:v>2455373.6784999999</c:v>
                </c:pt>
                <c:pt idx="336">
                  <c:v>2455378.7486100001</c:v>
                </c:pt>
                <c:pt idx="337">
                  <c:v>2455388.42154</c:v>
                </c:pt>
                <c:pt idx="338">
                  <c:v>2455414.7013400001</c:v>
                </c:pt>
                <c:pt idx="339">
                  <c:v>2455417.7220000001</c:v>
                </c:pt>
                <c:pt idx="340">
                  <c:v>2455425.7072999999</c:v>
                </c:pt>
                <c:pt idx="341">
                  <c:v>2455436.6729000001</c:v>
                </c:pt>
                <c:pt idx="342">
                  <c:v>2455438.6367000001</c:v>
                </c:pt>
                <c:pt idx="343">
                  <c:v>2455452.6501799999</c:v>
                </c:pt>
                <c:pt idx="344">
                  <c:v>2455477.5641999999</c:v>
                </c:pt>
                <c:pt idx="345">
                  <c:v>2455479.5495000002</c:v>
                </c:pt>
                <c:pt idx="346">
                  <c:v>2455492.5222999998</c:v>
                </c:pt>
                <c:pt idx="347">
                  <c:v>2455509.4696</c:v>
                </c:pt>
                <c:pt idx="348">
                  <c:v>2455615.4772199998</c:v>
                </c:pt>
                <c:pt idx="349">
                  <c:v>2455618.96753</c:v>
                </c:pt>
                <c:pt idx="350">
                  <c:v>2455622.45793</c:v>
                </c:pt>
                <c:pt idx="351">
                  <c:v>2455624.4525199998</c:v>
                </c:pt>
                <c:pt idx="352">
                  <c:v>2455630.4361399999</c:v>
                </c:pt>
                <c:pt idx="353">
                  <c:v>2455632.4306399999</c:v>
                </c:pt>
                <c:pt idx="354">
                  <c:v>2455634.9238800001</c:v>
                </c:pt>
                <c:pt idx="355">
                  <c:v>2455638.41432</c:v>
                </c:pt>
                <c:pt idx="356">
                  <c:v>2455640.4088400002</c:v>
                </c:pt>
                <c:pt idx="357">
                  <c:v>2455643.8991999999</c:v>
                </c:pt>
                <c:pt idx="358">
                  <c:v>2455645.3992400002</c:v>
                </c:pt>
                <c:pt idx="359">
                  <c:v>2455646.8950499999</c:v>
                </c:pt>
                <c:pt idx="360">
                  <c:v>2455649.9500500001</c:v>
                </c:pt>
                <c:pt idx="361">
                  <c:v>2455655.4507300002</c:v>
                </c:pt>
                <c:pt idx="362">
                  <c:v>2455660.9521599999</c:v>
                </c:pt>
                <c:pt idx="363">
                  <c:v>2455665.9229100002</c:v>
                </c:pt>
                <c:pt idx="364">
                  <c:v>2455669.9016200001</c:v>
                </c:pt>
                <c:pt idx="365">
                  <c:v>2455673.8439799999</c:v>
                </c:pt>
                <c:pt idx="366">
                  <c:v>2455677.8339200001</c:v>
                </c:pt>
                <c:pt idx="367">
                  <c:v>2455682.96801</c:v>
                </c:pt>
                <c:pt idx="368">
                  <c:v>2455684.81244</c:v>
                </c:pt>
                <c:pt idx="369">
                  <c:v>2455688.8017600002</c:v>
                </c:pt>
                <c:pt idx="370">
                  <c:v>2455693.7694700002</c:v>
                </c:pt>
                <c:pt idx="371">
                  <c:v>2455697.7535999999</c:v>
                </c:pt>
                <c:pt idx="372">
                  <c:v>2455712.4375</c:v>
                </c:pt>
                <c:pt idx="373">
                  <c:v>2455718.824</c:v>
                </c:pt>
                <c:pt idx="374">
                  <c:v>2455720.7752999999</c:v>
                </c:pt>
                <c:pt idx="375">
                  <c:v>2455724.80669</c:v>
                </c:pt>
                <c:pt idx="376">
                  <c:v>2455728.7462200001</c:v>
                </c:pt>
                <c:pt idx="377">
                  <c:v>2455734.0852000001</c:v>
                </c:pt>
                <c:pt idx="378">
                  <c:v>2455738.07675</c:v>
                </c:pt>
                <c:pt idx="379">
                  <c:v>2455739.7927000001</c:v>
                </c:pt>
                <c:pt idx="380">
                  <c:v>2455741.7758999998</c:v>
                </c:pt>
                <c:pt idx="381">
                  <c:v>2455749.38056</c:v>
                </c:pt>
                <c:pt idx="382">
                  <c:v>2455753.77434</c:v>
                </c:pt>
                <c:pt idx="383">
                  <c:v>2455758.8017099998</c:v>
                </c:pt>
                <c:pt idx="384">
                  <c:v>2455760.6545199999</c:v>
                </c:pt>
                <c:pt idx="385">
                  <c:v>2455761.6616799999</c:v>
                </c:pt>
                <c:pt idx="386">
                  <c:v>2455762.67827</c:v>
                </c:pt>
                <c:pt idx="387">
                  <c:v>2455763.72511</c:v>
                </c:pt>
                <c:pt idx="388">
                  <c:v>2455765.23655</c:v>
                </c:pt>
                <c:pt idx="389">
                  <c:v>2455769.0338900001</c:v>
                </c:pt>
                <c:pt idx="390">
                  <c:v>2455769.71844</c:v>
                </c:pt>
                <c:pt idx="391">
                  <c:v>2455771.3930899999</c:v>
                </c:pt>
                <c:pt idx="392">
                  <c:v>2455775.6953699999</c:v>
                </c:pt>
                <c:pt idx="393">
                  <c:v>2455780.7160499999</c:v>
                </c:pt>
                <c:pt idx="394">
                  <c:v>2455783.3076399998</c:v>
                </c:pt>
                <c:pt idx="395">
                  <c:v>2455785.65337</c:v>
                </c:pt>
                <c:pt idx="396">
                  <c:v>2455788.16383</c:v>
                </c:pt>
                <c:pt idx="397">
                  <c:v>2455789.6964500002</c:v>
                </c:pt>
                <c:pt idx="398">
                  <c:v>2455796.4049200001</c:v>
                </c:pt>
                <c:pt idx="399">
                  <c:v>2455799.66047</c:v>
                </c:pt>
                <c:pt idx="400">
                  <c:v>2455801.6102900002</c:v>
                </c:pt>
                <c:pt idx="401">
                  <c:v>2455803.6685100002</c:v>
                </c:pt>
                <c:pt idx="402">
                  <c:v>2455812.6549499999</c:v>
                </c:pt>
                <c:pt idx="403">
                  <c:v>2455816.5798999998</c:v>
                </c:pt>
                <c:pt idx="404">
                  <c:v>2455865.5560099999</c:v>
                </c:pt>
                <c:pt idx="405">
                  <c:v>2455869.5583199998</c:v>
                </c:pt>
                <c:pt idx="406">
                  <c:v>2455943.9854799998</c:v>
                </c:pt>
                <c:pt idx="407">
                  <c:v>2455956.9739799998</c:v>
                </c:pt>
                <c:pt idx="408">
                  <c:v>2455972.0274</c:v>
                </c:pt>
                <c:pt idx="409">
                  <c:v>2455989.9730799999</c:v>
                </c:pt>
                <c:pt idx="410">
                  <c:v>2455999.9363000002</c:v>
                </c:pt>
                <c:pt idx="411">
                  <c:v>2456001.9290999998</c:v>
                </c:pt>
                <c:pt idx="412">
                  <c:v>2456002.9381900001</c:v>
                </c:pt>
                <c:pt idx="413">
                  <c:v>2456005.4306100002</c:v>
                </c:pt>
                <c:pt idx="414">
                  <c:v>2456007.92343</c:v>
                </c:pt>
                <c:pt idx="415">
                  <c:v>2456008.9452800001</c:v>
                </c:pt>
                <c:pt idx="416">
                  <c:v>2456009.9253400001</c:v>
                </c:pt>
                <c:pt idx="417">
                  <c:v>2456012.9238900002</c:v>
                </c:pt>
                <c:pt idx="418">
                  <c:v>2456014.5583600001</c:v>
                </c:pt>
                <c:pt idx="419">
                  <c:v>2456015.8548300001</c:v>
                </c:pt>
                <c:pt idx="420">
                  <c:v>2456018.9271499999</c:v>
                </c:pt>
                <c:pt idx="421">
                  <c:v>2456021.4304900002</c:v>
                </c:pt>
                <c:pt idx="422">
                  <c:v>2456026.8305500001</c:v>
                </c:pt>
                <c:pt idx="423">
                  <c:v>2456027.9803200001</c:v>
                </c:pt>
                <c:pt idx="424">
                  <c:v>2456033.34136</c:v>
                </c:pt>
                <c:pt idx="425">
                  <c:v>2456034.4444200001</c:v>
                </c:pt>
                <c:pt idx="426">
                  <c:v>2456038.8303499999</c:v>
                </c:pt>
                <c:pt idx="427">
                  <c:v>2456041.2820000001</c:v>
                </c:pt>
                <c:pt idx="428">
                  <c:v>2456042.8078800002</c:v>
                </c:pt>
                <c:pt idx="429">
                  <c:v>2456045.3357299999</c:v>
                </c:pt>
                <c:pt idx="430">
                  <c:v>2456046.8051</c:v>
                </c:pt>
                <c:pt idx="431">
                  <c:v>2456049.3581300001</c:v>
                </c:pt>
                <c:pt idx="432">
                  <c:v>2456050.8312400002</c:v>
                </c:pt>
                <c:pt idx="433">
                  <c:v>2456053.8172900002</c:v>
                </c:pt>
                <c:pt idx="434">
                  <c:v>2456058.2050200002</c:v>
                </c:pt>
                <c:pt idx="435">
                  <c:v>2456061.2584600002</c:v>
                </c:pt>
                <c:pt idx="436">
                  <c:v>2456063.1947499998</c:v>
                </c:pt>
                <c:pt idx="437">
                  <c:v>2456065.69741</c:v>
                </c:pt>
                <c:pt idx="438">
                  <c:v>2456067.1214399999</c:v>
                </c:pt>
                <c:pt idx="439">
                  <c:v>2456067.7354199998</c:v>
                </c:pt>
                <c:pt idx="440">
                  <c:v>2456070.3331800001</c:v>
                </c:pt>
                <c:pt idx="441">
                  <c:v>2456071.8299799999</c:v>
                </c:pt>
                <c:pt idx="442">
                  <c:v>2456074.3975399998</c:v>
                </c:pt>
                <c:pt idx="443">
                  <c:v>2456078.6856800001</c:v>
                </c:pt>
                <c:pt idx="444">
                  <c:v>2456081.8396399999</c:v>
                </c:pt>
                <c:pt idx="445">
                  <c:v>2456083.2719700001</c:v>
                </c:pt>
                <c:pt idx="446">
                  <c:v>2456085.2176899998</c:v>
                </c:pt>
                <c:pt idx="447">
                  <c:v>2456086.3153499998</c:v>
                </c:pt>
                <c:pt idx="448">
                  <c:v>2456087.66976</c:v>
                </c:pt>
                <c:pt idx="449">
                  <c:v>2456089.1858899998</c:v>
                </c:pt>
                <c:pt idx="450">
                  <c:v>2456090.7378099998</c:v>
                </c:pt>
                <c:pt idx="451">
                  <c:v>2456092.1868699999</c:v>
                </c:pt>
                <c:pt idx="452">
                  <c:v>2456093.5346300001</c:v>
                </c:pt>
                <c:pt idx="453">
                  <c:v>2456094.5553899999</c:v>
                </c:pt>
                <c:pt idx="454">
                  <c:v>2456096.74126</c:v>
                </c:pt>
                <c:pt idx="455">
                  <c:v>2456097.7821200001</c:v>
                </c:pt>
                <c:pt idx="456">
                  <c:v>2456099.6800500001</c:v>
                </c:pt>
                <c:pt idx="457">
                  <c:v>2456101.25551</c:v>
                </c:pt>
                <c:pt idx="458">
                  <c:v>2456103.2399800001</c:v>
                </c:pt>
                <c:pt idx="459">
                  <c:v>2456104.65179</c:v>
                </c:pt>
                <c:pt idx="460">
                  <c:v>2456106.3570300001</c:v>
                </c:pt>
                <c:pt idx="461">
                  <c:v>2456107.2078100001</c:v>
                </c:pt>
                <c:pt idx="462">
                  <c:v>2456109.2149899998</c:v>
                </c:pt>
                <c:pt idx="463">
                  <c:v>2456110.6055899998</c:v>
                </c:pt>
                <c:pt idx="464">
                  <c:v>2456117.21269</c:v>
                </c:pt>
                <c:pt idx="465">
                  <c:v>2456118.3478999999</c:v>
                </c:pt>
                <c:pt idx="466">
                  <c:v>2456120.6389299999</c:v>
                </c:pt>
                <c:pt idx="467">
                  <c:v>2456126.3292</c:v>
                </c:pt>
                <c:pt idx="468">
                  <c:v>2456128.4138400001</c:v>
                </c:pt>
                <c:pt idx="469">
                  <c:v>2456129.6061399998</c:v>
                </c:pt>
                <c:pt idx="470">
                  <c:v>2456131.0129200001</c:v>
                </c:pt>
                <c:pt idx="471">
                  <c:v>2456132.0410099998</c:v>
                </c:pt>
                <c:pt idx="472">
                  <c:v>2456133.4065899998</c:v>
                </c:pt>
                <c:pt idx="473">
                  <c:v>2456137.3951400002</c:v>
                </c:pt>
                <c:pt idx="474">
                  <c:v>2456146.16353</c:v>
                </c:pt>
                <c:pt idx="475">
                  <c:v>2456147.6736300001</c:v>
                </c:pt>
                <c:pt idx="476">
                  <c:v>2456150.7185200001</c:v>
                </c:pt>
                <c:pt idx="477">
                  <c:v>2456155.2237999998</c:v>
                </c:pt>
                <c:pt idx="478">
                  <c:v>2456157.7119300002</c:v>
                </c:pt>
                <c:pt idx="479">
                  <c:v>2456159.6770600001</c:v>
                </c:pt>
                <c:pt idx="480">
                  <c:v>2456162.1676400001</c:v>
                </c:pt>
                <c:pt idx="481">
                  <c:v>2456169.14995</c:v>
                </c:pt>
                <c:pt idx="482">
                  <c:v>2456170.6793900002</c:v>
                </c:pt>
                <c:pt idx="483">
                  <c:v>2456180.1306799999</c:v>
                </c:pt>
                <c:pt idx="484">
                  <c:v>2456181.5808100002</c:v>
                </c:pt>
                <c:pt idx="485">
                  <c:v>2456182.6398100001</c:v>
                </c:pt>
                <c:pt idx="486">
                  <c:v>2456184.0801599999</c:v>
                </c:pt>
                <c:pt idx="487">
                  <c:v>2456193.6296999999</c:v>
                </c:pt>
                <c:pt idx="488">
                  <c:v>2456195.5048600002</c:v>
                </c:pt>
                <c:pt idx="489">
                  <c:v>2456200.6058100001</c:v>
                </c:pt>
                <c:pt idx="490">
                  <c:v>2456202.6091100001</c:v>
                </c:pt>
                <c:pt idx="491">
                  <c:v>2456229.5497300001</c:v>
                </c:pt>
                <c:pt idx="492">
                  <c:v>2456303.0598399998</c:v>
                </c:pt>
                <c:pt idx="493">
                  <c:v>2456328.9910200001</c:v>
                </c:pt>
                <c:pt idx="494">
                  <c:v>2456335.9925199999</c:v>
                </c:pt>
                <c:pt idx="495">
                  <c:v>2456337.9938300001</c:v>
                </c:pt>
                <c:pt idx="496">
                  <c:v>2456339.9458699999</c:v>
                </c:pt>
                <c:pt idx="497">
                  <c:v>2456347.4147199998</c:v>
                </c:pt>
                <c:pt idx="498">
                  <c:v>2456348.9078600002</c:v>
                </c:pt>
                <c:pt idx="499">
                  <c:v>2456354.8953900002</c:v>
                </c:pt>
                <c:pt idx="500">
                  <c:v>2456358.9243999999</c:v>
                </c:pt>
                <c:pt idx="501">
                  <c:v>2456359.9247099999</c:v>
                </c:pt>
                <c:pt idx="502">
                  <c:v>2456363.8690399998</c:v>
                </c:pt>
                <c:pt idx="503">
                  <c:v>2456366.5475300001</c:v>
                </c:pt>
                <c:pt idx="504">
                  <c:v>2456367.8677500002</c:v>
                </c:pt>
                <c:pt idx="505">
                  <c:v>2456370.8477099999</c:v>
                </c:pt>
                <c:pt idx="506">
                  <c:v>2456373.8664099998</c:v>
                </c:pt>
                <c:pt idx="507">
                  <c:v>2456378.8312300001</c:v>
                </c:pt>
                <c:pt idx="508">
                  <c:v>2456380.8813299998</c:v>
                </c:pt>
                <c:pt idx="509">
                  <c:v>2456387.8693400002</c:v>
                </c:pt>
                <c:pt idx="510">
                  <c:v>2456392.88393</c:v>
                </c:pt>
                <c:pt idx="511">
                  <c:v>2456396.2817899999</c:v>
                </c:pt>
                <c:pt idx="512">
                  <c:v>2456398.93456</c:v>
                </c:pt>
                <c:pt idx="513">
                  <c:v>2456402.8258099998</c:v>
                </c:pt>
                <c:pt idx="514">
                  <c:v>2456404.7665499998</c:v>
                </c:pt>
                <c:pt idx="515">
                  <c:v>2456409.8162600002</c:v>
                </c:pt>
                <c:pt idx="516">
                  <c:v>2456422.8000400001</c:v>
                </c:pt>
                <c:pt idx="517">
                  <c:v>2456427.2701699999</c:v>
                </c:pt>
                <c:pt idx="518">
                  <c:v>2456428.28217</c:v>
                </c:pt>
                <c:pt idx="519">
                  <c:v>2456430.72413</c:v>
                </c:pt>
                <c:pt idx="520">
                  <c:v>2456436.22572</c:v>
                </c:pt>
                <c:pt idx="521">
                  <c:v>2456437.71539</c:v>
                </c:pt>
                <c:pt idx="522">
                  <c:v>2456444.8897899999</c:v>
                </c:pt>
                <c:pt idx="523">
                  <c:v>2456447.7215399998</c:v>
                </c:pt>
                <c:pt idx="524">
                  <c:v>2456450.5706500001</c:v>
                </c:pt>
                <c:pt idx="525">
                  <c:v>2456455.1329899998</c:v>
                </c:pt>
                <c:pt idx="526">
                  <c:v>2456456.7911999999</c:v>
                </c:pt>
                <c:pt idx="527">
                  <c:v>2456457.7471500002</c:v>
                </c:pt>
                <c:pt idx="528">
                  <c:v>2456461.3875000002</c:v>
                </c:pt>
                <c:pt idx="529">
                  <c:v>2456463.3972499999</c:v>
                </c:pt>
                <c:pt idx="530">
                  <c:v>2456470.2711800002</c:v>
                </c:pt>
                <c:pt idx="531">
                  <c:v>2456472.7615700001</c:v>
                </c:pt>
                <c:pt idx="532">
                  <c:v>2456474.3785000001</c:v>
                </c:pt>
                <c:pt idx="533">
                  <c:v>2456476.3931</c:v>
                </c:pt>
                <c:pt idx="534">
                  <c:v>2456478.5699300002</c:v>
                </c:pt>
                <c:pt idx="535">
                  <c:v>2456479.6779700001</c:v>
                </c:pt>
                <c:pt idx="536">
                  <c:v>2456481.2417299999</c:v>
                </c:pt>
                <c:pt idx="537">
                  <c:v>2456483.2393899998</c:v>
                </c:pt>
                <c:pt idx="538">
                  <c:v>2456485.2290400001</c:v>
                </c:pt>
                <c:pt idx="539">
                  <c:v>2456487.22493</c:v>
                </c:pt>
                <c:pt idx="540">
                  <c:v>2456488.3638499998</c:v>
                </c:pt>
                <c:pt idx="541">
                  <c:v>2456490.21563</c:v>
                </c:pt>
                <c:pt idx="542">
                  <c:v>2456491.7259399998</c:v>
                </c:pt>
                <c:pt idx="543">
                  <c:v>2456497.2019000002</c:v>
                </c:pt>
                <c:pt idx="544">
                  <c:v>2456498.7205400001</c:v>
                </c:pt>
                <c:pt idx="545">
                  <c:v>2456500.5191299999</c:v>
                </c:pt>
                <c:pt idx="546">
                  <c:v>2456501.6804599999</c:v>
                </c:pt>
                <c:pt idx="547">
                  <c:v>2456503.6864700001</c:v>
                </c:pt>
                <c:pt idx="548">
                  <c:v>2456505.6850899998</c:v>
                </c:pt>
                <c:pt idx="549">
                  <c:v>2456506.71019</c:v>
                </c:pt>
                <c:pt idx="550">
                  <c:v>2456508.6887300001</c:v>
                </c:pt>
                <c:pt idx="551">
                  <c:v>2456511.65454</c:v>
                </c:pt>
                <c:pt idx="552">
                  <c:v>2456512.6929700002</c:v>
                </c:pt>
                <c:pt idx="553">
                  <c:v>2456515.6469800002</c:v>
                </c:pt>
                <c:pt idx="554">
                  <c:v>2456517.6676699999</c:v>
                </c:pt>
                <c:pt idx="555">
                  <c:v>2456519.16573</c:v>
                </c:pt>
                <c:pt idx="556">
                  <c:v>2456523.6385499998</c:v>
                </c:pt>
                <c:pt idx="557">
                  <c:v>2456525.14481</c:v>
                </c:pt>
                <c:pt idx="558">
                  <c:v>2456526.6391599998</c:v>
                </c:pt>
                <c:pt idx="559">
                  <c:v>2456529.1557100001</c:v>
                </c:pt>
                <c:pt idx="560">
                  <c:v>2456531.1453499999</c:v>
                </c:pt>
                <c:pt idx="561">
                  <c:v>2456533.1431399998</c:v>
                </c:pt>
                <c:pt idx="562">
                  <c:v>2456534.6345799998</c:v>
                </c:pt>
                <c:pt idx="563">
                  <c:v>2456535.63503</c:v>
                </c:pt>
                <c:pt idx="564">
                  <c:v>2456538.13797</c:v>
                </c:pt>
                <c:pt idx="565">
                  <c:v>2456539.6333400002</c:v>
                </c:pt>
                <c:pt idx="566">
                  <c:v>2456540.69575</c:v>
                </c:pt>
                <c:pt idx="567">
                  <c:v>2456542.6350799999</c:v>
                </c:pt>
                <c:pt idx="568">
                  <c:v>2456544.60396</c:v>
                </c:pt>
                <c:pt idx="569">
                  <c:v>2456546.1035600002</c:v>
                </c:pt>
                <c:pt idx="570">
                  <c:v>2456557.4156999998</c:v>
                </c:pt>
                <c:pt idx="571">
                  <c:v>2456566.5422100001</c:v>
                </c:pt>
                <c:pt idx="572">
                  <c:v>2456567.5425100001</c:v>
                </c:pt>
                <c:pt idx="573">
                  <c:v>2456569.54238</c:v>
                </c:pt>
                <c:pt idx="574">
                  <c:v>2456705.4254600001</c:v>
                </c:pt>
                <c:pt idx="575">
                  <c:v>2456706.9475699998</c:v>
                </c:pt>
                <c:pt idx="576">
                  <c:v>2456707.9489799999</c:v>
                </c:pt>
                <c:pt idx="577">
                  <c:v>2456710.9374199999</c:v>
                </c:pt>
                <c:pt idx="578">
                  <c:v>2456715.92484</c:v>
                </c:pt>
                <c:pt idx="579">
                  <c:v>2456723.9015299999</c:v>
                </c:pt>
                <c:pt idx="580">
                  <c:v>2456726.8817500002</c:v>
                </c:pt>
                <c:pt idx="581">
                  <c:v>2456751.24456</c:v>
                </c:pt>
                <c:pt idx="582">
                  <c:v>2456757.81036</c:v>
                </c:pt>
                <c:pt idx="583">
                  <c:v>2456759.8028699998</c:v>
                </c:pt>
                <c:pt idx="584">
                  <c:v>2456770.8189500002</c:v>
                </c:pt>
                <c:pt idx="585">
                  <c:v>2456782.2705999999</c:v>
                </c:pt>
                <c:pt idx="586">
                  <c:v>2456786.7056</c:v>
                </c:pt>
                <c:pt idx="587">
                  <c:v>2456796.7050800002</c:v>
                </c:pt>
                <c:pt idx="588">
                  <c:v>2456798.3234799998</c:v>
                </c:pt>
                <c:pt idx="589">
                  <c:v>2456800.8173799999</c:v>
                </c:pt>
                <c:pt idx="590">
                  <c:v>2456812.0200200002</c:v>
                </c:pt>
                <c:pt idx="591">
                  <c:v>2456844.5162999998</c:v>
                </c:pt>
                <c:pt idx="592">
                  <c:v>2456850.6269499999</c:v>
                </c:pt>
                <c:pt idx="593">
                  <c:v>2456856.85408</c:v>
                </c:pt>
                <c:pt idx="594">
                  <c:v>2456860.8435</c:v>
                </c:pt>
                <c:pt idx="595">
                  <c:v>2456863.1994500002</c:v>
                </c:pt>
                <c:pt idx="596">
                  <c:v>2456866.6866199998</c:v>
                </c:pt>
                <c:pt idx="597">
                  <c:v>2456868.5164999999</c:v>
                </c:pt>
                <c:pt idx="598">
                  <c:v>2456870.6727200001</c:v>
                </c:pt>
                <c:pt idx="599">
                  <c:v>2456872.6662499998</c:v>
                </c:pt>
                <c:pt idx="600">
                  <c:v>2456884.1391400001</c:v>
                </c:pt>
                <c:pt idx="601">
                  <c:v>2456891.6496899999</c:v>
                </c:pt>
                <c:pt idx="602">
                  <c:v>2456894.1111400002</c:v>
                </c:pt>
                <c:pt idx="603">
                  <c:v>2456895.60427</c:v>
                </c:pt>
                <c:pt idx="604">
                  <c:v>2456901.5888899998</c:v>
                </c:pt>
                <c:pt idx="605">
                  <c:v>2456904.8167599998</c:v>
                </c:pt>
                <c:pt idx="606">
                  <c:v>2456916.3129500002</c:v>
                </c:pt>
                <c:pt idx="607">
                  <c:v>2457061.94936</c:v>
                </c:pt>
                <c:pt idx="608">
                  <c:v>2457064.9540800001</c:v>
                </c:pt>
                <c:pt idx="609">
                  <c:v>2457065.9664500002</c:v>
                </c:pt>
                <c:pt idx="610">
                  <c:v>2457068.9301999998</c:v>
                </c:pt>
                <c:pt idx="611">
                  <c:v>2457090.8667899999</c:v>
                </c:pt>
                <c:pt idx="612">
                  <c:v>2457094.93487</c:v>
                </c:pt>
                <c:pt idx="613">
                  <c:v>2457098.8922000001</c:v>
                </c:pt>
                <c:pt idx="614">
                  <c:v>2457112.52782</c:v>
                </c:pt>
                <c:pt idx="615">
                  <c:v>2457114.3210499999</c:v>
                </c:pt>
                <c:pt idx="616">
                  <c:v>2457116.9210700002</c:v>
                </c:pt>
                <c:pt idx="617">
                  <c:v>2457157.7617299999</c:v>
                </c:pt>
                <c:pt idx="618">
                  <c:v>2457159.2082799999</c:v>
                </c:pt>
                <c:pt idx="619">
                  <c:v>2457163.2257599998</c:v>
                </c:pt>
                <c:pt idx="620">
                  <c:v>2457164.8844400002</c:v>
                </c:pt>
                <c:pt idx="621">
                  <c:v>2457170.1218900001</c:v>
                </c:pt>
                <c:pt idx="622">
                  <c:v>2457171.1345199998</c:v>
                </c:pt>
                <c:pt idx="623">
                  <c:v>2457186.0510200001</c:v>
                </c:pt>
                <c:pt idx="624">
                  <c:v>2457188.8330700002</c:v>
                </c:pt>
                <c:pt idx="625">
                  <c:v>2457201.1437300001</c:v>
                </c:pt>
                <c:pt idx="626">
                  <c:v>2457213.4049499999</c:v>
                </c:pt>
                <c:pt idx="627">
                  <c:v>2457214.05877</c:v>
                </c:pt>
                <c:pt idx="628">
                  <c:v>2457426.9570499999</c:v>
                </c:pt>
                <c:pt idx="629">
                  <c:v>2457446.5581200002</c:v>
                </c:pt>
                <c:pt idx="630">
                  <c:v>2457452.88106</c:v>
                </c:pt>
                <c:pt idx="631">
                  <c:v>2457454.8764</c:v>
                </c:pt>
                <c:pt idx="632">
                  <c:v>2457459.3603300001</c:v>
                </c:pt>
                <c:pt idx="633">
                  <c:v>2457471.8695200002</c:v>
                </c:pt>
                <c:pt idx="634">
                  <c:v>2457486.7845299998</c:v>
                </c:pt>
                <c:pt idx="635">
                  <c:v>2457489.7782100001</c:v>
                </c:pt>
                <c:pt idx="636">
                  <c:v>2457506.2721299999</c:v>
                </c:pt>
                <c:pt idx="637">
                  <c:v>2457540.88735</c:v>
                </c:pt>
                <c:pt idx="638">
                  <c:v>2457562.66555</c:v>
                </c:pt>
                <c:pt idx="639">
                  <c:v>2457573.3944000001</c:v>
                </c:pt>
                <c:pt idx="640">
                  <c:v>2457582.3977399999</c:v>
                </c:pt>
                <c:pt idx="641">
                  <c:v>2457651.3282499998</c:v>
                </c:pt>
                <c:pt idx="642">
                  <c:v>2457672.2871300001</c:v>
                </c:pt>
                <c:pt idx="643">
                  <c:v>2457784.9704100001</c:v>
                </c:pt>
                <c:pt idx="644">
                  <c:v>2457785.9789800001</c:v>
                </c:pt>
                <c:pt idx="645">
                  <c:v>2457895.4596199999</c:v>
                </c:pt>
                <c:pt idx="646">
                  <c:v>2457896.5148</c:v>
                </c:pt>
                <c:pt idx="647">
                  <c:v>2457904.28859</c:v>
                </c:pt>
                <c:pt idx="648">
                  <c:v>2457977.36858</c:v>
                </c:pt>
                <c:pt idx="649">
                  <c:v>2457977.3687700001</c:v>
                </c:pt>
                <c:pt idx="650">
                  <c:v>2457978.3511800002</c:v>
                </c:pt>
                <c:pt idx="651">
                  <c:v>2457978.3513799999</c:v>
                </c:pt>
                <c:pt idx="652">
                  <c:v>2457991.54734</c:v>
                </c:pt>
                <c:pt idx="653">
                  <c:v>2458007.5923199998</c:v>
                </c:pt>
                <c:pt idx="654">
                  <c:v>2458011.3083899999</c:v>
                </c:pt>
                <c:pt idx="655">
                  <c:v>2458011.5339000002</c:v>
                </c:pt>
                <c:pt idx="656">
                  <c:v>2458011.5368900001</c:v>
                </c:pt>
                <c:pt idx="657">
                  <c:v>2458011.5416299999</c:v>
                </c:pt>
                <c:pt idx="658">
                  <c:v>2458019.5233</c:v>
                </c:pt>
                <c:pt idx="659">
                  <c:v>2458045.4978999998</c:v>
                </c:pt>
                <c:pt idx="660">
                  <c:v>2458048.4728999999</c:v>
                </c:pt>
                <c:pt idx="661">
                  <c:v>2458206.9009500002</c:v>
                </c:pt>
                <c:pt idx="662">
                  <c:v>2458273.8817599998</c:v>
                </c:pt>
                <c:pt idx="663">
                  <c:v>2458316.6847000001</c:v>
                </c:pt>
                <c:pt idx="664">
                  <c:v>2458336.6686999998</c:v>
                </c:pt>
                <c:pt idx="665">
                  <c:v>2458375.5554999998</c:v>
                </c:pt>
                <c:pt idx="666">
                  <c:v>2458377.5888</c:v>
                </c:pt>
                <c:pt idx="667">
                  <c:v>2458408.2797599998</c:v>
                </c:pt>
                <c:pt idx="668">
                  <c:v>2458663.06837</c:v>
                </c:pt>
                <c:pt idx="669">
                  <c:v>2458663.06965</c:v>
                </c:pt>
                <c:pt idx="670">
                  <c:v>2458683.6691700001</c:v>
                </c:pt>
                <c:pt idx="671">
                  <c:v>2458684.6481599999</c:v>
                </c:pt>
                <c:pt idx="672">
                  <c:v>2458692.5565399998</c:v>
                </c:pt>
                <c:pt idx="673">
                  <c:v>2458693.6743000001</c:v>
                </c:pt>
                <c:pt idx="674">
                  <c:v>2458699.5880999998</c:v>
                </c:pt>
                <c:pt idx="675">
                  <c:v>2458701.6118000001</c:v>
                </c:pt>
                <c:pt idx="676">
                  <c:v>2458705.5541599998</c:v>
                </c:pt>
                <c:pt idx="677">
                  <c:v>2458726.5854000002</c:v>
                </c:pt>
                <c:pt idx="678">
                  <c:v>2458727.5306099998</c:v>
                </c:pt>
                <c:pt idx="679">
                  <c:v>2458728.577</c:v>
                </c:pt>
                <c:pt idx="680">
                  <c:v>2458734.5473099998</c:v>
                </c:pt>
                <c:pt idx="681">
                  <c:v>2458735.3253199998</c:v>
                </c:pt>
                <c:pt idx="682">
                  <c:v>2458735.5274800002</c:v>
                </c:pt>
                <c:pt idx="683">
                  <c:v>2458738.5251500001</c:v>
                </c:pt>
                <c:pt idx="684">
                  <c:v>2458757.5104</c:v>
                </c:pt>
                <c:pt idx="685">
                  <c:v>2458785.4722000002</c:v>
                </c:pt>
                <c:pt idx="686">
                  <c:v>2458882.9709100001</c:v>
                </c:pt>
                <c:pt idx="687">
                  <c:v>2458887.9748300002</c:v>
                </c:pt>
                <c:pt idx="688">
                  <c:v>2458888.9606300001</c:v>
                </c:pt>
                <c:pt idx="689">
                  <c:v>2458889.9779500002</c:v>
                </c:pt>
                <c:pt idx="690">
                  <c:v>2458895.9545100001</c:v>
                </c:pt>
                <c:pt idx="691">
                  <c:v>2458904.9652</c:v>
                </c:pt>
                <c:pt idx="692">
                  <c:v>2458921.9440199998</c:v>
                </c:pt>
                <c:pt idx="693">
                  <c:v>2458932.9206400001</c:v>
                </c:pt>
                <c:pt idx="694">
                  <c:v>2458967.91346</c:v>
                </c:pt>
                <c:pt idx="695">
                  <c:v>2458973.9127600002</c:v>
                </c:pt>
                <c:pt idx="696">
                  <c:v>2458974.9091599998</c:v>
                </c:pt>
                <c:pt idx="697">
                  <c:v>2458986.6228999998</c:v>
                </c:pt>
                <c:pt idx="698">
                  <c:v>2458990.9031099998</c:v>
                </c:pt>
                <c:pt idx="699">
                  <c:v>2459004.0649999999</c:v>
                </c:pt>
                <c:pt idx="700">
                  <c:v>2459004.3960000002</c:v>
                </c:pt>
                <c:pt idx="701">
                  <c:v>2459009.0520000001</c:v>
                </c:pt>
                <c:pt idx="702">
                  <c:v>2459010.2400000002</c:v>
                </c:pt>
                <c:pt idx="703">
                  <c:v>2459011.406</c:v>
                </c:pt>
                <c:pt idx="704">
                  <c:v>2459012.3760000002</c:v>
                </c:pt>
                <c:pt idx="705">
                  <c:v>2459019.05583</c:v>
                </c:pt>
                <c:pt idx="706">
                  <c:v>2459019.44625</c:v>
                </c:pt>
                <c:pt idx="707">
                  <c:v>2459020.0970000001</c:v>
                </c:pt>
                <c:pt idx="708">
                  <c:v>2459020.7250100002</c:v>
                </c:pt>
                <c:pt idx="709">
                  <c:v>2459021.5877200002</c:v>
                </c:pt>
                <c:pt idx="710">
                  <c:v>2459026.0929999999</c:v>
                </c:pt>
                <c:pt idx="711">
                  <c:v>2459030.0959999999</c:v>
                </c:pt>
                <c:pt idx="712">
                  <c:v>2459041.1320000002</c:v>
                </c:pt>
                <c:pt idx="713">
                  <c:v>2459052.3960000002</c:v>
                </c:pt>
                <c:pt idx="714">
                  <c:v>2459065.5765499999</c:v>
                </c:pt>
                <c:pt idx="715">
                  <c:v>2459069.4389999998</c:v>
                </c:pt>
                <c:pt idx="716">
                  <c:v>2459072.59424</c:v>
                </c:pt>
                <c:pt idx="717">
                  <c:v>2459072.5950000002</c:v>
                </c:pt>
                <c:pt idx="718">
                  <c:v>2459072.5957599999</c:v>
                </c:pt>
                <c:pt idx="719">
                  <c:v>2459072.5965200001</c:v>
                </c:pt>
                <c:pt idx="720">
                  <c:v>2459072.5972799999</c:v>
                </c:pt>
                <c:pt idx="721">
                  <c:v>2459072.5980500001</c:v>
                </c:pt>
                <c:pt idx="722">
                  <c:v>2459072.7555999998</c:v>
                </c:pt>
                <c:pt idx="723">
                  <c:v>2459078.67472</c:v>
                </c:pt>
                <c:pt idx="724">
                  <c:v>2459078.6754899998</c:v>
                </c:pt>
                <c:pt idx="725">
                  <c:v>2459078.67625</c:v>
                </c:pt>
                <c:pt idx="726">
                  <c:v>2459078.6770100002</c:v>
                </c:pt>
                <c:pt idx="727">
                  <c:v>2459078.6777599999</c:v>
                </c:pt>
                <c:pt idx="728">
                  <c:v>2459078.6785200001</c:v>
                </c:pt>
                <c:pt idx="729">
                  <c:v>2459078.6792799998</c:v>
                </c:pt>
                <c:pt idx="730">
                  <c:v>2459078.6800500001</c:v>
                </c:pt>
                <c:pt idx="731">
                  <c:v>2459078.6808099998</c:v>
                </c:pt>
                <c:pt idx="732">
                  <c:v>2459078.6815599999</c:v>
                </c:pt>
                <c:pt idx="733">
                  <c:v>2459078.6823</c:v>
                </c:pt>
                <c:pt idx="734">
                  <c:v>2459078.6830600002</c:v>
                </c:pt>
                <c:pt idx="735">
                  <c:v>2459078.68383</c:v>
                </c:pt>
                <c:pt idx="736">
                  <c:v>2459078.6845900002</c:v>
                </c:pt>
                <c:pt idx="737">
                  <c:v>2459078.6853399999</c:v>
                </c:pt>
                <c:pt idx="738">
                  <c:v>2459085.6483300002</c:v>
                </c:pt>
                <c:pt idx="739">
                  <c:v>2459085.6491</c:v>
                </c:pt>
                <c:pt idx="740">
                  <c:v>2459085.6498699998</c:v>
                </c:pt>
                <c:pt idx="741">
                  <c:v>2459085.65062</c:v>
                </c:pt>
                <c:pt idx="742">
                  <c:v>2459085.6513700001</c:v>
                </c:pt>
                <c:pt idx="743">
                  <c:v>2459085.6521299998</c:v>
                </c:pt>
                <c:pt idx="744">
                  <c:v>2459085.65289</c:v>
                </c:pt>
                <c:pt idx="745">
                  <c:v>2459085.6538300002</c:v>
                </c:pt>
                <c:pt idx="746">
                  <c:v>2459085.6546299998</c:v>
                </c:pt>
                <c:pt idx="747">
                  <c:v>2459085.6554</c:v>
                </c:pt>
                <c:pt idx="748">
                  <c:v>2459085.6561599998</c:v>
                </c:pt>
                <c:pt idx="749">
                  <c:v>2459085.6569400001</c:v>
                </c:pt>
                <c:pt idx="750">
                  <c:v>2459085.6576899998</c:v>
                </c:pt>
                <c:pt idx="751">
                  <c:v>2459085.6584600001</c:v>
                </c:pt>
                <c:pt idx="752">
                  <c:v>2459085.6592100002</c:v>
                </c:pt>
                <c:pt idx="753">
                  <c:v>2459095.3574799998</c:v>
                </c:pt>
                <c:pt idx="754">
                  <c:v>2459100.3569999998</c:v>
                </c:pt>
                <c:pt idx="755">
                  <c:v>2459111.5095799998</c:v>
                </c:pt>
                <c:pt idx="756">
                  <c:v>2459118.50178</c:v>
                </c:pt>
                <c:pt idx="757">
                  <c:v>2459156.47181</c:v>
                </c:pt>
                <c:pt idx="758">
                  <c:v>2459157.4719699998</c:v>
                </c:pt>
              </c:numCache>
            </c:numRef>
          </c:xVal>
          <c:yVal>
            <c:numRef>
              <c:f>V!$C$1:$C$1022</c:f>
              <c:numCache>
                <c:formatCode>General</c:formatCode>
                <c:ptCount val="1022"/>
                <c:pt idx="0">
                  <c:v>5.35</c:v>
                </c:pt>
                <c:pt idx="1">
                  <c:v>6.2050000000000001</c:v>
                </c:pt>
                <c:pt idx="2">
                  <c:v>6.81</c:v>
                </c:pt>
                <c:pt idx="3">
                  <c:v>7.2</c:v>
                </c:pt>
                <c:pt idx="4">
                  <c:v>7.54</c:v>
                </c:pt>
                <c:pt idx="5">
                  <c:v>7.66</c:v>
                </c:pt>
                <c:pt idx="6">
                  <c:v>11.06</c:v>
                </c:pt>
                <c:pt idx="7">
                  <c:v>11.14</c:v>
                </c:pt>
                <c:pt idx="8">
                  <c:v>11.38</c:v>
                </c:pt>
                <c:pt idx="9">
                  <c:v>11.21</c:v>
                </c:pt>
                <c:pt idx="10">
                  <c:v>11.19</c:v>
                </c:pt>
                <c:pt idx="11">
                  <c:v>11.31</c:v>
                </c:pt>
                <c:pt idx="12">
                  <c:v>11.04</c:v>
                </c:pt>
                <c:pt idx="13">
                  <c:v>11.3</c:v>
                </c:pt>
                <c:pt idx="14">
                  <c:v>10.76</c:v>
                </c:pt>
                <c:pt idx="15">
                  <c:v>10.686667</c:v>
                </c:pt>
                <c:pt idx="16">
                  <c:v>10.5</c:v>
                </c:pt>
                <c:pt idx="17">
                  <c:v>10.74</c:v>
                </c:pt>
                <c:pt idx="18">
                  <c:v>11.01</c:v>
                </c:pt>
                <c:pt idx="19">
                  <c:v>11.08</c:v>
                </c:pt>
                <c:pt idx="20">
                  <c:v>10.77</c:v>
                </c:pt>
                <c:pt idx="21">
                  <c:v>10.92</c:v>
                </c:pt>
                <c:pt idx="22">
                  <c:v>11.175000000000001</c:v>
                </c:pt>
                <c:pt idx="23">
                  <c:v>11.045</c:v>
                </c:pt>
                <c:pt idx="24">
                  <c:v>11.1</c:v>
                </c:pt>
                <c:pt idx="25">
                  <c:v>11.35</c:v>
                </c:pt>
                <c:pt idx="26">
                  <c:v>11.015000000000001</c:v>
                </c:pt>
                <c:pt idx="27">
                  <c:v>11.19</c:v>
                </c:pt>
                <c:pt idx="28">
                  <c:v>11</c:v>
                </c:pt>
                <c:pt idx="29">
                  <c:v>11.26</c:v>
                </c:pt>
                <c:pt idx="30">
                  <c:v>11.205</c:v>
                </c:pt>
                <c:pt idx="31">
                  <c:v>10.96</c:v>
                </c:pt>
                <c:pt idx="32">
                  <c:v>10.95</c:v>
                </c:pt>
                <c:pt idx="33">
                  <c:v>10.755000000000001</c:v>
                </c:pt>
                <c:pt idx="34">
                  <c:v>10.98</c:v>
                </c:pt>
                <c:pt idx="35">
                  <c:v>10.98</c:v>
                </c:pt>
                <c:pt idx="36">
                  <c:v>10.96</c:v>
                </c:pt>
                <c:pt idx="37">
                  <c:v>10.86</c:v>
                </c:pt>
                <c:pt idx="38">
                  <c:v>11.28</c:v>
                </c:pt>
                <c:pt idx="39">
                  <c:v>11.45</c:v>
                </c:pt>
                <c:pt idx="40">
                  <c:v>11.24</c:v>
                </c:pt>
                <c:pt idx="41">
                  <c:v>11.75</c:v>
                </c:pt>
                <c:pt idx="42">
                  <c:v>11.16</c:v>
                </c:pt>
                <c:pt idx="43">
                  <c:v>11.35</c:v>
                </c:pt>
                <c:pt idx="44">
                  <c:v>11.1</c:v>
                </c:pt>
                <c:pt idx="45">
                  <c:v>11.07</c:v>
                </c:pt>
                <c:pt idx="46">
                  <c:v>10.926667</c:v>
                </c:pt>
                <c:pt idx="47">
                  <c:v>11.22</c:v>
                </c:pt>
                <c:pt idx="48">
                  <c:v>11.21</c:v>
                </c:pt>
                <c:pt idx="49">
                  <c:v>11.34</c:v>
                </c:pt>
                <c:pt idx="50">
                  <c:v>11.065</c:v>
                </c:pt>
                <c:pt idx="51">
                  <c:v>11.2</c:v>
                </c:pt>
                <c:pt idx="52">
                  <c:v>11.14</c:v>
                </c:pt>
                <c:pt idx="53">
                  <c:v>11.6</c:v>
                </c:pt>
                <c:pt idx="54">
                  <c:v>11.463333</c:v>
                </c:pt>
                <c:pt idx="55">
                  <c:v>11.3</c:v>
                </c:pt>
                <c:pt idx="56">
                  <c:v>11.3</c:v>
                </c:pt>
                <c:pt idx="57">
                  <c:v>10.88</c:v>
                </c:pt>
                <c:pt idx="58">
                  <c:v>10.82</c:v>
                </c:pt>
                <c:pt idx="59">
                  <c:v>10.826667</c:v>
                </c:pt>
                <c:pt idx="60">
                  <c:v>11.156667000000001</c:v>
                </c:pt>
                <c:pt idx="61">
                  <c:v>10.65</c:v>
                </c:pt>
                <c:pt idx="62">
                  <c:v>10.51</c:v>
                </c:pt>
                <c:pt idx="63">
                  <c:v>10.54</c:v>
                </c:pt>
                <c:pt idx="64">
                  <c:v>10.47</c:v>
                </c:pt>
                <c:pt idx="65">
                  <c:v>10.725</c:v>
                </c:pt>
                <c:pt idx="66">
                  <c:v>10.76</c:v>
                </c:pt>
                <c:pt idx="67">
                  <c:v>10.51</c:v>
                </c:pt>
                <c:pt idx="68">
                  <c:v>10.57</c:v>
                </c:pt>
                <c:pt idx="69">
                  <c:v>10.6</c:v>
                </c:pt>
                <c:pt idx="70">
                  <c:v>10.38</c:v>
                </c:pt>
                <c:pt idx="71">
                  <c:v>10.38</c:v>
                </c:pt>
                <c:pt idx="72">
                  <c:v>10.55</c:v>
                </c:pt>
                <c:pt idx="73">
                  <c:v>10.199999999999999</c:v>
                </c:pt>
                <c:pt idx="74">
                  <c:v>10.45</c:v>
                </c:pt>
                <c:pt idx="75">
                  <c:v>10.36</c:v>
                </c:pt>
                <c:pt idx="76">
                  <c:v>10.199999999999999</c:v>
                </c:pt>
                <c:pt idx="77">
                  <c:v>10.52</c:v>
                </c:pt>
                <c:pt idx="78">
                  <c:v>10.65</c:v>
                </c:pt>
                <c:pt idx="79">
                  <c:v>10.42</c:v>
                </c:pt>
                <c:pt idx="80">
                  <c:v>10.65</c:v>
                </c:pt>
                <c:pt idx="81">
                  <c:v>10.38</c:v>
                </c:pt>
                <c:pt idx="82">
                  <c:v>10.48</c:v>
                </c:pt>
                <c:pt idx="83">
                  <c:v>10.545</c:v>
                </c:pt>
                <c:pt idx="84">
                  <c:v>10.46</c:v>
                </c:pt>
                <c:pt idx="85">
                  <c:v>10.605</c:v>
                </c:pt>
                <c:pt idx="86">
                  <c:v>10.61</c:v>
                </c:pt>
                <c:pt idx="87">
                  <c:v>10.86</c:v>
                </c:pt>
                <c:pt idx="88">
                  <c:v>10.9</c:v>
                </c:pt>
                <c:pt idx="89">
                  <c:v>10.91</c:v>
                </c:pt>
                <c:pt idx="90">
                  <c:v>11.09</c:v>
                </c:pt>
                <c:pt idx="91">
                  <c:v>11.33</c:v>
                </c:pt>
                <c:pt idx="92">
                  <c:v>11.24</c:v>
                </c:pt>
                <c:pt idx="93">
                  <c:v>11.23</c:v>
                </c:pt>
                <c:pt idx="94">
                  <c:v>11.33</c:v>
                </c:pt>
                <c:pt idx="95">
                  <c:v>11.09</c:v>
                </c:pt>
                <c:pt idx="96">
                  <c:v>11.02</c:v>
                </c:pt>
                <c:pt idx="97">
                  <c:v>10.89</c:v>
                </c:pt>
                <c:pt idx="98">
                  <c:v>10.76</c:v>
                </c:pt>
                <c:pt idx="99">
                  <c:v>10.8</c:v>
                </c:pt>
                <c:pt idx="100">
                  <c:v>11.29</c:v>
                </c:pt>
                <c:pt idx="101">
                  <c:v>10.98</c:v>
                </c:pt>
                <c:pt idx="102">
                  <c:v>4.9673109999999996</c:v>
                </c:pt>
                <c:pt idx="103">
                  <c:v>5.5275559999999997</c:v>
                </c:pt>
                <c:pt idx="104">
                  <c:v>6.2402160000000002</c:v>
                </c:pt>
                <c:pt idx="105">
                  <c:v>7.2450000000000001</c:v>
                </c:pt>
                <c:pt idx="106">
                  <c:v>7.3949999999999996</c:v>
                </c:pt>
                <c:pt idx="107">
                  <c:v>7.66</c:v>
                </c:pt>
                <c:pt idx="108">
                  <c:v>7.7249999999999996</c:v>
                </c:pt>
                <c:pt idx="109">
                  <c:v>7.78</c:v>
                </c:pt>
                <c:pt idx="110">
                  <c:v>7.9233330000000004</c:v>
                </c:pt>
                <c:pt idx="111">
                  <c:v>8.0218330000000009</c:v>
                </c:pt>
                <c:pt idx="112">
                  <c:v>8.23</c:v>
                </c:pt>
                <c:pt idx="113">
                  <c:v>8.35</c:v>
                </c:pt>
                <c:pt idx="114">
                  <c:v>8.3887110000000007</c:v>
                </c:pt>
                <c:pt idx="115">
                  <c:v>8.42</c:v>
                </c:pt>
                <c:pt idx="116">
                  <c:v>8.4875000000000007</c:v>
                </c:pt>
                <c:pt idx="117">
                  <c:v>8.66</c:v>
                </c:pt>
                <c:pt idx="118">
                  <c:v>9.1</c:v>
                </c:pt>
                <c:pt idx="119">
                  <c:v>9.1859999999999999</c:v>
                </c:pt>
                <c:pt idx="120">
                  <c:v>9.2100000000000009</c:v>
                </c:pt>
                <c:pt idx="121">
                  <c:v>9.4499999999999993</c:v>
                </c:pt>
                <c:pt idx="122">
                  <c:v>9.6</c:v>
                </c:pt>
                <c:pt idx="123">
                  <c:v>9.6999999999999993</c:v>
                </c:pt>
                <c:pt idx="124">
                  <c:v>9.77</c:v>
                </c:pt>
                <c:pt idx="125">
                  <c:v>9.9</c:v>
                </c:pt>
                <c:pt idx="126">
                  <c:v>9.9</c:v>
                </c:pt>
                <c:pt idx="127">
                  <c:v>10</c:v>
                </c:pt>
                <c:pt idx="128">
                  <c:v>10</c:v>
                </c:pt>
                <c:pt idx="129">
                  <c:v>9.8800000000000008</c:v>
                </c:pt>
                <c:pt idx="130">
                  <c:v>10</c:v>
                </c:pt>
                <c:pt idx="131">
                  <c:v>10.029999999999999</c:v>
                </c:pt>
                <c:pt idx="132">
                  <c:v>10.1</c:v>
                </c:pt>
                <c:pt idx="133">
                  <c:v>10.055</c:v>
                </c:pt>
                <c:pt idx="134">
                  <c:v>10.1</c:v>
                </c:pt>
                <c:pt idx="135">
                  <c:v>10.1</c:v>
                </c:pt>
                <c:pt idx="136">
                  <c:v>10.199999999999999</c:v>
                </c:pt>
                <c:pt idx="137">
                  <c:v>10.244999999999999</c:v>
                </c:pt>
                <c:pt idx="138">
                  <c:v>10.35</c:v>
                </c:pt>
                <c:pt idx="139">
                  <c:v>10.3</c:v>
                </c:pt>
                <c:pt idx="140">
                  <c:v>10.404999999999999</c:v>
                </c:pt>
                <c:pt idx="141">
                  <c:v>10.5</c:v>
                </c:pt>
                <c:pt idx="142">
                  <c:v>10.59</c:v>
                </c:pt>
                <c:pt idx="143">
                  <c:v>10.6</c:v>
                </c:pt>
                <c:pt idx="144">
                  <c:v>10.7</c:v>
                </c:pt>
                <c:pt idx="145">
                  <c:v>11.1</c:v>
                </c:pt>
                <c:pt idx="146">
                  <c:v>11.2</c:v>
                </c:pt>
                <c:pt idx="147">
                  <c:v>11.2</c:v>
                </c:pt>
                <c:pt idx="148">
                  <c:v>11.27</c:v>
                </c:pt>
                <c:pt idx="149">
                  <c:v>11.333333</c:v>
                </c:pt>
                <c:pt idx="150">
                  <c:v>11.4</c:v>
                </c:pt>
                <c:pt idx="151">
                  <c:v>11.47</c:v>
                </c:pt>
                <c:pt idx="152">
                  <c:v>11.55</c:v>
                </c:pt>
                <c:pt idx="153">
                  <c:v>11.6</c:v>
                </c:pt>
                <c:pt idx="154">
                  <c:v>11.6</c:v>
                </c:pt>
                <c:pt idx="155">
                  <c:v>11.55</c:v>
                </c:pt>
                <c:pt idx="156">
                  <c:v>11.5</c:v>
                </c:pt>
                <c:pt idx="157">
                  <c:v>11.48</c:v>
                </c:pt>
                <c:pt idx="158">
                  <c:v>11.5</c:v>
                </c:pt>
                <c:pt idx="159">
                  <c:v>11.5</c:v>
                </c:pt>
                <c:pt idx="160">
                  <c:v>11.54</c:v>
                </c:pt>
                <c:pt idx="161">
                  <c:v>11.6</c:v>
                </c:pt>
                <c:pt idx="162">
                  <c:v>11.7</c:v>
                </c:pt>
                <c:pt idx="163">
                  <c:v>11.94</c:v>
                </c:pt>
                <c:pt idx="164">
                  <c:v>11.965</c:v>
                </c:pt>
                <c:pt idx="165">
                  <c:v>11.95</c:v>
                </c:pt>
                <c:pt idx="166">
                  <c:v>12</c:v>
                </c:pt>
                <c:pt idx="167">
                  <c:v>11.99</c:v>
                </c:pt>
                <c:pt idx="168">
                  <c:v>11.8</c:v>
                </c:pt>
                <c:pt idx="169">
                  <c:v>11.8</c:v>
                </c:pt>
                <c:pt idx="170">
                  <c:v>11.8</c:v>
                </c:pt>
                <c:pt idx="171">
                  <c:v>11.8</c:v>
                </c:pt>
                <c:pt idx="172">
                  <c:v>11.885</c:v>
                </c:pt>
                <c:pt idx="173">
                  <c:v>11.88</c:v>
                </c:pt>
                <c:pt idx="174">
                  <c:v>11.9</c:v>
                </c:pt>
                <c:pt idx="175">
                  <c:v>12</c:v>
                </c:pt>
                <c:pt idx="176">
                  <c:v>12.0875</c:v>
                </c:pt>
                <c:pt idx="177">
                  <c:v>11.862500000000001</c:v>
                </c:pt>
                <c:pt idx="178">
                  <c:v>11.545</c:v>
                </c:pt>
                <c:pt idx="179">
                  <c:v>11.6</c:v>
                </c:pt>
                <c:pt idx="180">
                  <c:v>11.54</c:v>
                </c:pt>
                <c:pt idx="181">
                  <c:v>11.6</c:v>
                </c:pt>
                <c:pt idx="182">
                  <c:v>11.65</c:v>
                </c:pt>
                <c:pt idx="183">
                  <c:v>11.5</c:v>
                </c:pt>
                <c:pt idx="184">
                  <c:v>11.6</c:v>
                </c:pt>
                <c:pt idx="185">
                  <c:v>11.5</c:v>
                </c:pt>
                <c:pt idx="186">
                  <c:v>11.5</c:v>
                </c:pt>
                <c:pt idx="187">
                  <c:v>11.6</c:v>
                </c:pt>
                <c:pt idx="188">
                  <c:v>11.71</c:v>
                </c:pt>
                <c:pt idx="189">
                  <c:v>11.727581000000001</c:v>
                </c:pt>
                <c:pt idx="190">
                  <c:v>11.780628999999999</c:v>
                </c:pt>
                <c:pt idx="191">
                  <c:v>11.783766</c:v>
                </c:pt>
                <c:pt idx="192">
                  <c:v>11.832312</c:v>
                </c:pt>
                <c:pt idx="193">
                  <c:v>11.897347999999999</c:v>
                </c:pt>
                <c:pt idx="194">
                  <c:v>12.112444</c:v>
                </c:pt>
                <c:pt idx="195">
                  <c:v>12.192</c:v>
                </c:pt>
                <c:pt idx="196">
                  <c:v>12.152513000000001</c:v>
                </c:pt>
                <c:pt idx="197">
                  <c:v>12.019333</c:v>
                </c:pt>
                <c:pt idx="198">
                  <c:v>11.963611999999999</c:v>
                </c:pt>
                <c:pt idx="199">
                  <c:v>11.831951</c:v>
                </c:pt>
                <c:pt idx="200">
                  <c:v>11.696320999999999</c:v>
                </c:pt>
                <c:pt idx="201">
                  <c:v>11.593832000000001</c:v>
                </c:pt>
                <c:pt idx="202">
                  <c:v>11.487176</c:v>
                </c:pt>
                <c:pt idx="203">
                  <c:v>11.456965</c:v>
                </c:pt>
                <c:pt idx="204">
                  <c:v>11.448</c:v>
                </c:pt>
                <c:pt idx="205">
                  <c:v>11.443185</c:v>
                </c:pt>
                <c:pt idx="206">
                  <c:v>11.445584999999999</c:v>
                </c:pt>
                <c:pt idx="207">
                  <c:v>11.466804</c:v>
                </c:pt>
                <c:pt idx="208">
                  <c:v>11.4315</c:v>
                </c:pt>
                <c:pt idx="209">
                  <c:v>11.458278</c:v>
                </c:pt>
                <c:pt idx="210">
                  <c:v>11.484477999999999</c:v>
                </c:pt>
                <c:pt idx="211">
                  <c:v>11.503333</c:v>
                </c:pt>
                <c:pt idx="212">
                  <c:v>11.5</c:v>
                </c:pt>
                <c:pt idx="213">
                  <c:v>11.594522</c:v>
                </c:pt>
                <c:pt idx="214">
                  <c:v>11.634258000000001</c:v>
                </c:pt>
                <c:pt idx="215">
                  <c:v>11.5966</c:v>
                </c:pt>
                <c:pt idx="216">
                  <c:v>11.612727</c:v>
                </c:pt>
                <c:pt idx="217">
                  <c:v>11.6135</c:v>
                </c:pt>
                <c:pt idx="218">
                  <c:v>11.55</c:v>
                </c:pt>
                <c:pt idx="219">
                  <c:v>11.4</c:v>
                </c:pt>
                <c:pt idx="220">
                  <c:v>11.6</c:v>
                </c:pt>
                <c:pt idx="221">
                  <c:v>11.75</c:v>
                </c:pt>
                <c:pt idx="222">
                  <c:v>11.654999999999999</c:v>
                </c:pt>
                <c:pt idx="223">
                  <c:v>11.66</c:v>
                </c:pt>
                <c:pt idx="224">
                  <c:v>11.2</c:v>
                </c:pt>
                <c:pt idx="225">
                  <c:v>11.27</c:v>
                </c:pt>
                <c:pt idx="226">
                  <c:v>11.18</c:v>
                </c:pt>
                <c:pt idx="227">
                  <c:v>11.34</c:v>
                </c:pt>
                <c:pt idx="228">
                  <c:v>11.22</c:v>
                </c:pt>
                <c:pt idx="229">
                  <c:v>11.45</c:v>
                </c:pt>
                <c:pt idx="230">
                  <c:v>11.35</c:v>
                </c:pt>
                <c:pt idx="231">
                  <c:v>11.395</c:v>
                </c:pt>
                <c:pt idx="232">
                  <c:v>11.49</c:v>
                </c:pt>
                <c:pt idx="233">
                  <c:v>11.404999999999999</c:v>
                </c:pt>
                <c:pt idx="234">
                  <c:v>11.31</c:v>
                </c:pt>
                <c:pt idx="235">
                  <c:v>11.62</c:v>
                </c:pt>
                <c:pt idx="236">
                  <c:v>11.58</c:v>
                </c:pt>
                <c:pt idx="237">
                  <c:v>11.57</c:v>
                </c:pt>
                <c:pt idx="238">
                  <c:v>11.41</c:v>
                </c:pt>
                <c:pt idx="239">
                  <c:v>11.385</c:v>
                </c:pt>
                <c:pt idx="240">
                  <c:v>11.19</c:v>
                </c:pt>
                <c:pt idx="241">
                  <c:v>11.01</c:v>
                </c:pt>
                <c:pt idx="242">
                  <c:v>11.2</c:v>
                </c:pt>
                <c:pt idx="243">
                  <c:v>11.19</c:v>
                </c:pt>
                <c:pt idx="244">
                  <c:v>11.19</c:v>
                </c:pt>
                <c:pt idx="245">
                  <c:v>11.015000000000001</c:v>
                </c:pt>
                <c:pt idx="246">
                  <c:v>11.185</c:v>
                </c:pt>
                <c:pt idx="247">
                  <c:v>11.125</c:v>
                </c:pt>
                <c:pt idx="248">
                  <c:v>11.04</c:v>
                </c:pt>
                <c:pt idx="249">
                  <c:v>11.02</c:v>
                </c:pt>
                <c:pt idx="250">
                  <c:v>10.98</c:v>
                </c:pt>
                <c:pt idx="251">
                  <c:v>11.05</c:v>
                </c:pt>
                <c:pt idx="252">
                  <c:v>10.975</c:v>
                </c:pt>
                <c:pt idx="253">
                  <c:v>11</c:v>
                </c:pt>
                <c:pt idx="254">
                  <c:v>10.914999999999999</c:v>
                </c:pt>
                <c:pt idx="255">
                  <c:v>10.865</c:v>
                </c:pt>
                <c:pt idx="256">
                  <c:v>11.145</c:v>
                </c:pt>
                <c:pt idx="257">
                  <c:v>10.89</c:v>
                </c:pt>
                <c:pt idx="258">
                  <c:v>10.88</c:v>
                </c:pt>
                <c:pt idx="259">
                  <c:v>10.93</c:v>
                </c:pt>
                <c:pt idx="260">
                  <c:v>10.76</c:v>
                </c:pt>
                <c:pt idx="261">
                  <c:v>10.7</c:v>
                </c:pt>
                <c:pt idx="262">
                  <c:v>10.8</c:v>
                </c:pt>
                <c:pt idx="263">
                  <c:v>11.31</c:v>
                </c:pt>
                <c:pt idx="264">
                  <c:v>11.1</c:v>
                </c:pt>
                <c:pt idx="265">
                  <c:v>10.86</c:v>
                </c:pt>
                <c:pt idx="266">
                  <c:v>11</c:v>
                </c:pt>
                <c:pt idx="267">
                  <c:v>10.67</c:v>
                </c:pt>
                <c:pt idx="268">
                  <c:v>10.52</c:v>
                </c:pt>
                <c:pt idx="269">
                  <c:v>10.81</c:v>
                </c:pt>
                <c:pt idx="270">
                  <c:v>10.87</c:v>
                </c:pt>
                <c:pt idx="271">
                  <c:v>10.484999999999999</c:v>
                </c:pt>
                <c:pt idx="272">
                  <c:v>10.81</c:v>
                </c:pt>
                <c:pt idx="273">
                  <c:v>11.2</c:v>
                </c:pt>
                <c:pt idx="274">
                  <c:v>10.76</c:v>
                </c:pt>
                <c:pt idx="275">
                  <c:v>10.7</c:v>
                </c:pt>
                <c:pt idx="276">
                  <c:v>10.74</c:v>
                </c:pt>
                <c:pt idx="277">
                  <c:v>11</c:v>
                </c:pt>
                <c:pt idx="278">
                  <c:v>10.99</c:v>
                </c:pt>
                <c:pt idx="279">
                  <c:v>11.38</c:v>
                </c:pt>
                <c:pt idx="280">
                  <c:v>11.28</c:v>
                </c:pt>
                <c:pt idx="281">
                  <c:v>11.02</c:v>
                </c:pt>
                <c:pt idx="282">
                  <c:v>11.62</c:v>
                </c:pt>
                <c:pt idx="283">
                  <c:v>11.55</c:v>
                </c:pt>
                <c:pt idx="284">
                  <c:v>11.8</c:v>
                </c:pt>
                <c:pt idx="285">
                  <c:v>11.2</c:v>
                </c:pt>
                <c:pt idx="286">
                  <c:v>10.98</c:v>
                </c:pt>
                <c:pt idx="287">
                  <c:v>11.34</c:v>
                </c:pt>
                <c:pt idx="288">
                  <c:v>10.7</c:v>
                </c:pt>
                <c:pt idx="289">
                  <c:v>11.2</c:v>
                </c:pt>
                <c:pt idx="290">
                  <c:v>10.91</c:v>
                </c:pt>
                <c:pt idx="291">
                  <c:v>10.93</c:v>
                </c:pt>
                <c:pt idx="292">
                  <c:v>11.2</c:v>
                </c:pt>
                <c:pt idx="293">
                  <c:v>11</c:v>
                </c:pt>
                <c:pt idx="294">
                  <c:v>10.85</c:v>
                </c:pt>
                <c:pt idx="295">
                  <c:v>10.95</c:v>
                </c:pt>
                <c:pt idx="296">
                  <c:v>10.84</c:v>
                </c:pt>
                <c:pt idx="297">
                  <c:v>10.62</c:v>
                </c:pt>
                <c:pt idx="298">
                  <c:v>10.78</c:v>
                </c:pt>
                <c:pt idx="299">
                  <c:v>10.96</c:v>
                </c:pt>
                <c:pt idx="300">
                  <c:v>10.856</c:v>
                </c:pt>
                <c:pt idx="301">
                  <c:v>11.01</c:v>
                </c:pt>
                <c:pt idx="302">
                  <c:v>10.73</c:v>
                </c:pt>
                <c:pt idx="303">
                  <c:v>10.74</c:v>
                </c:pt>
                <c:pt idx="304">
                  <c:v>10.641</c:v>
                </c:pt>
                <c:pt idx="305">
                  <c:v>10.82</c:v>
                </c:pt>
                <c:pt idx="306">
                  <c:v>11.071</c:v>
                </c:pt>
                <c:pt idx="307">
                  <c:v>10.8005</c:v>
                </c:pt>
                <c:pt idx="308">
                  <c:v>10.56</c:v>
                </c:pt>
                <c:pt idx="309">
                  <c:v>10.62</c:v>
                </c:pt>
                <c:pt idx="310">
                  <c:v>10.4855</c:v>
                </c:pt>
                <c:pt idx="311">
                  <c:v>10.593999999999999</c:v>
                </c:pt>
                <c:pt idx="312">
                  <c:v>10.4825</c:v>
                </c:pt>
                <c:pt idx="313">
                  <c:v>10.387</c:v>
                </c:pt>
                <c:pt idx="314">
                  <c:v>10.204000000000001</c:v>
                </c:pt>
                <c:pt idx="315">
                  <c:v>10.502000000000001</c:v>
                </c:pt>
                <c:pt idx="316">
                  <c:v>10.608000000000001</c:v>
                </c:pt>
                <c:pt idx="317">
                  <c:v>10.81</c:v>
                </c:pt>
                <c:pt idx="318">
                  <c:v>10.4755</c:v>
                </c:pt>
                <c:pt idx="319">
                  <c:v>10.596</c:v>
                </c:pt>
                <c:pt idx="320">
                  <c:v>10.635999999999999</c:v>
                </c:pt>
                <c:pt idx="321">
                  <c:v>10.698499999999999</c:v>
                </c:pt>
                <c:pt idx="322">
                  <c:v>10.516</c:v>
                </c:pt>
                <c:pt idx="323">
                  <c:v>10.82</c:v>
                </c:pt>
                <c:pt idx="324">
                  <c:v>11</c:v>
                </c:pt>
                <c:pt idx="325">
                  <c:v>10.72</c:v>
                </c:pt>
                <c:pt idx="326">
                  <c:v>11</c:v>
                </c:pt>
                <c:pt idx="327">
                  <c:v>10.65</c:v>
                </c:pt>
                <c:pt idx="328">
                  <c:v>10.599</c:v>
                </c:pt>
                <c:pt idx="329">
                  <c:v>10.96</c:v>
                </c:pt>
                <c:pt idx="330">
                  <c:v>10.766</c:v>
                </c:pt>
                <c:pt idx="331">
                  <c:v>10.61</c:v>
                </c:pt>
                <c:pt idx="332">
                  <c:v>10.79</c:v>
                </c:pt>
                <c:pt idx="333">
                  <c:v>10.47</c:v>
                </c:pt>
                <c:pt idx="334">
                  <c:v>10.67</c:v>
                </c:pt>
                <c:pt idx="335">
                  <c:v>10.82</c:v>
                </c:pt>
                <c:pt idx="336">
                  <c:v>10.959</c:v>
                </c:pt>
                <c:pt idx="337">
                  <c:v>10.888</c:v>
                </c:pt>
                <c:pt idx="338">
                  <c:v>10.581</c:v>
                </c:pt>
                <c:pt idx="339">
                  <c:v>10.97</c:v>
                </c:pt>
                <c:pt idx="340">
                  <c:v>10.67</c:v>
                </c:pt>
                <c:pt idx="341">
                  <c:v>10.59</c:v>
                </c:pt>
                <c:pt idx="342">
                  <c:v>10.78</c:v>
                </c:pt>
                <c:pt idx="343">
                  <c:v>10.804</c:v>
                </c:pt>
                <c:pt idx="344">
                  <c:v>10.84</c:v>
                </c:pt>
                <c:pt idx="345">
                  <c:v>10.68</c:v>
                </c:pt>
                <c:pt idx="346">
                  <c:v>10.86</c:v>
                </c:pt>
                <c:pt idx="347">
                  <c:v>10.94</c:v>
                </c:pt>
                <c:pt idx="348">
                  <c:v>10.8185</c:v>
                </c:pt>
                <c:pt idx="349">
                  <c:v>10.692</c:v>
                </c:pt>
                <c:pt idx="350">
                  <c:v>10.847</c:v>
                </c:pt>
                <c:pt idx="351">
                  <c:v>10.818</c:v>
                </c:pt>
                <c:pt idx="352">
                  <c:v>11.1655</c:v>
                </c:pt>
                <c:pt idx="353">
                  <c:v>11.122</c:v>
                </c:pt>
                <c:pt idx="354">
                  <c:v>11.116</c:v>
                </c:pt>
                <c:pt idx="355">
                  <c:v>11.022</c:v>
                </c:pt>
                <c:pt idx="356">
                  <c:v>10.823</c:v>
                </c:pt>
                <c:pt idx="357">
                  <c:v>10.871</c:v>
                </c:pt>
                <c:pt idx="358">
                  <c:v>10.964</c:v>
                </c:pt>
                <c:pt idx="359">
                  <c:v>10.686999999999999</c:v>
                </c:pt>
                <c:pt idx="360">
                  <c:v>10.882</c:v>
                </c:pt>
                <c:pt idx="361">
                  <c:v>10.878</c:v>
                </c:pt>
                <c:pt idx="362">
                  <c:v>10.803000000000001</c:v>
                </c:pt>
                <c:pt idx="363">
                  <c:v>10.629</c:v>
                </c:pt>
                <c:pt idx="364">
                  <c:v>10.603</c:v>
                </c:pt>
                <c:pt idx="365">
                  <c:v>10.743</c:v>
                </c:pt>
                <c:pt idx="366">
                  <c:v>10.69</c:v>
                </c:pt>
                <c:pt idx="367">
                  <c:v>10.888</c:v>
                </c:pt>
                <c:pt idx="368">
                  <c:v>10.922000000000001</c:v>
                </c:pt>
                <c:pt idx="369">
                  <c:v>11.048</c:v>
                </c:pt>
                <c:pt idx="370">
                  <c:v>10.724</c:v>
                </c:pt>
                <c:pt idx="371">
                  <c:v>11.109</c:v>
                </c:pt>
                <c:pt idx="372">
                  <c:v>10.8</c:v>
                </c:pt>
                <c:pt idx="373">
                  <c:v>11.4</c:v>
                </c:pt>
                <c:pt idx="374">
                  <c:v>11.255000000000001</c:v>
                </c:pt>
                <c:pt idx="375">
                  <c:v>11.486000000000001</c:v>
                </c:pt>
                <c:pt idx="376">
                  <c:v>11.271000000000001</c:v>
                </c:pt>
                <c:pt idx="377">
                  <c:v>10.9955</c:v>
                </c:pt>
                <c:pt idx="378">
                  <c:v>11.015499999999999</c:v>
                </c:pt>
                <c:pt idx="379">
                  <c:v>11.17</c:v>
                </c:pt>
                <c:pt idx="380">
                  <c:v>10.933999999999999</c:v>
                </c:pt>
                <c:pt idx="381">
                  <c:v>11.1</c:v>
                </c:pt>
                <c:pt idx="382">
                  <c:v>10.789</c:v>
                </c:pt>
                <c:pt idx="383">
                  <c:v>11.066750000000001</c:v>
                </c:pt>
                <c:pt idx="384">
                  <c:v>11.0145</c:v>
                </c:pt>
                <c:pt idx="385">
                  <c:v>11.172333</c:v>
                </c:pt>
                <c:pt idx="386">
                  <c:v>10.96</c:v>
                </c:pt>
                <c:pt idx="387">
                  <c:v>10.867667000000001</c:v>
                </c:pt>
                <c:pt idx="388">
                  <c:v>11.172833000000001</c:v>
                </c:pt>
                <c:pt idx="389">
                  <c:v>11.065666999999999</c:v>
                </c:pt>
                <c:pt idx="390">
                  <c:v>10.947333</c:v>
                </c:pt>
                <c:pt idx="391">
                  <c:v>11.154999999999999</c:v>
                </c:pt>
                <c:pt idx="392">
                  <c:v>11.120333</c:v>
                </c:pt>
                <c:pt idx="393">
                  <c:v>11.388999999999999</c:v>
                </c:pt>
                <c:pt idx="394">
                  <c:v>11.180332999999999</c:v>
                </c:pt>
                <c:pt idx="395">
                  <c:v>11.320667</c:v>
                </c:pt>
                <c:pt idx="396">
                  <c:v>10.936166999999999</c:v>
                </c:pt>
                <c:pt idx="397">
                  <c:v>10.890667000000001</c:v>
                </c:pt>
                <c:pt idx="398">
                  <c:v>10.86425</c:v>
                </c:pt>
                <c:pt idx="399">
                  <c:v>10.892666999999999</c:v>
                </c:pt>
                <c:pt idx="400">
                  <c:v>10.725667</c:v>
                </c:pt>
                <c:pt idx="401">
                  <c:v>10.742667000000001</c:v>
                </c:pt>
                <c:pt idx="402">
                  <c:v>11.153</c:v>
                </c:pt>
                <c:pt idx="403">
                  <c:v>10.85</c:v>
                </c:pt>
                <c:pt idx="404">
                  <c:v>11.32</c:v>
                </c:pt>
                <c:pt idx="405">
                  <c:v>11.404999999999999</c:v>
                </c:pt>
                <c:pt idx="406">
                  <c:v>11.58</c:v>
                </c:pt>
                <c:pt idx="407">
                  <c:v>11.635</c:v>
                </c:pt>
                <c:pt idx="408">
                  <c:v>11.212999999999999</c:v>
                </c:pt>
                <c:pt idx="409">
                  <c:v>11.381</c:v>
                </c:pt>
                <c:pt idx="410">
                  <c:v>11.69</c:v>
                </c:pt>
                <c:pt idx="411">
                  <c:v>11.535</c:v>
                </c:pt>
                <c:pt idx="412">
                  <c:v>11.22</c:v>
                </c:pt>
                <c:pt idx="413">
                  <c:v>11.157</c:v>
                </c:pt>
                <c:pt idx="414">
                  <c:v>11.249000000000001</c:v>
                </c:pt>
                <c:pt idx="415">
                  <c:v>11.141500000000001</c:v>
                </c:pt>
                <c:pt idx="416">
                  <c:v>11.27</c:v>
                </c:pt>
                <c:pt idx="417">
                  <c:v>11.03</c:v>
                </c:pt>
                <c:pt idx="418">
                  <c:v>10.988667</c:v>
                </c:pt>
                <c:pt idx="419">
                  <c:v>11.01</c:v>
                </c:pt>
                <c:pt idx="420">
                  <c:v>11.231</c:v>
                </c:pt>
                <c:pt idx="421">
                  <c:v>11.051500000000001</c:v>
                </c:pt>
                <c:pt idx="422">
                  <c:v>11.063499999999999</c:v>
                </c:pt>
                <c:pt idx="423">
                  <c:v>10.93</c:v>
                </c:pt>
                <c:pt idx="424">
                  <c:v>11.041</c:v>
                </c:pt>
                <c:pt idx="425">
                  <c:v>11.103999999999999</c:v>
                </c:pt>
                <c:pt idx="426">
                  <c:v>11.099</c:v>
                </c:pt>
                <c:pt idx="427">
                  <c:v>11.428000000000001</c:v>
                </c:pt>
                <c:pt idx="428">
                  <c:v>11.223000000000001</c:v>
                </c:pt>
                <c:pt idx="429">
                  <c:v>11.297000000000001</c:v>
                </c:pt>
                <c:pt idx="430">
                  <c:v>11.231</c:v>
                </c:pt>
                <c:pt idx="431">
                  <c:v>11.0855</c:v>
                </c:pt>
                <c:pt idx="432">
                  <c:v>10.948</c:v>
                </c:pt>
                <c:pt idx="433">
                  <c:v>10.86</c:v>
                </c:pt>
                <c:pt idx="434">
                  <c:v>11.0885</c:v>
                </c:pt>
                <c:pt idx="435">
                  <c:v>11.221500000000001</c:v>
                </c:pt>
                <c:pt idx="436">
                  <c:v>11.134</c:v>
                </c:pt>
                <c:pt idx="437">
                  <c:v>11.539</c:v>
                </c:pt>
                <c:pt idx="438">
                  <c:v>11.061</c:v>
                </c:pt>
                <c:pt idx="439">
                  <c:v>11.209</c:v>
                </c:pt>
                <c:pt idx="440">
                  <c:v>11.007999999999999</c:v>
                </c:pt>
                <c:pt idx="441">
                  <c:v>11.257</c:v>
                </c:pt>
                <c:pt idx="442">
                  <c:v>10.9542</c:v>
                </c:pt>
                <c:pt idx="443">
                  <c:v>11.355499999999999</c:v>
                </c:pt>
                <c:pt idx="444">
                  <c:v>11.218</c:v>
                </c:pt>
                <c:pt idx="445">
                  <c:v>11.423</c:v>
                </c:pt>
                <c:pt idx="446">
                  <c:v>11.442500000000001</c:v>
                </c:pt>
                <c:pt idx="447">
                  <c:v>11.416499999999999</c:v>
                </c:pt>
                <c:pt idx="448">
                  <c:v>11.292999999999999</c:v>
                </c:pt>
                <c:pt idx="449">
                  <c:v>11.273</c:v>
                </c:pt>
                <c:pt idx="450">
                  <c:v>11.2385</c:v>
                </c:pt>
                <c:pt idx="451">
                  <c:v>11.141500000000001</c:v>
                </c:pt>
                <c:pt idx="452">
                  <c:v>11.301500000000001</c:v>
                </c:pt>
                <c:pt idx="453">
                  <c:v>11.159000000000001</c:v>
                </c:pt>
                <c:pt idx="454">
                  <c:v>11.311</c:v>
                </c:pt>
                <c:pt idx="455">
                  <c:v>11.138</c:v>
                </c:pt>
                <c:pt idx="456">
                  <c:v>11.194000000000001</c:v>
                </c:pt>
                <c:pt idx="457">
                  <c:v>11.272</c:v>
                </c:pt>
                <c:pt idx="458">
                  <c:v>11.193</c:v>
                </c:pt>
                <c:pt idx="459">
                  <c:v>11.287000000000001</c:v>
                </c:pt>
                <c:pt idx="460">
                  <c:v>11.2675</c:v>
                </c:pt>
                <c:pt idx="461">
                  <c:v>11.18</c:v>
                </c:pt>
                <c:pt idx="462">
                  <c:v>11.141667</c:v>
                </c:pt>
                <c:pt idx="463">
                  <c:v>11.172000000000001</c:v>
                </c:pt>
                <c:pt idx="464">
                  <c:v>11.054333</c:v>
                </c:pt>
                <c:pt idx="465">
                  <c:v>11.01</c:v>
                </c:pt>
                <c:pt idx="466">
                  <c:v>10.7</c:v>
                </c:pt>
                <c:pt idx="467">
                  <c:v>11.4</c:v>
                </c:pt>
                <c:pt idx="468">
                  <c:v>11.249000000000001</c:v>
                </c:pt>
                <c:pt idx="469">
                  <c:v>11.55</c:v>
                </c:pt>
                <c:pt idx="470">
                  <c:v>11.6435</c:v>
                </c:pt>
                <c:pt idx="471">
                  <c:v>11.4175</c:v>
                </c:pt>
                <c:pt idx="472">
                  <c:v>11.372999999999999</c:v>
                </c:pt>
                <c:pt idx="473">
                  <c:v>11.539</c:v>
                </c:pt>
                <c:pt idx="474">
                  <c:v>11.49</c:v>
                </c:pt>
                <c:pt idx="475">
                  <c:v>11.577</c:v>
                </c:pt>
                <c:pt idx="476">
                  <c:v>11.271000000000001</c:v>
                </c:pt>
                <c:pt idx="477">
                  <c:v>11.5845</c:v>
                </c:pt>
                <c:pt idx="478">
                  <c:v>11.489000000000001</c:v>
                </c:pt>
                <c:pt idx="479">
                  <c:v>11.321</c:v>
                </c:pt>
                <c:pt idx="480">
                  <c:v>11.407500000000001</c:v>
                </c:pt>
                <c:pt idx="481">
                  <c:v>11.5825</c:v>
                </c:pt>
                <c:pt idx="482">
                  <c:v>11.692</c:v>
                </c:pt>
                <c:pt idx="483">
                  <c:v>11.5655</c:v>
                </c:pt>
                <c:pt idx="484">
                  <c:v>11.672000000000001</c:v>
                </c:pt>
                <c:pt idx="485">
                  <c:v>11.382999999999999</c:v>
                </c:pt>
                <c:pt idx="486">
                  <c:v>11.449</c:v>
                </c:pt>
                <c:pt idx="487">
                  <c:v>11.204000000000001</c:v>
                </c:pt>
                <c:pt idx="488">
                  <c:v>11.523999999999999</c:v>
                </c:pt>
                <c:pt idx="489">
                  <c:v>11.314</c:v>
                </c:pt>
                <c:pt idx="490">
                  <c:v>11.241</c:v>
                </c:pt>
                <c:pt idx="491">
                  <c:v>11.083</c:v>
                </c:pt>
                <c:pt idx="492">
                  <c:v>10.856</c:v>
                </c:pt>
                <c:pt idx="493">
                  <c:v>11.664999999999999</c:v>
                </c:pt>
                <c:pt idx="494">
                  <c:v>11.231999999999999</c:v>
                </c:pt>
                <c:pt idx="495">
                  <c:v>11.247</c:v>
                </c:pt>
                <c:pt idx="496">
                  <c:v>11.186999999999999</c:v>
                </c:pt>
                <c:pt idx="497">
                  <c:v>11.1875</c:v>
                </c:pt>
                <c:pt idx="498">
                  <c:v>10.917999999999999</c:v>
                </c:pt>
                <c:pt idx="499">
                  <c:v>11.254</c:v>
                </c:pt>
                <c:pt idx="500">
                  <c:v>11.3</c:v>
                </c:pt>
                <c:pt idx="501">
                  <c:v>11.186</c:v>
                </c:pt>
                <c:pt idx="502">
                  <c:v>11.009</c:v>
                </c:pt>
                <c:pt idx="503">
                  <c:v>11.067333</c:v>
                </c:pt>
                <c:pt idx="504">
                  <c:v>11.116</c:v>
                </c:pt>
                <c:pt idx="505">
                  <c:v>11.255000000000001</c:v>
                </c:pt>
                <c:pt idx="506">
                  <c:v>11.308999999999999</c:v>
                </c:pt>
                <c:pt idx="507">
                  <c:v>11.521000000000001</c:v>
                </c:pt>
                <c:pt idx="508">
                  <c:v>11.57</c:v>
                </c:pt>
                <c:pt idx="509">
                  <c:v>11.45</c:v>
                </c:pt>
                <c:pt idx="510">
                  <c:v>11.750999999999999</c:v>
                </c:pt>
                <c:pt idx="511">
                  <c:v>11.474500000000001</c:v>
                </c:pt>
                <c:pt idx="512">
                  <c:v>11.56</c:v>
                </c:pt>
                <c:pt idx="513">
                  <c:v>11.574999999999999</c:v>
                </c:pt>
                <c:pt idx="514">
                  <c:v>11.323</c:v>
                </c:pt>
                <c:pt idx="515">
                  <c:v>11.118</c:v>
                </c:pt>
                <c:pt idx="516">
                  <c:v>11.396000000000001</c:v>
                </c:pt>
                <c:pt idx="517">
                  <c:v>11.391500000000001</c:v>
                </c:pt>
                <c:pt idx="518">
                  <c:v>11.255000000000001</c:v>
                </c:pt>
                <c:pt idx="519">
                  <c:v>11.345000000000001</c:v>
                </c:pt>
                <c:pt idx="520">
                  <c:v>11.593999999999999</c:v>
                </c:pt>
                <c:pt idx="521">
                  <c:v>11.75</c:v>
                </c:pt>
                <c:pt idx="522">
                  <c:v>11.28</c:v>
                </c:pt>
                <c:pt idx="523">
                  <c:v>11.333</c:v>
                </c:pt>
                <c:pt idx="524">
                  <c:v>11.044</c:v>
                </c:pt>
                <c:pt idx="525">
                  <c:v>11.278</c:v>
                </c:pt>
                <c:pt idx="526">
                  <c:v>11.06</c:v>
                </c:pt>
                <c:pt idx="527">
                  <c:v>11.52</c:v>
                </c:pt>
                <c:pt idx="528">
                  <c:v>11.125</c:v>
                </c:pt>
                <c:pt idx="529">
                  <c:v>11.065</c:v>
                </c:pt>
                <c:pt idx="530">
                  <c:v>11.284000000000001</c:v>
                </c:pt>
                <c:pt idx="531">
                  <c:v>11.15</c:v>
                </c:pt>
                <c:pt idx="532">
                  <c:v>11.06</c:v>
                </c:pt>
                <c:pt idx="533">
                  <c:v>10.94</c:v>
                </c:pt>
                <c:pt idx="534">
                  <c:v>11.435499999999999</c:v>
                </c:pt>
                <c:pt idx="535">
                  <c:v>11.054</c:v>
                </c:pt>
                <c:pt idx="536">
                  <c:v>11.098000000000001</c:v>
                </c:pt>
                <c:pt idx="537">
                  <c:v>11.278499999999999</c:v>
                </c:pt>
                <c:pt idx="538">
                  <c:v>11.3515</c:v>
                </c:pt>
                <c:pt idx="539">
                  <c:v>11.127000000000001</c:v>
                </c:pt>
                <c:pt idx="540">
                  <c:v>11.17</c:v>
                </c:pt>
                <c:pt idx="541">
                  <c:v>11.1815</c:v>
                </c:pt>
                <c:pt idx="542">
                  <c:v>11.118</c:v>
                </c:pt>
                <c:pt idx="543">
                  <c:v>11.0555</c:v>
                </c:pt>
                <c:pt idx="544">
                  <c:v>11.095000000000001</c:v>
                </c:pt>
                <c:pt idx="545">
                  <c:v>11.096500000000001</c:v>
                </c:pt>
                <c:pt idx="546">
                  <c:v>11.189</c:v>
                </c:pt>
                <c:pt idx="547">
                  <c:v>11.24</c:v>
                </c:pt>
                <c:pt idx="548">
                  <c:v>11.051</c:v>
                </c:pt>
                <c:pt idx="549">
                  <c:v>11.458</c:v>
                </c:pt>
                <c:pt idx="550">
                  <c:v>11.265000000000001</c:v>
                </c:pt>
                <c:pt idx="551">
                  <c:v>11.081</c:v>
                </c:pt>
                <c:pt idx="552">
                  <c:v>11.542999999999999</c:v>
                </c:pt>
                <c:pt idx="553">
                  <c:v>11.214</c:v>
                </c:pt>
                <c:pt idx="554">
                  <c:v>11.411</c:v>
                </c:pt>
                <c:pt idx="555">
                  <c:v>11.3245</c:v>
                </c:pt>
                <c:pt idx="556">
                  <c:v>11.170999999999999</c:v>
                </c:pt>
                <c:pt idx="557">
                  <c:v>11.0915</c:v>
                </c:pt>
                <c:pt idx="558">
                  <c:v>11.31</c:v>
                </c:pt>
                <c:pt idx="559">
                  <c:v>11.063000000000001</c:v>
                </c:pt>
                <c:pt idx="560">
                  <c:v>11.334</c:v>
                </c:pt>
                <c:pt idx="561">
                  <c:v>11.227</c:v>
                </c:pt>
                <c:pt idx="562">
                  <c:v>11.157999999999999</c:v>
                </c:pt>
                <c:pt idx="563">
                  <c:v>10.898</c:v>
                </c:pt>
                <c:pt idx="564">
                  <c:v>11.0335</c:v>
                </c:pt>
                <c:pt idx="565">
                  <c:v>11.271000000000001</c:v>
                </c:pt>
                <c:pt idx="566">
                  <c:v>10.972</c:v>
                </c:pt>
                <c:pt idx="567">
                  <c:v>10.847</c:v>
                </c:pt>
                <c:pt idx="568">
                  <c:v>10.956</c:v>
                </c:pt>
                <c:pt idx="569">
                  <c:v>10.7895</c:v>
                </c:pt>
                <c:pt idx="570">
                  <c:v>10.81</c:v>
                </c:pt>
                <c:pt idx="571">
                  <c:v>10.734999999999999</c:v>
                </c:pt>
                <c:pt idx="572">
                  <c:v>11.095000000000001</c:v>
                </c:pt>
                <c:pt idx="573">
                  <c:v>11.247999999999999</c:v>
                </c:pt>
                <c:pt idx="574">
                  <c:v>11.061999999999999</c:v>
                </c:pt>
                <c:pt idx="575">
                  <c:v>11.298</c:v>
                </c:pt>
                <c:pt idx="576">
                  <c:v>11.147</c:v>
                </c:pt>
                <c:pt idx="577">
                  <c:v>10.971</c:v>
                </c:pt>
                <c:pt idx="578">
                  <c:v>11.118</c:v>
                </c:pt>
                <c:pt idx="579">
                  <c:v>11.116</c:v>
                </c:pt>
                <c:pt idx="580">
                  <c:v>11.3285</c:v>
                </c:pt>
                <c:pt idx="581">
                  <c:v>11.215</c:v>
                </c:pt>
                <c:pt idx="582">
                  <c:v>11.06</c:v>
                </c:pt>
                <c:pt idx="583">
                  <c:v>11.234</c:v>
                </c:pt>
                <c:pt idx="584">
                  <c:v>11.266999999999999</c:v>
                </c:pt>
                <c:pt idx="585">
                  <c:v>11.0825</c:v>
                </c:pt>
                <c:pt idx="586">
                  <c:v>11.195</c:v>
                </c:pt>
                <c:pt idx="587">
                  <c:v>11.016500000000001</c:v>
                </c:pt>
                <c:pt idx="588">
                  <c:v>11.33</c:v>
                </c:pt>
                <c:pt idx="589">
                  <c:v>11.452999999999999</c:v>
                </c:pt>
                <c:pt idx="590">
                  <c:v>11.42</c:v>
                </c:pt>
                <c:pt idx="591">
                  <c:v>11.37</c:v>
                </c:pt>
                <c:pt idx="592">
                  <c:v>11.4015</c:v>
                </c:pt>
                <c:pt idx="593">
                  <c:v>11.391753</c:v>
                </c:pt>
                <c:pt idx="594">
                  <c:v>11.583458</c:v>
                </c:pt>
                <c:pt idx="595">
                  <c:v>11.205</c:v>
                </c:pt>
                <c:pt idx="596">
                  <c:v>11.234</c:v>
                </c:pt>
                <c:pt idx="597">
                  <c:v>11.27</c:v>
                </c:pt>
                <c:pt idx="598">
                  <c:v>11.404999999999999</c:v>
                </c:pt>
                <c:pt idx="599">
                  <c:v>11.547000000000001</c:v>
                </c:pt>
                <c:pt idx="600">
                  <c:v>11.4665</c:v>
                </c:pt>
                <c:pt idx="601">
                  <c:v>11.073</c:v>
                </c:pt>
                <c:pt idx="602">
                  <c:v>11.472</c:v>
                </c:pt>
                <c:pt idx="603">
                  <c:v>11.332000000000001</c:v>
                </c:pt>
                <c:pt idx="604">
                  <c:v>11.113</c:v>
                </c:pt>
                <c:pt idx="605">
                  <c:v>11.175000000000001</c:v>
                </c:pt>
                <c:pt idx="606">
                  <c:v>11.494999999999999</c:v>
                </c:pt>
                <c:pt idx="607">
                  <c:v>11.87</c:v>
                </c:pt>
                <c:pt idx="608">
                  <c:v>11.571</c:v>
                </c:pt>
                <c:pt idx="609">
                  <c:v>11.637</c:v>
                </c:pt>
                <c:pt idx="610">
                  <c:v>11.477</c:v>
                </c:pt>
                <c:pt idx="611">
                  <c:v>11.353999999999999</c:v>
                </c:pt>
                <c:pt idx="612">
                  <c:v>11.414999999999999</c:v>
                </c:pt>
                <c:pt idx="613">
                  <c:v>11.855</c:v>
                </c:pt>
                <c:pt idx="614">
                  <c:v>11.4145</c:v>
                </c:pt>
                <c:pt idx="615">
                  <c:v>11.682499999999999</c:v>
                </c:pt>
                <c:pt idx="616">
                  <c:v>11.349</c:v>
                </c:pt>
                <c:pt idx="617">
                  <c:v>11.263</c:v>
                </c:pt>
                <c:pt idx="618">
                  <c:v>11.349586</c:v>
                </c:pt>
                <c:pt idx="619">
                  <c:v>11.274347000000001</c:v>
                </c:pt>
                <c:pt idx="620">
                  <c:v>11.41</c:v>
                </c:pt>
                <c:pt idx="621">
                  <c:v>11.477931999999999</c:v>
                </c:pt>
                <c:pt idx="622">
                  <c:v>11.403911000000001</c:v>
                </c:pt>
                <c:pt idx="623">
                  <c:v>11.471</c:v>
                </c:pt>
                <c:pt idx="624">
                  <c:v>11.683</c:v>
                </c:pt>
                <c:pt idx="625">
                  <c:v>11.563000000000001</c:v>
                </c:pt>
                <c:pt idx="626">
                  <c:v>11.162096999999999</c:v>
                </c:pt>
                <c:pt idx="627">
                  <c:v>11.251279</c:v>
                </c:pt>
                <c:pt idx="628">
                  <c:v>11.433</c:v>
                </c:pt>
                <c:pt idx="629">
                  <c:v>11.1465</c:v>
                </c:pt>
                <c:pt idx="630">
                  <c:v>11.333</c:v>
                </c:pt>
                <c:pt idx="631">
                  <c:v>10.906000000000001</c:v>
                </c:pt>
                <c:pt idx="632">
                  <c:v>11.272500000000001</c:v>
                </c:pt>
                <c:pt idx="633">
                  <c:v>11.587999999999999</c:v>
                </c:pt>
                <c:pt idx="634">
                  <c:v>11.430999999999999</c:v>
                </c:pt>
                <c:pt idx="635">
                  <c:v>11.372999999999999</c:v>
                </c:pt>
                <c:pt idx="636">
                  <c:v>11.535</c:v>
                </c:pt>
                <c:pt idx="637">
                  <c:v>11.282</c:v>
                </c:pt>
                <c:pt idx="638">
                  <c:v>11.552</c:v>
                </c:pt>
                <c:pt idx="639">
                  <c:v>11.3</c:v>
                </c:pt>
                <c:pt idx="640">
                  <c:v>11.404999999999999</c:v>
                </c:pt>
                <c:pt idx="641">
                  <c:v>11.224</c:v>
                </c:pt>
                <c:pt idx="642">
                  <c:v>11.792999999999999</c:v>
                </c:pt>
                <c:pt idx="643">
                  <c:v>10.881</c:v>
                </c:pt>
                <c:pt idx="644">
                  <c:v>11.016</c:v>
                </c:pt>
                <c:pt idx="645">
                  <c:v>10.999511999999999</c:v>
                </c:pt>
                <c:pt idx="646">
                  <c:v>11.114321</c:v>
                </c:pt>
                <c:pt idx="647">
                  <c:v>10.93375</c:v>
                </c:pt>
                <c:pt idx="648">
                  <c:v>10.624000000000001</c:v>
                </c:pt>
                <c:pt idx="649">
                  <c:v>10.64</c:v>
                </c:pt>
                <c:pt idx="650">
                  <c:v>10.4</c:v>
                </c:pt>
                <c:pt idx="651">
                  <c:v>10.356999999999999</c:v>
                </c:pt>
                <c:pt idx="652">
                  <c:v>10.628</c:v>
                </c:pt>
                <c:pt idx="653">
                  <c:v>10.673999999999999</c:v>
                </c:pt>
                <c:pt idx="654">
                  <c:v>10.657999999999999</c:v>
                </c:pt>
                <c:pt idx="655">
                  <c:v>11.118</c:v>
                </c:pt>
                <c:pt idx="656">
                  <c:v>11.055</c:v>
                </c:pt>
                <c:pt idx="657">
                  <c:v>10.992000000000001</c:v>
                </c:pt>
                <c:pt idx="658">
                  <c:v>10.957000000000001</c:v>
                </c:pt>
                <c:pt idx="659">
                  <c:v>10.781000000000001</c:v>
                </c:pt>
                <c:pt idx="660">
                  <c:v>10.877000000000001</c:v>
                </c:pt>
                <c:pt idx="661">
                  <c:v>11.103999999999999</c:v>
                </c:pt>
                <c:pt idx="662">
                  <c:v>11.029</c:v>
                </c:pt>
                <c:pt idx="663">
                  <c:v>11.015000000000001</c:v>
                </c:pt>
                <c:pt idx="664">
                  <c:v>10.901999999999999</c:v>
                </c:pt>
                <c:pt idx="665">
                  <c:v>10.923999999999999</c:v>
                </c:pt>
                <c:pt idx="666">
                  <c:v>10.942</c:v>
                </c:pt>
                <c:pt idx="667">
                  <c:v>10.702999999999999</c:v>
                </c:pt>
                <c:pt idx="668">
                  <c:v>11.055</c:v>
                </c:pt>
                <c:pt idx="669">
                  <c:v>11.074999999999999</c:v>
                </c:pt>
                <c:pt idx="670">
                  <c:v>10.692</c:v>
                </c:pt>
                <c:pt idx="671">
                  <c:v>10.678000000000001</c:v>
                </c:pt>
                <c:pt idx="672">
                  <c:v>11.005000000000001</c:v>
                </c:pt>
                <c:pt idx="673">
                  <c:v>11.15</c:v>
                </c:pt>
                <c:pt idx="674">
                  <c:v>10.939</c:v>
                </c:pt>
                <c:pt idx="675">
                  <c:v>10.962</c:v>
                </c:pt>
                <c:pt idx="676">
                  <c:v>10.574</c:v>
                </c:pt>
                <c:pt idx="677">
                  <c:v>10.682</c:v>
                </c:pt>
                <c:pt idx="678">
                  <c:v>10.888999999999999</c:v>
                </c:pt>
                <c:pt idx="679">
                  <c:v>10.771000000000001</c:v>
                </c:pt>
                <c:pt idx="680">
                  <c:v>10.227</c:v>
                </c:pt>
                <c:pt idx="681">
                  <c:v>10.401</c:v>
                </c:pt>
                <c:pt idx="682">
                  <c:v>10.538</c:v>
                </c:pt>
                <c:pt idx="683">
                  <c:v>10.856999999999999</c:v>
                </c:pt>
                <c:pt idx="684">
                  <c:v>10.638999999999999</c:v>
                </c:pt>
                <c:pt idx="685">
                  <c:v>10.913</c:v>
                </c:pt>
                <c:pt idx="686">
                  <c:v>10.502000000000001</c:v>
                </c:pt>
                <c:pt idx="687">
                  <c:v>10.581</c:v>
                </c:pt>
                <c:pt idx="688">
                  <c:v>10.6</c:v>
                </c:pt>
                <c:pt idx="689">
                  <c:v>10.429</c:v>
                </c:pt>
                <c:pt idx="690">
                  <c:v>10.571</c:v>
                </c:pt>
                <c:pt idx="691">
                  <c:v>10.625999999999999</c:v>
                </c:pt>
                <c:pt idx="692">
                  <c:v>10.526999999999999</c:v>
                </c:pt>
                <c:pt idx="693">
                  <c:v>11.009</c:v>
                </c:pt>
                <c:pt idx="694">
                  <c:v>10.394</c:v>
                </c:pt>
                <c:pt idx="695">
                  <c:v>10.574</c:v>
                </c:pt>
                <c:pt idx="696">
                  <c:v>10.542</c:v>
                </c:pt>
                <c:pt idx="697">
                  <c:v>10.920999999999999</c:v>
                </c:pt>
                <c:pt idx="698">
                  <c:v>10.669</c:v>
                </c:pt>
                <c:pt idx="699">
                  <c:v>10.923999999999999</c:v>
                </c:pt>
                <c:pt idx="700">
                  <c:v>10.771000000000001</c:v>
                </c:pt>
                <c:pt idx="701">
                  <c:v>11.079000000000001</c:v>
                </c:pt>
                <c:pt idx="702">
                  <c:v>11.128</c:v>
                </c:pt>
                <c:pt idx="703">
                  <c:v>10.948</c:v>
                </c:pt>
                <c:pt idx="704">
                  <c:v>10.737</c:v>
                </c:pt>
                <c:pt idx="705">
                  <c:v>10.587999999999999</c:v>
                </c:pt>
                <c:pt idx="706">
                  <c:v>10.714</c:v>
                </c:pt>
                <c:pt idx="707">
                  <c:v>10.680999999999999</c:v>
                </c:pt>
                <c:pt idx="708">
                  <c:v>10.827999999999999</c:v>
                </c:pt>
                <c:pt idx="709">
                  <c:v>10.879</c:v>
                </c:pt>
                <c:pt idx="710">
                  <c:v>10.978999999999999</c:v>
                </c:pt>
                <c:pt idx="711">
                  <c:v>10.757</c:v>
                </c:pt>
                <c:pt idx="712">
                  <c:v>10.91</c:v>
                </c:pt>
                <c:pt idx="713">
                  <c:v>10.85</c:v>
                </c:pt>
                <c:pt idx="714">
                  <c:v>10.647</c:v>
                </c:pt>
                <c:pt idx="715">
                  <c:v>10.81</c:v>
                </c:pt>
                <c:pt idx="716">
                  <c:v>10.743399999999999</c:v>
                </c:pt>
                <c:pt idx="717">
                  <c:v>10.7713</c:v>
                </c:pt>
                <c:pt idx="718">
                  <c:v>10.758100000000001</c:v>
                </c:pt>
                <c:pt idx="719">
                  <c:v>10.7684</c:v>
                </c:pt>
                <c:pt idx="720">
                  <c:v>10.7599</c:v>
                </c:pt>
                <c:pt idx="721">
                  <c:v>10.8064</c:v>
                </c:pt>
                <c:pt idx="722">
                  <c:v>10.6</c:v>
                </c:pt>
                <c:pt idx="723">
                  <c:v>11.1022</c:v>
                </c:pt>
                <c:pt idx="724">
                  <c:v>11.0853</c:v>
                </c:pt>
                <c:pt idx="725">
                  <c:v>11.100199999999999</c:v>
                </c:pt>
                <c:pt idx="726">
                  <c:v>11.144299999999999</c:v>
                </c:pt>
                <c:pt idx="727">
                  <c:v>11.1546</c:v>
                </c:pt>
                <c:pt idx="728">
                  <c:v>11.182499999999999</c:v>
                </c:pt>
                <c:pt idx="729">
                  <c:v>11.095599999999999</c:v>
                </c:pt>
                <c:pt idx="730">
                  <c:v>11.0951</c:v>
                </c:pt>
                <c:pt idx="731">
                  <c:v>11.0845</c:v>
                </c:pt>
                <c:pt idx="732">
                  <c:v>11.061400000000001</c:v>
                </c:pt>
                <c:pt idx="733">
                  <c:v>11.1526</c:v>
                </c:pt>
                <c:pt idx="734">
                  <c:v>11.065099999999999</c:v>
                </c:pt>
                <c:pt idx="735">
                  <c:v>11.0983</c:v>
                </c:pt>
                <c:pt idx="736">
                  <c:v>11.0932</c:v>
                </c:pt>
                <c:pt idx="737">
                  <c:v>11.0602</c:v>
                </c:pt>
                <c:pt idx="738">
                  <c:v>10.8771</c:v>
                </c:pt>
                <c:pt idx="739">
                  <c:v>10.869199999999999</c:v>
                </c:pt>
                <c:pt idx="740">
                  <c:v>10.840199999999999</c:v>
                </c:pt>
                <c:pt idx="741">
                  <c:v>10.811299999999999</c:v>
                </c:pt>
                <c:pt idx="742">
                  <c:v>10.831799999999999</c:v>
                </c:pt>
                <c:pt idx="743">
                  <c:v>10.848000000000001</c:v>
                </c:pt>
                <c:pt idx="744">
                  <c:v>10.8169</c:v>
                </c:pt>
                <c:pt idx="745">
                  <c:v>10.803699999999999</c:v>
                </c:pt>
                <c:pt idx="746">
                  <c:v>10.7493</c:v>
                </c:pt>
                <c:pt idx="747">
                  <c:v>10.770300000000001</c:v>
                </c:pt>
                <c:pt idx="748">
                  <c:v>10.8194</c:v>
                </c:pt>
                <c:pt idx="749">
                  <c:v>10.842000000000001</c:v>
                </c:pt>
                <c:pt idx="750">
                  <c:v>10.8238</c:v>
                </c:pt>
                <c:pt idx="751">
                  <c:v>10.8438</c:v>
                </c:pt>
                <c:pt idx="752">
                  <c:v>10.7904</c:v>
                </c:pt>
                <c:pt idx="753">
                  <c:v>10.827999999999999</c:v>
                </c:pt>
                <c:pt idx="754">
                  <c:v>10.78</c:v>
                </c:pt>
                <c:pt idx="755">
                  <c:v>11.05</c:v>
                </c:pt>
                <c:pt idx="756">
                  <c:v>10.78</c:v>
                </c:pt>
                <c:pt idx="757">
                  <c:v>11.085000000000001</c:v>
                </c:pt>
                <c:pt idx="758">
                  <c:v>10.651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D-4497-A46B-B418782901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dPt>
            <c:idx val="58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B2D-4497-A46B-B41878290143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B2D-4497-A46B-B41878290143}"/>
              </c:ext>
            </c:extLst>
          </c:dPt>
          <c:xVal>
            <c:numRef>
              <c:f>Index!#REF!</c:f>
            </c:numRef>
          </c:xVal>
          <c:yVal>
            <c:numRef>
              <c:f>Index!#REF!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2D-4497-A46B-B41878290143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Index!$J$16:$J$17</c:f>
              <c:numCache>
                <c:formatCode>General</c:formatCode>
                <c:ptCount val="2"/>
              </c:numCache>
            </c:numRef>
          </c:xVal>
          <c:yVal>
            <c:numRef>
              <c:f>Index!$K$16:$K$17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2D-4497-A46B-B41878290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90120"/>
        <c:axId val="539588944"/>
      </c:scatterChart>
      <c:valAx>
        <c:axId val="539590120"/>
        <c:scaling>
          <c:orientation val="minMax"/>
          <c:max val="2457380"/>
          <c:min val="24571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944"/>
        <c:crosses val="max"/>
        <c:crossBetween val="midCat"/>
        <c:majorUnit val="30"/>
      </c:valAx>
      <c:valAx>
        <c:axId val="539588944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90120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Index!$N$3</c:f>
          <c:strCache>
            <c:ptCount val="1"/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dLbls>
            <c:dLbl>
              <c:idx val="47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FB-4D22-868E-1D5DA813970E}"/>
                </c:ext>
              </c:extLst>
            </c:dLbl>
            <c:dLbl>
              <c:idx val="164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FB-4D22-868E-1D5DA813970E}"/>
                </c:ext>
              </c:extLst>
            </c:dLbl>
            <c:dLbl>
              <c:idx val="405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FB-4D22-868E-1D5DA813970E}"/>
                </c:ext>
              </c:extLst>
            </c:dLbl>
            <c:dLbl>
              <c:idx val="484"/>
              <c:layout>
                <c:manualLayout>
                  <c:x val="-8.3229296712442787E-3"/>
                  <c:y val="-8.09146877748460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FB-4D22-868E-1D5DA813970E}"/>
                </c:ext>
              </c:extLst>
            </c:dLbl>
            <c:dLbl>
              <c:idx val="566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FB-4D22-868E-1D5DA81397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V!$A$1:$A$1022</c:f>
              <c:numCache>
                <c:formatCode>General</c:formatCode>
                <c:ptCount val="1022"/>
                <c:pt idx="0">
                  <c:v>2436400.0596699999</c:v>
                </c:pt>
                <c:pt idx="1">
                  <c:v>2436402.1905</c:v>
                </c:pt>
                <c:pt idx="2">
                  <c:v>2436404.1804999998</c:v>
                </c:pt>
                <c:pt idx="3">
                  <c:v>2436405.6860000002</c:v>
                </c:pt>
                <c:pt idx="4">
                  <c:v>2436407.6839999999</c:v>
                </c:pt>
                <c:pt idx="5">
                  <c:v>2436408.6880000001</c:v>
                </c:pt>
                <c:pt idx="6">
                  <c:v>2452086.6213000002</c:v>
                </c:pt>
                <c:pt idx="7">
                  <c:v>2452087.6230000001</c:v>
                </c:pt>
                <c:pt idx="8">
                  <c:v>2452467.6411000001</c:v>
                </c:pt>
                <c:pt idx="9">
                  <c:v>2452472.9323</c:v>
                </c:pt>
                <c:pt idx="10">
                  <c:v>2452493.6205000002</c:v>
                </c:pt>
                <c:pt idx="11">
                  <c:v>2452562.5348</c:v>
                </c:pt>
                <c:pt idx="12">
                  <c:v>2452563.6076000002</c:v>
                </c:pt>
                <c:pt idx="13">
                  <c:v>2452655.7310000001</c:v>
                </c:pt>
                <c:pt idx="14">
                  <c:v>2452777.7993000001</c:v>
                </c:pt>
                <c:pt idx="15">
                  <c:v>2452791.53547</c:v>
                </c:pt>
                <c:pt idx="16">
                  <c:v>2452800.7152999998</c:v>
                </c:pt>
                <c:pt idx="17">
                  <c:v>2452811.6653</c:v>
                </c:pt>
                <c:pt idx="18">
                  <c:v>2452820.6674000002</c:v>
                </c:pt>
                <c:pt idx="19">
                  <c:v>2452827.8028000002</c:v>
                </c:pt>
                <c:pt idx="20">
                  <c:v>2452834.75507</c:v>
                </c:pt>
                <c:pt idx="21">
                  <c:v>2452841.6916999999</c:v>
                </c:pt>
                <c:pt idx="22">
                  <c:v>2452850.6833000001</c:v>
                </c:pt>
                <c:pt idx="23">
                  <c:v>2452855.1934000002</c:v>
                </c:pt>
                <c:pt idx="24">
                  <c:v>2452858.6464999998</c:v>
                </c:pt>
                <c:pt idx="25">
                  <c:v>2452862.6458000001</c:v>
                </c:pt>
                <c:pt idx="26">
                  <c:v>2452871.1079500001</c:v>
                </c:pt>
                <c:pt idx="27">
                  <c:v>2452875.5943</c:v>
                </c:pt>
                <c:pt idx="28">
                  <c:v>2452882.6565</c:v>
                </c:pt>
                <c:pt idx="29">
                  <c:v>2452890.6277999999</c:v>
                </c:pt>
                <c:pt idx="30">
                  <c:v>2452900.1153500001</c:v>
                </c:pt>
                <c:pt idx="31">
                  <c:v>2452906.62115</c:v>
                </c:pt>
                <c:pt idx="32">
                  <c:v>2452908.6046000002</c:v>
                </c:pt>
                <c:pt idx="33">
                  <c:v>2452921.0578000001</c:v>
                </c:pt>
                <c:pt idx="34">
                  <c:v>2452926.5531000001</c:v>
                </c:pt>
                <c:pt idx="35">
                  <c:v>2452935.2259999998</c:v>
                </c:pt>
                <c:pt idx="36">
                  <c:v>2452937.5375000001</c:v>
                </c:pt>
                <c:pt idx="37">
                  <c:v>2452953.4912</c:v>
                </c:pt>
                <c:pt idx="38">
                  <c:v>2452964.4843299999</c:v>
                </c:pt>
                <c:pt idx="39">
                  <c:v>2453087.8640000001</c:v>
                </c:pt>
                <c:pt idx="40">
                  <c:v>2453143.1943000001</c:v>
                </c:pt>
                <c:pt idx="41">
                  <c:v>2453169.5014</c:v>
                </c:pt>
                <c:pt idx="42">
                  <c:v>2453187.7308</c:v>
                </c:pt>
                <c:pt idx="43">
                  <c:v>2453189.4183</c:v>
                </c:pt>
                <c:pt idx="44">
                  <c:v>2453197.7592000002</c:v>
                </c:pt>
                <c:pt idx="45">
                  <c:v>2453201.5019</c:v>
                </c:pt>
                <c:pt idx="46">
                  <c:v>2453215.6820999999</c:v>
                </c:pt>
                <c:pt idx="47">
                  <c:v>2453224.7371999999</c:v>
                </c:pt>
                <c:pt idx="48">
                  <c:v>2453226.71257</c:v>
                </c:pt>
                <c:pt idx="49">
                  <c:v>2453231.5318</c:v>
                </c:pt>
                <c:pt idx="50">
                  <c:v>2453236.3434000001</c:v>
                </c:pt>
                <c:pt idx="51">
                  <c:v>2453239.7036000001</c:v>
                </c:pt>
                <c:pt idx="52">
                  <c:v>2453249.6573000001</c:v>
                </c:pt>
                <c:pt idx="53">
                  <c:v>2453254.4007000001</c:v>
                </c:pt>
                <c:pt idx="54">
                  <c:v>2453261.41017</c:v>
                </c:pt>
                <c:pt idx="55">
                  <c:v>2453265.3684</c:v>
                </c:pt>
                <c:pt idx="56">
                  <c:v>2453269.0953000002</c:v>
                </c:pt>
                <c:pt idx="57">
                  <c:v>2453284.5891</c:v>
                </c:pt>
                <c:pt idx="58">
                  <c:v>2453290.5328000002</c:v>
                </c:pt>
                <c:pt idx="59">
                  <c:v>2453304.51933</c:v>
                </c:pt>
                <c:pt idx="60">
                  <c:v>2453322.48673</c:v>
                </c:pt>
                <c:pt idx="61">
                  <c:v>2453330.6800000002</c:v>
                </c:pt>
                <c:pt idx="62">
                  <c:v>2453435.9097000002</c:v>
                </c:pt>
                <c:pt idx="63">
                  <c:v>2453465.8580999998</c:v>
                </c:pt>
                <c:pt idx="64">
                  <c:v>2453470.8221999998</c:v>
                </c:pt>
                <c:pt idx="65">
                  <c:v>2453475.3605</c:v>
                </c:pt>
                <c:pt idx="66">
                  <c:v>2453488.9068</c:v>
                </c:pt>
                <c:pt idx="67">
                  <c:v>2453495.8478000001</c:v>
                </c:pt>
                <c:pt idx="68">
                  <c:v>2453516.8709999998</c:v>
                </c:pt>
                <c:pt idx="69">
                  <c:v>2453520.517</c:v>
                </c:pt>
                <c:pt idx="70">
                  <c:v>2453523.1908499999</c:v>
                </c:pt>
                <c:pt idx="71">
                  <c:v>2453528.5019999999</c:v>
                </c:pt>
                <c:pt idx="72">
                  <c:v>2453531.503</c:v>
                </c:pt>
                <c:pt idx="73">
                  <c:v>2453535.7420000001</c:v>
                </c:pt>
                <c:pt idx="74">
                  <c:v>2453537.477</c:v>
                </c:pt>
                <c:pt idx="75">
                  <c:v>2453539.64175</c:v>
                </c:pt>
                <c:pt idx="76">
                  <c:v>2453541.7552</c:v>
                </c:pt>
                <c:pt idx="77">
                  <c:v>2453545.477</c:v>
                </c:pt>
                <c:pt idx="78">
                  <c:v>2453547.469</c:v>
                </c:pt>
                <c:pt idx="79">
                  <c:v>2453549.9654999999</c:v>
                </c:pt>
                <c:pt idx="80">
                  <c:v>2453551.463</c:v>
                </c:pt>
                <c:pt idx="81">
                  <c:v>2453555.2071500001</c:v>
                </c:pt>
                <c:pt idx="82">
                  <c:v>2453559.4440000001</c:v>
                </c:pt>
                <c:pt idx="83">
                  <c:v>2453563.1096000001</c:v>
                </c:pt>
                <c:pt idx="84">
                  <c:v>2453565.48</c:v>
                </c:pt>
                <c:pt idx="85">
                  <c:v>2453569.9794999999</c:v>
                </c:pt>
                <c:pt idx="86">
                  <c:v>2453571.7439999999</c:v>
                </c:pt>
                <c:pt idx="87">
                  <c:v>2453580.4479999999</c:v>
                </c:pt>
                <c:pt idx="88">
                  <c:v>2453581.4479999999</c:v>
                </c:pt>
                <c:pt idx="89">
                  <c:v>2453597.3420000002</c:v>
                </c:pt>
                <c:pt idx="90">
                  <c:v>2453599.3879999998</c:v>
                </c:pt>
                <c:pt idx="91">
                  <c:v>2453613.3629999999</c:v>
                </c:pt>
                <c:pt idx="92">
                  <c:v>2453617.35</c:v>
                </c:pt>
                <c:pt idx="93">
                  <c:v>2453624.6439999999</c:v>
                </c:pt>
                <c:pt idx="94">
                  <c:v>2453634.6290000002</c:v>
                </c:pt>
                <c:pt idx="95">
                  <c:v>2453641.6052000001</c:v>
                </c:pt>
                <c:pt idx="96">
                  <c:v>2453644.5010000002</c:v>
                </c:pt>
                <c:pt idx="97">
                  <c:v>2453649.5824000002</c:v>
                </c:pt>
                <c:pt idx="98">
                  <c:v>2453673.4718999998</c:v>
                </c:pt>
                <c:pt idx="99">
                  <c:v>2453677.4937999998</c:v>
                </c:pt>
                <c:pt idx="100">
                  <c:v>2453686.4657999999</c:v>
                </c:pt>
                <c:pt idx="101">
                  <c:v>2453767.9737</c:v>
                </c:pt>
                <c:pt idx="102">
                  <c:v>2453780.04421</c:v>
                </c:pt>
                <c:pt idx="103">
                  <c:v>2453781.0529299998</c:v>
                </c:pt>
                <c:pt idx="104">
                  <c:v>2453782.9475799999</c:v>
                </c:pt>
                <c:pt idx="105">
                  <c:v>2453787.3621499999</c:v>
                </c:pt>
                <c:pt idx="106">
                  <c:v>2453788.4750000001</c:v>
                </c:pt>
                <c:pt idx="107">
                  <c:v>2453790.9454000001</c:v>
                </c:pt>
                <c:pt idx="108">
                  <c:v>2453791.4750000001</c:v>
                </c:pt>
                <c:pt idx="109">
                  <c:v>2453792.4841</c:v>
                </c:pt>
                <c:pt idx="110">
                  <c:v>2453793.6488700002</c:v>
                </c:pt>
                <c:pt idx="111">
                  <c:v>2453795.47028</c:v>
                </c:pt>
                <c:pt idx="112">
                  <c:v>2453796.9731999999</c:v>
                </c:pt>
                <c:pt idx="113">
                  <c:v>2453798.4553</c:v>
                </c:pt>
                <c:pt idx="114">
                  <c:v>2453799.9496800001</c:v>
                </c:pt>
                <c:pt idx="115">
                  <c:v>2453800.1375799999</c:v>
                </c:pt>
                <c:pt idx="116">
                  <c:v>2453801.4787300001</c:v>
                </c:pt>
                <c:pt idx="117">
                  <c:v>2453802.98</c:v>
                </c:pt>
                <c:pt idx="118">
                  <c:v>2453808.9497000002</c:v>
                </c:pt>
                <c:pt idx="119">
                  <c:v>2453810.9503500001</c:v>
                </c:pt>
                <c:pt idx="120">
                  <c:v>2453812.9441999998</c:v>
                </c:pt>
                <c:pt idx="121">
                  <c:v>2453817.4325999999</c:v>
                </c:pt>
                <c:pt idx="122">
                  <c:v>2453818.9286000002</c:v>
                </c:pt>
                <c:pt idx="123">
                  <c:v>2453820.9205999998</c:v>
                </c:pt>
                <c:pt idx="124">
                  <c:v>2453824.8647500002</c:v>
                </c:pt>
                <c:pt idx="125">
                  <c:v>2453827.8975</c:v>
                </c:pt>
                <c:pt idx="126">
                  <c:v>2453829.3951500002</c:v>
                </c:pt>
                <c:pt idx="127">
                  <c:v>2453832.8950999998</c:v>
                </c:pt>
                <c:pt idx="128">
                  <c:v>2453834.3844499998</c:v>
                </c:pt>
                <c:pt idx="129">
                  <c:v>2453836.8122999999</c:v>
                </c:pt>
                <c:pt idx="130">
                  <c:v>2453838.37445</c:v>
                </c:pt>
                <c:pt idx="131">
                  <c:v>2453841.8399499999</c:v>
                </c:pt>
                <c:pt idx="132">
                  <c:v>2453843.3606500002</c:v>
                </c:pt>
                <c:pt idx="133">
                  <c:v>2453844.85995</c:v>
                </c:pt>
                <c:pt idx="134">
                  <c:v>2453846.3547999999</c:v>
                </c:pt>
                <c:pt idx="135">
                  <c:v>2453851.3327000001</c:v>
                </c:pt>
                <c:pt idx="136">
                  <c:v>2453853.3332000002</c:v>
                </c:pt>
                <c:pt idx="137">
                  <c:v>2453854.8672500001</c:v>
                </c:pt>
                <c:pt idx="138">
                  <c:v>2453856.3175499998</c:v>
                </c:pt>
                <c:pt idx="139">
                  <c:v>2453857.8210999998</c:v>
                </c:pt>
                <c:pt idx="140">
                  <c:v>2453860.2928999998</c:v>
                </c:pt>
                <c:pt idx="141">
                  <c:v>2453861.3084499999</c:v>
                </c:pt>
                <c:pt idx="142">
                  <c:v>2453863.2931499998</c:v>
                </c:pt>
                <c:pt idx="143">
                  <c:v>2453864.7958</c:v>
                </c:pt>
                <c:pt idx="144">
                  <c:v>2453866.2921000002</c:v>
                </c:pt>
                <c:pt idx="145">
                  <c:v>2453874.7697999999</c:v>
                </c:pt>
                <c:pt idx="146">
                  <c:v>2453876.7647000002</c:v>
                </c:pt>
                <c:pt idx="147">
                  <c:v>2453878.7596</c:v>
                </c:pt>
                <c:pt idx="148">
                  <c:v>2453879.7790999999</c:v>
                </c:pt>
                <c:pt idx="149">
                  <c:v>2453881.39793</c:v>
                </c:pt>
                <c:pt idx="150">
                  <c:v>2453882.7514999998</c:v>
                </c:pt>
                <c:pt idx="151">
                  <c:v>2453883.7884</c:v>
                </c:pt>
                <c:pt idx="152">
                  <c:v>2453885.23985</c:v>
                </c:pt>
                <c:pt idx="153">
                  <c:v>2453886.7404999998</c:v>
                </c:pt>
                <c:pt idx="154">
                  <c:v>2453890.2419500002</c:v>
                </c:pt>
                <c:pt idx="155">
                  <c:v>2453893.2267499999</c:v>
                </c:pt>
                <c:pt idx="156">
                  <c:v>2453894.8297999999</c:v>
                </c:pt>
                <c:pt idx="157">
                  <c:v>2453897.7234999998</c:v>
                </c:pt>
                <c:pt idx="158">
                  <c:v>2453899.2162500001</c:v>
                </c:pt>
                <c:pt idx="159">
                  <c:v>2453900.7173000001</c:v>
                </c:pt>
                <c:pt idx="160">
                  <c:v>2453902.4879999999</c:v>
                </c:pt>
                <c:pt idx="161">
                  <c:v>2453904.2001</c:v>
                </c:pt>
                <c:pt idx="162">
                  <c:v>2453906.6995000001</c:v>
                </c:pt>
                <c:pt idx="163">
                  <c:v>2453915.4730000002</c:v>
                </c:pt>
                <c:pt idx="164">
                  <c:v>2453916.7102000001</c:v>
                </c:pt>
                <c:pt idx="165">
                  <c:v>2453918.2017999999</c:v>
                </c:pt>
                <c:pt idx="166">
                  <c:v>2453919.7001</c:v>
                </c:pt>
                <c:pt idx="167">
                  <c:v>2453922.7204</c:v>
                </c:pt>
                <c:pt idx="168">
                  <c:v>2453927.6864999998</c:v>
                </c:pt>
                <c:pt idx="169">
                  <c:v>2453930.6771999998</c:v>
                </c:pt>
                <c:pt idx="170">
                  <c:v>2453933.6745000002</c:v>
                </c:pt>
                <c:pt idx="171">
                  <c:v>2453934.6745000002</c:v>
                </c:pt>
                <c:pt idx="172">
                  <c:v>2453936.7192500001</c:v>
                </c:pt>
                <c:pt idx="173">
                  <c:v>2453938.2331500002</c:v>
                </c:pt>
                <c:pt idx="174">
                  <c:v>2453940.1689499998</c:v>
                </c:pt>
                <c:pt idx="175">
                  <c:v>2453941.6710000001</c:v>
                </c:pt>
                <c:pt idx="176">
                  <c:v>2453943.0581999999</c:v>
                </c:pt>
                <c:pt idx="177">
                  <c:v>2453946.0894200001</c:v>
                </c:pt>
                <c:pt idx="178">
                  <c:v>2453952.3621</c:v>
                </c:pt>
                <c:pt idx="179">
                  <c:v>2453955.6403000001</c:v>
                </c:pt>
                <c:pt idx="180">
                  <c:v>2453957.1099</c:v>
                </c:pt>
                <c:pt idx="181">
                  <c:v>2453958.1568499999</c:v>
                </c:pt>
                <c:pt idx="182">
                  <c:v>2453960.1414000001</c:v>
                </c:pt>
                <c:pt idx="183">
                  <c:v>2453970.6264999998</c:v>
                </c:pt>
                <c:pt idx="184">
                  <c:v>2453971.6279000002</c:v>
                </c:pt>
                <c:pt idx="185">
                  <c:v>2453972.6740999999</c:v>
                </c:pt>
                <c:pt idx="186">
                  <c:v>2453975.1324499999</c:v>
                </c:pt>
                <c:pt idx="187">
                  <c:v>2453977.6209</c:v>
                </c:pt>
                <c:pt idx="188">
                  <c:v>2453978.7446300001</c:v>
                </c:pt>
                <c:pt idx="189">
                  <c:v>2453979.7179100001</c:v>
                </c:pt>
                <c:pt idx="190">
                  <c:v>2453980.7433600002</c:v>
                </c:pt>
                <c:pt idx="191">
                  <c:v>2453981.9443299999</c:v>
                </c:pt>
                <c:pt idx="192">
                  <c:v>2453982.9790699999</c:v>
                </c:pt>
                <c:pt idx="193">
                  <c:v>2453983.9963199999</c:v>
                </c:pt>
                <c:pt idx="194">
                  <c:v>2453985.9088099999</c:v>
                </c:pt>
                <c:pt idx="195">
                  <c:v>2453987.0875599999</c:v>
                </c:pt>
                <c:pt idx="196">
                  <c:v>2453987.9629899999</c:v>
                </c:pt>
                <c:pt idx="197">
                  <c:v>2453989.7544200001</c:v>
                </c:pt>
                <c:pt idx="198">
                  <c:v>2453990.83231</c:v>
                </c:pt>
                <c:pt idx="199">
                  <c:v>2453991.93469</c:v>
                </c:pt>
                <c:pt idx="200">
                  <c:v>2453992.9651700002</c:v>
                </c:pt>
                <c:pt idx="201">
                  <c:v>2453993.9788500001</c:v>
                </c:pt>
                <c:pt idx="202">
                  <c:v>2453995.73911</c:v>
                </c:pt>
                <c:pt idx="203">
                  <c:v>2453996.4162300001</c:v>
                </c:pt>
                <c:pt idx="204">
                  <c:v>2453997.2400799999</c:v>
                </c:pt>
                <c:pt idx="205">
                  <c:v>2453998.3105700002</c:v>
                </c:pt>
                <c:pt idx="206">
                  <c:v>2453999.34711</c:v>
                </c:pt>
                <c:pt idx="207">
                  <c:v>2454000.3255599998</c:v>
                </c:pt>
                <c:pt idx="208">
                  <c:v>2454001.2788900002</c:v>
                </c:pt>
                <c:pt idx="209">
                  <c:v>2454002.7731300001</c:v>
                </c:pt>
                <c:pt idx="210">
                  <c:v>2454002.9504999998</c:v>
                </c:pt>
                <c:pt idx="211">
                  <c:v>2454004.4897799999</c:v>
                </c:pt>
                <c:pt idx="212">
                  <c:v>2454005.5391000002</c:v>
                </c:pt>
                <c:pt idx="213">
                  <c:v>2454006.90026</c:v>
                </c:pt>
                <c:pt idx="214">
                  <c:v>2454007.8932699999</c:v>
                </c:pt>
                <c:pt idx="215">
                  <c:v>2454009.8209600002</c:v>
                </c:pt>
                <c:pt idx="216">
                  <c:v>2454010.9408200001</c:v>
                </c:pt>
                <c:pt idx="217">
                  <c:v>2454011.6814299999</c:v>
                </c:pt>
                <c:pt idx="218">
                  <c:v>2454015.5491999998</c:v>
                </c:pt>
                <c:pt idx="219">
                  <c:v>2454018.5882000001</c:v>
                </c:pt>
                <c:pt idx="220">
                  <c:v>2454030.5224000001</c:v>
                </c:pt>
                <c:pt idx="221">
                  <c:v>2454037.5696</c:v>
                </c:pt>
                <c:pt idx="222">
                  <c:v>2454042.0655999999</c:v>
                </c:pt>
                <c:pt idx="223">
                  <c:v>2454044.5666</c:v>
                </c:pt>
                <c:pt idx="224">
                  <c:v>2454049.4871</c:v>
                </c:pt>
                <c:pt idx="225">
                  <c:v>2454061.4704999998</c:v>
                </c:pt>
                <c:pt idx="226">
                  <c:v>2454157.9989999998</c:v>
                </c:pt>
                <c:pt idx="227">
                  <c:v>2454159.0030999999</c:v>
                </c:pt>
                <c:pt idx="228">
                  <c:v>2454162.4889000002</c:v>
                </c:pt>
                <c:pt idx="229">
                  <c:v>2454163.9761999999</c:v>
                </c:pt>
                <c:pt idx="230">
                  <c:v>2454166.4801500002</c:v>
                </c:pt>
                <c:pt idx="231">
                  <c:v>2454169.4638</c:v>
                </c:pt>
                <c:pt idx="232">
                  <c:v>2454176.4454999999</c:v>
                </c:pt>
                <c:pt idx="233">
                  <c:v>2454179.4382500001</c:v>
                </c:pt>
                <c:pt idx="234">
                  <c:v>2454180.9300000002</c:v>
                </c:pt>
                <c:pt idx="235">
                  <c:v>2454185.4219999998</c:v>
                </c:pt>
                <c:pt idx="236">
                  <c:v>2454186.9125000001</c:v>
                </c:pt>
                <c:pt idx="237">
                  <c:v>2454189.4024</c:v>
                </c:pt>
                <c:pt idx="238">
                  <c:v>2454190.9043000001</c:v>
                </c:pt>
                <c:pt idx="239">
                  <c:v>2454192.4053500001</c:v>
                </c:pt>
                <c:pt idx="240">
                  <c:v>2454194.3938500001</c:v>
                </c:pt>
                <c:pt idx="241">
                  <c:v>2454195.8905000002</c:v>
                </c:pt>
                <c:pt idx="242">
                  <c:v>2454199.3872000002</c:v>
                </c:pt>
                <c:pt idx="243">
                  <c:v>2454201.8714999999</c:v>
                </c:pt>
                <c:pt idx="244">
                  <c:v>2454202.8834000002</c:v>
                </c:pt>
                <c:pt idx="245">
                  <c:v>2454206.3663499998</c:v>
                </c:pt>
                <c:pt idx="246">
                  <c:v>2454209.3547999999</c:v>
                </c:pt>
                <c:pt idx="247">
                  <c:v>2454210.8698</c:v>
                </c:pt>
                <c:pt idx="248">
                  <c:v>2454212.8418000001</c:v>
                </c:pt>
                <c:pt idx="249">
                  <c:v>2454216.3412000001</c:v>
                </c:pt>
                <c:pt idx="250">
                  <c:v>2454217.8292999999</c:v>
                </c:pt>
                <c:pt idx="251">
                  <c:v>2454224.31745</c:v>
                </c:pt>
                <c:pt idx="252">
                  <c:v>2454225.8308999999</c:v>
                </c:pt>
                <c:pt idx="253">
                  <c:v>2454227.8078999999</c:v>
                </c:pt>
                <c:pt idx="254">
                  <c:v>2454231.2951500001</c:v>
                </c:pt>
                <c:pt idx="255">
                  <c:v>2454233.2894000001</c:v>
                </c:pt>
                <c:pt idx="256">
                  <c:v>2454234.8128499999</c:v>
                </c:pt>
                <c:pt idx="257">
                  <c:v>2454241.2700999998</c:v>
                </c:pt>
                <c:pt idx="258">
                  <c:v>2454243.2642999999</c:v>
                </c:pt>
                <c:pt idx="259">
                  <c:v>2454249.8459000001</c:v>
                </c:pt>
                <c:pt idx="260">
                  <c:v>2454262.7582</c:v>
                </c:pt>
                <c:pt idx="261">
                  <c:v>2454267.44</c:v>
                </c:pt>
                <c:pt idx="262">
                  <c:v>2454271.46</c:v>
                </c:pt>
                <c:pt idx="263">
                  <c:v>2454274.6976800002</c:v>
                </c:pt>
                <c:pt idx="264">
                  <c:v>2454289.33</c:v>
                </c:pt>
                <c:pt idx="265">
                  <c:v>2454297.7831999999</c:v>
                </c:pt>
                <c:pt idx="266">
                  <c:v>2454313.4133000001</c:v>
                </c:pt>
                <c:pt idx="267">
                  <c:v>2454314.7546999999</c:v>
                </c:pt>
                <c:pt idx="268">
                  <c:v>2454316.7483000001</c:v>
                </c:pt>
                <c:pt idx="269">
                  <c:v>2454323.7244000002</c:v>
                </c:pt>
                <c:pt idx="270">
                  <c:v>2454336.6642999998</c:v>
                </c:pt>
                <c:pt idx="271">
                  <c:v>2454341.1851499998</c:v>
                </c:pt>
                <c:pt idx="272">
                  <c:v>2454344.6694999998</c:v>
                </c:pt>
                <c:pt idx="273">
                  <c:v>2454349.6507999999</c:v>
                </c:pt>
                <c:pt idx="274">
                  <c:v>2454357.6390999998</c:v>
                </c:pt>
                <c:pt idx="275">
                  <c:v>2454359.59583</c:v>
                </c:pt>
                <c:pt idx="276">
                  <c:v>2454360.6150000002</c:v>
                </c:pt>
                <c:pt idx="277">
                  <c:v>2454378.5682000001</c:v>
                </c:pt>
                <c:pt idx="278">
                  <c:v>2454394.5395</c:v>
                </c:pt>
                <c:pt idx="279">
                  <c:v>2454402.5207000002</c:v>
                </c:pt>
                <c:pt idx="280">
                  <c:v>2454404.5085</c:v>
                </c:pt>
                <c:pt idx="281">
                  <c:v>2454407.5128000001</c:v>
                </c:pt>
                <c:pt idx="282">
                  <c:v>2454573.8602</c:v>
                </c:pt>
                <c:pt idx="283">
                  <c:v>2454578.8651999999</c:v>
                </c:pt>
                <c:pt idx="284">
                  <c:v>2454583.7083999999</c:v>
                </c:pt>
                <c:pt idx="285">
                  <c:v>2454600.37</c:v>
                </c:pt>
                <c:pt idx="286">
                  <c:v>2454611.8692999999</c:v>
                </c:pt>
                <c:pt idx="287">
                  <c:v>2454615.7272000001</c:v>
                </c:pt>
                <c:pt idx="288">
                  <c:v>2454620.48</c:v>
                </c:pt>
                <c:pt idx="289">
                  <c:v>2454627.38</c:v>
                </c:pt>
                <c:pt idx="290">
                  <c:v>2454641.8379000002</c:v>
                </c:pt>
                <c:pt idx="291">
                  <c:v>2454649.7662</c:v>
                </c:pt>
                <c:pt idx="292">
                  <c:v>2454652.4305599998</c:v>
                </c:pt>
                <c:pt idx="293">
                  <c:v>2454662.7292999998</c:v>
                </c:pt>
                <c:pt idx="294">
                  <c:v>2454704.5843000002</c:v>
                </c:pt>
                <c:pt idx="295">
                  <c:v>2454717.6236999999</c:v>
                </c:pt>
                <c:pt idx="296">
                  <c:v>2454732.5913</c:v>
                </c:pt>
                <c:pt idx="297">
                  <c:v>2454743.5551999998</c:v>
                </c:pt>
                <c:pt idx="298">
                  <c:v>2454770.5134000001</c:v>
                </c:pt>
                <c:pt idx="299">
                  <c:v>2454907.9416999999</c:v>
                </c:pt>
                <c:pt idx="300">
                  <c:v>2454918.0218799999</c:v>
                </c:pt>
                <c:pt idx="301">
                  <c:v>2454933.8577000001</c:v>
                </c:pt>
                <c:pt idx="302">
                  <c:v>2454963.8213999998</c:v>
                </c:pt>
                <c:pt idx="303">
                  <c:v>2454970.7925999998</c:v>
                </c:pt>
                <c:pt idx="304">
                  <c:v>2454994.4873700002</c:v>
                </c:pt>
                <c:pt idx="305">
                  <c:v>2454997.7077000001</c:v>
                </c:pt>
                <c:pt idx="306">
                  <c:v>2455024.4158899998</c:v>
                </c:pt>
                <c:pt idx="307">
                  <c:v>2455041.2477799999</c:v>
                </c:pt>
                <c:pt idx="308">
                  <c:v>2455044.8015999999</c:v>
                </c:pt>
                <c:pt idx="309">
                  <c:v>2455049.7083000001</c:v>
                </c:pt>
                <c:pt idx="310">
                  <c:v>2455060.0865699998</c:v>
                </c:pt>
                <c:pt idx="311">
                  <c:v>2455061.57571</c:v>
                </c:pt>
                <c:pt idx="312">
                  <c:v>2455066.0241399999</c:v>
                </c:pt>
                <c:pt idx="313">
                  <c:v>2455067.5921200002</c:v>
                </c:pt>
                <c:pt idx="314">
                  <c:v>2455069.56476</c:v>
                </c:pt>
                <c:pt idx="315">
                  <c:v>2455072.6097900001</c:v>
                </c:pt>
                <c:pt idx="316">
                  <c:v>2455074.5676899999</c:v>
                </c:pt>
                <c:pt idx="317">
                  <c:v>2455077.6453999998</c:v>
                </c:pt>
                <c:pt idx="318">
                  <c:v>2455080.0625999998</c:v>
                </c:pt>
                <c:pt idx="319">
                  <c:v>2455081.5544199999</c:v>
                </c:pt>
                <c:pt idx="320">
                  <c:v>2455094.5221500001</c:v>
                </c:pt>
                <c:pt idx="321">
                  <c:v>2455096.0136299999</c:v>
                </c:pt>
                <c:pt idx="322">
                  <c:v>2455100.4992200001</c:v>
                </c:pt>
                <c:pt idx="323">
                  <c:v>2455123.5395999998</c:v>
                </c:pt>
                <c:pt idx="324">
                  <c:v>2455137.5178</c:v>
                </c:pt>
                <c:pt idx="325">
                  <c:v>2455148.4923</c:v>
                </c:pt>
                <c:pt idx="326">
                  <c:v>2455167.4712999999</c:v>
                </c:pt>
                <c:pt idx="327">
                  <c:v>2455252.9648000002</c:v>
                </c:pt>
                <c:pt idx="328">
                  <c:v>2455274.9415000002</c:v>
                </c:pt>
                <c:pt idx="329">
                  <c:v>2455279.9207000001</c:v>
                </c:pt>
                <c:pt idx="330">
                  <c:v>2455282.9256000002</c:v>
                </c:pt>
                <c:pt idx="331">
                  <c:v>2455301.8867000001</c:v>
                </c:pt>
                <c:pt idx="332">
                  <c:v>2455304.5274999999</c:v>
                </c:pt>
                <c:pt idx="333">
                  <c:v>2455321.8184000002</c:v>
                </c:pt>
                <c:pt idx="334">
                  <c:v>2455343.8264000001</c:v>
                </c:pt>
                <c:pt idx="335">
                  <c:v>2455373.6784999999</c:v>
                </c:pt>
                <c:pt idx="336">
                  <c:v>2455378.7486100001</c:v>
                </c:pt>
                <c:pt idx="337">
                  <c:v>2455388.42154</c:v>
                </c:pt>
                <c:pt idx="338">
                  <c:v>2455414.7013400001</c:v>
                </c:pt>
                <c:pt idx="339">
                  <c:v>2455417.7220000001</c:v>
                </c:pt>
                <c:pt idx="340">
                  <c:v>2455425.7072999999</c:v>
                </c:pt>
                <c:pt idx="341">
                  <c:v>2455436.6729000001</c:v>
                </c:pt>
                <c:pt idx="342">
                  <c:v>2455438.6367000001</c:v>
                </c:pt>
                <c:pt idx="343">
                  <c:v>2455452.6501799999</c:v>
                </c:pt>
                <c:pt idx="344">
                  <c:v>2455477.5641999999</c:v>
                </c:pt>
                <c:pt idx="345">
                  <c:v>2455479.5495000002</c:v>
                </c:pt>
                <c:pt idx="346">
                  <c:v>2455492.5222999998</c:v>
                </c:pt>
                <c:pt idx="347">
                  <c:v>2455509.4696</c:v>
                </c:pt>
                <c:pt idx="348">
                  <c:v>2455615.4772199998</c:v>
                </c:pt>
                <c:pt idx="349">
                  <c:v>2455618.96753</c:v>
                </c:pt>
                <c:pt idx="350">
                  <c:v>2455622.45793</c:v>
                </c:pt>
                <c:pt idx="351">
                  <c:v>2455624.4525199998</c:v>
                </c:pt>
                <c:pt idx="352">
                  <c:v>2455630.4361399999</c:v>
                </c:pt>
                <c:pt idx="353">
                  <c:v>2455632.4306399999</c:v>
                </c:pt>
                <c:pt idx="354">
                  <c:v>2455634.9238800001</c:v>
                </c:pt>
                <c:pt idx="355">
                  <c:v>2455638.41432</c:v>
                </c:pt>
                <c:pt idx="356">
                  <c:v>2455640.4088400002</c:v>
                </c:pt>
                <c:pt idx="357">
                  <c:v>2455643.8991999999</c:v>
                </c:pt>
                <c:pt idx="358">
                  <c:v>2455645.3992400002</c:v>
                </c:pt>
                <c:pt idx="359">
                  <c:v>2455646.8950499999</c:v>
                </c:pt>
                <c:pt idx="360">
                  <c:v>2455649.9500500001</c:v>
                </c:pt>
                <c:pt idx="361">
                  <c:v>2455655.4507300002</c:v>
                </c:pt>
                <c:pt idx="362">
                  <c:v>2455660.9521599999</c:v>
                </c:pt>
                <c:pt idx="363">
                  <c:v>2455665.9229100002</c:v>
                </c:pt>
                <c:pt idx="364">
                  <c:v>2455669.9016200001</c:v>
                </c:pt>
                <c:pt idx="365">
                  <c:v>2455673.8439799999</c:v>
                </c:pt>
                <c:pt idx="366">
                  <c:v>2455677.8339200001</c:v>
                </c:pt>
                <c:pt idx="367">
                  <c:v>2455682.96801</c:v>
                </c:pt>
                <c:pt idx="368">
                  <c:v>2455684.81244</c:v>
                </c:pt>
                <c:pt idx="369">
                  <c:v>2455688.8017600002</c:v>
                </c:pt>
                <c:pt idx="370">
                  <c:v>2455693.7694700002</c:v>
                </c:pt>
                <c:pt idx="371">
                  <c:v>2455697.7535999999</c:v>
                </c:pt>
                <c:pt idx="372">
                  <c:v>2455712.4375</c:v>
                </c:pt>
                <c:pt idx="373">
                  <c:v>2455718.824</c:v>
                </c:pt>
                <c:pt idx="374">
                  <c:v>2455720.7752999999</c:v>
                </c:pt>
                <c:pt idx="375">
                  <c:v>2455724.80669</c:v>
                </c:pt>
                <c:pt idx="376">
                  <c:v>2455728.7462200001</c:v>
                </c:pt>
                <c:pt idx="377">
                  <c:v>2455734.0852000001</c:v>
                </c:pt>
                <c:pt idx="378">
                  <c:v>2455738.07675</c:v>
                </c:pt>
                <c:pt idx="379">
                  <c:v>2455739.7927000001</c:v>
                </c:pt>
                <c:pt idx="380">
                  <c:v>2455741.7758999998</c:v>
                </c:pt>
                <c:pt idx="381">
                  <c:v>2455749.38056</c:v>
                </c:pt>
                <c:pt idx="382">
                  <c:v>2455753.77434</c:v>
                </c:pt>
                <c:pt idx="383">
                  <c:v>2455758.8017099998</c:v>
                </c:pt>
                <c:pt idx="384">
                  <c:v>2455760.6545199999</c:v>
                </c:pt>
                <c:pt idx="385">
                  <c:v>2455761.6616799999</c:v>
                </c:pt>
                <c:pt idx="386">
                  <c:v>2455762.67827</c:v>
                </c:pt>
                <c:pt idx="387">
                  <c:v>2455763.72511</c:v>
                </c:pt>
                <c:pt idx="388">
                  <c:v>2455765.23655</c:v>
                </c:pt>
                <c:pt idx="389">
                  <c:v>2455769.0338900001</c:v>
                </c:pt>
                <c:pt idx="390">
                  <c:v>2455769.71844</c:v>
                </c:pt>
                <c:pt idx="391">
                  <c:v>2455771.3930899999</c:v>
                </c:pt>
                <c:pt idx="392">
                  <c:v>2455775.6953699999</c:v>
                </c:pt>
                <c:pt idx="393">
                  <c:v>2455780.7160499999</c:v>
                </c:pt>
                <c:pt idx="394">
                  <c:v>2455783.3076399998</c:v>
                </c:pt>
                <c:pt idx="395">
                  <c:v>2455785.65337</c:v>
                </c:pt>
                <c:pt idx="396">
                  <c:v>2455788.16383</c:v>
                </c:pt>
                <c:pt idx="397">
                  <c:v>2455789.6964500002</c:v>
                </c:pt>
                <c:pt idx="398">
                  <c:v>2455796.4049200001</c:v>
                </c:pt>
                <c:pt idx="399">
                  <c:v>2455799.66047</c:v>
                </c:pt>
                <c:pt idx="400">
                  <c:v>2455801.6102900002</c:v>
                </c:pt>
                <c:pt idx="401">
                  <c:v>2455803.6685100002</c:v>
                </c:pt>
                <c:pt idx="402">
                  <c:v>2455812.6549499999</c:v>
                </c:pt>
                <c:pt idx="403">
                  <c:v>2455816.5798999998</c:v>
                </c:pt>
                <c:pt idx="404">
                  <c:v>2455865.5560099999</c:v>
                </c:pt>
                <c:pt idx="405">
                  <c:v>2455869.5583199998</c:v>
                </c:pt>
                <c:pt idx="406">
                  <c:v>2455943.9854799998</c:v>
                </c:pt>
                <c:pt idx="407">
                  <c:v>2455956.9739799998</c:v>
                </c:pt>
                <c:pt idx="408">
                  <c:v>2455972.0274</c:v>
                </c:pt>
                <c:pt idx="409">
                  <c:v>2455989.9730799999</c:v>
                </c:pt>
                <c:pt idx="410">
                  <c:v>2455999.9363000002</c:v>
                </c:pt>
                <c:pt idx="411">
                  <c:v>2456001.9290999998</c:v>
                </c:pt>
                <c:pt idx="412">
                  <c:v>2456002.9381900001</c:v>
                </c:pt>
                <c:pt idx="413">
                  <c:v>2456005.4306100002</c:v>
                </c:pt>
                <c:pt idx="414">
                  <c:v>2456007.92343</c:v>
                </c:pt>
                <c:pt idx="415">
                  <c:v>2456008.9452800001</c:v>
                </c:pt>
                <c:pt idx="416">
                  <c:v>2456009.9253400001</c:v>
                </c:pt>
                <c:pt idx="417">
                  <c:v>2456012.9238900002</c:v>
                </c:pt>
                <c:pt idx="418">
                  <c:v>2456014.5583600001</c:v>
                </c:pt>
                <c:pt idx="419">
                  <c:v>2456015.8548300001</c:v>
                </c:pt>
                <c:pt idx="420">
                  <c:v>2456018.9271499999</c:v>
                </c:pt>
                <c:pt idx="421">
                  <c:v>2456021.4304900002</c:v>
                </c:pt>
                <c:pt idx="422">
                  <c:v>2456026.8305500001</c:v>
                </c:pt>
                <c:pt idx="423">
                  <c:v>2456027.9803200001</c:v>
                </c:pt>
                <c:pt idx="424">
                  <c:v>2456033.34136</c:v>
                </c:pt>
                <c:pt idx="425">
                  <c:v>2456034.4444200001</c:v>
                </c:pt>
                <c:pt idx="426">
                  <c:v>2456038.8303499999</c:v>
                </c:pt>
                <c:pt idx="427">
                  <c:v>2456041.2820000001</c:v>
                </c:pt>
                <c:pt idx="428">
                  <c:v>2456042.8078800002</c:v>
                </c:pt>
                <c:pt idx="429">
                  <c:v>2456045.3357299999</c:v>
                </c:pt>
                <c:pt idx="430">
                  <c:v>2456046.8051</c:v>
                </c:pt>
                <c:pt idx="431">
                  <c:v>2456049.3581300001</c:v>
                </c:pt>
                <c:pt idx="432">
                  <c:v>2456050.8312400002</c:v>
                </c:pt>
                <c:pt idx="433">
                  <c:v>2456053.8172900002</c:v>
                </c:pt>
                <c:pt idx="434">
                  <c:v>2456058.2050200002</c:v>
                </c:pt>
                <c:pt idx="435">
                  <c:v>2456061.2584600002</c:v>
                </c:pt>
                <c:pt idx="436">
                  <c:v>2456063.1947499998</c:v>
                </c:pt>
                <c:pt idx="437">
                  <c:v>2456065.69741</c:v>
                </c:pt>
                <c:pt idx="438">
                  <c:v>2456067.1214399999</c:v>
                </c:pt>
                <c:pt idx="439">
                  <c:v>2456067.7354199998</c:v>
                </c:pt>
                <c:pt idx="440">
                  <c:v>2456070.3331800001</c:v>
                </c:pt>
                <c:pt idx="441">
                  <c:v>2456071.8299799999</c:v>
                </c:pt>
                <c:pt idx="442">
                  <c:v>2456074.3975399998</c:v>
                </c:pt>
                <c:pt idx="443">
                  <c:v>2456078.6856800001</c:v>
                </c:pt>
                <c:pt idx="444">
                  <c:v>2456081.8396399999</c:v>
                </c:pt>
                <c:pt idx="445">
                  <c:v>2456083.2719700001</c:v>
                </c:pt>
                <c:pt idx="446">
                  <c:v>2456085.2176899998</c:v>
                </c:pt>
                <c:pt idx="447">
                  <c:v>2456086.3153499998</c:v>
                </c:pt>
                <c:pt idx="448">
                  <c:v>2456087.66976</c:v>
                </c:pt>
                <c:pt idx="449">
                  <c:v>2456089.1858899998</c:v>
                </c:pt>
                <c:pt idx="450">
                  <c:v>2456090.7378099998</c:v>
                </c:pt>
                <c:pt idx="451">
                  <c:v>2456092.1868699999</c:v>
                </c:pt>
                <c:pt idx="452">
                  <c:v>2456093.5346300001</c:v>
                </c:pt>
                <c:pt idx="453">
                  <c:v>2456094.5553899999</c:v>
                </c:pt>
                <c:pt idx="454">
                  <c:v>2456096.74126</c:v>
                </c:pt>
                <c:pt idx="455">
                  <c:v>2456097.7821200001</c:v>
                </c:pt>
                <c:pt idx="456">
                  <c:v>2456099.6800500001</c:v>
                </c:pt>
                <c:pt idx="457">
                  <c:v>2456101.25551</c:v>
                </c:pt>
                <c:pt idx="458">
                  <c:v>2456103.2399800001</c:v>
                </c:pt>
                <c:pt idx="459">
                  <c:v>2456104.65179</c:v>
                </c:pt>
                <c:pt idx="460">
                  <c:v>2456106.3570300001</c:v>
                </c:pt>
                <c:pt idx="461">
                  <c:v>2456107.2078100001</c:v>
                </c:pt>
                <c:pt idx="462">
                  <c:v>2456109.2149899998</c:v>
                </c:pt>
                <c:pt idx="463">
                  <c:v>2456110.6055899998</c:v>
                </c:pt>
                <c:pt idx="464">
                  <c:v>2456117.21269</c:v>
                </c:pt>
                <c:pt idx="465">
                  <c:v>2456118.3478999999</c:v>
                </c:pt>
                <c:pt idx="466">
                  <c:v>2456120.6389299999</c:v>
                </c:pt>
                <c:pt idx="467">
                  <c:v>2456126.3292</c:v>
                </c:pt>
                <c:pt idx="468">
                  <c:v>2456128.4138400001</c:v>
                </c:pt>
                <c:pt idx="469">
                  <c:v>2456129.6061399998</c:v>
                </c:pt>
                <c:pt idx="470">
                  <c:v>2456131.0129200001</c:v>
                </c:pt>
                <c:pt idx="471">
                  <c:v>2456132.0410099998</c:v>
                </c:pt>
                <c:pt idx="472">
                  <c:v>2456133.4065899998</c:v>
                </c:pt>
                <c:pt idx="473">
                  <c:v>2456137.3951400002</c:v>
                </c:pt>
                <c:pt idx="474">
                  <c:v>2456146.16353</c:v>
                </c:pt>
                <c:pt idx="475">
                  <c:v>2456147.6736300001</c:v>
                </c:pt>
                <c:pt idx="476">
                  <c:v>2456150.7185200001</c:v>
                </c:pt>
                <c:pt idx="477">
                  <c:v>2456155.2237999998</c:v>
                </c:pt>
                <c:pt idx="478">
                  <c:v>2456157.7119300002</c:v>
                </c:pt>
                <c:pt idx="479">
                  <c:v>2456159.6770600001</c:v>
                </c:pt>
                <c:pt idx="480">
                  <c:v>2456162.1676400001</c:v>
                </c:pt>
                <c:pt idx="481">
                  <c:v>2456169.14995</c:v>
                </c:pt>
                <c:pt idx="482">
                  <c:v>2456170.6793900002</c:v>
                </c:pt>
                <c:pt idx="483">
                  <c:v>2456180.1306799999</c:v>
                </c:pt>
                <c:pt idx="484">
                  <c:v>2456181.5808100002</c:v>
                </c:pt>
                <c:pt idx="485">
                  <c:v>2456182.6398100001</c:v>
                </c:pt>
                <c:pt idx="486">
                  <c:v>2456184.0801599999</c:v>
                </c:pt>
                <c:pt idx="487">
                  <c:v>2456193.6296999999</c:v>
                </c:pt>
                <c:pt idx="488">
                  <c:v>2456195.5048600002</c:v>
                </c:pt>
                <c:pt idx="489">
                  <c:v>2456200.6058100001</c:v>
                </c:pt>
                <c:pt idx="490">
                  <c:v>2456202.6091100001</c:v>
                </c:pt>
                <c:pt idx="491">
                  <c:v>2456229.5497300001</c:v>
                </c:pt>
                <c:pt idx="492">
                  <c:v>2456303.0598399998</c:v>
                </c:pt>
                <c:pt idx="493">
                  <c:v>2456328.9910200001</c:v>
                </c:pt>
                <c:pt idx="494">
                  <c:v>2456335.9925199999</c:v>
                </c:pt>
                <c:pt idx="495">
                  <c:v>2456337.9938300001</c:v>
                </c:pt>
                <c:pt idx="496">
                  <c:v>2456339.9458699999</c:v>
                </c:pt>
                <c:pt idx="497">
                  <c:v>2456347.4147199998</c:v>
                </c:pt>
                <c:pt idx="498">
                  <c:v>2456348.9078600002</c:v>
                </c:pt>
                <c:pt idx="499">
                  <c:v>2456354.8953900002</c:v>
                </c:pt>
                <c:pt idx="500">
                  <c:v>2456358.9243999999</c:v>
                </c:pt>
                <c:pt idx="501">
                  <c:v>2456359.9247099999</c:v>
                </c:pt>
                <c:pt idx="502">
                  <c:v>2456363.8690399998</c:v>
                </c:pt>
                <c:pt idx="503">
                  <c:v>2456366.5475300001</c:v>
                </c:pt>
                <c:pt idx="504">
                  <c:v>2456367.8677500002</c:v>
                </c:pt>
                <c:pt idx="505">
                  <c:v>2456370.8477099999</c:v>
                </c:pt>
                <c:pt idx="506">
                  <c:v>2456373.8664099998</c:v>
                </c:pt>
                <c:pt idx="507">
                  <c:v>2456378.8312300001</c:v>
                </c:pt>
                <c:pt idx="508">
                  <c:v>2456380.8813299998</c:v>
                </c:pt>
                <c:pt idx="509">
                  <c:v>2456387.8693400002</c:v>
                </c:pt>
                <c:pt idx="510">
                  <c:v>2456392.88393</c:v>
                </c:pt>
                <c:pt idx="511">
                  <c:v>2456396.2817899999</c:v>
                </c:pt>
                <c:pt idx="512">
                  <c:v>2456398.93456</c:v>
                </c:pt>
                <c:pt idx="513">
                  <c:v>2456402.8258099998</c:v>
                </c:pt>
                <c:pt idx="514">
                  <c:v>2456404.7665499998</c:v>
                </c:pt>
                <c:pt idx="515">
                  <c:v>2456409.8162600002</c:v>
                </c:pt>
                <c:pt idx="516">
                  <c:v>2456422.8000400001</c:v>
                </c:pt>
                <c:pt idx="517">
                  <c:v>2456427.2701699999</c:v>
                </c:pt>
                <c:pt idx="518">
                  <c:v>2456428.28217</c:v>
                </c:pt>
                <c:pt idx="519">
                  <c:v>2456430.72413</c:v>
                </c:pt>
                <c:pt idx="520">
                  <c:v>2456436.22572</c:v>
                </c:pt>
                <c:pt idx="521">
                  <c:v>2456437.71539</c:v>
                </c:pt>
                <c:pt idx="522">
                  <c:v>2456444.8897899999</c:v>
                </c:pt>
                <c:pt idx="523">
                  <c:v>2456447.7215399998</c:v>
                </c:pt>
                <c:pt idx="524">
                  <c:v>2456450.5706500001</c:v>
                </c:pt>
                <c:pt idx="525">
                  <c:v>2456455.1329899998</c:v>
                </c:pt>
                <c:pt idx="526">
                  <c:v>2456456.7911999999</c:v>
                </c:pt>
                <c:pt idx="527">
                  <c:v>2456457.7471500002</c:v>
                </c:pt>
                <c:pt idx="528">
                  <c:v>2456461.3875000002</c:v>
                </c:pt>
                <c:pt idx="529">
                  <c:v>2456463.3972499999</c:v>
                </c:pt>
                <c:pt idx="530">
                  <c:v>2456470.2711800002</c:v>
                </c:pt>
                <c:pt idx="531">
                  <c:v>2456472.7615700001</c:v>
                </c:pt>
                <c:pt idx="532">
                  <c:v>2456474.3785000001</c:v>
                </c:pt>
                <c:pt idx="533">
                  <c:v>2456476.3931</c:v>
                </c:pt>
                <c:pt idx="534">
                  <c:v>2456478.5699300002</c:v>
                </c:pt>
                <c:pt idx="535">
                  <c:v>2456479.6779700001</c:v>
                </c:pt>
                <c:pt idx="536">
                  <c:v>2456481.2417299999</c:v>
                </c:pt>
                <c:pt idx="537">
                  <c:v>2456483.2393899998</c:v>
                </c:pt>
                <c:pt idx="538">
                  <c:v>2456485.2290400001</c:v>
                </c:pt>
                <c:pt idx="539">
                  <c:v>2456487.22493</c:v>
                </c:pt>
                <c:pt idx="540">
                  <c:v>2456488.3638499998</c:v>
                </c:pt>
                <c:pt idx="541">
                  <c:v>2456490.21563</c:v>
                </c:pt>
                <c:pt idx="542">
                  <c:v>2456491.7259399998</c:v>
                </c:pt>
                <c:pt idx="543">
                  <c:v>2456497.2019000002</c:v>
                </c:pt>
                <c:pt idx="544">
                  <c:v>2456498.7205400001</c:v>
                </c:pt>
                <c:pt idx="545">
                  <c:v>2456500.5191299999</c:v>
                </c:pt>
                <c:pt idx="546">
                  <c:v>2456501.6804599999</c:v>
                </c:pt>
                <c:pt idx="547">
                  <c:v>2456503.6864700001</c:v>
                </c:pt>
                <c:pt idx="548">
                  <c:v>2456505.6850899998</c:v>
                </c:pt>
                <c:pt idx="549">
                  <c:v>2456506.71019</c:v>
                </c:pt>
                <c:pt idx="550">
                  <c:v>2456508.6887300001</c:v>
                </c:pt>
                <c:pt idx="551">
                  <c:v>2456511.65454</c:v>
                </c:pt>
                <c:pt idx="552">
                  <c:v>2456512.6929700002</c:v>
                </c:pt>
                <c:pt idx="553">
                  <c:v>2456515.6469800002</c:v>
                </c:pt>
                <c:pt idx="554">
                  <c:v>2456517.6676699999</c:v>
                </c:pt>
                <c:pt idx="555">
                  <c:v>2456519.16573</c:v>
                </c:pt>
                <c:pt idx="556">
                  <c:v>2456523.6385499998</c:v>
                </c:pt>
                <c:pt idx="557">
                  <c:v>2456525.14481</c:v>
                </c:pt>
                <c:pt idx="558">
                  <c:v>2456526.6391599998</c:v>
                </c:pt>
                <c:pt idx="559">
                  <c:v>2456529.1557100001</c:v>
                </c:pt>
                <c:pt idx="560">
                  <c:v>2456531.1453499999</c:v>
                </c:pt>
                <c:pt idx="561">
                  <c:v>2456533.1431399998</c:v>
                </c:pt>
                <c:pt idx="562">
                  <c:v>2456534.6345799998</c:v>
                </c:pt>
                <c:pt idx="563">
                  <c:v>2456535.63503</c:v>
                </c:pt>
                <c:pt idx="564">
                  <c:v>2456538.13797</c:v>
                </c:pt>
                <c:pt idx="565">
                  <c:v>2456539.6333400002</c:v>
                </c:pt>
                <c:pt idx="566">
                  <c:v>2456540.69575</c:v>
                </c:pt>
                <c:pt idx="567">
                  <c:v>2456542.6350799999</c:v>
                </c:pt>
                <c:pt idx="568">
                  <c:v>2456544.60396</c:v>
                </c:pt>
                <c:pt idx="569">
                  <c:v>2456546.1035600002</c:v>
                </c:pt>
                <c:pt idx="570">
                  <c:v>2456557.4156999998</c:v>
                </c:pt>
                <c:pt idx="571">
                  <c:v>2456566.5422100001</c:v>
                </c:pt>
                <c:pt idx="572">
                  <c:v>2456567.5425100001</c:v>
                </c:pt>
                <c:pt idx="573">
                  <c:v>2456569.54238</c:v>
                </c:pt>
                <c:pt idx="574">
                  <c:v>2456705.4254600001</c:v>
                </c:pt>
                <c:pt idx="575">
                  <c:v>2456706.9475699998</c:v>
                </c:pt>
                <c:pt idx="576">
                  <c:v>2456707.9489799999</c:v>
                </c:pt>
                <c:pt idx="577">
                  <c:v>2456710.9374199999</c:v>
                </c:pt>
                <c:pt idx="578">
                  <c:v>2456715.92484</c:v>
                </c:pt>
                <c:pt idx="579">
                  <c:v>2456723.9015299999</c:v>
                </c:pt>
                <c:pt idx="580">
                  <c:v>2456726.8817500002</c:v>
                </c:pt>
                <c:pt idx="581">
                  <c:v>2456751.24456</c:v>
                </c:pt>
                <c:pt idx="582">
                  <c:v>2456757.81036</c:v>
                </c:pt>
                <c:pt idx="583">
                  <c:v>2456759.8028699998</c:v>
                </c:pt>
                <c:pt idx="584">
                  <c:v>2456770.8189500002</c:v>
                </c:pt>
                <c:pt idx="585">
                  <c:v>2456782.2705999999</c:v>
                </c:pt>
                <c:pt idx="586">
                  <c:v>2456786.7056</c:v>
                </c:pt>
                <c:pt idx="587">
                  <c:v>2456796.7050800002</c:v>
                </c:pt>
                <c:pt idx="588">
                  <c:v>2456798.3234799998</c:v>
                </c:pt>
                <c:pt idx="589">
                  <c:v>2456800.8173799999</c:v>
                </c:pt>
                <c:pt idx="590">
                  <c:v>2456812.0200200002</c:v>
                </c:pt>
                <c:pt idx="591">
                  <c:v>2456844.5162999998</c:v>
                </c:pt>
                <c:pt idx="592">
                  <c:v>2456850.6269499999</c:v>
                </c:pt>
                <c:pt idx="593">
                  <c:v>2456856.85408</c:v>
                </c:pt>
                <c:pt idx="594">
                  <c:v>2456860.8435</c:v>
                </c:pt>
                <c:pt idx="595">
                  <c:v>2456863.1994500002</c:v>
                </c:pt>
                <c:pt idx="596">
                  <c:v>2456866.6866199998</c:v>
                </c:pt>
                <c:pt idx="597">
                  <c:v>2456868.5164999999</c:v>
                </c:pt>
                <c:pt idx="598">
                  <c:v>2456870.6727200001</c:v>
                </c:pt>
                <c:pt idx="599">
                  <c:v>2456872.6662499998</c:v>
                </c:pt>
                <c:pt idx="600">
                  <c:v>2456884.1391400001</c:v>
                </c:pt>
                <c:pt idx="601">
                  <c:v>2456891.6496899999</c:v>
                </c:pt>
                <c:pt idx="602">
                  <c:v>2456894.1111400002</c:v>
                </c:pt>
                <c:pt idx="603">
                  <c:v>2456895.60427</c:v>
                </c:pt>
                <c:pt idx="604">
                  <c:v>2456901.5888899998</c:v>
                </c:pt>
                <c:pt idx="605">
                  <c:v>2456904.8167599998</c:v>
                </c:pt>
                <c:pt idx="606">
                  <c:v>2456916.3129500002</c:v>
                </c:pt>
                <c:pt idx="607">
                  <c:v>2457061.94936</c:v>
                </c:pt>
                <c:pt idx="608">
                  <c:v>2457064.9540800001</c:v>
                </c:pt>
                <c:pt idx="609">
                  <c:v>2457065.9664500002</c:v>
                </c:pt>
                <c:pt idx="610">
                  <c:v>2457068.9301999998</c:v>
                </c:pt>
                <c:pt idx="611">
                  <c:v>2457090.8667899999</c:v>
                </c:pt>
                <c:pt idx="612">
                  <c:v>2457094.93487</c:v>
                </c:pt>
                <c:pt idx="613">
                  <c:v>2457098.8922000001</c:v>
                </c:pt>
                <c:pt idx="614">
                  <c:v>2457112.52782</c:v>
                </c:pt>
                <c:pt idx="615">
                  <c:v>2457114.3210499999</c:v>
                </c:pt>
                <c:pt idx="616">
                  <c:v>2457116.9210700002</c:v>
                </c:pt>
                <c:pt idx="617">
                  <c:v>2457157.7617299999</c:v>
                </c:pt>
                <c:pt idx="618">
                  <c:v>2457159.2082799999</c:v>
                </c:pt>
                <c:pt idx="619">
                  <c:v>2457163.2257599998</c:v>
                </c:pt>
                <c:pt idx="620">
                  <c:v>2457164.8844400002</c:v>
                </c:pt>
                <c:pt idx="621">
                  <c:v>2457170.1218900001</c:v>
                </c:pt>
                <c:pt idx="622">
                  <c:v>2457171.1345199998</c:v>
                </c:pt>
                <c:pt idx="623">
                  <c:v>2457186.0510200001</c:v>
                </c:pt>
                <c:pt idx="624">
                  <c:v>2457188.8330700002</c:v>
                </c:pt>
                <c:pt idx="625">
                  <c:v>2457201.1437300001</c:v>
                </c:pt>
                <c:pt idx="626">
                  <c:v>2457213.4049499999</c:v>
                </c:pt>
                <c:pt idx="627">
                  <c:v>2457214.05877</c:v>
                </c:pt>
                <c:pt idx="628">
                  <c:v>2457426.9570499999</c:v>
                </c:pt>
                <c:pt idx="629">
                  <c:v>2457446.5581200002</c:v>
                </c:pt>
                <c:pt idx="630">
                  <c:v>2457452.88106</c:v>
                </c:pt>
                <c:pt idx="631">
                  <c:v>2457454.8764</c:v>
                </c:pt>
                <c:pt idx="632">
                  <c:v>2457459.3603300001</c:v>
                </c:pt>
                <c:pt idx="633">
                  <c:v>2457471.8695200002</c:v>
                </c:pt>
                <c:pt idx="634">
                  <c:v>2457486.7845299998</c:v>
                </c:pt>
                <c:pt idx="635">
                  <c:v>2457489.7782100001</c:v>
                </c:pt>
                <c:pt idx="636">
                  <c:v>2457506.2721299999</c:v>
                </c:pt>
                <c:pt idx="637">
                  <c:v>2457540.88735</c:v>
                </c:pt>
                <c:pt idx="638">
                  <c:v>2457562.66555</c:v>
                </c:pt>
                <c:pt idx="639">
                  <c:v>2457573.3944000001</c:v>
                </c:pt>
                <c:pt idx="640">
                  <c:v>2457582.3977399999</c:v>
                </c:pt>
                <c:pt idx="641">
                  <c:v>2457651.3282499998</c:v>
                </c:pt>
                <c:pt idx="642">
                  <c:v>2457672.2871300001</c:v>
                </c:pt>
                <c:pt idx="643">
                  <c:v>2457784.9704100001</c:v>
                </c:pt>
                <c:pt idx="644">
                  <c:v>2457785.9789800001</c:v>
                </c:pt>
                <c:pt idx="645">
                  <c:v>2457895.4596199999</c:v>
                </c:pt>
                <c:pt idx="646">
                  <c:v>2457896.5148</c:v>
                </c:pt>
                <c:pt idx="647">
                  <c:v>2457904.28859</c:v>
                </c:pt>
                <c:pt idx="648">
                  <c:v>2457977.36858</c:v>
                </c:pt>
                <c:pt idx="649">
                  <c:v>2457977.3687700001</c:v>
                </c:pt>
                <c:pt idx="650">
                  <c:v>2457978.3511800002</c:v>
                </c:pt>
                <c:pt idx="651">
                  <c:v>2457978.3513799999</c:v>
                </c:pt>
                <c:pt idx="652">
                  <c:v>2457991.54734</c:v>
                </c:pt>
                <c:pt idx="653">
                  <c:v>2458007.5923199998</c:v>
                </c:pt>
                <c:pt idx="654">
                  <c:v>2458011.3083899999</c:v>
                </c:pt>
                <c:pt idx="655">
                  <c:v>2458011.5339000002</c:v>
                </c:pt>
                <c:pt idx="656">
                  <c:v>2458011.5368900001</c:v>
                </c:pt>
                <c:pt idx="657">
                  <c:v>2458011.5416299999</c:v>
                </c:pt>
                <c:pt idx="658">
                  <c:v>2458019.5233</c:v>
                </c:pt>
                <c:pt idx="659">
                  <c:v>2458045.4978999998</c:v>
                </c:pt>
                <c:pt idx="660">
                  <c:v>2458048.4728999999</c:v>
                </c:pt>
                <c:pt idx="661">
                  <c:v>2458206.9009500002</c:v>
                </c:pt>
                <c:pt idx="662">
                  <c:v>2458273.8817599998</c:v>
                </c:pt>
                <c:pt idx="663">
                  <c:v>2458316.6847000001</c:v>
                </c:pt>
                <c:pt idx="664">
                  <c:v>2458336.6686999998</c:v>
                </c:pt>
                <c:pt idx="665">
                  <c:v>2458375.5554999998</c:v>
                </c:pt>
                <c:pt idx="666">
                  <c:v>2458377.5888</c:v>
                </c:pt>
                <c:pt idx="667">
                  <c:v>2458408.2797599998</c:v>
                </c:pt>
                <c:pt idx="668">
                  <c:v>2458663.06837</c:v>
                </c:pt>
                <c:pt idx="669">
                  <c:v>2458663.06965</c:v>
                </c:pt>
                <c:pt idx="670">
                  <c:v>2458683.6691700001</c:v>
                </c:pt>
                <c:pt idx="671">
                  <c:v>2458684.6481599999</c:v>
                </c:pt>
                <c:pt idx="672">
                  <c:v>2458692.5565399998</c:v>
                </c:pt>
                <c:pt idx="673">
                  <c:v>2458693.6743000001</c:v>
                </c:pt>
                <c:pt idx="674">
                  <c:v>2458699.5880999998</c:v>
                </c:pt>
                <c:pt idx="675">
                  <c:v>2458701.6118000001</c:v>
                </c:pt>
                <c:pt idx="676">
                  <c:v>2458705.5541599998</c:v>
                </c:pt>
                <c:pt idx="677">
                  <c:v>2458726.5854000002</c:v>
                </c:pt>
                <c:pt idx="678">
                  <c:v>2458727.5306099998</c:v>
                </c:pt>
                <c:pt idx="679">
                  <c:v>2458728.577</c:v>
                </c:pt>
                <c:pt idx="680">
                  <c:v>2458734.5473099998</c:v>
                </c:pt>
                <c:pt idx="681">
                  <c:v>2458735.3253199998</c:v>
                </c:pt>
                <c:pt idx="682">
                  <c:v>2458735.5274800002</c:v>
                </c:pt>
                <c:pt idx="683">
                  <c:v>2458738.5251500001</c:v>
                </c:pt>
                <c:pt idx="684">
                  <c:v>2458757.5104</c:v>
                </c:pt>
                <c:pt idx="685">
                  <c:v>2458785.4722000002</c:v>
                </c:pt>
                <c:pt idx="686">
                  <c:v>2458882.9709100001</c:v>
                </c:pt>
                <c:pt idx="687">
                  <c:v>2458887.9748300002</c:v>
                </c:pt>
                <c:pt idx="688">
                  <c:v>2458888.9606300001</c:v>
                </c:pt>
                <c:pt idx="689">
                  <c:v>2458889.9779500002</c:v>
                </c:pt>
                <c:pt idx="690">
                  <c:v>2458895.9545100001</c:v>
                </c:pt>
                <c:pt idx="691">
                  <c:v>2458904.9652</c:v>
                </c:pt>
                <c:pt idx="692">
                  <c:v>2458921.9440199998</c:v>
                </c:pt>
                <c:pt idx="693">
                  <c:v>2458932.9206400001</c:v>
                </c:pt>
                <c:pt idx="694">
                  <c:v>2458967.91346</c:v>
                </c:pt>
                <c:pt idx="695">
                  <c:v>2458973.9127600002</c:v>
                </c:pt>
                <c:pt idx="696">
                  <c:v>2458974.9091599998</c:v>
                </c:pt>
                <c:pt idx="697">
                  <c:v>2458986.6228999998</c:v>
                </c:pt>
                <c:pt idx="698">
                  <c:v>2458990.9031099998</c:v>
                </c:pt>
                <c:pt idx="699">
                  <c:v>2459004.0649999999</c:v>
                </c:pt>
                <c:pt idx="700">
                  <c:v>2459004.3960000002</c:v>
                </c:pt>
                <c:pt idx="701">
                  <c:v>2459009.0520000001</c:v>
                </c:pt>
                <c:pt idx="702">
                  <c:v>2459010.2400000002</c:v>
                </c:pt>
                <c:pt idx="703">
                  <c:v>2459011.406</c:v>
                </c:pt>
                <c:pt idx="704">
                  <c:v>2459012.3760000002</c:v>
                </c:pt>
                <c:pt idx="705">
                  <c:v>2459019.05583</c:v>
                </c:pt>
                <c:pt idx="706">
                  <c:v>2459019.44625</c:v>
                </c:pt>
                <c:pt idx="707">
                  <c:v>2459020.0970000001</c:v>
                </c:pt>
                <c:pt idx="708">
                  <c:v>2459020.7250100002</c:v>
                </c:pt>
                <c:pt idx="709">
                  <c:v>2459021.5877200002</c:v>
                </c:pt>
                <c:pt idx="710">
                  <c:v>2459026.0929999999</c:v>
                </c:pt>
                <c:pt idx="711">
                  <c:v>2459030.0959999999</c:v>
                </c:pt>
                <c:pt idx="712">
                  <c:v>2459041.1320000002</c:v>
                </c:pt>
                <c:pt idx="713">
                  <c:v>2459052.3960000002</c:v>
                </c:pt>
                <c:pt idx="714">
                  <c:v>2459065.5765499999</c:v>
                </c:pt>
                <c:pt idx="715">
                  <c:v>2459069.4389999998</c:v>
                </c:pt>
                <c:pt idx="716">
                  <c:v>2459072.59424</c:v>
                </c:pt>
                <c:pt idx="717">
                  <c:v>2459072.5950000002</c:v>
                </c:pt>
                <c:pt idx="718">
                  <c:v>2459072.5957599999</c:v>
                </c:pt>
                <c:pt idx="719">
                  <c:v>2459072.5965200001</c:v>
                </c:pt>
                <c:pt idx="720">
                  <c:v>2459072.5972799999</c:v>
                </c:pt>
                <c:pt idx="721">
                  <c:v>2459072.5980500001</c:v>
                </c:pt>
                <c:pt idx="722">
                  <c:v>2459072.7555999998</c:v>
                </c:pt>
                <c:pt idx="723">
                  <c:v>2459078.67472</c:v>
                </c:pt>
                <c:pt idx="724">
                  <c:v>2459078.6754899998</c:v>
                </c:pt>
                <c:pt idx="725">
                  <c:v>2459078.67625</c:v>
                </c:pt>
                <c:pt idx="726">
                  <c:v>2459078.6770100002</c:v>
                </c:pt>
                <c:pt idx="727">
                  <c:v>2459078.6777599999</c:v>
                </c:pt>
                <c:pt idx="728">
                  <c:v>2459078.6785200001</c:v>
                </c:pt>
                <c:pt idx="729">
                  <c:v>2459078.6792799998</c:v>
                </c:pt>
                <c:pt idx="730">
                  <c:v>2459078.6800500001</c:v>
                </c:pt>
                <c:pt idx="731">
                  <c:v>2459078.6808099998</c:v>
                </c:pt>
                <c:pt idx="732">
                  <c:v>2459078.6815599999</c:v>
                </c:pt>
                <c:pt idx="733">
                  <c:v>2459078.6823</c:v>
                </c:pt>
                <c:pt idx="734">
                  <c:v>2459078.6830600002</c:v>
                </c:pt>
                <c:pt idx="735">
                  <c:v>2459078.68383</c:v>
                </c:pt>
                <c:pt idx="736">
                  <c:v>2459078.6845900002</c:v>
                </c:pt>
                <c:pt idx="737">
                  <c:v>2459078.6853399999</c:v>
                </c:pt>
                <c:pt idx="738">
                  <c:v>2459085.6483300002</c:v>
                </c:pt>
                <c:pt idx="739">
                  <c:v>2459085.6491</c:v>
                </c:pt>
                <c:pt idx="740">
                  <c:v>2459085.6498699998</c:v>
                </c:pt>
                <c:pt idx="741">
                  <c:v>2459085.65062</c:v>
                </c:pt>
                <c:pt idx="742">
                  <c:v>2459085.6513700001</c:v>
                </c:pt>
                <c:pt idx="743">
                  <c:v>2459085.6521299998</c:v>
                </c:pt>
                <c:pt idx="744">
                  <c:v>2459085.65289</c:v>
                </c:pt>
                <c:pt idx="745">
                  <c:v>2459085.6538300002</c:v>
                </c:pt>
                <c:pt idx="746">
                  <c:v>2459085.6546299998</c:v>
                </c:pt>
                <c:pt idx="747">
                  <c:v>2459085.6554</c:v>
                </c:pt>
                <c:pt idx="748">
                  <c:v>2459085.6561599998</c:v>
                </c:pt>
                <c:pt idx="749">
                  <c:v>2459085.6569400001</c:v>
                </c:pt>
                <c:pt idx="750">
                  <c:v>2459085.6576899998</c:v>
                </c:pt>
                <c:pt idx="751">
                  <c:v>2459085.6584600001</c:v>
                </c:pt>
                <c:pt idx="752">
                  <c:v>2459085.6592100002</c:v>
                </c:pt>
                <c:pt idx="753">
                  <c:v>2459095.3574799998</c:v>
                </c:pt>
                <c:pt idx="754">
                  <c:v>2459100.3569999998</c:v>
                </c:pt>
                <c:pt idx="755">
                  <c:v>2459111.5095799998</c:v>
                </c:pt>
                <c:pt idx="756">
                  <c:v>2459118.50178</c:v>
                </c:pt>
                <c:pt idx="757">
                  <c:v>2459156.47181</c:v>
                </c:pt>
                <c:pt idx="758">
                  <c:v>2459157.4719699998</c:v>
                </c:pt>
              </c:numCache>
            </c:numRef>
          </c:xVal>
          <c:yVal>
            <c:numRef>
              <c:f>V!$C$1:$C$1022</c:f>
              <c:numCache>
                <c:formatCode>General</c:formatCode>
                <c:ptCount val="1022"/>
                <c:pt idx="0">
                  <c:v>5.35</c:v>
                </c:pt>
                <c:pt idx="1">
                  <c:v>6.2050000000000001</c:v>
                </c:pt>
                <c:pt idx="2">
                  <c:v>6.81</c:v>
                </c:pt>
                <c:pt idx="3">
                  <c:v>7.2</c:v>
                </c:pt>
                <c:pt idx="4">
                  <c:v>7.54</c:v>
                </c:pt>
                <c:pt idx="5">
                  <c:v>7.66</c:v>
                </c:pt>
                <c:pt idx="6">
                  <c:v>11.06</c:v>
                </c:pt>
                <c:pt idx="7">
                  <c:v>11.14</c:v>
                </c:pt>
                <c:pt idx="8">
                  <c:v>11.38</c:v>
                </c:pt>
                <c:pt idx="9">
                  <c:v>11.21</c:v>
                </c:pt>
                <c:pt idx="10">
                  <c:v>11.19</c:v>
                </c:pt>
                <c:pt idx="11">
                  <c:v>11.31</c:v>
                </c:pt>
                <c:pt idx="12">
                  <c:v>11.04</c:v>
                </c:pt>
                <c:pt idx="13">
                  <c:v>11.3</c:v>
                </c:pt>
                <c:pt idx="14">
                  <c:v>10.76</c:v>
                </c:pt>
                <c:pt idx="15">
                  <c:v>10.686667</c:v>
                </c:pt>
                <c:pt idx="16">
                  <c:v>10.5</c:v>
                </c:pt>
                <c:pt idx="17">
                  <c:v>10.74</c:v>
                </c:pt>
                <c:pt idx="18">
                  <c:v>11.01</c:v>
                </c:pt>
                <c:pt idx="19">
                  <c:v>11.08</c:v>
                </c:pt>
                <c:pt idx="20">
                  <c:v>10.77</c:v>
                </c:pt>
                <c:pt idx="21">
                  <c:v>10.92</c:v>
                </c:pt>
                <c:pt idx="22">
                  <c:v>11.175000000000001</c:v>
                </c:pt>
                <c:pt idx="23">
                  <c:v>11.045</c:v>
                </c:pt>
                <c:pt idx="24">
                  <c:v>11.1</c:v>
                </c:pt>
                <c:pt idx="25">
                  <c:v>11.35</c:v>
                </c:pt>
                <c:pt idx="26">
                  <c:v>11.015000000000001</c:v>
                </c:pt>
                <c:pt idx="27">
                  <c:v>11.19</c:v>
                </c:pt>
                <c:pt idx="28">
                  <c:v>11</c:v>
                </c:pt>
                <c:pt idx="29">
                  <c:v>11.26</c:v>
                </c:pt>
                <c:pt idx="30">
                  <c:v>11.205</c:v>
                </c:pt>
                <c:pt idx="31">
                  <c:v>10.96</c:v>
                </c:pt>
                <c:pt idx="32">
                  <c:v>10.95</c:v>
                </c:pt>
                <c:pt idx="33">
                  <c:v>10.755000000000001</c:v>
                </c:pt>
                <c:pt idx="34">
                  <c:v>10.98</c:v>
                </c:pt>
                <c:pt idx="35">
                  <c:v>10.98</c:v>
                </c:pt>
                <c:pt idx="36">
                  <c:v>10.96</c:v>
                </c:pt>
                <c:pt idx="37">
                  <c:v>10.86</c:v>
                </c:pt>
                <c:pt idx="38">
                  <c:v>11.28</c:v>
                </c:pt>
                <c:pt idx="39">
                  <c:v>11.45</c:v>
                </c:pt>
                <c:pt idx="40">
                  <c:v>11.24</c:v>
                </c:pt>
                <c:pt idx="41">
                  <c:v>11.75</c:v>
                </c:pt>
                <c:pt idx="42">
                  <c:v>11.16</c:v>
                </c:pt>
                <c:pt idx="43">
                  <c:v>11.35</c:v>
                </c:pt>
                <c:pt idx="44">
                  <c:v>11.1</c:v>
                </c:pt>
                <c:pt idx="45">
                  <c:v>11.07</c:v>
                </c:pt>
                <c:pt idx="46">
                  <c:v>10.926667</c:v>
                </c:pt>
                <c:pt idx="47">
                  <c:v>11.22</c:v>
                </c:pt>
                <c:pt idx="48">
                  <c:v>11.21</c:v>
                </c:pt>
                <c:pt idx="49">
                  <c:v>11.34</c:v>
                </c:pt>
                <c:pt idx="50">
                  <c:v>11.065</c:v>
                </c:pt>
                <c:pt idx="51">
                  <c:v>11.2</c:v>
                </c:pt>
                <c:pt idx="52">
                  <c:v>11.14</c:v>
                </c:pt>
                <c:pt idx="53">
                  <c:v>11.6</c:v>
                </c:pt>
                <c:pt idx="54">
                  <c:v>11.463333</c:v>
                </c:pt>
                <c:pt idx="55">
                  <c:v>11.3</c:v>
                </c:pt>
                <c:pt idx="56">
                  <c:v>11.3</c:v>
                </c:pt>
                <c:pt idx="57">
                  <c:v>10.88</c:v>
                </c:pt>
                <c:pt idx="58">
                  <c:v>10.82</c:v>
                </c:pt>
                <c:pt idx="59">
                  <c:v>10.826667</c:v>
                </c:pt>
                <c:pt idx="60">
                  <c:v>11.156667000000001</c:v>
                </c:pt>
                <c:pt idx="61">
                  <c:v>10.65</c:v>
                </c:pt>
                <c:pt idx="62">
                  <c:v>10.51</c:v>
                </c:pt>
                <c:pt idx="63">
                  <c:v>10.54</c:v>
                </c:pt>
                <c:pt idx="64">
                  <c:v>10.47</c:v>
                </c:pt>
                <c:pt idx="65">
                  <c:v>10.725</c:v>
                </c:pt>
                <c:pt idx="66">
                  <c:v>10.76</c:v>
                </c:pt>
                <c:pt idx="67">
                  <c:v>10.51</c:v>
                </c:pt>
                <c:pt idx="68">
                  <c:v>10.57</c:v>
                </c:pt>
                <c:pt idx="69">
                  <c:v>10.6</c:v>
                </c:pt>
                <c:pt idx="70">
                  <c:v>10.38</c:v>
                </c:pt>
                <c:pt idx="71">
                  <c:v>10.38</c:v>
                </c:pt>
                <c:pt idx="72">
                  <c:v>10.55</c:v>
                </c:pt>
                <c:pt idx="73">
                  <c:v>10.199999999999999</c:v>
                </c:pt>
                <c:pt idx="74">
                  <c:v>10.45</c:v>
                </c:pt>
                <c:pt idx="75">
                  <c:v>10.36</c:v>
                </c:pt>
                <c:pt idx="76">
                  <c:v>10.199999999999999</c:v>
                </c:pt>
                <c:pt idx="77">
                  <c:v>10.52</c:v>
                </c:pt>
                <c:pt idx="78">
                  <c:v>10.65</c:v>
                </c:pt>
                <c:pt idx="79">
                  <c:v>10.42</c:v>
                </c:pt>
                <c:pt idx="80">
                  <c:v>10.65</c:v>
                </c:pt>
                <c:pt idx="81">
                  <c:v>10.38</c:v>
                </c:pt>
                <c:pt idx="82">
                  <c:v>10.48</c:v>
                </c:pt>
                <c:pt idx="83">
                  <c:v>10.545</c:v>
                </c:pt>
                <c:pt idx="84">
                  <c:v>10.46</c:v>
                </c:pt>
                <c:pt idx="85">
                  <c:v>10.605</c:v>
                </c:pt>
                <c:pt idx="86">
                  <c:v>10.61</c:v>
                </c:pt>
                <c:pt idx="87">
                  <c:v>10.86</c:v>
                </c:pt>
                <c:pt idx="88">
                  <c:v>10.9</c:v>
                </c:pt>
                <c:pt idx="89">
                  <c:v>10.91</c:v>
                </c:pt>
                <c:pt idx="90">
                  <c:v>11.09</c:v>
                </c:pt>
                <c:pt idx="91">
                  <c:v>11.33</c:v>
                </c:pt>
                <c:pt idx="92">
                  <c:v>11.24</c:v>
                </c:pt>
                <c:pt idx="93">
                  <c:v>11.23</c:v>
                </c:pt>
                <c:pt idx="94">
                  <c:v>11.33</c:v>
                </c:pt>
                <c:pt idx="95">
                  <c:v>11.09</c:v>
                </c:pt>
                <c:pt idx="96">
                  <c:v>11.02</c:v>
                </c:pt>
                <c:pt idx="97">
                  <c:v>10.89</c:v>
                </c:pt>
                <c:pt idx="98">
                  <c:v>10.76</c:v>
                </c:pt>
                <c:pt idx="99">
                  <c:v>10.8</c:v>
                </c:pt>
                <c:pt idx="100">
                  <c:v>11.29</c:v>
                </c:pt>
                <c:pt idx="101">
                  <c:v>10.98</c:v>
                </c:pt>
                <c:pt idx="102">
                  <c:v>4.9673109999999996</c:v>
                </c:pt>
                <c:pt idx="103">
                  <c:v>5.5275559999999997</c:v>
                </c:pt>
                <c:pt idx="104">
                  <c:v>6.2402160000000002</c:v>
                </c:pt>
                <c:pt idx="105">
                  <c:v>7.2450000000000001</c:v>
                </c:pt>
                <c:pt idx="106">
                  <c:v>7.3949999999999996</c:v>
                </c:pt>
                <c:pt idx="107">
                  <c:v>7.66</c:v>
                </c:pt>
                <c:pt idx="108">
                  <c:v>7.7249999999999996</c:v>
                </c:pt>
                <c:pt idx="109">
                  <c:v>7.78</c:v>
                </c:pt>
                <c:pt idx="110">
                  <c:v>7.9233330000000004</c:v>
                </c:pt>
                <c:pt idx="111">
                  <c:v>8.0218330000000009</c:v>
                </c:pt>
                <c:pt idx="112">
                  <c:v>8.23</c:v>
                </c:pt>
                <c:pt idx="113">
                  <c:v>8.35</c:v>
                </c:pt>
                <c:pt idx="114">
                  <c:v>8.3887110000000007</c:v>
                </c:pt>
                <c:pt idx="115">
                  <c:v>8.42</c:v>
                </c:pt>
                <c:pt idx="116">
                  <c:v>8.4875000000000007</c:v>
                </c:pt>
                <c:pt idx="117">
                  <c:v>8.66</c:v>
                </c:pt>
                <c:pt idx="118">
                  <c:v>9.1</c:v>
                </c:pt>
                <c:pt idx="119">
                  <c:v>9.1859999999999999</c:v>
                </c:pt>
                <c:pt idx="120">
                  <c:v>9.2100000000000009</c:v>
                </c:pt>
                <c:pt idx="121">
                  <c:v>9.4499999999999993</c:v>
                </c:pt>
                <c:pt idx="122">
                  <c:v>9.6</c:v>
                </c:pt>
                <c:pt idx="123">
                  <c:v>9.6999999999999993</c:v>
                </c:pt>
                <c:pt idx="124">
                  <c:v>9.77</c:v>
                </c:pt>
                <c:pt idx="125">
                  <c:v>9.9</c:v>
                </c:pt>
                <c:pt idx="126">
                  <c:v>9.9</c:v>
                </c:pt>
                <c:pt idx="127">
                  <c:v>10</c:v>
                </c:pt>
                <c:pt idx="128">
                  <c:v>10</c:v>
                </c:pt>
                <c:pt idx="129">
                  <c:v>9.8800000000000008</c:v>
                </c:pt>
                <c:pt idx="130">
                  <c:v>10</c:v>
                </c:pt>
                <c:pt idx="131">
                  <c:v>10.029999999999999</c:v>
                </c:pt>
                <c:pt idx="132">
                  <c:v>10.1</c:v>
                </c:pt>
                <c:pt idx="133">
                  <c:v>10.055</c:v>
                </c:pt>
                <c:pt idx="134">
                  <c:v>10.1</c:v>
                </c:pt>
                <c:pt idx="135">
                  <c:v>10.1</c:v>
                </c:pt>
                <c:pt idx="136">
                  <c:v>10.199999999999999</c:v>
                </c:pt>
                <c:pt idx="137">
                  <c:v>10.244999999999999</c:v>
                </c:pt>
                <c:pt idx="138">
                  <c:v>10.35</c:v>
                </c:pt>
                <c:pt idx="139">
                  <c:v>10.3</c:v>
                </c:pt>
                <c:pt idx="140">
                  <c:v>10.404999999999999</c:v>
                </c:pt>
                <c:pt idx="141">
                  <c:v>10.5</c:v>
                </c:pt>
                <c:pt idx="142">
                  <c:v>10.59</c:v>
                </c:pt>
                <c:pt idx="143">
                  <c:v>10.6</c:v>
                </c:pt>
                <c:pt idx="144">
                  <c:v>10.7</c:v>
                </c:pt>
                <c:pt idx="145">
                  <c:v>11.1</c:v>
                </c:pt>
                <c:pt idx="146">
                  <c:v>11.2</c:v>
                </c:pt>
                <c:pt idx="147">
                  <c:v>11.2</c:v>
                </c:pt>
                <c:pt idx="148">
                  <c:v>11.27</c:v>
                </c:pt>
                <c:pt idx="149">
                  <c:v>11.333333</c:v>
                </c:pt>
                <c:pt idx="150">
                  <c:v>11.4</c:v>
                </c:pt>
                <c:pt idx="151">
                  <c:v>11.47</c:v>
                </c:pt>
                <c:pt idx="152">
                  <c:v>11.55</c:v>
                </c:pt>
                <c:pt idx="153">
                  <c:v>11.6</c:v>
                </c:pt>
                <c:pt idx="154">
                  <c:v>11.6</c:v>
                </c:pt>
                <c:pt idx="155">
                  <c:v>11.55</c:v>
                </c:pt>
                <c:pt idx="156">
                  <c:v>11.5</c:v>
                </c:pt>
                <c:pt idx="157">
                  <c:v>11.48</c:v>
                </c:pt>
                <c:pt idx="158">
                  <c:v>11.5</c:v>
                </c:pt>
                <c:pt idx="159">
                  <c:v>11.5</c:v>
                </c:pt>
                <c:pt idx="160">
                  <c:v>11.54</c:v>
                </c:pt>
                <c:pt idx="161">
                  <c:v>11.6</c:v>
                </c:pt>
                <c:pt idx="162">
                  <c:v>11.7</c:v>
                </c:pt>
                <c:pt idx="163">
                  <c:v>11.94</c:v>
                </c:pt>
                <c:pt idx="164">
                  <c:v>11.965</c:v>
                </c:pt>
                <c:pt idx="165">
                  <c:v>11.95</c:v>
                </c:pt>
                <c:pt idx="166">
                  <c:v>12</c:v>
                </c:pt>
                <c:pt idx="167">
                  <c:v>11.99</c:v>
                </c:pt>
                <c:pt idx="168">
                  <c:v>11.8</c:v>
                </c:pt>
                <c:pt idx="169">
                  <c:v>11.8</c:v>
                </c:pt>
                <c:pt idx="170">
                  <c:v>11.8</c:v>
                </c:pt>
                <c:pt idx="171">
                  <c:v>11.8</c:v>
                </c:pt>
                <c:pt idx="172">
                  <c:v>11.885</c:v>
                </c:pt>
                <c:pt idx="173">
                  <c:v>11.88</c:v>
                </c:pt>
                <c:pt idx="174">
                  <c:v>11.9</c:v>
                </c:pt>
                <c:pt idx="175">
                  <c:v>12</c:v>
                </c:pt>
                <c:pt idx="176">
                  <c:v>12.0875</c:v>
                </c:pt>
                <c:pt idx="177">
                  <c:v>11.862500000000001</c:v>
                </c:pt>
                <c:pt idx="178">
                  <c:v>11.545</c:v>
                </c:pt>
                <c:pt idx="179">
                  <c:v>11.6</c:v>
                </c:pt>
                <c:pt idx="180">
                  <c:v>11.54</c:v>
                </c:pt>
                <c:pt idx="181">
                  <c:v>11.6</c:v>
                </c:pt>
                <c:pt idx="182">
                  <c:v>11.65</c:v>
                </c:pt>
                <c:pt idx="183">
                  <c:v>11.5</c:v>
                </c:pt>
                <c:pt idx="184">
                  <c:v>11.6</c:v>
                </c:pt>
                <c:pt idx="185">
                  <c:v>11.5</c:v>
                </c:pt>
                <c:pt idx="186">
                  <c:v>11.5</c:v>
                </c:pt>
                <c:pt idx="187">
                  <c:v>11.6</c:v>
                </c:pt>
                <c:pt idx="188">
                  <c:v>11.71</c:v>
                </c:pt>
                <c:pt idx="189">
                  <c:v>11.727581000000001</c:v>
                </c:pt>
                <c:pt idx="190">
                  <c:v>11.780628999999999</c:v>
                </c:pt>
                <c:pt idx="191">
                  <c:v>11.783766</c:v>
                </c:pt>
                <c:pt idx="192">
                  <c:v>11.832312</c:v>
                </c:pt>
                <c:pt idx="193">
                  <c:v>11.897347999999999</c:v>
                </c:pt>
                <c:pt idx="194">
                  <c:v>12.112444</c:v>
                </c:pt>
                <c:pt idx="195">
                  <c:v>12.192</c:v>
                </c:pt>
                <c:pt idx="196">
                  <c:v>12.152513000000001</c:v>
                </c:pt>
                <c:pt idx="197">
                  <c:v>12.019333</c:v>
                </c:pt>
                <c:pt idx="198">
                  <c:v>11.963611999999999</c:v>
                </c:pt>
                <c:pt idx="199">
                  <c:v>11.831951</c:v>
                </c:pt>
                <c:pt idx="200">
                  <c:v>11.696320999999999</c:v>
                </c:pt>
                <c:pt idx="201">
                  <c:v>11.593832000000001</c:v>
                </c:pt>
                <c:pt idx="202">
                  <c:v>11.487176</c:v>
                </c:pt>
                <c:pt idx="203">
                  <c:v>11.456965</c:v>
                </c:pt>
                <c:pt idx="204">
                  <c:v>11.448</c:v>
                </c:pt>
                <c:pt idx="205">
                  <c:v>11.443185</c:v>
                </c:pt>
                <c:pt idx="206">
                  <c:v>11.445584999999999</c:v>
                </c:pt>
                <c:pt idx="207">
                  <c:v>11.466804</c:v>
                </c:pt>
                <c:pt idx="208">
                  <c:v>11.4315</c:v>
                </c:pt>
                <c:pt idx="209">
                  <c:v>11.458278</c:v>
                </c:pt>
                <c:pt idx="210">
                  <c:v>11.484477999999999</c:v>
                </c:pt>
                <c:pt idx="211">
                  <c:v>11.503333</c:v>
                </c:pt>
                <c:pt idx="212">
                  <c:v>11.5</c:v>
                </c:pt>
                <c:pt idx="213">
                  <c:v>11.594522</c:v>
                </c:pt>
                <c:pt idx="214">
                  <c:v>11.634258000000001</c:v>
                </c:pt>
                <c:pt idx="215">
                  <c:v>11.5966</c:v>
                </c:pt>
                <c:pt idx="216">
                  <c:v>11.612727</c:v>
                </c:pt>
                <c:pt idx="217">
                  <c:v>11.6135</c:v>
                </c:pt>
                <c:pt idx="218">
                  <c:v>11.55</c:v>
                </c:pt>
                <c:pt idx="219">
                  <c:v>11.4</c:v>
                </c:pt>
                <c:pt idx="220">
                  <c:v>11.6</c:v>
                </c:pt>
                <c:pt idx="221">
                  <c:v>11.75</c:v>
                </c:pt>
                <c:pt idx="222">
                  <c:v>11.654999999999999</c:v>
                </c:pt>
                <c:pt idx="223">
                  <c:v>11.66</c:v>
                </c:pt>
                <c:pt idx="224">
                  <c:v>11.2</c:v>
                </c:pt>
                <c:pt idx="225">
                  <c:v>11.27</c:v>
                </c:pt>
                <c:pt idx="226">
                  <c:v>11.18</c:v>
                </c:pt>
                <c:pt idx="227">
                  <c:v>11.34</c:v>
                </c:pt>
                <c:pt idx="228">
                  <c:v>11.22</c:v>
                </c:pt>
                <c:pt idx="229">
                  <c:v>11.45</c:v>
                </c:pt>
                <c:pt idx="230">
                  <c:v>11.35</c:v>
                </c:pt>
                <c:pt idx="231">
                  <c:v>11.395</c:v>
                </c:pt>
                <c:pt idx="232">
                  <c:v>11.49</c:v>
                </c:pt>
                <c:pt idx="233">
                  <c:v>11.404999999999999</c:v>
                </c:pt>
                <c:pt idx="234">
                  <c:v>11.31</c:v>
                </c:pt>
                <c:pt idx="235">
                  <c:v>11.62</c:v>
                </c:pt>
                <c:pt idx="236">
                  <c:v>11.58</c:v>
                </c:pt>
                <c:pt idx="237">
                  <c:v>11.57</c:v>
                </c:pt>
                <c:pt idx="238">
                  <c:v>11.41</c:v>
                </c:pt>
                <c:pt idx="239">
                  <c:v>11.385</c:v>
                </c:pt>
                <c:pt idx="240">
                  <c:v>11.19</c:v>
                </c:pt>
                <c:pt idx="241">
                  <c:v>11.01</c:v>
                </c:pt>
                <c:pt idx="242">
                  <c:v>11.2</c:v>
                </c:pt>
                <c:pt idx="243">
                  <c:v>11.19</c:v>
                </c:pt>
                <c:pt idx="244">
                  <c:v>11.19</c:v>
                </c:pt>
                <c:pt idx="245">
                  <c:v>11.015000000000001</c:v>
                </c:pt>
                <c:pt idx="246">
                  <c:v>11.185</c:v>
                </c:pt>
                <c:pt idx="247">
                  <c:v>11.125</c:v>
                </c:pt>
                <c:pt idx="248">
                  <c:v>11.04</c:v>
                </c:pt>
                <c:pt idx="249">
                  <c:v>11.02</c:v>
                </c:pt>
                <c:pt idx="250">
                  <c:v>10.98</c:v>
                </c:pt>
                <c:pt idx="251">
                  <c:v>11.05</c:v>
                </c:pt>
                <c:pt idx="252">
                  <c:v>10.975</c:v>
                </c:pt>
                <c:pt idx="253">
                  <c:v>11</c:v>
                </c:pt>
                <c:pt idx="254">
                  <c:v>10.914999999999999</c:v>
                </c:pt>
                <c:pt idx="255">
                  <c:v>10.865</c:v>
                </c:pt>
                <c:pt idx="256">
                  <c:v>11.145</c:v>
                </c:pt>
                <c:pt idx="257">
                  <c:v>10.89</c:v>
                </c:pt>
                <c:pt idx="258">
                  <c:v>10.88</c:v>
                </c:pt>
                <c:pt idx="259">
                  <c:v>10.93</c:v>
                </c:pt>
                <c:pt idx="260">
                  <c:v>10.76</c:v>
                </c:pt>
                <c:pt idx="261">
                  <c:v>10.7</c:v>
                </c:pt>
                <c:pt idx="262">
                  <c:v>10.8</c:v>
                </c:pt>
                <c:pt idx="263">
                  <c:v>11.31</c:v>
                </c:pt>
                <c:pt idx="264">
                  <c:v>11.1</c:v>
                </c:pt>
                <c:pt idx="265">
                  <c:v>10.86</c:v>
                </c:pt>
                <c:pt idx="266">
                  <c:v>11</c:v>
                </c:pt>
                <c:pt idx="267">
                  <c:v>10.67</c:v>
                </c:pt>
                <c:pt idx="268">
                  <c:v>10.52</c:v>
                </c:pt>
                <c:pt idx="269">
                  <c:v>10.81</c:v>
                </c:pt>
                <c:pt idx="270">
                  <c:v>10.87</c:v>
                </c:pt>
                <c:pt idx="271">
                  <c:v>10.484999999999999</c:v>
                </c:pt>
                <c:pt idx="272">
                  <c:v>10.81</c:v>
                </c:pt>
                <c:pt idx="273">
                  <c:v>11.2</c:v>
                </c:pt>
                <c:pt idx="274">
                  <c:v>10.76</c:v>
                </c:pt>
                <c:pt idx="275">
                  <c:v>10.7</c:v>
                </c:pt>
                <c:pt idx="276">
                  <c:v>10.74</c:v>
                </c:pt>
                <c:pt idx="277">
                  <c:v>11</c:v>
                </c:pt>
                <c:pt idx="278">
                  <c:v>10.99</c:v>
                </c:pt>
                <c:pt idx="279">
                  <c:v>11.38</c:v>
                </c:pt>
                <c:pt idx="280">
                  <c:v>11.28</c:v>
                </c:pt>
                <c:pt idx="281">
                  <c:v>11.02</c:v>
                </c:pt>
                <c:pt idx="282">
                  <c:v>11.62</c:v>
                </c:pt>
                <c:pt idx="283">
                  <c:v>11.55</c:v>
                </c:pt>
                <c:pt idx="284">
                  <c:v>11.8</c:v>
                </c:pt>
                <c:pt idx="285">
                  <c:v>11.2</c:v>
                </c:pt>
                <c:pt idx="286">
                  <c:v>10.98</c:v>
                </c:pt>
                <c:pt idx="287">
                  <c:v>11.34</c:v>
                </c:pt>
                <c:pt idx="288">
                  <c:v>10.7</c:v>
                </c:pt>
                <c:pt idx="289">
                  <c:v>11.2</c:v>
                </c:pt>
                <c:pt idx="290">
                  <c:v>10.91</c:v>
                </c:pt>
                <c:pt idx="291">
                  <c:v>10.93</c:v>
                </c:pt>
                <c:pt idx="292">
                  <c:v>11.2</c:v>
                </c:pt>
                <c:pt idx="293">
                  <c:v>11</c:v>
                </c:pt>
                <c:pt idx="294">
                  <c:v>10.85</c:v>
                </c:pt>
                <c:pt idx="295">
                  <c:v>10.95</c:v>
                </c:pt>
                <c:pt idx="296">
                  <c:v>10.84</c:v>
                </c:pt>
                <c:pt idx="297">
                  <c:v>10.62</c:v>
                </c:pt>
                <c:pt idx="298">
                  <c:v>10.78</c:v>
                </c:pt>
                <c:pt idx="299">
                  <c:v>10.96</c:v>
                </c:pt>
                <c:pt idx="300">
                  <c:v>10.856</c:v>
                </c:pt>
                <c:pt idx="301">
                  <c:v>11.01</c:v>
                </c:pt>
                <c:pt idx="302">
                  <c:v>10.73</c:v>
                </c:pt>
                <c:pt idx="303">
                  <c:v>10.74</c:v>
                </c:pt>
                <c:pt idx="304">
                  <c:v>10.641</c:v>
                </c:pt>
                <c:pt idx="305">
                  <c:v>10.82</c:v>
                </c:pt>
                <c:pt idx="306">
                  <c:v>11.071</c:v>
                </c:pt>
                <c:pt idx="307">
                  <c:v>10.8005</c:v>
                </c:pt>
                <c:pt idx="308">
                  <c:v>10.56</c:v>
                </c:pt>
                <c:pt idx="309">
                  <c:v>10.62</c:v>
                </c:pt>
                <c:pt idx="310">
                  <c:v>10.4855</c:v>
                </c:pt>
                <c:pt idx="311">
                  <c:v>10.593999999999999</c:v>
                </c:pt>
                <c:pt idx="312">
                  <c:v>10.4825</c:v>
                </c:pt>
                <c:pt idx="313">
                  <c:v>10.387</c:v>
                </c:pt>
                <c:pt idx="314">
                  <c:v>10.204000000000001</c:v>
                </c:pt>
                <c:pt idx="315">
                  <c:v>10.502000000000001</c:v>
                </c:pt>
                <c:pt idx="316">
                  <c:v>10.608000000000001</c:v>
                </c:pt>
                <c:pt idx="317">
                  <c:v>10.81</c:v>
                </c:pt>
                <c:pt idx="318">
                  <c:v>10.4755</c:v>
                </c:pt>
                <c:pt idx="319">
                  <c:v>10.596</c:v>
                </c:pt>
                <c:pt idx="320">
                  <c:v>10.635999999999999</c:v>
                </c:pt>
                <c:pt idx="321">
                  <c:v>10.698499999999999</c:v>
                </c:pt>
                <c:pt idx="322">
                  <c:v>10.516</c:v>
                </c:pt>
                <c:pt idx="323">
                  <c:v>10.82</c:v>
                </c:pt>
                <c:pt idx="324">
                  <c:v>11</c:v>
                </c:pt>
                <c:pt idx="325">
                  <c:v>10.72</c:v>
                </c:pt>
                <c:pt idx="326">
                  <c:v>11</c:v>
                </c:pt>
                <c:pt idx="327">
                  <c:v>10.65</c:v>
                </c:pt>
                <c:pt idx="328">
                  <c:v>10.599</c:v>
                </c:pt>
                <c:pt idx="329">
                  <c:v>10.96</c:v>
                </c:pt>
                <c:pt idx="330">
                  <c:v>10.766</c:v>
                </c:pt>
                <c:pt idx="331">
                  <c:v>10.61</c:v>
                </c:pt>
                <c:pt idx="332">
                  <c:v>10.79</c:v>
                </c:pt>
                <c:pt idx="333">
                  <c:v>10.47</c:v>
                </c:pt>
                <c:pt idx="334">
                  <c:v>10.67</c:v>
                </c:pt>
                <c:pt idx="335">
                  <c:v>10.82</c:v>
                </c:pt>
                <c:pt idx="336">
                  <c:v>10.959</c:v>
                </c:pt>
                <c:pt idx="337">
                  <c:v>10.888</c:v>
                </c:pt>
                <c:pt idx="338">
                  <c:v>10.581</c:v>
                </c:pt>
                <c:pt idx="339">
                  <c:v>10.97</c:v>
                </c:pt>
                <c:pt idx="340">
                  <c:v>10.67</c:v>
                </c:pt>
                <c:pt idx="341">
                  <c:v>10.59</c:v>
                </c:pt>
                <c:pt idx="342">
                  <c:v>10.78</c:v>
                </c:pt>
                <c:pt idx="343">
                  <c:v>10.804</c:v>
                </c:pt>
                <c:pt idx="344">
                  <c:v>10.84</c:v>
                </c:pt>
                <c:pt idx="345">
                  <c:v>10.68</c:v>
                </c:pt>
                <c:pt idx="346">
                  <c:v>10.86</c:v>
                </c:pt>
                <c:pt idx="347">
                  <c:v>10.94</c:v>
                </c:pt>
                <c:pt idx="348">
                  <c:v>10.8185</c:v>
                </c:pt>
                <c:pt idx="349">
                  <c:v>10.692</c:v>
                </c:pt>
                <c:pt idx="350">
                  <c:v>10.847</c:v>
                </c:pt>
                <c:pt idx="351">
                  <c:v>10.818</c:v>
                </c:pt>
                <c:pt idx="352">
                  <c:v>11.1655</c:v>
                </c:pt>
                <c:pt idx="353">
                  <c:v>11.122</c:v>
                </c:pt>
                <c:pt idx="354">
                  <c:v>11.116</c:v>
                </c:pt>
                <c:pt idx="355">
                  <c:v>11.022</c:v>
                </c:pt>
                <c:pt idx="356">
                  <c:v>10.823</c:v>
                </c:pt>
                <c:pt idx="357">
                  <c:v>10.871</c:v>
                </c:pt>
                <c:pt idx="358">
                  <c:v>10.964</c:v>
                </c:pt>
                <c:pt idx="359">
                  <c:v>10.686999999999999</c:v>
                </c:pt>
                <c:pt idx="360">
                  <c:v>10.882</c:v>
                </c:pt>
                <c:pt idx="361">
                  <c:v>10.878</c:v>
                </c:pt>
                <c:pt idx="362">
                  <c:v>10.803000000000001</c:v>
                </c:pt>
                <c:pt idx="363">
                  <c:v>10.629</c:v>
                </c:pt>
                <c:pt idx="364">
                  <c:v>10.603</c:v>
                </c:pt>
                <c:pt idx="365">
                  <c:v>10.743</c:v>
                </c:pt>
                <c:pt idx="366">
                  <c:v>10.69</c:v>
                </c:pt>
                <c:pt idx="367">
                  <c:v>10.888</c:v>
                </c:pt>
                <c:pt idx="368">
                  <c:v>10.922000000000001</c:v>
                </c:pt>
                <c:pt idx="369">
                  <c:v>11.048</c:v>
                </c:pt>
                <c:pt idx="370">
                  <c:v>10.724</c:v>
                </c:pt>
                <c:pt idx="371">
                  <c:v>11.109</c:v>
                </c:pt>
                <c:pt idx="372">
                  <c:v>10.8</c:v>
                </c:pt>
                <c:pt idx="373">
                  <c:v>11.4</c:v>
                </c:pt>
                <c:pt idx="374">
                  <c:v>11.255000000000001</c:v>
                </c:pt>
                <c:pt idx="375">
                  <c:v>11.486000000000001</c:v>
                </c:pt>
                <c:pt idx="376">
                  <c:v>11.271000000000001</c:v>
                </c:pt>
                <c:pt idx="377">
                  <c:v>10.9955</c:v>
                </c:pt>
                <c:pt idx="378">
                  <c:v>11.015499999999999</c:v>
                </c:pt>
                <c:pt idx="379">
                  <c:v>11.17</c:v>
                </c:pt>
                <c:pt idx="380">
                  <c:v>10.933999999999999</c:v>
                </c:pt>
                <c:pt idx="381">
                  <c:v>11.1</c:v>
                </c:pt>
                <c:pt idx="382">
                  <c:v>10.789</c:v>
                </c:pt>
                <c:pt idx="383">
                  <c:v>11.066750000000001</c:v>
                </c:pt>
                <c:pt idx="384">
                  <c:v>11.0145</c:v>
                </c:pt>
                <c:pt idx="385">
                  <c:v>11.172333</c:v>
                </c:pt>
                <c:pt idx="386">
                  <c:v>10.96</c:v>
                </c:pt>
                <c:pt idx="387">
                  <c:v>10.867667000000001</c:v>
                </c:pt>
                <c:pt idx="388">
                  <c:v>11.172833000000001</c:v>
                </c:pt>
                <c:pt idx="389">
                  <c:v>11.065666999999999</c:v>
                </c:pt>
                <c:pt idx="390">
                  <c:v>10.947333</c:v>
                </c:pt>
                <c:pt idx="391">
                  <c:v>11.154999999999999</c:v>
                </c:pt>
                <c:pt idx="392">
                  <c:v>11.120333</c:v>
                </c:pt>
                <c:pt idx="393">
                  <c:v>11.388999999999999</c:v>
                </c:pt>
                <c:pt idx="394">
                  <c:v>11.180332999999999</c:v>
                </c:pt>
                <c:pt idx="395">
                  <c:v>11.320667</c:v>
                </c:pt>
                <c:pt idx="396">
                  <c:v>10.936166999999999</c:v>
                </c:pt>
                <c:pt idx="397">
                  <c:v>10.890667000000001</c:v>
                </c:pt>
                <c:pt idx="398">
                  <c:v>10.86425</c:v>
                </c:pt>
                <c:pt idx="399">
                  <c:v>10.892666999999999</c:v>
                </c:pt>
                <c:pt idx="400">
                  <c:v>10.725667</c:v>
                </c:pt>
                <c:pt idx="401">
                  <c:v>10.742667000000001</c:v>
                </c:pt>
                <c:pt idx="402">
                  <c:v>11.153</c:v>
                </c:pt>
                <c:pt idx="403">
                  <c:v>10.85</c:v>
                </c:pt>
                <c:pt idx="404">
                  <c:v>11.32</c:v>
                </c:pt>
                <c:pt idx="405">
                  <c:v>11.404999999999999</c:v>
                </c:pt>
                <c:pt idx="406">
                  <c:v>11.58</c:v>
                </c:pt>
                <c:pt idx="407">
                  <c:v>11.635</c:v>
                </c:pt>
                <c:pt idx="408">
                  <c:v>11.212999999999999</c:v>
                </c:pt>
                <c:pt idx="409">
                  <c:v>11.381</c:v>
                </c:pt>
                <c:pt idx="410">
                  <c:v>11.69</c:v>
                </c:pt>
                <c:pt idx="411">
                  <c:v>11.535</c:v>
                </c:pt>
                <c:pt idx="412">
                  <c:v>11.22</c:v>
                </c:pt>
                <c:pt idx="413">
                  <c:v>11.157</c:v>
                </c:pt>
                <c:pt idx="414">
                  <c:v>11.249000000000001</c:v>
                </c:pt>
                <c:pt idx="415">
                  <c:v>11.141500000000001</c:v>
                </c:pt>
                <c:pt idx="416">
                  <c:v>11.27</c:v>
                </c:pt>
                <c:pt idx="417">
                  <c:v>11.03</c:v>
                </c:pt>
                <c:pt idx="418">
                  <c:v>10.988667</c:v>
                </c:pt>
                <c:pt idx="419">
                  <c:v>11.01</c:v>
                </c:pt>
                <c:pt idx="420">
                  <c:v>11.231</c:v>
                </c:pt>
                <c:pt idx="421">
                  <c:v>11.051500000000001</c:v>
                </c:pt>
                <c:pt idx="422">
                  <c:v>11.063499999999999</c:v>
                </c:pt>
                <c:pt idx="423">
                  <c:v>10.93</c:v>
                </c:pt>
                <c:pt idx="424">
                  <c:v>11.041</c:v>
                </c:pt>
                <c:pt idx="425">
                  <c:v>11.103999999999999</c:v>
                </c:pt>
                <c:pt idx="426">
                  <c:v>11.099</c:v>
                </c:pt>
                <c:pt idx="427">
                  <c:v>11.428000000000001</c:v>
                </c:pt>
                <c:pt idx="428">
                  <c:v>11.223000000000001</c:v>
                </c:pt>
                <c:pt idx="429">
                  <c:v>11.297000000000001</c:v>
                </c:pt>
                <c:pt idx="430">
                  <c:v>11.231</c:v>
                </c:pt>
                <c:pt idx="431">
                  <c:v>11.0855</c:v>
                </c:pt>
                <c:pt idx="432">
                  <c:v>10.948</c:v>
                </c:pt>
                <c:pt idx="433">
                  <c:v>10.86</c:v>
                </c:pt>
                <c:pt idx="434">
                  <c:v>11.0885</c:v>
                </c:pt>
                <c:pt idx="435">
                  <c:v>11.221500000000001</c:v>
                </c:pt>
                <c:pt idx="436">
                  <c:v>11.134</c:v>
                </c:pt>
                <c:pt idx="437">
                  <c:v>11.539</c:v>
                </c:pt>
                <c:pt idx="438">
                  <c:v>11.061</c:v>
                </c:pt>
                <c:pt idx="439">
                  <c:v>11.209</c:v>
                </c:pt>
                <c:pt idx="440">
                  <c:v>11.007999999999999</c:v>
                </c:pt>
                <c:pt idx="441">
                  <c:v>11.257</c:v>
                </c:pt>
                <c:pt idx="442">
                  <c:v>10.9542</c:v>
                </c:pt>
                <c:pt idx="443">
                  <c:v>11.355499999999999</c:v>
                </c:pt>
                <c:pt idx="444">
                  <c:v>11.218</c:v>
                </c:pt>
                <c:pt idx="445">
                  <c:v>11.423</c:v>
                </c:pt>
                <c:pt idx="446">
                  <c:v>11.442500000000001</c:v>
                </c:pt>
                <c:pt idx="447">
                  <c:v>11.416499999999999</c:v>
                </c:pt>
                <c:pt idx="448">
                  <c:v>11.292999999999999</c:v>
                </c:pt>
                <c:pt idx="449">
                  <c:v>11.273</c:v>
                </c:pt>
                <c:pt idx="450">
                  <c:v>11.2385</c:v>
                </c:pt>
                <c:pt idx="451">
                  <c:v>11.141500000000001</c:v>
                </c:pt>
                <c:pt idx="452">
                  <c:v>11.301500000000001</c:v>
                </c:pt>
                <c:pt idx="453">
                  <c:v>11.159000000000001</c:v>
                </c:pt>
                <c:pt idx="454">
                  <c:v>11.311</c:v>
                </c:pt>
                <c:pt idx="455">
                  <c:v>11.138</c:v>
                </c:pt>
                <c:pt idx="456">
                  <c:v>11.194000000000001</c:v>
                </c:pt>
                <c:pt idx="457">
                  <c:v>11.272</c:v>
                </c:pt>
                <c:pt idx="458">
                  <c:v>11.193</c:v>
                </c:pt>
                <c:pt idx="459">
                  <c:v>11.287000000000001</c:v>
                </c:pt>
                <c:pt idx="460">
                  <c:v>11.2675</c:v>
                </c:pt>
                <c:pt idx="461">
                  <c:v>11.18</c:v>
                </c:pt>
                <c:pt idx="462">
                  <c:v>11.141667</c:v>
                </c:pt>
                <c:pt idx="463">
                  <c:v>11.172000000000001</c:v>
                </c:pt>
                <c:pt idx="464">
                  <c:v>11.054333</c:v>
                </c:pt>
                <c:pt idx="465">
                  <c:v>11.01</c:v>
                </c:pt>
                <c:pt idx="466">
                  <c:v>10.7</c:v>
                </c:pt>
                <c:pt idx="467">
                  <c:v>11.4</c:v>
                </c:pt>
                <c:pt idx="468">
                  <c:v>11.249000000000001</c:v>
                </c:pt>
                <c:pt idx="469">
                  <c:v>11.55</c:v>
                </c:pt>
                <c:pt idx="470">
                  <c:v>11.6435</c:v>
                </c:pt>
                <c:pt idx="471">
                  <c:v>11.4175</c:v>
                </c:pt>
                <c:pt idx="472">
                  <c:v>11.372999999999999</c:v>
                </c:pt>
                <c:pt idx="473">
                  <c:v>11.539</c:v>
                </c:pt>
                <c:pt idx="474">
                  <c:v>11.49</c:v>
                </c:pt>
                <c:pt idx="475">
                  <c:v>11.577</c:v>
                </c:pt>
                <c:pt idx="476">
                  <c:v>11.271000000000001</c:v>
                </c:pt>
                <c:pt idx="477">
                  <c:v>11.5845</c:v>
                </c:pt>
                <c:pt idx="478">
                  <c:v>11.489000000000001</c:v>
                </c:pt>
                <c:pt idx="479">
                  <c:v>11.321</c:v>
                </c:pt>
                <c:pt idx="480">
                  <c:v>11.407500000000001</c:v>
                </c:pt>
                <c:pt idx="481">
                  <c:v>11.5825</c:v>
                </c:pt>
                <c:pt idx="482">
                  <c:v>11.692</c:v>
                </c:pt>
                <c:pt idx="483">
                  <c:v>11.5655</c:v>
                </c:pt>
                <c:pt idx="484">
                  <c:v>11.672000000000001</c:v>
                </c:pt>
                <c:pt idx="485">
                  <c:v>11.382999999999999</c:v>
                </c:pt>
                <c:pt idx="486">
                  <c:v>11.449</c:v>
                </c:pt>
                <c:pt idx="487">
                  <c:v>11.204000000000001</c:v>
                </c:pt>
                <c:pt idx="488">
                  <c:v>11.523999999999999</c:v>
                </c:pt>
                <c:pt idx="489">
                  <c:v>11.314</c:v>
                </c:pt>
                <c:pt idx="490">
                  <c:v>11.241</c:v>
                </c:pt>
                <c:pt idx="491">
                  <c:v>11.083</c:v>
                </c:pt>
                <c:pt idx="492">
                  <c:v>10.856</c:v>
                </c:pt>
                <c:pt idx="493">
                  <c:v>11.664999999999999</c:v>
                </c:pt>
                <c:pt idx="494">
                  <c:v>11.231999999999999</c:v>
                </c:pt>
                <c:pt idx="495">
                  <c:v>11.247</c:v>
                </c:pt>
                <c:pt idx="496">
                  <c:v>11.186999999999999</c:v>
                </c:pt>
                <c:pt idx="497">
                  <c:v>11.1875</c:v>
                </c:pt>
                <c:pt idx="498">
                  <c:v>10.917999999999999</c:v>
                </c:pt>
                <c:pt idx="499">
                  <c:v>11.254</c:v>
                </c:pt>
                <c:pt idx="500">
                  <c:v>11.3</c:v>
                </c:pt>
                <c:pt idx="501">
                  <c:v>11.186</c:v>
                </c:pt>
                <c:pt idx="502">
                  <c:v>11.009</c:v>
                </c:pt>
                <c:pt idx="503">
                  <c:v>11.067333</c:v>
                </c:pt>
                <c:pt idx="504">
                  <c:v>11.116</c:v>
                </c:pt>
                <c:pt idx="505">
                  <c:v>11.255000000000001</c:v>
                </c:pt>
                <c:pt idx="506">
                  <c:v>11.308999999999999</c:v>
                </c:pt>
                <c:pt idx="507">
                  <c:v>11.521000000000001</c:v>
                </c:pt>
                <c:pt idx="508">
                  <c:v>11.57</c:v>
                </c:pt>
                <c:pt idx="509">
                  <c:v>11.45</c:v>
                </c:pt>
                <c:pt idx="510">
                  <c:v>11.750999999999999</c:v>
                </c:pt>
                <c:pt idx="511">
                  <c:v>11.474500000000001</c:v>
                </c:pt>
                <c:pt idx="512">
                  <c:v>11.56</c:v>
                </c:pt>
                <c:pt idx="513">
                  <c:v>11.574999999999999</c:v>
                </c:pt>
                <c:pt idx="514">
                  <c:v>11.323</c:v>
                </c:pt>
                <c:pt idx="515">
                  <c:v>11.118</c:v>
                </c:pt>
                <c:pt idx="516">
                  <c:v>11.396000000000001</c:v>
                </c:pt>
                <c:pt idx="517">
                  <c:v>11.391500000000001</c:v>
                </c:pt>
                <c:pt idx="518">
                  <c:v>11.255000000000001</c:v>
                </c:pt>
                <c:pt idx="519">
                  <c:v>11.345000000000001</c:v>
                </c:pt>
                <c:pt idx="520">
                  <c:v>11.593999999999999</c:v>
                </c:pt>
                <c:pt idx="521">
                  <c:v>11.75</c:v>
                </c:pt>
                <c:pt idx="522">
                  <c:v>11.28</c:v>
                </c:pt>
                <c:pt idx="523">
                  <c:v>11.333</c:v>
                </c:pt>
                <c:pt idx="524">
                  <c:v>11.044</c:v>
                </c:pt>
                <c:pt idx="525">
                  <c:v>11.278</c:v>
                </c:pt>
                <c:pt idx="526">
                  <c:v>11.06</c:v>
                </c:pt>
                <c:pt idx="527">
                  <c:v>11.52</c:v>
                </c:pt>
                <c:pt idx="528">
                  <c:v>11.125</c:v>
                </c:pt>
                <c:pt idx="529">
                  <c:v>11.065</c:v>
                </c:pt>
                <c:pt idx="530">
                  <c:v>11.284000000000001</c:v>
                </c:pt>
                <c:pt idx="531">
                  <c:v>11.15</c:v>
                </c:pt>
                <c:pt idx="532">
                  <c:v>11.06</c:v>
                </c:pt>
                <c:pt idx="533">
                  <c:v>10.94</c:v>
                </c:pt>
                <c:pt idx="534">
                  <c:v>11.435499999999999</c:v>
                </c:pt>
                <c:pt idx="535">
                  <c:v>11.054</c:v>
                </c:pt>
                <c:pt idx="536">
                  <c:v>11.098000000000001</c:v>
                </c:pt>
                <c:pt idx="537">
                  <c:v>11.278499999999999</c:v>
                </c:pt>
                <c:pt idx="538">
                  <c:v>11.3515</c:v>
                </c:pt>
                <c:pt idx="539">
                  <c:v>11.127000000000001</c:v>
                </c:pt>
                <c:pt idx="540">
                  <c:v>11.17</c:v>
                </c:pt>
                <c:pt idx="541">
                  <c:v>11.1815</c:v>
                </c:pt>
                <c:pt idx="542">
                  <c:v>11.118</c:v>
                </c:pt>
                <c:pt idx="543">
                  <c:v>11.0555</c:v>
                </c:pt>
                <c:pt idx="544">
                  <c:v>11.095000000000001</c:v>
                </c:pt>
                <c:pt idx="545">
                  <c:v>11.096500000000001</c:v>
                </c:pt>
                <c:pt idx="546">
                  <c:v>11.189</c:v>
                </c:pt>
                <c:pt idx="547">
                  <c:v>11.24</c:v>
                </c:pt>
                <c:pt idx="548">
                  <c:v>11.051</c:v>
                </c:pt>
                <c:pt idx="549">
                  <c:v>11.458</c:v>
                </c:pt>
                <c:pt idx="550">
                  <c:v>11.265000000000001</c:v>
                </c:pt>
                <c:pt idx="551">
                  <c:v>11.081</c:v>
                </c:pt>
                <c:pt idx="552">
                  <c:v>11.542999999999999</c:v>
                </c:pt>
                <c:pt idx="553">
                  <c:v>11.214</c:v>
                </c:pt>
                <c:pt idx="554">
                  <c:v>11.411</c:v>
                </c:pt>
                <c:pt idx="555">
                  <c:v>11.3245</c:v>
                </c:pt>
                <c:pt idx="556">
                  <c:v>11.170999999999999</c:v>
                </c:pt>
                <c:pt idx="557">
                  <c:v>11.0915</c:v>
                </c:pt>
                <c:pt idx="558">
                  <c:v>11.31</c:v>
                </c:pt>
                <c:pt idx="559">
                  <c:v>11.063000000000001</c:v>
                </c:pt>
                <c:pt idx="560">
                  <c:v>11.334</c:v>
                </c:pt>
                <c:pt idx="561">
                  <c:v>11.227</c:v>
                </c:pt>
                <c:pt idx="562">
                  <c:v>11.157999999999999</c:v>
                </c:pt>
                <c:pt idx="563">
                  <c:v>10.898</c:v>
                </c:pt>
                <c:pt idx="564">
                  <c:v>11.0335</c:v>
                </c:pt>
                <c:pt idx="565">
                  <c:v>11.271000000000001</c:v>
                </c:pt>
                <c:pt idx="566">
                  <c:v>10.972</c:v>
                </c:pt>
                <c:pt idx="567">
                  <c:v>10.847</c:v>
                </c:pt>
                <c:pt idx="568">
                  <c:v>10.956</c:v>
                </c:pt>
                <c:pt idx="569">
                  <c:v>10.7895</c:v>
                </c:pt>
                <c:pt idx="570">
                  <c:v>10.81</c:v>
                </c:pt>
                <c:pt idx="571">
                  <c:v>10.734999999999999</c:v>
                </c:pt>
                <c:pt idx="572">
                  <c:v>11.095000000000001</c:v>
                </c:pt>
                <c:pt idx="573">
                  <c:v>11.247999999999999</c:v>
                </c:pt>
                <c:pt idx="574">
                  <c:v>11.061999999999999</c:v>
                </c:pt>
                <c:pt idx="575">
                  <c:v>11.298</c:v>
                </c:pt>
                <c:pt idx="576">
                  <c:v>11.147</c:v>
                </c:pt>
                <c:pt idx="577">
                  <c:v>10.971</c:v>
                </c:pt>
                <c:pt idx="578">
                  <c:v>11.118</c:v>
                </c:pt>
                <c:pt idx="579">
                  <c:v>11.116</c:v>
                </c:pt>
                <c:pt idx="580">
                  <c:v>11.3285</c:v>
                </c:pt>
                <c:pt idx="581">
                  <c:v>11.215</c:v>
                </c:pt>
                <c:pt idx="582">
                  <c:v>11.06</c:v>
                </c:pt>
                <c:pt idx="583">
                  <c:v>11.234</c:v>
                </c:pt>
                <c:pt idx="584">
                  <c:v>11.266999999999999</c:v>
                </c:pt>
                <c:pt idx="585">
                  <c:v>11.0825</c:v>
                </c:pt>
                <c:pt idx="586">
                  <c:v>11.195</c:v>
                </c:pt>
                <c:pt idx="587">
                  <c:v>11.016500000000001</c:v>
                </c:pt>
                <c:pt idx="588">
                  <c:v>11.33</c:v>
                </c:pt>
                <c:pt idx="589">
                  <c:v>11.452999999999999</c:v>
                </c:pt>
                <c:pt idx="590">
                  <c:v>11.42</c:v>
                </c:pt>
                <c:pt idx="591">
                  <c:v>11.37</c:v>
                </c:pt>
                <c:pt idx="592">
                  <c:v>11.4015</c:v>
                </c:pt>
                <c:pt idx="593">
                  <c:v>11.391753</c:v>
                </c:pt>
                <c:pt idx="594">
                  <c:v>11.583458</c:v>
                </c:pt>
                <c:pt idx="595">
                  <c:v>11.205</c:v>
                </c:pt>
                <c:pt idx="596">
                  <c:v>11.234</c:v>
                </c:pt>
                <c:pt idx="597">
                  <c:v>11.27</c:v>
                </c:pt>
                <c:pt idx="598">
                  <c:v>11.404999999999999</c:v>
                </c:pt>
                <c:pt idx="599">
                  <c:v>11.547000000000001</c:v>
                </c:pt>
                <c:pt idx="600">
                  <c:v>11.4665</c:v>
                </c:pt>
                <c:pt idx="601">
                  <c:v>11.073</c:v>
                </c:pt>
                <c:pt idx="602">
                  <c:v>11.472</c:v>
                </c:pt>
                <c:pt idx="603">
                  <c:v>11.332000000000001</c:v>
                </c:pt>
                <c:pt idx="604">
                  <c:v>11.113</c:v>
                </c:pt>
                <c:pt idx="605">
                  <c:v>11.175000000000001</c:v>
                </c:pt>
                <c:pt idx="606">
                  <c:v>11.494999999999999</c:v>
                </c:pt>
                <c:pt idx="607">
                  <c:v>11.87</c:v>
                </c:pt>
                <c:pt idx="608">
                  <c:v>11.571</c:v>
                </c:pt>
                <c:pt idx="609">
                  <c:v>11.637</c:v>
                </c:pt>
                <c:pt idx="610">
                  <c:v>11.477</c:v>
                </c:pt>
                <c:pt idx="611">
                  <c:v>11.353999999999999</c:v>
                </c:pt>
                <c:pt idx="612">
                  <c:v>11.414999999999999</c:v>
                </c:pt>
                <c:pt idx="613">
                  <c:v>11.855</c:v>
                </c:pt>
                <c:pt idx="614">
                  <c:v>11.4145</c:v>
                </c:pt>
                <c:pt idx="615">
                  <c:v>11.682499999999999</c:v>
                </c:pt>
                <c:pt idx="616">
                  <c:v>11.349</c:v>
                </c:pt>
                <c:pt idx="617">
                  <c:v>11.263</c:v>
                </c:pt>
                <c:pt idx="618">
                  <c:v>11.349586</c:v>
                </c:pt>
                <c:pt idx="619">
                  <c:v>11.274347000000001</c:v>
                </c:pt>
                <c:pt idx="620">
                  <c:v>11.41</c:v>
                </c:pt>
                <c:pt idx="621">
                  <c:v>11.477931999999999</c:v>
                </c:pt>
                <c:pt idx="622">
                  <c:v>11.403911000000001</c:v>
                </c:pt>
                <c:pt idx="623">
                  <c:v>11.471</c:v>
                </c:pt>
                <c:pt idx="624">
                  <c:v>11.683</c:v>
                </c:pt>
                <c:pt idx="625">
                  <c:v>11.563000000000001</c:v>
                </c:pt>
                <c:pt idx="626">
                  <c:v>11.162096999999999</c:v>
                </c:pt>
                <c:pt idx="627">
                  <c:v>11.251279</c:v>
                </c:pt>
                <c:pt idx="628">
                  <c:v>11.433</c:v>
                </c:pt>
                <c:pt idx="629">
                  <c:v>11.1465</c:v>
                </c:pt>
                <c:pt idx="630">
                  <c:v>11.333</c:v>
                </c:pt>
                <c:pt idx="631">
                  <c:v>10.906000000000001</c:v>
                </c:pt>
                <c:pt idx="632">
                  <c:v>11.272500000000001</c:v>
                </c:pt>
                <c:pt idx="633">
                  <c:v>11.587999999999999</c:v>
                </c:pt>
                <c:pt idx="634">
                  <c:v>11.430999999999999</c:v>
                </c:pt>
                <c:pt idx="635">
                  <c:v>11.372999999999999</c:v>
                </c:pt>
                <c:pt idx="636">
                  <c:v>11.535</c:v>
                </c:pt>
                <c:pt idx="637">
                  <c:v>11.282</c:v>
                </c:pt>
                <c:pt idx="638">
                  <c:v>11.552</c:v>
                </c:pt>
                <c:pt idx="639">
                  <c:v>11.3</c:v>
                </c:pt>
                <c:pt idx="640">
                  <c:v>11.404999999999999</c:v>
                </c:pt>
                <c:pt idx="641">
                  <c:v>11.224</c:v>
                </c:pt>
                <c:pt idx="642">
                  <c:v>11.792999999999999</c:v>
                </c:pt>
                <c:pt idx="643">
                  <c:v>10.881</c:v>
                </c:pt>
                <c:pt idx="644">
                  <c:v>11.016</c:v>
                </c:pt>
                <c:pt idx="645">
                  <c:v>10.999511999999999</c:v>
                </c:pt>
                <c:pt idx="646">
                  <c:v>11.114321</c:v>
                </c:pt>
                <c:pt idx="647">
                  <c:v>10.93375</c:v>
                </c:pt>
                <c:pt idx="648">
                  <c:v>10.624000000000001</c:v>
                </c:pt>
                <c:pt idx="649">
                  <c:v>10.64</c:v>
                </c:pt>
                <c:pt idx="650">
                  <c:v>10.4</c:v>
                </c:pt>
                <c:pt idx="651">
                  <c:v>10.356999999999999</c:v>
                </c:pt>
                <c:pt idx="652">
                  <c:v>10.628</c:v>
                </c:pt>
                <c:pt idx="653">
                  <c:v>10.673999999999999</c:v>
                </c:pt>
                <c:pt idx="654">
                  <c:v>10.657999999999999</c:v>
                </c:pt>
                <c:pt idx="655">
                  <c:v>11.118</c:v>
                </c:pt>
                <c:pt idx="656">
                  <c:v>11.055</c:v>
                </c:pt>
                <c:pt idx="657">
                  <c:v>10.992000000000001</c:v>
                </c:pt>
                <c:pt idx="658">
                  <c:v>10.957000000000001</c:v>
                </c:pt>
                <c:pt idx="659">
                  <c:v>10.781000000000001</c:v>
                </c:pt>
                <c:pt idx="660">
                  <c:v>10.877000000000001</c:v>
                </c:pt>
                <c:pt idx="661">
                  <c:v>11.103999999999999</c:v>
                </c:pt>
                <c:pt idx="662">
                  <c:v>11.029</c:v>
                </c:pt>
                <c:pt idx="663">
                  <c:v>11.015000000000001</c:v>
                </c:pt>
                <c:pt idx="664">
                  <c:v>10.901999999999999</c:v>
                </c:pt>
                <c:pt idx="665">
                  <c:v>10.923999999999999</c:v>
                </c:pt>
                <c:pt idx="666">
                  <c:v>10.942</c:v>
                </c:pt>
                <c:pt idx="667">
                  <c:v>10.702999999999999</c:v>
                </c:pt>
                <c:pt idx="668">
                  <c:v>11.055</c:v>
                </c:pt>
                <c:pt idx="669">
                  <c:v>11.074999999999999</c:v>
                </c:pt>
                <c:pt idx="670">
                  <c:v>10.692</c:v>
                </c:pt>
                <c:pt idx="671">
                  <c:v>10.678000000000001</c:v>
                </c:pt>
                <c:pt idx="672">
                  <c:v>11.005000000000001</c:v>
                </c:pt>
                <c:pt idx="673">
                  <c:v>11.15</c:v>
                </c:pt>
                <c:pt idx="674">
                  <c:v>10.939</c:v>
                </c:pt>
                <c:pt idx="675">
                  <c:v>10.962</c:v>
                </c:pt>
                <c:pt idx="676">
                  <c:v>10.574</c:v>
                </c:pt>
                <c:pt idx="677">
                  <c:v>10.682</c:v>
                </c:pt>
                <c:pt idx="678">
                  <c:v>10.888999999999999</c:v>
                </c:pt>
                <c:pt idx="679">
                  <c:v>10.771000000000001</c:v>
                </c:pt>
                <c:pt idx="680">
                  <c:v>10.227</c:v>
                </c:pt>
                <c:pt idx="681">
                  <c:v>10.401</c:v>
                </c:pt>
                <c:pt idx="682">
                  <c:v>10.538</c:v>
                </c:pt>
                <c:pt idx="683">
                  <c:v>10.856999999999999</c:v>
                </c:pt>
                <c:pt idx="684">
                  <c:v>10.638999999999999</c:v>
                </c:pt>
                <c:pt idx="685">
                  <c:v>10.913</c:v>
                </c:pt>
                <c:pt idx="686">
                  <c:v>10.502000000000001</c:v>
                </c:pt>
                <c:pt idx="687">
                  <c:v>10.581</c:v>
                </c:pt>
                <c:pt idx="688">
                  <c:v>10.6</c:v>
                </c:pt>
                <c:pt idx="689">
                  <c:v>10.429</c:v>
                </c:pt>
                <c:pt idx="690">
                  <c:v>10.571</c:v>
                </c:pt>
                <c:pt idx="691">
                  <c:v>10.625999999999999</c:v>
                </c:pt>
                <c:pt idx="692">
                  <c:v>10.526999999999999</c:v>
                </c:pt>
                <c:pt idx="693">
                  <c:v>11.009</c:v>
                </c:pt>
                <c:pt idx="694">
                  <c:v>10.394</c:v>
                </c:pt>
                <c:pt idx="695">
                  <c:v>10.574</c:v>
                </c:pt>
                <c:pt idx="696">
                  <c:v>10.542</c:v>
                </c:pt>
                <c:pt idx="697">
                  <c:v>10.920999999999999</c:v>
                </c:pt>
                <c:pt idx="698">
                  <c:v>10.669</c:v>
                </c:pt>
                <c:pt idx="699">
                  <c:v>10.923999999999999</c:v>
                </c:pt>
                <c:pt idx="700">
                  <c:v>10.771000000000001</c:v>
                </c:pt>
                <c:pt idx="701">
                  <c:v>11.079000000000001</c:v>
                </c:pt>
                <c:pt idx="702">
                  <c:v>11.128</c:v>
                </c:pt>
                <c:pt idx="703">
                  <c:v>10.948</c:v>
                </c:pt>
                <c:pt idx="704">
                  <c:v>10.737</c:v>
                </c:pt>
                <c:pt idx="705">
                  <c:v>10.587999999999999</c:v>
                </c:pt>
                <c:pt idx="706">
                  <c:v>10.714</c:v>
                </c:pt>
                <c:pt idx="707">
                  <c:v>10.680999999999999</c:v>
                </c:pt>
                <c:pt idx="708">
                  <c:v>10.827999999999999</c:v>
                </c:pt>
                <c:pt idx="709">
                  <c:v>10.879</c:v>
                </c:pt>
                <c:pt idx="710">
                  <c:v>10.978999999999999</c:v>
                </c:pt>
                <c:pt idx="711">
                  <c:v>10.757</c:v>
                </c:pt>
                <c:pt idx="712">
                  <c:v>10.91</c:v>
                </c:pt>
                <c:pt idx="713">
                  <c:v>10.85</c:v>
                </c:pt>
                <c:pt idx="714">
                  <c:v>10.647</c:v>
                </c:pt>
                <c:pt idx="715">
                  <c:v>10.81</c:v>
                </c:pt>
                <c:pt idx="716">
                  <c:v>10.743399999999999</c:v>
                </c:pt>
                <c:pt idx="717">
                  <c:v>10.7713</c:v>
                </c:pt>
                <c:pt idx="718">
                  <c:v>10.758100000000001</c:v>
                </c:pt>
                <c:pt idx="719">
                  <c:v>10.7684</c:v>
                </c:pt>
                <c:pt idx="720">
                  <c:v>10.7599</c:v>
                </c:pt>
                <c:pt idx="721">
                  <c:v>10.8064</c:v>
                </c:pt>
                <c:pt idx="722">
                  <c:v>10.6</c:v>
                </c:pt>
                <c:pt idx="723">
                  <c:v>11.1022</c:v>
                </c:pt>
                <c:pt idx="724">
                  <c:v>11.0853</c:v>
                </c:pt>
                <c:pt idx="725">
                  <c:v>11.100199999999999</c:v>
                </c:pt>
                <c:pt idx="726">
                  <c:v>11.144299999999999</c:v>
                </c:pt>
                <c:pt idx="727">
                  <c:v>11.1546</c:v>
                </c:pt>
                <c:pt idx="728">
                  <c:v>11.182499999999999</c:v>
                </c:pt>
                <c:pt idx="729">
                  <c:v>11.095599999999999</c:v>
                </c:pt>
                <c:pt idx="730">
                  <c:v>11.0951</c:v>
                </c:pt>
                <c:pt idx="731">
                  <c:v>11.0845</c:v>
                </c:pt>
                <c:pt idx="732">
                  <c:v>11.061400000000001</c:v>
                </c:pt>
                <c:pt idx="733">
                  <c:v>11.1526</c:v>
                </c:pt>
                <c:pt idx="734">
                  <c:v>11.065099999999999</c:v>
                </c:pt>
                <c:pt idx="735">
                  <c:v>11.0983</c:v>
                </c:pt>
                <c:pt idx="736">
                  <c:v>11.0932</c:v>
                </c:pt>
                <c:pt idx="737">
                  <c:v>11.0602</c:v>
                </c:pt>
                <c:pt idx="738">
                  <c:v>10.8771</c:v>
                </c:pt>
                <c:pt idx="739">
                  <c:v>10.869199999999999</c:v>
                </c:pt>
                <c:pt idx="740">
                  <c:v>10.840199999999999</c:v>
                </c:pt>
                <c:pt idx="741">
                  <c:v>10.811299999999999</c:v>
                </c:pt>
                <c:pt idx="742">
                  <c:v>10.831799999999999</c:v>
                </c:pt>
                <c:pt idx="743">
                  <c:v>10.848000000000001</c:v>
                </c:pt>
                <c:pt idx="744">
                  <c:v>10.8169</c:v>
                </c:pt>
                <c:pt idx="745">
                  <c:v>10.803699999999999</c:v>
                </c:pt>
                <c:pt idx="746">
                  <c:v>10.7493</c:v>
                </c:pt>
                <c:pt idx="747">
                  <c:v>10.770300000000001</c:v>
                </c:pt>
                <c:pt idx="748">
                  <c:v>10.8194</c:v>
                </c:pt>
                <c:pt idx="749">
                  <c:v>10.842000000000001</c:v>
                </c:pt>
                <c:pt idx="750">
                  <c:v>10.8238</c:v>
                </c:pt>
                <c:pt idx="751">
                  <c:v>10.8438</c:v>
                </c:pt>
                <c:pt idx="752">
                  <c:v>10.7904</c:v>
                </c:pt>
                <c:pt idx="753">
                  <c:v>10.827999999999999</c:v>
                </c:pt>
                <c:pt idx="754">
                  <c:v>10.78</c:v>
                </c:pt>
                <c:pt idx="755">
                  <c:v>11.05</c:v>
                </c:pt>
                <c:pt idx="756">
                  <c:v>10.78</c:v>
                </c:pt>
                <c:pt idx="757">
                  <c:v>11.085000000000001</c:v>
                </c:pt>
                <c:pt idx="758">
                  <c:v>10.651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B-4D22-868E-1D5DA813970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dPt>
            <c:idx val="58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3FB-4D22-868E-1D5DA813970E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3FB-4D22-868E-1D5DA813970E}"/>
              </c:ext>
            </c:extLst>
          </c:dPt>
          <c:xVal>
            <c:numRef>
              <c:f>Index!#REF!</c:f>
            </c:numRef>
          </c:xVal>
          <c:yVal>
            <c:numRef>
              <c:f>Index!#REF!</c:f>
              <c:numCache>
                <c:formatCode>General</c:formatCode>
                <c:ptCount val="15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B-4D22-868E-1D5DA813970E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Index!$J$16:$J$17</c:f>
              <c:numCache>
                <c:formatCode>General</c:formatCode>
                <c:ptCount val="2"/>
              </c:numCache>
            </c:numRef>
          </c:xVal>
          <c:yVal>
            <c:numRef>
              <c:f>Index!$K$16:$K$17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B-4D22-868E-1D5DA8139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87768"/>
        <c:axId val="539588552"/>
      </c:scatterChart>
      <c:valAx>
        <c:axId val="539587768"/>
        <c:scaling>
          <c:orientation val="minMax"/>
          <c:max val="2457380"/>
          <c:min val="24571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552"/>
        <c:crosses val="max"/>
        <c:crossBetween val="midCat"/>
        <c:majorUnit val="30"/>
      </c:valAx>
      <c:valAx>
        <c:axId val="539588552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77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2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3]Feuil1!$A$1" fmlaRange="[3]Feuil1!$B$3:$B$6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2</xdr:row>
      <xdr:rowOff>0</xdr:rowOff>
    </xdr:from>
    <xdr:to>
      <xdr:col>11</xdr:col>
      <xdr:colOff>190500</xdr:colOff>
      <xdr:row>13</xdr:row>
      <xdr:rowOff>133350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11</xdr:col>
      <xdr:colOff>9525</xdr:colOff>
      <xdr:row>20</xdr:row>
      <xdr:rowOff>180975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85725</xdr:colOff>
      <xdr:row>14</xdr:row>
      <xdr:rowOff>161925</xdr:rowOff>
    </xdr:from>
    <xdr:to>
      <xdr:col>4</xdr:col>
      <xdr:colOff>95250</xdr:colOff>
      <xdr:row>15</xdr:row>
      <xdr:rowOff>66675</xdr:rowOff>
    </xdr:to>
    <xdr:cxnSp macro="">
      <xdr:nvCxnSpPr>
        <xdr:cNvPr id="4" name="Connecteur droi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2371725" y="2828925"/>
          <a:ext cx="771525" cy="95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</xdr:row>
      <xdr:rowOff>180975</xdr:rowOff>
    </xdr:from>
    <xdr:to>
      <xdr:col>4</xdr:col>
      <xdr:colOff>647700</xdr:colOff>
      <xdr:row>14</xdr:row>
      <xdr:rowOff>161925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3133725" y="1133475"/>
          <a:ext cx="561975" cy="1695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647700</xdr:colOff>
      <xdr:row>5</xdr:row>
      <xdr:rowOff>180975</xdr:rowOff>
    </xdr:from>
    <xdr:to>
      <xdr:col>7</xdr:col>
      <xdr:colOff>723900</xdr:colOff>
      <xdr:row>12</xdr:row>
      <xdr:rowOff>85725</xdr:rowOff>
    </xdr:to>
    <xdr:sp macro="" textlink="">
      <xdr:nvSpPr>
        <xdr:cNvPr id="8" name="Forme lib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5700" y="1133475"/>
          <a:ext cx="2362200" cy="1238250"/>
        </a:xfrm>
        <a:custGeom>
          <a:avLst/>
          <a:gdLst>
            <a:gd name="connsiteX0" fmla="*/ 0 w 2362200"/>
            <a:gd name="connsiteY0" fmla="*/ 0 h 1238250"/>
            <a:gd name="connsiteX1" fmla="*/ 714375 w 2362200"/>
            <a:gd name="connsiteY1" fmla="*/ 619125 h 1238250"/>
            <a:gd name="connsiteX2" fmla="*/ 1304925 w 2362200"/>
            <a:gd name="connsiteY2" fmla="*/ 962025 h 1238250"/>
            <a:gd name="connsiteX3" fmla="*/ 2362200 w 2362200"/>
            <a:gd name="connsiteY3" fmla="*/ 1238250 h 1238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362200" h="1238250">
              <a:moveTo>
                <a:pt x="0" y="0"/>
              </a:moveTo>
              <a:cubicBezTo>
                <a:pt x="248444" y="229394"/>
                <a:pt x="496888" y="458788"/>
                <a:pt x="714375" y="619125"/>
              </a:cubicBezTo>
              <a:cubicBezTo>
                <a:pt x="931862" y="779462"/>
                <a:pt x="1030288" y="858838"/>
                <a:pt x="1304925" y="962025"/>
              </a:cubicBezTo>
              <a:cubicBezTo>
                <a:pt x="1579562" y="1065212"/>
                <a:pt x="1970881" y="1151731"/>
                <a:pt x="2362200" y="123825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11</xdr:col>
      <xdr:colOff>9525</xdr:colOff>
      <xdr:row>40</xdr:row>
      <xdr:rowOff>180975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0.69413</cdr:x>
      <cdr:y>0.36412</cdr:y>
    </cdr:from>
    <cdr:to>
      <cdr:x>0.71411</cdr:x>
      <cdr:y>0.55409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CD5D3362-2D7F-40DD-877F-4475CB23F235}"/>
            </a:ext>
          </a:extLst>
        </cdr:cNvPr>
        <cdr:cNvCxnSpPr/>
      </cdr:nvCxnSpPr>
      <cdr:spPr>
        <a:xfrm xmlns:a="http://schemas.openxmlformats.org/drawingml/2006/main" flipV="1">
          <a:off x="5295900" y="1314450"/>
          <a:ext cx="152400" cy="685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0.7166</cdr:x>
      <cdr:y>0.3562</cdr:y>
    </cdr:from>
    <cdr:to>
      <cdr:x>0.83521</cdr:x>
      <cdr:y>0.40106</cdr:y>
    </cdr:to>
    <cdr:cxnSp macro="">
      <cdr:nvCxnSpPr>
        <cdr:cNvPr id="5" name="Connecteur droit 4">
          <a:extLst xmlns:a="http://schemas.openxmlformats.org/drawingml/2006/main">
            <a:ext uri="{FF2B5EF4-FFF2-40B4-BE49-F238E27FC236}">
              <a16:creationId xmlns:a16="http://schemas.microsoft.com/office/drawing/2014/main" id="{477BD66A-2593-45E7-ADD2-6FE40F92FB53}"/>
            </a:ext>
          </a:extLst>
        </cdr:cNvPr>
        <cdr:cNvCxnSpPr/>
      </cdr:nvCxnSpPr>
      <cdr:spPr>
        <a:xfrm xmlns:a="http://schemas.openxmlformats.org/drawingml/2006/main">
          <a:off x="5467350" y="1285875"/>
          <a:ext cx="904875" cy="16192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0.83521</cdr:x>
      <cdr:y>0.39314</cdr:y>
    </cdr:from>
    <cdr:to>
      <cdr:x>0.93009</cdr:x>
      <cdr:y>0.53562</cdr:y>
    </cdr:to>
    <cdr:sp macro="" textlink="">
      <cdr:nvSpPr>
        <cdr:cNvPr id="7" name="Forme libre 6">
          <a:extLst xmlns:a="http://schemas.openxmlformats.org/drawingml/2006/main">
            <a:ext uri="{FF2B5EF4-FFF2-40B4-BE49-F238E27FC236}">
              <a16:creationId xmlns:a16="http://schemas.microsoft.com/office/drawing/2014/main" id="{3E56497F-AF46-482C-A0AB-9B662B9EF196}"/>
            </a:ext>
          </a:extLst>
        </cdr:cNvPr>
        <cdr:cNvSpPr/>
      </cdr:nvSpPr>
      <cdr:spPr>
        <a:xfrm xmlns:a="http://schemas.openxmlformats.org/drawingml/2006/main">
          <a:off x="6372225" y="1419225"/>
          <a:ext cx="723900" cy="514350"/>
        </a:xfrm>
        <a:custGeom xmlns:a="http://schemas.openxmlformats.org/drawingml/2006/main">
          <a:avLst/>
          <a:gdLst>
            <a:gd name="connsiteX0" fmla="*/ 0 w 723900"/>
            <a:gd name="connsiteY0" fmla="*/ 0 h 514350"/>
            <a:gd name="connsiteX1" fmla="*/ 466725 w 723900"/>
            <a:gd name="connsiteY1" fmla="*/ 390525 h 514350"/>
            <a:gd name="connsiteX2" fmla="*/ 723900 w 723900"/>
            <a:gd name="connsiteY2" fmla="*/ 514350 h 514350"/>
            <a:gd name="connsiteX3" fmla="*/ 723900 w 723900"/>
            <a:gd name="connsiteY3" fmla="*/ 514350 h 514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23900" h="514350">
              <a:moveTo>
                <a:pt x="0" y="0"/>
              </a:moveTo>
              <a:cubicBezTo>
                <a:pt x="173037" y="152400"/>
                <a:pt x="346075" y="304800"/>
                <a:pt x="466725" y="390525"/>
              </a:cubicBezTo>
              <a:cubicBezTo>
                <a:pt x="587375" y="476250"/>
                <a:pt x="723900" y="514350"/>
                <a:pt x="723900" y="514350"/>
              </a:cubicBezTo>
              <a:lnTo>
                <a:pt x="723900" y="51435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ySt_Orb"/>
      <sheetName val="Refs"/>
      <sheetName val="Phase"/>
      <sheetName val="Ext"/>
      <sheetName val="d"/>
      <sheetName val="CS"/>
      <sheetName val="Ref"/>
      <sheetName val="Feuil1"/>
      <sheetName val="Feuil3"/>
      <sheetName val="Hot"/>
    </sheetNames>
    <sheetDataSet>
      <sheetData sheetId="0"/>
      <sheetData sheetId="1">
        <row r="29">
          <cell r="Q29">
            <v>2457275</v>
          </cell>
        </row>
        <row r="30">
          <cell r="Q30">
            <v>42256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1">
          <cell r="B11" t="str">
            <v>#</v>
          </cell>
          <cell r="C11" t="str">
            <v>Date</v>
          </cell>
          <cell r="D11" t="str">
            <v>Time (UT)</v>
          </cell>
          <cell r="E11" t="str">
            <v>J.D. mid</v>
          </cell>
          <cell r="F11" t="str">
            <v>Observer</v>
          </cell>
          <cell r="G11" t="str">
            <v>Site</v>
          </cell>
          <cell r="H11" t="str">
            <v>Instrument</v>
          </cell>
          <cell r="I11" t="str">
            <v>Resolution</v>
          </cell>
          <cell r="J11" t="str">
            <v>R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13">
          <cell r="B13">
            <v>1</v>
          </cell>
          <cell r="C13">
            <v>40625</v>
          </cell>
          <cell r="D13">
            <v>0.10224537037037036</v>
          </cell>
          <cell r="E13">
            <v>2455643.1022453704</v>
          </cell>
          <cell r="F13" t="str">
            <v>BUI</v>
          </cell>
          <cell r="G13" t="str">
            <v>CAS-FR</v>
          </cell>
          <cell r="H13" t="str">
            <v>C11LisaQSI583</v>
          </cell>
          <cell r="I13">
            <v>1000</v>
          </cell>
          <cell r="J13"/>
          <cell r="K13"/>
        </row>
        <row r="14">
          <cell r="B14">
            <v>2</v>
          </cell>
          <cell r="C14">
            <v>40727</v>
          </cell>
          <cell r="D14">
            <v>0.89814814814814825</v>
          </cell>
          <cell r="E14">
            <v>2455745.8981481483</v>
          </cell>
          <cell r="F14" t="str">
            <v xml:space="preserve">FMT </v>
          </cell>
          <cell r="G14" t="str">
            <v>ORS-FR</v>
          </cell>
          <cell r="H14" t="str">
            <v>SC10+Lisa</v>
          </cell>
          <cell r="I14">
            <v>1000</v>
          </cell>
          <cell r="J14"/>
          <cell r="K14"/>
        </row>
        <row r="15">
          <cell r="B15">
            <v>3</v>
          </cell>
          <cell r="C15">
            <v>40759</v>
          </cell>
          <cell r="D15">
            <v>0.95969907407407407</v>
          </cell>
          <cell r="E15">
            <v>2455777.9596990743</v>
          </cell>
          <cell r="F15" t="str">
            <v>BUI</v>
          </cell>
          <cell r="G15" t="str">
            <v>OHP-FR</v>
          </cell>
          <cell r="H15" t="str">
            <v>SC11+Lisa+Atik314</v>
          </cell>
          <cell r="I15">
            <v>1000</v>
          </cell>
          <cell r="J15"/>
          <cell r="K15"/>
        </row>
        <row r="16">
          <cell r="B16">
            <v>4</v>
          </cell>
          <cell r="C16">
            <v>41086</v>
          </cell>
          <cell r="D16">
            <v>0.92503472222222216</v>
          </cell>
          <cell r="E16">
            <v>2456105.4372999999</v>
          </cell>
          <cell r="F16" t="str">
            <v>BUI</v>
          </cell>
          <cell r="G16" t="str">
            <v>CAS-FR</v>
          </cell>
          <cell r="H16" t="str">
            <v>SC11+Lisa+Atik314</v>
          </cell>
          <cell r="I16">
            <v>1000</v>
          </cell>
          <cell r="J16"/>
          <cell r="K16"/>
        </row>
        <row r="17">
          <cell r="B17">
            <v>5</v>
          </cell>
          <cell r="C17">
            <v>41487</v>
          </cell>
          <cell r="D17">
            <v>0.9084374999999999</v>
          </cell>
          <cell r="E17">
            <v>2456506.4295999999</v>
          </cell>
          <cell r="F17" t="str">
            <v xml:space="preserve">FMT </v>
          </cell>
          <cell r="G17" t="str">
            <v>ORS-FR</v>
          </cell>
          <cell r="H17" t="str">
            <v>SC10+Lisa+ATIK46EX</v>
          </cell>
          <cell r="I17">
            <v>824</v>
          </cell>
          <cell r="J17"/>
          <cell r="K17"/>
        </row>
        <row r="18">
          <cell r="B18">
            <v>6</v>
          </cell>
          <cell r="C18">
            <v>41489</v>
          </cell>
          <cell r="D18">
            <v>0.86436342592592597</v>
          </cell>
          <cell r="E18">
            <v>2456508.3807999999</v>
          </cell>
          <cell r="F18" t="str">
            <v>BUI</v>
          </cell>
          <cell r="G18" t="str">
            <v>OHP-FR</v>
          </cell>
          <cell r="H18" t="str">
            <v>CN212Alpy600ATIK6</v>
          </cell>
          <cell r="I18">
            <v>582</v>
          </cell>
          <cell r="J18"/>
          <cell r="K18"/>
        </row>
        <row r="19">
          <cell r="B19">
            <v>7</v>
          </cell>
          <cell r="C19">
            <v>41735</v>
          </cell>
          <cell r="D19">
            <v>8.9085648148148136E-2</v>
          </cell>
          <cell r="E19">
            <v>2456753.6017999998</v>
          </cell>
          <cell r="F19" t="str">
            <v>JPM</v>
          </cell>
          <cell r="G19" t="str">
            <v>OHP-FR</v>
          </cell>
          <cell r="H19" t="str">
            <v>Alpy+Newton200</v>
          </cell>
          <cell r="I19">
            <v>441</v>
          </cell>
          <cell r="J19"/>
          <cell r="K19"/>
        </row>
        <row r="20">
          <cell r="B20">
            <v>8</v>
          </cell>
          <cell r="C20">
            <v>41793</v>
          </cell>
          <cell r="D20">
            <v>0.51765046296296291</v>
          </cell>
          <cell r="E20">
            <v>2456812.0281000002</v>
          </cell>
          <cell r="F20" t="str">
            <v>BHQ</v>
          </cell>
          <cell r="G20" t="str">
            <v>ARM-US</v>
          </cell>
          <cell r="H20" t="str">
            <v>LisaC11Atik314L+</v>
          </cell>
          <cell r="I20">
            <v>1351</v>
          </cell>
          <cell r="J20"/>
          <cell r="K20"/>
        </row>
        <row r="21">
          <cell r="B21">
            <v>9</v>
          </cell>
          <cell r="C21">
            <v>41793</v>
          </cell>
          <cell r="D21">
            <v>0.51765046296296291</v>
          </cell>
          <cell r="E21">
            <v>2456812.0281000002</v>
          </cell>
          <cell r="F21" t="str">
            <v>BHQ</v>
          </cell>
          <cell r="G21" t="str">
            <v>ARM_US</v>
          </cell>
          <cell r="H21" t="str">
            <v>LisaC11Atik314L+</v>
          </cell>
          <cell r="I21">
            <v>1351</v>
          </cell>
          <cell r="J21"/>
          <cell r="K21"/>
        </row>
        <row r="22">
          <cell r="B22">
            <v>10</v>
          </cell>
          <cell r="C22">
            <v>41844</v>
          </cell>
          <cell r="D22">
            <v>0.921412037037037</v>
          </cell>
          <cell r="E22">
            <v>2456863.4471</v>
          </cell>
          <cell r="F22" t="str">
            <v>DBO</v>
          </cell>
          <cell r="G22" t="str">
            <v>WCO-UK</v>
          </cell>
          <cell r="H22" t="str">
            <v>C11+Lisa+SXVR-H694</v>
          </cell>
          <cell r="I22">
            <v>870</v>
          </cell>
          <cell r="J22"/>
          <cell r="K22"/>
        </row>
        <row r="23">
          <cell r="B23">
            <v>11</v>
          </cell>
          <cell r="C23">
            <v>42174</v>
          </cell>
          <cell r="D23">
            <v>0.65353009259259254</v>
          </cell>
          <cell r="E23">
            <v>2457193.1743999999</v>
          </cell>
          <cell r="F23" t="str">
            <v xml:space="preserve">DLI </v>
          </cell>
          <cell r="G23" t="str">
            <v>JAD-CN</v>
          </cell>
          <cell r="H23" t="str">
            <v>C11Lhires3-2400_2x</v>
          </cell>
          <cell r="I23">
            <v>18963</v>
          </cell>
          <cell r="J23"/>
          <cell r="K23"/>
        </row>
        <row r="24">
          <cell r="B24">
            <v>12</v>
          </cell>
          <cell r="C24">
            <v>42183</v>
          </cell>
          <cell r="D24">
            <v>0.88900462962962967</v>
          </cell>
          <cell r="E24">
            <v>2457202.4238</v>
          </cell>
          <cell r="F24" t="str">
            <v>JGF</v>
          </cell>
          <cell r="G24" t="str">
            <v>SMM-SP</v>
          </cell>
          <cell r="H24" t="str">
            <v>16REMOTATIK460EX</v>
          </cell>
          <cell r="I24">
            <v>887</v>
          </cell>
          <cell r="J24"/>
          <cell r="K24"/>
        </row>
        <row r="25">
          <cell r="B25">
            <v>13</v>
          </cell>
          <cell r="C25">
            <v>42195</v>
          </cell>
          <cell r="D25">
            <v>0.89121527777777787</v>
          </cell>
          <cell r="E25">
            <v>2457214.426</v>
          </cell>
          <cell r="F25" t="str">
            <v>JGF</v>
          </cell>
          <cell r="G25" t="str">
            <v>SMM-SP</v>
          </cell>
          <cell r="H25" t="str">
            <v>16REMOTATIK460EX</v>
          </cell>
          <cell r="I25">
            <v>675</v>
          </cell>
          <cell r="J25"/>
          <cell r="K25"/>
        </row>
        <row r="26">
          <cell r="B26">
            <v>14</v>
          </cell>
          <cell r="C26">
            <v>42199</v>
          </cell>
          <cell r="D26">
            <v>0.86789351851851848</v>
          </cell>
          <cell r="E26">
            <v>2457218.4027</v>
          </cell>
          <cell r="F26" t="str">
            <v>JGF</v>
          </cell>
          <cell r="G26" t="str">
            <v>SMM-SP</v>
          </cell>
          <cell r="H26" t="str">
            <v>16REMOTATIK460EX</v>
          </cell>
          <cell r="I26">
            <v>656</v>
          </cell>
          <cell r="J26"/>
          <cell r="K26"/>
        </row>
        <row r="27">
          <cell r="B27">
            <v>15</v>
          </cell>
          <cell r="C27">
            <v>42244</v>
          </cell>
          <cell r="D27">
            <v>0.81765046296296295</v>
          </cell>
          <cell r="E27">
            <v>2457263.3316000002</v>
          </cell>
          <cell r="F27" t="str">
            <v>PDL</v>
          </cell>
          <cell r="G27" t="str">
            <v>ASP-FR</v>
          </cell>
          <cell r="H27" t="str">
            <v>T400_Alpy600_Atik31</v>
          </cell>
          <cell r="I27">
            <v>483</v>
          </cell>
          <cell r="J27"/>
          <cell r="K27"/>
        </row>
        <row r="28">
          <cell r="B28">
            <v>16</v>
          </cell>
          <cell r="C28">
            <v>42263</v>
          </cell>
          <cell r="D28">
            <v>1.1168981481481481E-2</v>
          </cell>
          <cell r="E28">
            <v>2457281.5463</v>
          </cell>
          <cell r="F28" t="str">
            <v>LES</v>
          </cell>
          <cell r="G28" t="str">
            <v>MRO-CA</v>
          </cell>
          <cell r="H28" t="str">
            <v>31cmDK+23um1800lpm+</v>
          </cell>
          <cell r="I28">
            <v>9000</v>
          </cell>
          <cell r="J28"/>
          <cell r="K28"/>
        </row>
        <row r="29">
          <cell r="B29">
            <v>17</v>
          </cell>
          <cell r="C29">
            <v>42563</v>
          </cell>
          <cell r="D29">
            <v>0.13380787037037037</v>
          </cell>
          <cell r="E29">
            <v>2457581.6688000001</v>
          </cell>
          <cell r="F29" t="str">
            <v>LES</v>
          </cell>
          <cell r="G29" t="str">
            <v>MRO-CA</v>
          </cell>
          <cell r="H29" t="str">
            <v>31cmDK+23um1800lpm+</v>
          </cell>
          <cell r="I29">
            <v>9000</v>
          </cell>
          <cell r="J29"/>
          <cell r="K29"/>
        </row>
        <row r="30">
          <cell r="B30">
            <v>18</v>
          </cell>
          <cell r="C30">
            <v>42566</v>
          </cell>
          <cell r="D30">
            <v>0.87258101851851855</v>
          </cell>
          <cell r="E30">
            <v>2457585.3958000001</v>
          </cell>
          <cell r="F30" t="str">
            <v>JGF</v>
          </cell>
          <cell r="G30" t="str">
            <v>SMM-SP</v>
          </cell>
          <cell r="H30" t="str">
            <v>16REMOTATIK460EX</v>
          </cell>
          <cell r="I30">
            <v>891</v>
          </cell>
          <cell r="J30"/>
          <cell r="K30"/>
        </row>
        <row r="31">
          <cell r="B31">
            <v>19</v>
          </cell>
          <cell r="C31">
            <v>42581</v>
          </cell>
          <cell r="D31">
            <v>0.83221064814814805</v>
          </cell>
          <cell r="E31">
            <v>2457600.3536999999</v>
          </cell>
          <cell r="F31" t="str">
            <v>FRA</v>
          </cell>
          <cell r="G31" t="str">
            <v>BAL-IT</v>
          </cell>
          <cell r="H31" t="str">
            <v>SC8+Alpy600</v>
          </cell>
          <cell r="I31">
            <v>497</v>
          </cell>
          <cell r="J31"/>
          <cell r="K31"/>
        </row>
        <row r="32">
          <cell r="B32">
            <v>20</v>
          </cell>
          <cell r="C32">
            <v>42582</v>
          </cell>
          <cell r="D32">
            <v>0.90672453703703704</v>
          </cell>
          <cell r="E32">
            <v>2457601.4328999999</v>
          </cell>
          <cell r="F32" t="str">
            <v>JGF</v>
          </cell>
          <cell r="G32" t="str">
            <v>SMM-SP</v>
          </cell>
          <cell r="H32" t="str">
            <v>16REMOTATIK460EX</v>
          </cell>
          <cell r="I32">
            <v>1029</v>
          </cell>
          <cell r="J32"/>
          <cell r="K32"/>
        </row>
        <row r="33">
          <cell r="B33">
            <v>21</v>
          </cell>
          <cell r="C33">
            <v>42592</v>
          </cell>
          <cell r="D33">
            <v>0.89730324074074075</v>
          </cell>
          <cell r="E33">
            <v>2457611.4089000002</v>
          </cell>
          <cell r="F33" t="str">
            <v>JGF</v>
          </cell>
          <cell r="G33" t="str">
            <v>SMM-SP</v>
          </cell>
          <cell r="H33" t="str">
            <v>16REMOTATIK460EX</v>
          </cell>
          <cell r="I33">
            <v>1046</v>
          </cell>
          <cell r="J33"/>
          <cell r="K33"/>
        </row>
        <row r="34">
          <cell r="B34">
            <v>22</v>
          </cell>
          <cell r="C34">
            <v>42593</v>
          </cell>
          <cell r="D34">
            <v>0.83974537037037045</v>
          </cell>
          <cell r="E34">
            <v>2457612.3629999999</v>
          </cell>
          <cell r="F34" t="str">
            <v>JGF</v>
          </cell>
          <cell r="G34" t="str">
            <v>SMM-SP</v>
          </cell>
          <cell r="H34" t="str">
            <v>16REMOTATIK460EX</v>
          </cell>
          <cell r="I34">
            <v>1067</v>
          </cell>
          <cell r="J34"/>
          <cell r="K34"/>
        </row>
        <row r="35">
          <cell r="B35">
            <v>23</v>
          </cell>
          <cell r="C35">
            <v>42594</v>
          </cell>
          <cell r="D35">
            <v>0.849675925925926</v>
          </cell>
          <cell r="E35">
            <v>2457613.3728999998</v>
          </cell>
          <cell r="F35" t="str">
            <v>JGF</v>
          </cell>
          <cell r="G35" t="str">
            <v>SMM-SP</v>
          </cell>
          <cell r="H35" t="str">
            <v>16REMOTATIK460EX</v>
          </cell>
          <cell r="I35">
            <v>1059</v>
          </cell>
          <cell r="J35"/>
          <cell r="K35"/>
        </row>
        <row r="36">
          <cell r="B36">
            <v>24</v>
          </cell>
          <cell r="C36">
            <v>42596</v>
          </cell>
          <cell r="D36">
            <v>0.85513888888888889</v>
          </cell>
          <cell r="E36">
            <v>2457615.3783999998</v>
          </cell>
          <cell r="F36" t="str">
            <v>JGF</v>
          </cell>
          <cell r="G36" t="str">
            <v>SMM-SP</v>
          </cell>
          <cell r="H36" t="str">
            <v>16REMOTATIK460EX</v>
          </cell>
          <cell r="I36">
            <v>1078</v>
          </cell>
          <cell r="J36"/>
          <cell r="K36"/>
        </row>
        <row r="37">
          <cell r="B37">
            <v>25</v>
          </cell>
          <cell r="C37">
            <v>42600</v>
          </cell>
          <cell r="D37">
            <v>0.83725694444444443</v>
          </cell>
          <cell r="E37">
            <v>2457619.3621999999</v>
          </cell>
          <cell r="F37" t="str">
            <v>JGF</v>
          </cell>
          <cell r="G37" t="str">
            <v>SMM-SP</v>
          </cell>
          <cell r="H37" t="str">
            <v>16REMOTATIK460EX</v>
          </cell>
          <cell r="I37">
            <v>1067</v>
          </cell>
          <cell r="J37"/>
          <cell r="K37"/>
        </row>
        <row r="38">
          <cell r="B38">
            <v>26</v>
          </cell>
          <cell r="C38">
            <v>42602</v>
          </cell>
          <cell r="D38">
            <v>0.90700231481481486</v>
          </cell>
          <cell r="E38">
            <v>2457621.4303000001</v>
          </cell>
          <cell r="F38" t="str">
            <v>JGF</v>
          </cell>
          <cell r="G38" t="str">
            <v>SMM-SP</v>
          </cell>
          <cell r="H38" t="str">
            <v>16REMOTATIK460EX</v>
          </cell>
          <cell r="I38">
            <v>1101</v>
          </cell>
          <cell r="J38"/>
          <cell r="K38"/>
        </row>
        <row r="39">
          <cell r="B39">
            <v>27</v>
          </cell>
          <cell r="C39">
            <v>42603</v>
          </cell>
          <cell r="D39">
            <v>0.84028935185185183</v>
          </cell>
          <cell r="E39">
            <v>2457622.3635999998</v>
          </cell>
          <cell r="F39" t="str">
            <v>JGF</v>
          </cell>
          <cell r="G39" t="str">
            <v>SMM-SP</v>
          </cell>
          <cell r="H39" t="str">
            <v>16REMOTATIK460EX</v>
          </cell>
          <cell r="I39">
            <v>1069</v>
          </cell>
          <cell r="J39"/>
          <cell r="K39"/>
        </row>
        <row r="40">
          <cell r="B40">
            <v>28</v>
          </cell>
          <cell r="C40">
            <v>42604</v>
          </cell>
          <cell r="D40">
            <v>0.82048611111111114</v>
          </cell>
          <cell r="E40">
            <v>2457623.3391</v>
          </cell>
          <cell r="F40" t="str">
            <v>JGF</v>
          </cell>
          <cell r="G40" t="str">
            <v>SMM-SP</v>
          </cell>
          <cell r="H40" t="str">
            <v>16REMOTATIK460EX</v>
          </cell>
          <cell r="I40">
            <v>1062</v>
          </cell>
          <cell r="J40"/>
          <cell r="K40"/>
        </row>
        <row r="41">
          <cell r="B41">
            <v>29</v>
          </cell>
          <cell r="C41">
            <v>42605</v>
          </cell>
          <cell r="D41">
            <v>0.83799768518518514</v>
          </cell>
          <cell r="E41">
            <v>2457624.3566000001</v>
          </cell>
          <cell r="F41" t="str">
            <v>JGF</v>
          </cell>
          <cell r="G41" t="str">
            <v>SMM-SP</v>
          </cell>
          <cell r="H41" t="str">
            <v>16REMOTATIK460EX</v>
          </cell>
          <cell r="I41">
            <v>1080</v>
          </cell>
          <cell r="J41"/>
          <cell r="K41"/>
        </row>
        <row r="42">
          <cell r="B42">
            <v>30</v>
          </cell>
          <cell r="C42">
            <v>42606</v>
          </cell>
          <cell r="D42">
            <v>0.81376157407407401</v>
          </cell>
          <cell r="E42">
            <v>2457625.3347</v>
          </cell>
          <cell r="F42" t="str">
            <v>JGF</v>
          </cell>
          <cell r="G42" t="str">
            <v>SMM-SP</v>
          </cell>
          <cell r="H42" t="str">
            <v>16REMOTATIK460EX</v>
          </cell>
          <cell r="I42">
            <v>1174</v>
          </cell>
          <cell r="J42"/>
          <cell r="K42"/>
        </row>
        <row r="43">
          <cell r="B43">
            <v>31</v>
          </cell>
          <cell r="C43">
            <v>42608</v>
          </cell>
          <cell r="D43">
            <v>0.84901620370370379</v>
          </cell>
          <cell r="E43">
            <v>2457627.3668</v>
          </cell>
          <cell r="F43" t="str">
            <v>JGF</v>
          </cell>
          <cell r="G43" t="str">
            <v>SMM-SP</v>
          </cell>
          <cell r="H43" t="str">
            <v>16REMOTATIK460EX</v>
          </cell>
          <cell r="I43">
            <v>1037</v>
          </cell>
          <cell r="J43"/>
          <cell r="K43"/>
        </row>
        <row r="44">
          <cell r="B44">
            <v>32</v>
          </cell>
          <cell r="C44">
            <v>42609</v>
          </cell>
          <cell r="D44">
            <v>0.83076388888888886</v>
          </cell>
          <cell r="E44">
            <v>2457628.3583999998</v>
          </cell>
          <cell r="F44" t="str">
            <v>JGF</v>
          </cell>
          <cell r="G44" t="str">
            <v>SMM-SP</v>
          </cell>
          <cell r="H44" t="str">
            <v>16REMOTATIK460EX</v>
          </cell>
          <cell r="I44">
            <v>1113</v>
          </cell>
          <cell r="J44"/>
          <cell r="K44"/>
        </row>
        <row r="45">
          <cell r="B45">
            <v>33</v>
          </cell>
          <cell r="C45">
            <v>42614</v>
          </cell>
          <cell r="D45">
            <v>0.84068287037037026</v>
          </cell>
          <cell r="E45">
            <v>2457633.3569999998</v>
          </cell>
          <cell r="F45" t="str">
            <v>JGF</v>
          </cell>
          <cell r="G45" t="str">
            <v>SMM-SP</v>
          </cell>
          <cell r="H45" t="str">
            <v>16REMOTATIK460EX</v>
          </cell>
          <cell r="I45">
            <v>1115</v>
          </cell>
          <cell r="J45"/>
          <cell r="K45"/>
        </row>
        <row r="46">
          <cell r="B46">
            <v>35</v>
          </cell>
          <cell r="C46">
            <v>42881</v>
          </cell>
          <cell r="D46">
            <v>0.9556365740740741</v>
          </cell>
          <cell r="E46">
            <v>2457900.4764999999</v>
          </cell>
          <cell r="F46" t="str">
            <v>FRA</v>
          </cell>
          <cell r="G46" t="str">
            <v>BAL-IT</v>
          </cell>
          <cell r="H46" t="str">
            <v>SC8+Alpy600</v>
          </cell>
          <cell r="I46">
            <v>531</v>
          </cell>
          <cell r="J46"/>
          <cell r="K46"/>
        </row>
        <row r="47">
          <cell r="B47">
            <v>35</v>
          </cell>
          <cell r="C47">
            <v>42882</v>
          </cell>
          <cell r="D47">
            <v>0.95868055555555554</v>
          </cell>
          <cell r="E47">
            <v>2457901.4857999999</v>
          </cell>
          <cell r="F47" t="str">
            <v>FCA</v>
          </cell>
          <cell r="G47" t="str">
            <v>PAG-SP</v>
          </cell>
          <cell r="H47" t="str">
            <v>Newton-200DADOS-20</v>
          </cell>
          <cell r="I47">
            <v>789</v>
          </cell>
          <cell r="J47"/>
          <cell r="K47"/>
        </row>
        <row r="48">
          <cell r="B48">
            <v>36</v>
          </cell>
          <cell r="C48">
            <v>42905</v>
          </cell>
          <cell r="D48">
            <v>0.89152777777777781</v>
          </cell>
          <cell r="E48">
            <v>2457924.4158000001</v>
          </cell>
          <cell r="F48" t="str">
            <v>FRA</v>
          </cell>
          <cell r="G48" t="str">
            <v>BAL-IT</v>
          </cell>
          <cell r="H48" t="str">
            <v>SC8+Alpy600</v>
          </cell>
          <cell r="I48">
            <v>530</v>
          </cell>
          <cell r="J48"/>
          <cell r="K48"/>
        </row>
        <row r="49">
          <cell r="B49">
            <v>37</v>
          </cell>
          <cell r="C49">
            <v>42916</v>
          </cell>
          <cell r="D49">
            <v>0.33827546296296296</v>
          </cell>
          <cell r="E49">
            <v>2457934.8553999998</v>
          </cell>
          <cell r="F49" t="str">
            <v>FAS</v>
          </cell>
          <cell r="G49" t="str">
            <v>DCO-US</v>
          </cell>
          <cell r="H49" t="str">
            <v>C11HDLisaAtik414e</v>
          </cell>
          <cell r="I49">
            <v>622</v>
          </cell>
          <cell r="J49"/>
          <cell r="K49"/>
        </row>
        <row r="50">
          <cell r="B50">
            <v>38</v>
          </cell>
          <cell r="C50">
            <v>42922</v>
          </cell>
          <cell r="D50">
            <v>0.1542361111111111</v>
          </cell>
          <cell r="E50">
            <v>2457940.6716999998</v>
          </cell>
          <cell r="F50" t="str">
            <v>GKA</v>
          </cell>
          <cell r="G50" t="str">
            <v>GRL-US</v>
          </cell>
          <cell r="H50" t="str">
            <v>SC10+Alpy600</v>
          </cell>
          <cell r="I50">
            <v>541</v>
          </cell>
          <cell r="J50"/>
          <cell r="K50"/>
        </row>
        <row r="51">
          <cell r="B51">
            <v>39</v>
          </cell>
          <cell r="C51">
            <v>42961</v>
          </cell>
          <cell r="D51">
            <v>0.90770833333333334</v>
          </cell>
          <cell r="E51">
            <v>2457980.4232999999</v>
          </cell>
          <cell r="F51" t="str">
            <v>FRA</v>
          </cell>
          <cell r="G51" t="str">
            <v>BAL-IT</v>
          </cell>
          <cell r="H51" t="str">
            <v>SC8+Alpy600</v>
          </cell>
          <cell r="I51">
            <v>533</v>
          </cell>
          <cell r="J51"/>
          <cell r="K51"/>
        </row>
        <row r="52">
          <cell r="B52">
            <v>40</v>
          </cell>
          <cell r="C52">
            <v>42971</v>
          </cell>
          <cell r="D52">
            <v>0.21195601851851853</v>
          </cell>
          <cell r="E52">
            <v>2457989.7352</v>
          </cell>
          <cell r="F52" t="str">
            <v>JRF</v>
          </cell>
          <cell r="G52" t="str">
            <v>MTP-US</v>
          </cell>
          <cell r="H52" t="str">
            <v>CC13LisaATIK460EX</v>
          </cell>
          <cell r="I52">
            <v>986</v>
          </cell>
          <cell r="J52"/>
          <cell r="K52"/>
        </row>
        <row r="53">
          <cell r="B53">
            <v>41</v>
          </cell>
          <cell r="C53">
            <v>42982</v>
          </cell>
          <cell r="D53">
            <v>0.11473379629629631</v>
          </cell>
          <cell r="E53">
            <v>2458000.6291999999</v>
          </cell>
          <cell r="F53" t="str">
            <v>GKA</v>
          </cell>
          <cell r="G53" t="str">
            <v>MAN-US</v>
          </cell>
          <cell r="H53" t="str">
            <v>SC10+Alpy600</v>
          </cell>
          <cell r="I53">
            <v>536</v>
          </cell>
          <cell r="J53"/>
          <cell r="K53"/>
        </row>
        <row r="54">
          <cell r="B54">
            <v>42</v>
          </cell>
          <cell r="C54">
            <v>42993</v>
          </cell>
          <cell r="D54">
            <v>3.9386574074074074E-2</v>
          </cell>
          <cell r="E54">
            <v>2458011.5480999998</v>
          </cell>
          <cell r="F54" t="str">
            <v>GKA</v>
          </cell>
          <cell r="G54" t="str">
            <v>MAN-US</v>
          </cell>
          <cell r="H54" t="str">
            <v>SC10+Alpy600</v>
          </cell>
          <cell r="I54">
            <v>534</v>
          </cell>
          <cell r="J54"/>
          <cell r="K54"/>
        </row>
        <row r="55">
          <cell r="B55">
            <v>43</v>
          </cell>
          <cell r="C55">
            <v>43001</v>
          </cell>
          <cell r="D55">
            <v>0.1832175925925926</v>
          </cell>
          <cell r="E55">
            <v>2458019.6959000002</v>
          </cell>
          <cell r="F55" t="str">
            <v>JRF</v>
          </cell>
          <cell r="G55" t="str">
            <v>UHO-US</v>
          </cell>
          <cell r="H55" t="str">
            <v>CDK17L-200ATIK460</v>
          </cell>
          <cell r="I55">
            <v>606</v>
          </cell>
          <cell r="J55"/>
          <cell r="K55"/>
        </row>
        <row r="56">
          <cell r="B56">
            <v>44</v>
          </cell>
          <cell r="C56">
            <v>43264</v>
          </cell>
          <cell r="D56">
            <v>0.31261574074074078</v>
          </cell>
          <cell r="E56">
            <v>2458282.8305000002</v>
          </cell>
          <cell r="F56" t="str">
            <v>JRF</v>
          </cell>
          <cell r="G56" t="str">
            <v>MTP-US</v>
          </cell>
          <cell r="H56" t="str">
            <v>CC13LisaATIK460EX</v>
          </cell>
          <cell r="I56">
            <v>853</v>
          </cell>
          <cell r="J56"/>
          <cell r="K56"/>
        </row>
        <row r="57">
          <cell r="B57">
            <v>45</v>
          </cell>
          <cell r="C57">
            <v>43266</v>
          </cell>
          <cell r="D57">
            <v>0.30478009259259259</v>
          </cell>
          <cell r="E57">
            <v>2458284.8124000002</v>
          </cell>
          <cell r="F57" t="str">
            <v>JRF</v>
          </cell>
          <cell r="G57" t="str">
            <v>MTP-US</v>
          </cell>
          <cell r="H57" t="str">
            <v>CC13LisaATIK460EX</v>
          </cell>
          <cell r="I57">
            <v>850</v>
          </cell>
          <cell r="J57"/>
          <cell r="K57"/>
        </row>
        <row r="58">
          <cell r="B58">
            <v>46</v>
          </cell>
          <cell r="C58">
            <v>43274</v>
          </cell>
          <cell r="D58">
            <v>0.29537037037037034</v>
          </cell>
          <cell r="E58">
            <v>2458292.8064999999</v>
          </cell>
          <cell r="F58" t="str">
            <v>FAS</v>
          </cell>
          <cell r="G58" t="str">
            <v>DCO-US</v>
          </cell>
          <cell r="H58" t="str">
            <v>DK14+Lisa+Atik414ex</v>
          </cell>
          <cell r="I58">
            <v>1008</v>
          </cell>
          <cell r="J58"/>
          <cell r="K58"/>
        </row>
        <row r="59">
          <cell r="B59">
            <v>47</v>
          </cell>
          <cell r="C59">
            <v>43289</v>
          </cell>
          <cell r="D59">
            <v>0.35262731481481485</v>
          </cell>
          <cell r="E59">
            <v>2458307.8651000001</v>
          </cell>
          <cell r="F59" t="str">
            <v>JRF</v>
          </cell>
          <cell r="G59" t="str">
            <v>MTP-US</v>
          </cell>
          <cell r="H59" t="str">
            <v>CC13LisaATIK460EX</v>
          </cell>
          <cell r="I59">
            <v>850</v>
          </cell>
          <cell r="J59"/>
          <cell r="K59"/>
        </row>
        <row r="60">
          <cell r="B60">
            <v>48</v>
          </cell>
          <cell r="C60">
            <v>43301</v>
          </cell>
          <cell r="D60">
            <v>8.4270833333333336E-2</v>
          </cell>
          <cell r="E60">
            <v>2458319.6340000001</v>
          </cell>
          <cell r="F60" t="str">
            <v>LES</v>
          </cell>
          <cell r="G60" t="str">
            <v>MRO-CA</v>
          </cell>
          <cell r="H60" t="str">
            <v>DK310+Echelle_ESSAT</v>
          </cell>
          <cell r="I60">
            <v>12000</v>
          </cell>
          <cell r="J60"/>
          <cell r="K60"/>
        </row>
        <row r="61">
          <cell r="B61">
            <v>49</v>
          </cell>
          <cell r="C61">
            <v>43603</v>
          </cell>
          <cell r="D61">
            <v>0.45033564814814814</v>
          </cell>
          <cell r="E61">
            <v>2458621.9667000002</v>
          </cell>
          <cell r="F61" t="str">
            <v>JRF</v>
          </cell>
          <cell r="G61" t="str">
            <v>UHO-US</v>
          </cell>
          <cell r="H61" t="str">
            <v>CC13ALPY600ATIK460EX</v>
          </cell>
          <cell r="I61">
            <v>848</v>
          </cell>
          <cell r="J61"/>
          <cell r="K61"/>
        </row>
        <row r="62">
          <cell r="B62">
            <v>50</v>
          </cell>
          <cell r="C62">
            <v>43613</v>
          </cell>
          <cell r="D62">
            <v>0.43028935185185185</v>
          </cell>
          <cell r="E62">
            <v>2458631.9446</v>
          </cell>
          <cell r="F62" t="str">
            <v>JRF</v>
          </cell>
          <cell r="G62" t="str">
            <v>UHO-US</v>
          </cell>
          <cell r="H62" t="str">
            <v>CC13ALPY600ATIK460EX</v>
          </cell>
          <cell r="I62">
            <v>443</v>
          </cell>
          <cell r="J62"/>
          <cell r="K62"/>
        </row>
        <row r="63">
          <cell r="B63">
            <v>51</v>
          </cell>
          <cell r="C63">
            <v>43623</v>
          </cell>
          <cell r="D63">
            <v>0.14480324074074075</v>
          </cell>
          <cell r="E63">
            <v>2458641.7088000001</v>
          </cell>
          <cell r="F63" t="str">
            <v>LES</v>
          </cell>
          <cell r="G63" t="str">
            <v>MRO-CA</v>
          </cell>
          <cell r="H63" t="str">
            <v>31cmDK+ESSAT</v>
          </cell>
          <cell r="I63">
            <v>14000</v>
          </cell>
          <cell r="J63"/>
          <cell r="K63"/>
        </row>
        <row r="64">
          <cell r="B64">
            <v>52</v>
          </cell>
          <cell r="C64">
            <v>43645</v>
          </cell>
          <cell r="D64">
            <v>0.87187500000000007</v>
          </cell>
          <cell r="E64">
            <v>2458664.4240999999</v>
          </cell>
          <cell r="F64" t="str">
            <v>JGF</v>
          </cell>
          <cell r="G64" t="str">
            <v>SMM-SP</v>
          </cell>
          <cell r="H64" t="str">
            <v>16REMOTLINX460EX</v>
          </cell>
          <cell r="I64">
            <v>9000</v>
          </cell>
          <cell r="J64"/>
          <cell r="K64"/>
        </row>
        <row r="65">
          <cell r="B65">
            <v>53</v>
          </cell>
          <cell r="C65">
            <v>43648</v>
          </cell>
          <cell r="D65">
            <v>0.34516203703703702</v>
          </cell>
          <cell r="E65">
            <v>2458666.8546000002</v>
          </cell>
          <cell r="F65" t="str">
            <v>JRF</v>
          </cell>
          <cell r="G65" t="str">
            <v>MTP-US</v>
          </cell>
          <cell r="H65" t="str">
            <v>CC13ALPY600ATIK460EX</v>
          </cell>
          <cell r="I65">
            <v>700</v>
          </cell>
          <cell r="J65"/>
          <cell r="K65"/>
        </row>
        <row r="66">
          <cell r="B66">
            <v>54</v>
          </cell>
          <cell r="C66">
            <v>43649</v>
          </cell>
          <cell r="D66">
            <v>0.12078703703703704</v>
          </cell>
          <cell r="E66">
            <v>2458667.6847000001</v>
          </cell>
          <cell r="F66" t="str">
            <v>LES</v>
          </cell>
          <cell r="G66" t="str">
            <v>MRO-CA</v>
          </cell>
          <cell r="H66" t="str">
            <v>31cmDK+ESSAT</v>
          </cell>
          <cell r="I66">
            <v>14000</v>
          </cell>
          <cell r="J66"/>
          <cell r="K66"/>
        </row>
        <row r="67">
          <cell r="B67">
            <v>55</v>
          </cell>
          <cell r="C67">
            <v>43651</v>
          </cell>
          <cell r="D67">
            <v>0.32467592592592592</v>
          </cell>
          <cell r="E67">
            <v>2458669.8350999998</v>
          </cell>
          <cell r="G67" t="str">
            <v>MTP-US</v>
          </cell>
          <cell r="H67" t="str">
            <v>CC13LISAATIK460EX</v>
          </cell>
          <cell r="I67">
            <v>907</v>
          </cell>
          <cell r="J67"/>
          <cell r="K67"/>
        </row>
        <row r="68">
          <cell r="B68">
            <v>56</v>
          </cell>
          <cell r="C68">
            <v>43666</v>
          </cell>
          <cell r="D68">
            <v>0.83695601851851853</v>
          </cell>
          <cell r="E68">
            <v>2458685.3514999999</v>
          </cell>
          <cell r="F68" t="str">
            <v>FRA</v>
          </cell>
          <cell r="G68" t="str">
            <v>BAL-IT</v>
          </cell>
          <cell r="H68" t="str">
            <v>LX200-8(F</v>
          </cell>
          <cell r="I68">
            <v>528</v>
          </cell>
          <cell r="J68"/>
          <cell r="K68"/>
        </row>
        <row r="69">
          <cell r="B69">
            <v>57</v>
          </cell>
          <cell r="C69">
            <v>43689</v>
          </cell>
          <cell r="D69">
            <v>5.6064814814814817E-2</v>
          </cell>
          <cell r="E69">
            <v>2458707.6157</v>
          </cell>
          <cell r="F69" t="str">
            <v>LES</v>
          </cell>
          <cell r="G69" t="str">
            <v>MRO-CA</v>
          </cell>
          <cell r="H69" t="str">
            <v>31cmDK+ESSAT</v>
          </cell>
          <cell r="I69">
            <v>12000</v>
          </cell>
          <cell r="J69"/>
          <cell r="K69"/>
        </row>
        <row r="70">
          <cell r="B70">
            <v>58</v>
          </cell>
          <cell r="C70">
            <v>43691</v>
          </cell>
          <cell r="D70">
            <v>0.85045138888888883</v>
          </cell>
          <cell r="E70">
            <v>2458710.3991999999</v>
          </cell>
          <cell r="F70" t="str">
            <v>OGA</v>
          </cell>
          <cell r="G70" t="str">
            <v>OTO-FR</v>
          </cell>
          <cell r="H70" t="str">
            <v>RC400Astrosib-Eshel-ATIK460EX</v>
          </cell>
          <cell r="I70">
            <v>11000</v>
          </cell>
          <cell r="J70"/>
          <cell r="K70"/>
        </row>
        <row r="71">
          <cell r="B71">
            <v>59</v>
          </cell>
          <cell r="C71">
            <v>43736</v>
          </cell>
          <cell r="D71">
            <v>0.77915509259259252</v>
          </cell>
          <cell r="E71">
            <v>2458755.3278999999</v>
          </cell>
          <cell r="F71" t="str">
            <v>JGF</v>
          </cell>
          <cell r="G71" t="str">
            <v>SMM-SP</v>
          </cell>
          <cell r="H71" t="str">
            <v>16REMOTLINX460EX</v>
          </cell>
          <cell r="I71">
            <v>9000</v>
          </cell>
          <cell r="J71"/>
          <cell r="K71"/>
        </row>
        <row r="72">
          <cell r="B72">
            <v>60</v>
          </cell>
          <cell r="C72">
            <v>43739</v>
          </cell>
          <cell r="D72">
            <v>0.11050925925925925</v>
          </cell>
          <cell r="E72">
            <v>2458757.6324999998</v>
          </cell>
          <cell r="F72" t="str">
            <v>FAS</v>
          </cell>
          <cell r="G72" t="str">
            <v>DCO-US</v>
          </cell>
          <cell r="H72" t="str">
            <v>CDK14LISAAtik414ex</v>
          </cell>
          <cell r="I72">
            <v>1073</v>
          </cell>
        </row>
        <row r="73">
          <cell r="B73">
            <v>61</v>
          </cell>
          <cell r="C73">
            <v>43754</v>
          </cell>
          <cell r="D73">
            <v>9.1469907407407403E-2</v>
          </cell>
          <cell r="E73">
            <v>2458772.611</v>
          </cell>
          <cell r="F73" t="str">
            <v>FAS</v>
          </cell>
          <cell r="G73" t="str">
            <v>DCO-US</v>
          </cell>
          <cell r="H73" t="str">
            <v>CDK14LISAAtik414ex</v>
          </cell>
          <cell r="I73">
            <v>1010</v>
          </cell>
        </row>
        <row r="74">
          <cell r="B74">
            <v>62</v>
          </cell>
          <cell r="C74">
            <v>43920</v>
          </cell>
          <cell r="D74">
            <v>0.47745370370370371</v>
          </cell>
          <cell r="E74">
            <v>2458938.9994999999</v>
          </cell>
          <cell r="F74" t="str">
            <v>FAS</v>
          </cell>
          <cell r="G74" t="str">
            <v>DCO-US</v>
          </cell>
          <cell r="H74" t="str">
            <v>CDK14LISAAtik414ex</v>
          </cell>
          <cell r="I74">
            <v>1042</v>
          </cell>
        </row>
        <row r="75">
          <cell r="B75">
            <v>63</v>
          </cell>
          <cell r="C75">
            <v>43927</v>
          </cell>
          <cell r="D75">
            <v>0.2973263888888889</v>
          </cell>
          <cell r="E75">
            <v>2458945.8401000001</v>
          </cell>
          <cell r="F75" t="str">
            <v>LES</v>
          </cell>
          <cell r="G75" t="str">
            <v>MRO-CA</v>
          </cell>
          <cell r="H75" t="str">
            <v>31cmDK+ESSAT_2</v>
          </cell>
          <cell r="I75">
            <v>14000</v>
          </cell>
        </row>
        <row r="76">
          <cell r="B76">
            <v>64</v>
          </cell>
          <cell r="C76">
            <v>43941</v>
          </cell>
          <cell r="D76">
            <v>0.28918981481481482</v>
          </cell>
          <cell r="E76">
            <v>2458959.8319999999</v>
          </cell>
          <cell r="F76" t="str">
            <v>LES</v>
          </cell>
          <cell r="G76" t="str">
            <v>MRO-CA</v>
          </cell>
          <cell r="H76" t="str">
            <v>31cmDK+ESSAT_2</v>
          </cell>
          <cell r="I76">
            <v>14000</v>
          </cell>
        </row>
        <row r="77">
          <cell r="B77">
            <v>65</v>
          </cell>
          <cell r="C77">
            <v>43943</v>
          </cell>
          <cell r="D77">
            <v>2.8240740740740736E-2</v>
          </cell>
          <cell r="E77">
            <v>2458961.5493000001</v>
          </cell>
          <cell r="F77" t="str">
            <v>PDTM</v>
          </cell>
          <cell r="G77" t="str">
            <v>KOL-SK</v>
          </cell>
          <cell r="H77" t="str">
            <v>C11+LISA+Atik460EX</v>
          </cell>
          <cell r="I77">
            <v>746</v>
          </cell>
        </row>
        <row r="78">
          <cell r="B78">
            <v>66</v>
          </cell>
          <cell r="C78">
            <v>43943</v>
          </cell>
          <cell r="D78">
            <v>7.013888888888889E-2</v>
          </cell>
          <cell r="E78">
            <v>2458961.5858999998</v>
          </cell>
          <cell r="F78" t="str">
            <v>CBO</v>
          </cell>
          <cell r="G78" t="str">
            <v>OCT-FR</v>
          </cell>
          <cell r="H78" t="str">
            <v>N200mmF5_Alpy600</v>
          </cell>
          <cell r="I78">
            <v>514</v>
          </cell>
        </row>
        <row r="79">
          <cell r="B79">
            <v>67</v>
          </cell>
          <cell r="C79">
            <v>43944</v>
          </cell>
          <cell r="D79">
            <v>0.28810185185185183</v>
          </cell>
          <cell r="E79">
            <v>2458962.8308999999</v>
          </cell>
          <cell r="F79" t="str">
            <v>LES</v>
          </cell>
          <cell r="G79" t="str">
            <v>MRO-CA</v>
          </cell>
          <cell r="H79" t="str">
            <v>31cmDK+ESSAT_2</v>
          </cell>
          <cell r="I79">
            <v>14000</v>
          </cell>
        </row>
        <row r="80">
          <cell r="B80">
            <v>68</v>
          </cell>
          <cell r="C80">
            <v>43944</v>
          </cell>
          <cell r="D80">
            <v>0.45465277777777779</v>
          </cell>
          <cell r="E80">
            <v>2458962.9742000001</v>
          </cell>
          <cell r="F80" t="str">
            <v>FAS</v>
          </cell>
          <cell r="G80" t="str">
            <v>DCO-US</v>
          </cell>
          <cell r="H80" t="str">
            <v>CDK14LISAAtik414ex</v>
          </cell>
          <cell r="I80">
            <v>1010</v>
          </cell>
        </row>
        <row r="81">
          <cell r="B81">
            <v>69</v>
          </cell>
          <cell r="C81">
            <v>43958</v>
          </cell>
          <cell r="D81">
            <v>3.7928240740740742E-2</v>
          </cell>
          <cell r="E81">
            <v>2458976.5536000002</v>
          </cell>
          <cell r="F81" t="str">
            <v>CBO</v>
          </cell>
          <cell r="G81" t="str">
            <v>OCT-FR</v>
          </cell>
          <cell r="H81" t="str">
            <v>N200mmF5_Alpy600</v>
          </cell>
          <cell r="I81">
            <v>507</v>
          </cell>
        </row>
        <row r="82">
          <cell r="B82">
            <v>70</v>
          </cell>
          <cell r="C82">
            <v>43967</v>
          </cell>
          <cell r="D82">
            <v>2.0798611111111111E-2</v>
          </cell>
          <cell r="E82">
            <v>2458985.5364999999</v>
          </cell>
          <cell r="F82" t="str">
            <v>CBO</v>
          </cell>
          <cell r="G82" t="str">
            <v>OCT-FR</v>
          </cell>
          <cell r="H82" t="str">
            <v>N200mmF5_Alpy600</v>
          </cell>
          <cell r="I82">
            <v>501</v>
          </cell>
        </row>
        <row r="83">
          <cell r="B83">
            <v>71</v>
          </cell>
          <cell r="C83">
            <v>43970</v>
          </cell>
          <cell r="D83">
            <v>0.99481481481481471</v>
          </cell>
          <cell r="E83">
            <v>2458989.5104999999</v>
          </cell>
          <cell r="F83" t="str">
            <v>CBO</v>
          </cell>
          <cell r="G83" t="str">
            <v>OCT-FR</v>
          </cell>
          <cell r="H83" t="str">
            <v>N200mmF5_Alpy600</v>
          </cell>
          <cell r="I83">
            <v>507</v>
          </cell>
        </row>
        <row r="84">
          <cell r="B84">
            <v>72</v>
          </cell>
          <cell r="C84" t="str">
            <v>20/05/2020</v>
          </cell>
          <cell r="D84">
            <v>0.30208333333333331</v>
          </cell>
          <cell r="E84">
            <v>2458989.8020000001</v>
          </cell>
          <cell r="F84" t="str">
            <v>FAS</v>
          </cell>
          <cell r="G84" t="str">
            <v>DCO-US</v>
          </cell>
          <cell r="H84" t="str">
            <v>CDK14 LISA Atik414ex</v>
          </cell>
          <cell r="I84">
            <v>1031</v>
          </cell>
        </row>
        <row r="85">
          <cell r="B85">
            <v>73</v>
          </cell>
          <cell r="C85">
            <v>43971</v>
          </cell>
          <cell r="D85">
            <v>0.72677083333333325</v>
          </cell>
          <cell r="E85"/>
          <cell r="F85" t="str">
            <v>CEL</v>
          </cell>
          <cell r="G85" t="str">
            <v>MAR-AU</v>
          </cell>
          <cell r="H85" t="str">
            <v>ALPYonCDK1000</v>
          </cell>
          <cell r="I85">
            <v>500</v>
          </cell>
        </row>
        <row r="86">
          <cell r="B86">
            <v>74</v>
          </cell>
          <cell r="C86">
            <v>43971</v>
          </cell>
          <cell r="D86">
            <v>0.88487268518518514</v>
          </cell>
          <cell r="E86">
            <v>2458990.4312999998</v>
          </cell>
          <cell r="F86" t="str">
            <v>JGF</v>
          </cell>
          <cell r="G86" t="str">
            <v>PIE-SP</v>
          </cell>
          <cell r="H86" t="str">
            <v>SC406F6,5+NOU_58</v>
          </cell>
          <cell r="I86">
            <v>8500</v>
          </cell>
        </row>
        <row r="87">
          <cell r="B87">
            <v>75</v>
          </cell>
          <cell r="C87">
            <v>43972</v>
          </cell>
          <cell r="D87">
            <v>0.22895833333333335</v>
          </cell>
          <cell r="E87">
            <v>2458990.7788</v>
          </cell>
          <cell r="F87" t="str">
            <v>LES</v>
          </cell>
          <cell r="G87" t="str">
            <v>MRO-CA</v>
          </cell>
          <cell r="H87" t="str">
            <v>31cmDK+ESSAT_2</v>
          </cell>
          <cell r="I87">
            <v>14000</v>
          </cell>
        </row>
        <row r="88">
          <cell r="B88">
            <v>76</v>
          </cell>
          <cell r="C88">
            <v>43972</v>
          </cell>
          <cell r="D88">
            <v>0.97983796296296299</v>
          </cell>
          <cell r="E88">
            <v>2458991.4904</v>
          </cell>
          <cell r="F88" t="str">
            <v>PDTM</v>
          </cell>
          <cell r="G88" t="str">
            <v>KOL-SK</v>
          </cell>
          <cell r="H88" t="str">
            <v>C11+LISA+Atik460EX</v>
          </cell>
          <cell r="I88">
            <v>726</v>
          </cell>
        </row>
        <row r="89">
          <cell r="B89">
            <v>77</v>
          </cell>
          <cell r="C89">
            <v>43973</v>
          </cell>
          <cell r="D89">
            <v>0.98206018518518512</v>
          </cell>
          <cell r="E89">
            <v>2458992.4994999999</v>
          </cell>
          <cell r="F89" t="str">
            <v>PCA</v>
          </cell>
          <cell r="G89" t="str">
            <v>LEC-IT</v>
          </cell>
          <cell r="H89" t="str">
            <v>VX10_Alpy600_Atik414</v>
          </cell>
          <cell r="I89">
            <v>607</v>
          </cell>
        </row>
        <row r="90">
          <cell r="B90">
            <v>78</v>
          </cell>
          <cell r="C90">
            <v>43975</v>
          </cell>
          <cell r="D90">
            <v>0.18885416666666666</v>
          </cell>
          <cell r="E90">
            <v>2458993.7459999998</v>
          </cell>
          <cell r="F90" t="str">
            <v>LES</v>
          </cell>
          <cell r="G90" t="str">
            <v>MRO-CA</v>
          </cell>
          <cell r="H90" t="str">
            <v>31cmDK+ESSAT_2</v>
          </cell>
          <cell r="I90">
            <v>14000</v>
          </cell>
        </row>
        <row r="91">
          <cell r="B91">
            <v>79</v>
          </cell>
          <cell r="C91">
            <v>43976</v>
          </cell>
          <cell r="D91">
            <v>0.86811342592592589</v>
          </cell>
          <cell r="E91">
            <v>2458995.4254999999</v>
          </cell>
          <cell r="F91" t="str">
            <v>JGF</v>
          </cell>
          <cell r="G91" t="str">
            <v>PIE-SP</v>
          </cell>
          <cell r="H91" t="str">
            <v>SC406F6,5+NOU_58</v>
          </cell>
          <cell r="I91">
            <v>8500</v>
          </cell>
        </row>
        <row r="92">
          <cell r="B92">
            <v>80</v>
          </cell>
          <cell r="C92">
            <v>43976</v>
          </cell>
          <cell r="D92">
            <v>0.93503472222222228</v>
          </cell>
          <cell r="E92">
            <v>2458995.4761999999</v>
          </cell>
          <cell r="F92" t="str">
            <v>CHK</v>
          </cell>
          <cell r="G92" t="str">
            <v>OAF-FR</v>
          </cell>
          <cell r="H92" t="str">
            <v>CDK17+Lhires+460EX</v>
          </cell>
          <cell r="I92">
            <v>12118</v>
          </cell>
        </row>
        <row r="93">
          <cell r="B93">
            <v>81</v>
          </cell>
          <cell r="C93">
            <v>43977</v>
          </cell>
          <cell r="D93">
            <v>0.99068287037037039</v>
          </cell>
          <cell r="E93">
            <v>2458996.5063999998</v>
          </cell>
          <cell r="F93" t="str">
            <v>CBO</v>
          </cell>
          <cell r="G93" t="str">
            <v>OCT-FR</v>
          </cell>
          <cell r="H93" t="str">
            <v>N200mmF5_Alpy600</v>
          </cell>
          <cell r="I93">
            <v>508</v>
          </cell>
        </row>
        <row r="94">
          <cell r="B94">
            <v>82</v>
          </cell>
          <cell r="C94">
            <v>43978</v>
          </cell>
          <cell r="D94">
            <v>0.3056828703703704</v>
          </cell>
          <cell r="E94">
            <v>2458996.8311000001</v>
          </cell>
          <cell r="F94" t="str">
            <v>FAS</v>
          </cell>
          <cell r="G94" t="str">
            <v>DCO-US</v>
          </cell>
          <cell r="H94" t="str">
            <v>CDK14LISAAtik414ex</v>
          </cell>
          <cell r="I94">
            <v>1064</v>
          </cell>
        </row>
        <row r="95">
          <cell r="B95">
            <v>83</v>
          </cell>
          <cell r="C95" t="str">
            <v>30/05/2020</v>
          </cell>
          <cell r="D95">
            <v>2.8472222222222222E-2</v>
          </cell>
          <cell r="E95">
            <v>2458999.5279999999</v>
          </cell>
          <cell r="F95" t="str">
            <v>CBO</v>
          </cell>
          <cell r="G95" t="str">
            <v>OCT-FR</v>
          </cell>
          <cell r="H95" t="str">
            <v>N200mmF5_Alpy600</v>
          </cell>
          <cell r="I95">
            <v>501</v>
          </cell>
        </row>
        <row r="96">
          <cell r="B96">
            <v>84</v>
          </cell>
          <cell r="C96" t="str">
            <v>01/06/2020</v>
          </cell>
          <cell r="D96">
            <v>6.9444444444444434E-2</v>
          </cell>
          <cell r="E96">
            <v>2459001.5690000001</v>
          </cell>
          <cell r="F96" t="str">
            <v>CBO</v>
          </cell>
          <cell r="G96" t="str">
            <v>OCT-FR</v>
          </cell>
          <cell r="H96" t="str">
            <v>N200mmF/5+Alpy600</v>
          </cell>
          <cell r="I96">
            <v>501</v>
          </cell>
        </row>
        <row r="97">
          <cell r="B97">
            <v>85</v>
          </cell>
          <cell r="C97">
            <v>43983</v>
          </cell>
          <cell r="D97">
            <v>0.99832175925925926</v>
          </cell>
          <cell r="E97">
            <v>2459002.5088</v>
          </cell>
          <cell r="F97" t="str">
            <v>PDTM</v>
          </cell>
          <cell r="G97" t="str">
            <v>KOL-SK</v>
          </cell>
          <cell r="H97" t="str">
            <v>C11+LISA+Atik460EX</v>
          </cell>
          <cell r="I97">
            <v>803</v>
          </cell>
        </row>
        <row r="98">
          <cell r="B98">
            <v>86</v>
          </cell>
          <cell r="C98" t="str">
            <v>07/06/2020</v>
          </cell>
          <cell r="D98">
            <v>0.37222222222222223</v>
          </cell>
          <cell r="E98">
            <v>2459007.872</v>
          </cell>
          <cell r="F98" t="str">
            <v>FAS</v>
          </cell>
          <cell r="G98" t="str">
            <v>DCO-US</v>
          </cell>
          <cell r="H98" t="str">
            <v>CDK14 LISA Atik414ex</v>
          </cell>
          <cell r="I98">
            <v>1063</v>
          </cell>
        </row>
        <row r="99">
          <cell r="B99">
            <v>87</v>
          </cell>
          <cell r="C99">
            <v>43990</v>
          </cell>
          <cell r="D99">
            <v>0.19109953703703705</v>
          </cell>
          <cell r="E99">
            <v>2459008.7411000002</v>
          </cell>
          <cell r="F99" t="str">
            <v>LES</v>
          </cell>
          <cell r="G99" t="str">
            <v>MRO-CA</v>
          </cell>
          <cell r="H99" t="str">
            <v>31cmDK+ESSAT_2</v>
          </cell>
          <cell r="I99">
            <v>14000</v>
          </cell>
        </row>
        <row r="100">
          <cell r="B100">
            <v>88</v>
          </cell>
          <cell r="C100">
            <v>43992</v>
          </cell>
          <cell r="D100">
            <v>0.25631944444444443</v>
          </cell>
          <cell r="E100">
            <v>2459010.7799</v>
          </cell>
          <cell r="F100" t="str">
            <v>FAS</v>
          </cell>
          <cell r="G100" t="str">
            <v>DCO-US</v>
          </cell>
          <cell r="H100" t="str">
            <v>CDK14LISAAtik414ex</v>
          </cell>
          <cell r="I100">
            <v>1064</v>
          </cell>
        </row>
        <row r="101">
          <cell r="B101">
            <v>89</v>
          </cell>
          <cell r="C101">
            <v>43994</v>
          </cell>
          <cell r="D101">
            <v>0.87396990740740732</v>
          </cell>
          <cell r="E101">
            <v>2459013.4032000001</v>
          </cell>
          <cell r="F101" t="str">
            <v>TVE</v>
          </cell>
          <cell r="G101"/>
          <cell r="H101" t="str">
            <v>UVEX3300Atik314LC8</v>
          </cell>
          <cell r="I101">
            <v>823</v>
          </cell>
        </row>
        <row r="102">
          <cell r="B102">
            <v>90</v>
          </cell>
          <cell r="C102">
            <v>43996</v>
          </cell>
          <cell r="D102">
            <v>0.18920138888888891</v>
          </cell>
          <cell r="E102">
            <v>2459014.7463000002</v>
          </cell>
          <cell r="F102" t="str">
            <v>LES</v>
          </cell>
          <cell r="G102" t="str">
            <v>MRO-CA</v>
          </cell>
          <cell r="H102" t="str">
            <v>31cmDK+ESSAT_2</v>
          </cell>
          <cell r="I102">
            <v>14000</v>
          </cell>
        </row>
        <row r="103">
          <cell r="B103">
            <v>91</v>
          </cell>
          <cell r="C103" t="str">
            <v>14/06/2020</v>
          </cell>
          <cell r="D103">
            <v>0.28194444444444444</v>
          </cell>
          <cell r="E103">
            <v>2459014.7820000001</v>
          </cell>
          <cell r="F103" t="str">
            <v>FAS</v>
          </cell>
          <cell r="G103" t="str">
            <v>DCO-US</v>
          </cell>
          <cell r="H103" t="str">
            <v>CDK14 LISA Atik414ex</v>
          </cell>
          <cell r="I103">
            <v>1041</v>
          </cell>
        </row>
        <row r="105">
          <cell r="B105">
            <v>93</v>
          </cell>
          <cell r="C105" t="str">
            <v>18/06/2020</v>
          </cell>
          <cell r="D105">
            <v>0.27569444444444446</v>
          </cell>
          <cell r="E105">
            <v>2459018.7749999999</v>
          </cell>
          <cell r="F105" t="str">
            <v>FAS</v>
          </cell>
          <cell r="G105" t="str">
            <v>DCO-US</v>
          </cell>
          <cell r="H105" t="str">
            <v>CDK14 LISA Atik414ex</v>
          </cell>
          <cell r="I105">
            <v>1058</v>
          </cell>
        </row>
        <row r="106">
          <cell r="B106">
            <v>94</v>
          </cell>
          <cell r="C106" t="str">
            <v>19/06/2020</v>
          </cell>
          <cell r="D106">
            <v>0.53888888888888886</v>
          </cell>
          <cell r="E106">
            <v>2459020</v>
          </cell>
          <cell r="F106" t="str">
            <v>CEL</v>
          </cell>
          <cell r="G106" t="str">
            <v>MAR-AU</v>
          </cell>
          <cell r="H106" t="str">
            <v>ALPY on CDK1000</v>
          </cell>
          <cell r="I106">
            <v>500</v>
          </cell>
        </row>
        <row r="107">
          <cell r="B107">
            <v>95</v>
          </cell>
          <cell r="C107">
            <v>44001</v>
          </cell>
          <cell r="D107">
            <v>0.86486111111111119</v>
          </cell>
          <cell r="E107">
            <v>2459020.4067000002</v>
          </cell>
          <cell r="F107" t="str">
            <v>JGF</v>
          </cell>
          <cell r="G107" t="str">
            <v>PIE-SP</v>
          </cell>
          <cell r="H107" t="str">
            <v>NOU_T</v>
          </cell>
          <cell r="I107">
            <v>9500</v>
          </cell>
        </row>
        <row r="108">
          <cell r="B108">
            <v>96</v>
          </cell>
          <cell r="C108">
            <v>44005</v>
          </cell>
          <cell r="D108">
            <v>0.22616898148148148</v>
          </cell>
          <cell r="E108">
            <v>2459023.7519</v>
          </cell>
          <cell r="F108" t="str">
            <v>FAS</v>
          </cell>
          <cell r="G108" t="str">
            <v>DCO-US</v>
          </cell>
          <cell r="H108" t="str">
            <v>CDK14LISAAtik414ex</v>
          </cell>
          <cell r="I108">
            <v>1056</v>
          </cell>
        </row>
        <row r="109">
          <cell r="B109">
            <v>97</v>
          </cell>
          <cell r="C109" t="str">
            <v>25/06/2020</v>
          </cell>
          <cell r="D109">
            <v>5.5555555555555552E-2</v>
          </cell>
          <cell r="E109">
            <v>2459025.5559999999</v>
          </cell>
          <cell r="F109" t="str">
            <v>CBO</v>
          </cell>
          <cell r="G109" t="str">
            <v>OCT-FR</v>
          </cell>
          <cell r="H109" t="str">
            <v>N200mmF/5+Alpy600</v>
          </cell>
          <cell r="I109">
            <v>502</v>
          </cell>
        </row>
        <row r="110">
          <cell r="B110">
            <v>98</v>
          </cell>
          <cell r="C110">
            <v>44008</v>
          </cell>
          <cell r="D110">
            <v>0.86894675925925924</v>
          </cell>
          <cell r="E110">
            <v>2459027.4002</v>
          </cell>
          <cell r="F110" t="str">
            <v>TVE</v>
          </cell>
          <cell r="G110" t="str">
            <v>LAT-IT</v>
          </cell>
          <cell r="H110" t="str">
            <v>UVEX3300Atik314LC8</v>
          </cell>
          <cell r="I110">
            <v>842</v>
          </cell>
        </row>
        <row r="111">
          <cell r="B111">
            <v>99</v>
          </cell>
          <cell r="C111">
            <v>44010</v>
          </cell>
          <cell r="D111">
            <v>0.21341435185185187</v>
          </cell>
          <cell r="E111">
            <v>2459028.7396</v>
          </cell>
          <cell r="F111" t="str">
            <v>FAS</v>
          </cell>
          <cell r="G111" t="str">
            <v>DCO-US</v>
          </cell>
          <cell r="H111" t="str">
            <v>CDK14LISAAtik414ex</v>
          </cell>
          <cell r="I111">
            <v>1062</v>
          </cell>
        </row>
        <row r="112">
          <cell r="B112">
            <v>100</v>
          </cell>
          <cell r="C112">
            <v>44016</v>
          </cell>
          <cell r="D112">
            <v>0.24791666666666667</v>
          </cell>
          <cell r="E112">
            <v>2459034.7480000001</v>
          </cell>
          <cell r="F112" t="str">
            <v>FAS</v>
          </cell>
          <cell r="G112" t="str">
            <v>DCO-US</v>
          </cell>
          <cell r="H112" t="str">
            <v>CDK14 LISA Atik414ex</v>
          </cell>
          <cell r="I112">
            <v>1059</v>
          </cell>
        </row>
        <row r="113">
          <cell r="B113">
            <v>101</v>
          </cell>
          <cell r="C113">
            <v>44020</v>
          </cell>
          <cell r="D113">
            <v>0.22638888888888889</v>
          </cell>
          <cell r="E113">
            <v>2459038.7259999998</v>
          </cell>
          <cell r="F113" t="str">
            <v>FAS</v>
          </cell>
          <cell r="G113" t="str">
            <v>DCO-US</v>
          </cell>
          <cell r="H113" t="str">
            <v>CDK14 LISA Atik414ex</v>
          </cell>
          <cell r="I113">
            <v>1029</v>
          </cell>
        </row>
        <row r="114">
          <cell r="B114">
            <v>102</v>
          </cell>
          <cell r="C114" t="str">
            <v>10/07/2020</v>
          </cell>
          <cell r="D114">
            <v>0</v>
          </cell>
          <cell r="E114">
            <v>2459040.5</v>
          </cell>
          <cell r="F114" t="str">
            <v>CBO</v>
          </cell>
          <cell r="G114" t="str">
            <v>OCT-FR</v>
          </cell>
          <cell r="H114" t="str">
            <v>N200mmF5_Alpy600</v>
          </cell>
          <cell r="I114">
            <v>502</v>
          </cell>
        </row>
        <row r="115">
          <cell r="B115">
            <v>103</v>
          </cell>
          <cell r="C115" t="str">
            <v>10/07/2020</v>
          </cell>
          <cell r="D115">
            <v>0.88750000000000007</v>
          </cell>
          <cell r="E115">
            <v>2459041.3870000001</v>
          </cell>
          <cell r="F115" t="str">
            <v>PDTM</v>
          </cell>
          <cell r="G115" t="str">
            <v>KOL-SK</v>
          </cell>
          <cell r="H115" t="str">
            <v>C11+LISA+Atik 460EX</v>
          </cell>
          <cell r="I115">
            <v>1076</v>
          </cell>
        </row>
        <row r="116">
          <cell r="B116">
            <v>104</v>
          </cell>
          <cell r="C116" t="str">
            <v>11/07/2020</v>
          </cell>
          <cell r="D116">
            <v>0.8354166666666667</v>
          </cell>
          <cell r="E116">
            <v>2459042.335</v>
          </cell>
          <cell r="F116" t="str">
            <v>TVE</v>
          </cell>
          <cell r="G116" t="str">
            <v>LAT-IT</v>
          </cell>
          <cell r="H116" t="str">
            <v>UVEX3 300 Atik314L C8</v>
          </cell>
          <cell r="I116">
            <v>811</v>
          </cell>
        </row>
        <row r="117">
          <cell r="B117">
            <v>105</v>
          </cell>
          <cell r="C117" t="str">
            <v>12/07/2020</v>
          </cell>
          <cell r="D117">
            <v>0.86249999999999993</v>
          </cell>
          <cell r="E117">
            <v>2459043.3629999999</v>
          </cell>
          <cell r="F117" t="str">
            <v>PDTM</v>
          </cell>
          <cell r="G117" t="str">
            <v>KOL-SK</v>
          </cell>
          <cell r="H117" t="str">
            <v>C11+LISA+Atik 460EX</v>
          </cell>
          <cell r="I117">
            <v>927</v>
          </cell>
        </row>
        <row r="118">
          <cell r="B118">
            <v>106</v>
          </cell>
          <cell r="C118" t="str">
            <v>16/07/2020</v>
          </cell>
          <cell r="D118">
            <v>0.22569444444444445</v>
          </cell>
          <cell r="E118">
            <v>2459046.7250000001</v>
          </cell>
          <cell r="F118" t="str">
            <v>FAS</v>
          </cell>
          <cell r="G118" t="str">
            <v>DCO-US</v>
          </cell>
          <cell r="H118" t="str">
            <v>CDK14 LISA Atik414ex</v>
          </cell>
          <cell r="I118">
            <v>1029</v>
          </cell>
        </row>
        <row r="119">
          <cell r="B119">
            <v>107</v>
          </cell>
          <cell r="C119" t="str">
            <v>20/07/2020</v>
          </cell>
          <cell r="D119">
            <v>0.85069444444444453</v>
          </cell>
          <cell r="E119">
            <v>2459051.3509999998</v>
          </cell>
          <cell r="F119" t="str">
            <v>JGF</v>
          </cell>
          <cell r="G119" t="str">
            <v>SMM-SP</v>
          </cell>
          <cell r="H119" t="str">
            <v>16 REMOT LINX 460EX</v>
          </cell>
          <cell r="I119">
            <v>10000</v>
          </cell>
        </row>
        <row r="120">
          <cell r="B120">
            <v>108</v>
          </cell>
          <cell r="C120" t="str">
            <v>21/07/2020</v>
          </cell>
          <cell r="D120">
            <v>0.87013888888888891</v>
          </cell>
          <cell r="E120">
            <v>2459052.4194999998</v>
          </cell>
          <cell r="F120" t="str">
            <v>JGF</v>
          </cell>
          <cell r="G120" t="str">
            <v>SMM-SP</v>
          </cell>
          <cell r="H120" t="str">
            <v>16 REMOT LINX 460EX</v>
          </cell>
          <cell r="I120">
            <v>10000</v>
          </cell>
        </row>
        <row r="121">
          <cell r="B121">
            <v>109</v>
          </cell>
          <cell r="C121" t="str">
            <v>21/07/2020</v>
          </cell>
          <cell r="D121">
            <v>0.93819444444444444</v>
          </cell>
          <cell r="E121">
            <v>2459052.4525000001</v>
          </cell>
          <cell r="F121" t="str">
            <v>CBO</v>
          </cell>
          <cell r="G121" t="str">
            <v>OCT-FR</v>
          </cell>
          <cell r="H121" t="str">
            <v>N200mmF/5+Alpy600</v>
          </cell>
          <cell r="I121">
            <v>506</v>
          </cell>
        </row>
        <row r="122">
          <cell r="B122">
            <v>110</v>
          </cell>
          <cell r="C122" t="str">
            <v>24/07/2020</v>
          </cell>
          <cell r="D122">
            <v>0.85625000000000007</v>
          </cell>
          <cell r="E122">
            <v>2459055.4057</v>
          </cell>
          <cell r="F122" t="str">
            <v>JGF</v>
          </cell>
          <cell r="G122" t="str">
            <v>SMM-SP</v>
          </cell>
          <cell r="H122" t="str">
            <v>16 REMOT LINX 460EX</v>
          </cell>
          <cell r="I122">
            <v>10000</v>
          </cell>
        </row>
        <row r="123">
          <cell r="B123">
            <v>111</v>
          </cell>
          <cell r="C123" t="str">
            <v>25/07/2020</v>
          </cell>
          <cell r="D123">
            <v>7.2222222222222229E-2</v>
          </cell>
          <cell r="E123">
            <v>2459055.6298000002</v>
          </cell>
          <cell r="F123" t="str">
            <v>LES</v>
          </cell>
          <cell r="G123" t="str">
            <v>MRO-CA</v>
          </cell>
          <cell r="H123" t="str">
            <v>31cmDK+ESSAT_2</v>
          </cell>
          <cell r="I123">
            <v>14000</v>
          </cell>
        </row>
        <row r="124">
          <cell r="B124">
            <v>112</v>
          </cell>
          <cell r="C124" t="str">
            <v>25/07/2020</v>
          </cell>
          <cell r="D124">
            <v>0.85416666666666663</v>
          </cell>
          <cell r="E124">
            <v>2459056.3975999998</v>
          </cell>
          <cell r="F124" t="str">
            <v>JGF</v>
          </cell>
          <cell r="G124" t="str">
            <v>SMM-SP</v>
          </cell>
          <cell r="H124" t="str">
            <v>16 REMOT LINX 460EX</v>
          </cell>
          <cell r="I124">
            <v>10000</v>
          </cell>
        </row>
        <row r="125">
          <cell r="B125">
            <v>113</v>
          </cell>
          <cell r="C125" t="str">
            <v>27/07/2020</v>
          </cell>
          <cell r="D125">
            <v>0.19444444444444445</v>
          </cell>
          <cell r="E125">
            <v>2459057.7072999999</v>
          </cell>
          <cell r="F125" t="str">
            <v>FAS</v>
          </cell>
          <cell r="G125" t="str">
            <v>DCO-US</v>
          </cell>
          <cell r="H125" t="str">
            <v>CDK14 LISA Atik414ex</v>
          </cell>
          <cell r="I125">
            <v>1056</v>
          </cell>
        </row>
        <row r="126">
          <cell r="B126">
            <v>114</v>
          </cell>
          <cell r="C126" t="str">
            <v>28/07/2020</v>
          </cell>
          <cell r="D126">
            <v>0.85625000000000007</v>
          </cell>
          <cell r="E126">
            <v>2459059.4051000001</v>
          </cell>
          <cell r="F126" t="str">
            <v>JGF</v>
          </cell>
          <cell r="G126" t="str">
            <v>SMM-SP</v>
          </cell>
          <cell r="H126" t="str">
            <v>16 REMOT LINX 460EX</v>
          </cell>
          <cell r="I126">
            <v>10000</v>
          </cell>
        </row>
        <row r="127">
          <cell r="B127">
            <v>115</v>
          </cell>
          <cell r="C127" t="str">
            <v>31/07/2020</v>
          </cell>
          <cell r="D127">
            <v>0.86458333333333337</v>
          </cell>
          <cell r="E127">
            <v>2459062.4136999999</v>
          </cell>
          <cell r="F127" t="str">
            <v>JGF</v>
          </cell>
          <cell r="G127" t="str">
            <v>SMM-SP</v>
          </cell>
          <cell r="H127" t="str">
            <v>16 REMOT LINX 460EX</v>
          </cell>
          <cell r="I127">
            <v>10000</v>
          </cell>
        </row>
        <row r="128">
          <cell r="B128">
            <v>116</v>
          </cell>
          <cell r="C128">
            <v>44044</v>
          </cell>
          <cell r="D128">
            <v>5.8333333333333327E-2</v>
          </cell>
          <cell r="E128">
            <v>2459062.6159999999</v>
          </cell>
          <cell r="F128" t="str">
            <v>LES</v>
          </cell>
          <cell r="G128" t="str">
            <v>MRO-CA</v>
          </cell>
          <cell r="H128" t="str">
            <v>31cmDK+ESSAT_2</v>
          </cell>
          <cell r="I128">
            <v>14000</v>
          </cell>
        </row>
        <row r="129">
          <cell r="B129">
            <v>117</v>
          </cell>
          <cell r="C129">
            <v>44046</v>
          </cell>
          <cell r="D129">
            <v>0.89513888888888893</v>
          </cell>
          <cell r="E129">
            <v>2459065.4232000001</v>
          </cell>
          <cell r="F129" t="str">
            <v>JGF</v>
          </cell>
          <cell r="G129" t="str">
            <v>SMM-SP</v>
          </cell>
          <cell r="H129" t="str">
            <v>16 REMOT LINX 460EX</v>
          </cell>
          <cell r="I129">
            <v>10000</v>
          </cell>
        </row>
        <row r="130">
          <cell r="B130">
            <v>118</v>
          </cell>
          <cell r="C130">
            <v>44050</v>
          </cell>
          <cell r="D130">
            <v>0.83888888888888891</v>
          </cell>
          <cell r="E130">
            <v>2459069.3717999998</v>
          </cell>
          <cell r="F130" t="str">
            <v>JMI</v>
          </cell>
          <cell r="G130" t="str">
            <v>SAO-FR</v>
          </cell>
          <cell r="H130" t="str">
            <v>C11f7-Lisa-Atik460EX</v>
          </cell>
          <cell r="I130">
            <v>1000</v>
          </cell>
        </row>
        <row r="131">
          <cell r="B131">
            <v>119</v>
          </cell>
          <cell r="C131">
            <v>43990</v>
          </cell>
          <cell r="D131">
            <v>4.9999999999999996E-2</v>
          </cell>
          <cell r="E131">
            <v>2459067.6</v>
          </cell>
          <cell r="F131" t="str">
            <v>LES</v>
          </cell>
          <cell r="G131" t="str">
            <v>MRO-CA</v>
          </cell>
          <cell r="H131" t="str">
            <v>31cmDK+ESSAT_2</v>
          </cell>
          <cell r="I131">
            <v>14000</v>
          </cell>
        </row>
        <row r="132">
          <cell r="B132">
            <v>120</v>
          </cell>
          <cell r="C132">
            <v>44052</v>
          </cell>
          <cell r="D132">
            <v>0.125</v>
          </cell>
          <cell r="E132">
            <v>2459070.6299000001</v>
          </cell>
          <cell r="F132" t="str">
            <v>KSH</v>
          </cell>
          <cell r="G132" t="str">
            <v>CAR-US</v>
          </cell>
          <cell r="H132" t="str">
            <v>DEVO Observatory</v>
          </cell>
          <cell r="I132">
            <v>1000</v>
          </cell>
        </row>
        <row r="133">
          <cell r="B133">
            <v>121</v>
          </cell>
          <cell r="C133">
            <v>44055</v>
          </cell>
          <cell r="D133">
            <v>0.1111111111111111</v>
          </cell>
          <cell r="E133">
            <v>2459073.6165999998</v>
          </cell>
          <cell r="F133" t="str">
            <v>KSH</v>
          </cell>
          <cell r="G133" t="str">
            <v>CAR-US</v>
          </cell>
          <cell r="H133" t="str">
            <v>DEVO Observatory</v>
          </cell>
          <cell r="I133">
            <v>1000</v>
          </cell>
        </row>
        <row r="134">
          <cell r="B134">
            <v>122</v>
          </cell>
          <cell r="C134">
            <v>44053</v>
          </cell>
          <cell r="D134">
            <v>0.9277777777777777</v>
          </cell>
          <cell r="E134">
            <v>2459072.4421999999</v>
          </cell>
          <cell r="F134" t="str">
            <v>PAD</v>
          </cell>
          <cell r="G134" t="str">
            <v>KOL-SK</v>
          </cell>
          <cell r="H134" t="str">
            <v>C11+LISA+Atik 460EX</v>
          </cell>
          <cell r="I134">
            <v>1001</v>
          </cell>
        </row>
        <row r="135">
          <cell r="B135">
            <v>123</v>
          </cell>
          <cell r="C135" t="str">
            <v>13/08/2020</v>
          </cell>
          <cell r="D135">
            <v>7.013888888888889E-2</v>
          </cell>
          <cell r="E135">
            <v>2459074.6205000002</v>
          </cell>
          <cell r="F135" t="str">
            <v>LES</v>
          </cell>
          <cell r="G135" t="str">
            <v>MRO-CA</v>
          </cell>
          <cell r="H135" t="str">
            <v>31cmDK+ESSAT_2</v>
          </cell>
          <cell r="I135">
            <v>12000</v>
          </cell>
        </row>
        <row r="136">
          <cell r="B136">
            <v>124</v>
          </cell>
          <cell r="C136" t="str">
            <v>13/08/2020</v>
          </cell>
          <cell r="D136">
            <v>0.83472222222222225</v>
          </cell>
          <cell r="E136">
            <v>2459075.3903000001</v>
          </cell>
          <cell r="F136" t="str">
            <v>JGF</v>
          </cell>
          <cell r="G136" t="str">
            <v>SMM-SP</v>
          </cell>
          <cell r="H136" t="str">
            <v>16 REMOT LINX 460EX</v>
          </cell>
          <cell r="I136">
            <v>10000</v>
          </cell>
        </row>
        <row r="137">
          <cell r="B137">
            <v>125</v>
          </cell>
          <cell r="C137">
            <v>44055</v>
          </cell>
          <cell r="D137">
            <v>0.81111111111111101</v>
          </cell>
          <cell r="E137">
            <v>2459074.3324000002</v>
          </cell>
          <cell r="F137" t="str">
            <v>FRA</v>
          </cell>
          <cell r="G137"/>
          <cell r="H137" t="str">
            <v>LX200-8(F/5)+Alpy600+SXV-M7</v>
          </cell>
          <cell r="I137">
            <v>538</v>
          </cell>
        </row>
        <row r="138">
          <cell r="B138">
            <v>126</v>
          </cell>
          <cell r="C138" t="str">
            <v>23/08/2020</v>
          </cell>
          <cell r="D138">
            <v>8.819444444444445E-2</v>
          </cell>
          <cell r="E138">
            <v>2459084.5937999999</v>
          </cell>
          <cell r="F138" t="str">
            <v>KSH</v>
          </cell>
          <cell r="G138" t="str">
            <v>CAR-US</v>
          </cell>
          <cell r="H138" t="str">
            <v>KAS - DEVO Observatory</v>
          </cell>
          <cell r="I138">
            <v>1000</v>
          </cell>
        </row>
        <row r="139">
          <cell r="B139">
            <v>127</v>
          </cell>
          <cell r="C139">
            <v>44069</v>
          </cell>
          <cell r="D139">
            <v>0.82430555555555562</v>
          </cell>
          <cell r="E139">
            <v>2459088.3736999999</v>
          </cell>
          <cell r="F139" t="str">
            <v>JGF</v>
          </cell>
          <cell r="G139" t="str">
            <v>SMM-SP</v>
          </cell>
          <cell r="H139" t="str">
            <v>16 REMOT LINX 460EX</v>
          </cell>
          <cell r="I139">
            <v>9500</v>
          </cell>
        </row>
        <row r="140">
          <cell r="B140">
            <v>128</v>
          </cell>
          <cell r="C140">
            <v>43990</v>
          </cell>
          <cell r="D140">
            <v>0.8930555555555556</v>
          </cell>
          <cell r="E140">
            <v>2459068.4035</v>
          </cell>
          <cell r="F140" t="str">
            <v>FCA</v>
          </cell>
          <cell r="G140" t="str">
            <v>PAG-SP</v>
          </cell>
          <cell r="H140" t="str">
            <v>N-200 f/4.7 + Barlow 2X  DADOS 200 l/mm</v>
          </cell>
          <cell r="I140">
            <v>769</v>
          </cell>
        </row>
        <row r="141">
          <cell r="B141">
            <v>129</v>
          </cell>
          <cell r="C141" t="str">
            <v>15/09/2020</v>
          </cell>
          <cell r="D141">
            <v>0.80069444444444438</v>
          </cell>
          <cell r="E141">
            <v>2459108.3358</v>
          </cell>
          <cell r="F141" t="str">
            <v>JGF</v>
          </cell>
          <cell r="G141" t="str">
            <v>SMM-SP</v>
          </cell>
          <cell r="H141" t="str">
            <v>16 REMOT LINX 460EX</v>
          </cell>
          <cell r="I141">
            <v>9500</v>
          </cell>
        </row>
        <row r="142">
          <cell r="B142">
            <v>130</v>
          </cell>
          <cell r="C142" t="str">
            <v>24/09/2020</v>
          </cell>
          <cell r="D142">
            <v>0.78819444444444453</v>
          </cell>
          <cell r="E142">
            <v>2459117.3232999998</v>
          </cell>
          <cell r="F142" t="str">
            <v>JGF</v>
          </cell>
          <cell r="G142" t="str">
            <v>SMM-SP</v>
          </cell>
          <cell r="H142" t="str">
            <v>16 REMOT LINX 460EX</v>
          </cell>
          <cell r="I142">
            <v>9500</v>
          </cell>
        </row>
        <row r="143">
          <cell r="B143">
            <v>131</v>
          </cell>
          <cell r="C143">
            <v>44052</v>
          </cell>
          <cell r="D143">
            <v>0.48888888888888887</v>
          </cell>
          <cell r="E143">
            <v>2459101.0274999999</v>
          </cell>
          <cell r="F143" t="str">
            <v>CEL</v>
          </cell>
          <cell r="G143" t="str">
            <v>MAR-AU</v>
          </cell>
          <cell r="H143" t="str">
            <v>CDK1000-Alpy600-Atik460EX</v>
          </cell>
          <cell r="I143">
            <v>10000</v>
          </cell>
        </row>
        <row r="144">
          <cell r="B144">
            <v>132</v>
          </cell>
          <cell r="C144">
            <v>44105</v>
          </cell>
          <cell r="D144">
            <v>9.2361111111111116E-2</v>
          </cell>
          <cell r="E144">
            <v>2459123.6052000001</v>
          </cell>
          <cell r="F144" t="str">
            <v>FAS</v>
          </cell>
          <cell r="G144" t="str">
            <v>DCO-US</v>
          </cell>
          <cell r="H144" t="str">
            <v>CDK14 LISA Atik414ex</v>
          </cell>
          <cell r="I144">
            <v>1067</v>
          </cell>
        </row>
        <row r="145">
          <cell r="B145">
            <v>133</v>
          </cell>
          <cell r="C145" t="str">
            <v>29/09/2020</v>
          </cell>
          <cell r="D145">
            <v>0.79305555555555562</v>
          </cell>
          <cell r="E145">
            <v>2459122.3215999999</v>
          </cell>
          <cell r="F145" t="str">
            <v>JGF</v>
          </cell>
          <cell r="G145" t="str">
            <v>SMM-SP</v>
          </cell>
          <cell r="H145" t="str">
            <v>16 REMOT LINX 460EX</v>
          </cell>
          <cell r="I145">
            <v>9500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Tri"/>
      <sheetName val="V"/>
      <sheetName val="B"/>
      <sheetName val="M"/>
      <sheetName val="Feuil1"/>
      <sheetName val="Ech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O202"/>
  <sheetViews>
    <sheetView showGridLines="0" tabSelected="1" workbookViewId="0">
      <selection activeCell="O19" sqref="O19"/>
    </sheetView>
  </sheetViews>
  <sheetFormatPr baseColWidth="10" defaultRowHeight="15" x14ac:dyDescent="0.25"/>
  <cols>
    <col min="3" max="3" width="11.85546875" style="13" bestFit="1" customWidth="1"/>
    <col min="5" max="5" width="13" bestFit="1" customWidth="1"/>
    <col min="6" max="6" width="13" customWidth="1"/>
  </cols>
  <sheetData>
    <row r="2" spans="1:1" x14ac:dyDescent="0.25">
      <c r="A2">
        <v>2431667.5</v>
      </c>
    </row>
    <row r="3" spans="1:1" x14ac:dyDescent="0.25">
      <c r="A3">
        <v>816.5</v>
      </c>
    </row>
    <row r="21" spans="2:15" x14ac:dyDescent="0.25">
      <c r="C21" s="13" t="s">
        <v>0</v>
      </c>
    </row>
    <row r="22" spans="2:15" x14ac:dyDescent="0.25">
      <c r="O22">
        <v>15</v>
      </c>
    </row>
    <row r="25" spans="2:15" x14ac:dyDescent="0.25">
      <c r="B25" s="2" t="str">
        <f>IF([2]AGPeg!B11&lt;&gt;"",[2]AGPeg!B11,"")</f>
        <v>#</v>
      </c>
      <c r="C25" s="3" t="str">
        <f>IF([2]AGPeg!C11&lt;&gt;"",[2]AGPeg!C11,"")</f>
        <v>Date</v>
      </c>
      <c r="D25" s="4" t="str">
        <f>IF([2]AGPeg!D11&lt;&gt;"",[2]AGPeg!D11,"")</f>
        <v>Time (UT)</v>
      </c>
      <c r="E25" s="2" t="str">
        <f>IF([2]AGPeg!E11&lt;&gt;"",[2]AGPeg!E11,"")</f>
        <v>J.D. mid</v>
      </c>
      <c r="F25" s="2"/>
      <c r="G25" s="2" t="str">
        <f>IF([2]AGPeg!F11&lt;&gt;"",[2]AGPeg!F11,"")</f>
        <v>Observer</v>
      </c>
      <c r="H25" s="2" t="str">
        <f>IF([2]AGPeg!G11&lt;&gt;"",[2]AGPeg!G11,"")</f>
        <v>Site</v>
      </c>
      <c r="I25" s="2" t="str">
        <f>IF([2]AGPeg!H11&lt;&gt;"",[2]AGPeg!H11,"")</f>
        <v>Instrument</v>
      </c>
      <c r="J25" s="2" t="str">
        <f>IF([2]AGPeg!I11&lt;&gt;"",[2]AGPeg!I11,"")</f>
        <v>Resolution</v>
      </c>
      <c r="K25" s="2" t="str">
        <f>IF([2]AGPeg!J11&lt;&gt;"",[2]AGPeg!J11,"")</f>
        <v>R</v>
      </c>
    </row>
    <row r="26" spans="2:15" x14ac:dyDescent="0.25">
      <c r="B26" s="2" t="str">
        <f>IF([2]AGPeg!B12&lt;&gt;"",[2]AGPeg!B12,"")</f>
        <v/>
      </c>
      <c r="C26" s="3" t="str">
        <f>IF([2]AGPeg!C12&lt;&gt;"",[2]AGPeg!C12,"")</f>
        <v/>
      </c>
      <c r="D26" s="4" t="str">
        <f>IF([2]AGPeg!D12&lt;&gt;"",[2]AGPeg!D12,"")</f>
        <v/>
      </c>
      <c r="E26" s="2" t="str">
        <f>IF([2]AGPeg!E12&lt;&gt;"",[2]AGPeg!E12,"")</f>
        <v/>
      </c>
      <c r="F26" s="2"/>
      <c r="G26" s="2" t="str">
        <f>IF([2]AGPeg!F12&lt;&gt;"",[2]AGPeg!F12,"")</f>
        <v/>
      </c>
      <c r="H26" s="2" t="str">
        <f>IF([2]AGPeg!G12&lt;&gt;"",[2]AGPeg!G12,"")</f>
        <v/>
      </c>
      <c r="I26" s="2" t="str">
        <f>IF([2]AGPeg!H12&lt;&gt;"",[2]AGPeg!H12,"")</f>
        <v/>
      </c>
      <c r="J26" s="2" t="str">
        <f>IF([2]AGPeg!I12&lt;&gt;"",[2]AGPeg!I12,"")</f>
        <v/>
      </c>
      <c r="K26" s="2" t="str">
        <f>IF([2]AGPeg!J12&lt;&gt;"",[2]AGPeg!J12,"")</f>
        <v/>
      </c>
    </row>
    <row r="27" spans="2:15" x14ac:dyDescent="0.25">
      <c r="B27" s="2">
        <f>IF([2]RSOph!B13&lt;&gt;"",[2]RSOph!B13,"")</f>
        <v>1</v>
      </c>
      <c r="C27" s="3">
        <f>IF([2]RSOph!C13&lt;&gt;"",[2]RSOph!C13,"")</f>
        <v>40625</v>
      </c>
      <c r="D27" s="2">
        <f>IF([2]RSOph!D13&lt;&gt;"",[2]RSOph!D13,"")</f>
        <v>0.10224537037037036</v>
      </c>
      <c r="E27" s="2">
        <f>IF([2]RSOph!E13&lt;&gt;"",[2]RSOph!E13,"")</f>
        <v>2455643.1022453704</v>
      </c>
      <c r="F27" s="2" t="str">
        <f>IF([2]RSOph!F13&lt;&gt;"",[2]RSOph!F13,"")</f>
        <v>BUI</v>
      </c>
      <c r="G27" s="2" t="str">
        <f>IF([2]RSOph!G13&lt;&gt;"",[2]RSOph!G13,"")</f>
        <v>CAS-FR</v>
      </c>
      <c r="H27" s="2" t="str">
        <f>IF([2]RSOph!H13&lt;&gt;"",[2]RSOph!H13,"")</f>
        <v>C11LisaQSI583</v>
      </c>
      <c r="I27" s="2">
        <f>IF([2]RSOph!I13&lt;&gt;"",[2]RSOph!I13,"")</f>
        <v>1000</v>
      </c>
      <c r="J27" s="2" t="str">
        <f>IF([2]RSOph!J13&lt;&gt;"",[2]RSOph!J13,"")</f>
        <v/>
      </c>
      <c r="K27" s="2" t="str">
        <f>IF([2]RSOph!K13&lt;&gt;"",[2]RSOph!K13,"")</f>
        <v/>
      </c>
    </row>
    <row r="28" spans="2:15" x14ac:dyDescent="0.25">
      <c r="B28" s="2">
        <f>IF([2]RSOph!B14&lt;&gt;"",[2]RSOph!B14,"")</f>
        <v>2</v>
      </c>
      <c r="C28" s="3">
        <f>IF([2]RSOph!C14&lt;&gt;"",[2]RSOph!C14,"")</f>
        <v>40727</v>
      </c>
      <c r="D28" s="2">
        <f>IF([2]RSOph!D14&lt;&gt;"",[2]RSOph!D14,"")</f>
        <v>0.89814814814814825</v>
      </c>
      <c r="E28" s="2">
        <f>IF([2]RSOph!E14&lt;&gt;"",[2]RSOph!E14,"")</f>
        <v>2455745.8981481483</v>
      </c>
      <c r="F28" s="2" t="str">
        <f>IF([2]RSOph!F14&lt;&gt;"",[2]RSOph!F14,"")</f>
        <v xml:space="preserve">FMT </v>
      </c>
      <c r="G28" s="2" t="str">
        <f>IF([2]RSOph!G14&lt;&gt;"",[2]RSOph!G14,"")</f>
        <v>ORS-FR</v>
      </c>
      <c r="H28" s="2" t="str">
        <f>IF([2]RSOph!H14&lt;&gt;"",[2]RSOph!H14,"")</f>
        <v>SC10+Lisa</v>
      </c>
      <c r="I28" s="2">
        <f>IF([2]RSOph!I14&lt;&gt;"",[2]RSOph!I14,"")</f>
        <v>1000</v>
      </c>
      <c r="J28" s="2" t="str">
        <f>IF([2]RSOph!J14&lt;&gt;"",[2]RSOph!J14,"")</f>
        <v/>
      </c>
      <c r="K28" s="2" t="str">
        <f>IF([2]RSOph!K14&lt;&gt;"",[2]RSOph!K14,"")</f>
        <v/>
      </c>
    </row>
    <row r="29" spans="2:15" x14ac:dyDescent="0.25">
      <c r="B29" s="2">
        <f>IF([2]RSOph!B15&lt;&gt;"",[2]RSOph!B15,"")</f>
        <v>3</v>
      </c>
      <c r="C29" s="3">
        <f>IF([2]RSOph!C15&lt;&gt;"",[2]RSOph!C15,"")</f>
        <v>40759</v>
      </c>
      <c r="D29" s="2">
        <f>IF([2]RSOph!D15&lt;&gt;"",[2]RSOph!D15,"")</f>
        <v>0.95969907407407407</v>
      </c>
      <c r="E29" s="2">
        <f>IF([2]RSOph!E15&lt;&gt;"",[2]RSOph!E15,"")</f>
        <v>2455777.9596990743</v>
      </c>
      <c r="F29" s="2" t="str">
        <f>IF([2]RSOph!F15&lt;&gt;"",[2]RSOph!F15,"")</f>
        <v>BUI</v>
      </c>
      <c r="G29" s="2" t="str">
        <f>IF([2]RSOph!G15&lt;&gt;"",[2]RSOph!G15,"")</f>
        <v>OHP-FR</v>
      </c>
      <c r="H29" s="2" t="str">
        <f>IF([2]RSOph!H15&lt;&gt;"",[2]RSOph!H15,"")</f>
        <v>SC11+Lisa+Atik314</v>
      </c>
      <c r="I29" s="2">
        <f>IF([2]RSOph!I15&lt;&gt;"",[2]RSOph!I15,"")</f>
        <v>1000</v>
      </c>
      <c r="J29" s="2" t="str">
        <f>IF([2]RSOph!J15&lt;&gt;"",[2]RSOph!J15,"")</f>
        <v/>
      </c>
      <c r="K29" s="2" t="str">
        <f>IF([2]RSOph!K15&lt;&gt;"",[2]RSOph!K15,"")</f>
        <v/>
      </c>
    </row>
    <row r="30" spans="2:15" x14ac:dyDescent="0.25">
      <c r="B30" s="2">
        <f>IF([2]RSOph!B16&lt;&gt;"",[2]RSOph!B16,"")</f>
        <v>4</v>
      </c>
      <c r="C30" s="3">
        <f>IF([2]RSOph!C16&lt;&gt;"",[2]RSOph!C16,"")</f>
        <v>41086</v>
      </c>
      <c r="D30" s="2">
        <f>IF([2]RSOph!D16&lt;&gt;"",[2]RSOph!D16,"")</f>
        <v>0.92503472222222216</v>
      </c>
      <c r="E30" s="2">
        <f>IF([2]RSOph!E16&lt;&gt;"",[2]RSOph!E16,"")</f>
        <v>2456105.4372999999</v>
      </c>
      <c r="F30" s="2" t="str">
        <f>IF([2]RSOph!F16&lt;&gt;"",[2]RSOph!F16,"")</f>
        <v>BUI</v>
      </c>
      <c r="G30" s="2" t="str">
        <f>IF([2]RSOph!G16&lt;&gt;"",[2]RSOph!G16,"")</f>
        <v>CAS-FR</v>
      </c>
      <c r="H30" s="2" t="str">
        <f>IF([2]RSOph!H16&lt;&gt;"",[2]RSOph!H16,"")</f>
        <v>SC11+Lisa+Atik314</v>
      </c>
      <c r="I30" s="2">
        <f>IF([2]RSOph!I16&lt;&gt;"",[2]RSOph!I16,"")</f>
        <v>1000</v>
      </c>
      <c r="J30" s="2" t="str">
        <f>IF([2]RSOph!J16&lt;&gt;"",[2]RSOph!J16,"")</f>
        <v/>
      </c>
      <c r="K30" s="2" t="str">
        <f>IF([2]RSOph!K16&lt;&gt;"",[2]RSOph!K16,"")</f>
        <v/>
      </c>
    </row>
    <row r="31" spans="2:15" x14ac:dyDescent="0.25">
      <c r="B31" s="2">
        <f>IF([2]RSOph!B17&lt;&gt;"",[2]RSOph!B17,"")</f>
        <v>5</v>
      </c>
      <c r="C31" s="3">
        <f>IF([2]RSOph!C17&lt;&gt;"",[2]RSOph!C17,"")</f>
        <v>41487</v>
      </c>
      <c r="D31" s="2">
        <f>IF([2]RSOph!D17&lt;&gt;"",[2]RSOph!D17,"")</f>
        <v>0.9084374999999999</v>
      </c>
      <c r="E31" s="2">
        <f>IF([2]RSOph!E17&lt;&gt;"",[2]RSOph!E17,"")</f>
        <v>2456506.4295999999</v>
      </c>
      <c r="F31" s="2" t="str">
        <f>IF([2]RSOph!F17&lt;&gt;"",[2]RSOph!F17,"")</f>
        <v xml:space="preserve">FMT </v>
      </c>
      <c r="G31" s="2" t="str">
        <f>IF([2]RSOph!G17&lt;&gt;"",[2]RSOph!G17,"")</f>
        <v>ORS-FR</v>
      </c>
      <c r="H31" s="2" t="str">
        <f>IF([2]RSOph!H17&lt;&gt;"",[2]RSOph!H17,"")</f>
        <v>SC10+Lisa+ATIK46EX</v>
      </c>
      <c r="I31" s="2">
        <f>IF([2]RSOph!I17&lt;&gt;"",[2]RSOph!I17,"")</f>
        <v>824</v>
      </c>
      <c r="J31" s="2" t="str">
        <f>IF([2]RSOph!J17&lt;&gt;"",[2]RSOph!J17,"")</f>
        <v/>
      </c>
      <c r="K31" s="2" t="str">
        <f>IF([2]RSOph!K17&lt;&gt;"",[2]RSOph!K17,"")</f>
        <v/>
      </c>
    </row>
    <row r="32" spans="2:15" x14ac:dyDescent="0.25">
      <c r="B32" s="2">
        <f>IF([2]RSOph!B18&lt;&gt;"",[2]RSOph!B18,"")</f>
        <v>6</v>
      </c>
      <c r="C32" s="3">
        <f>IF([2]RSOph!C18&lt;&gt;"",[2]RSOph!C18,"")</f>
        <v>41489</v>
      </c>
      <c r="D32" s="2">
        <f>IF([2]RSOph!D18&lt;&gt;"",[2]RSOph!D18,"")</f>
        <v>0.86436342592592597</v>
      </c>
      <c r="E32" s="2">
        <f>IF([2]RSOph!E18&lt;&gt;"",[2]RSOph!E18,"")</f>
        <v>2456508.3807999999</v>
      </c>
      <c r="F32" s="2" t="str">
        <f>IF([2]RSOph!F18&lt;&gt;"",[2]RSOph!F18,"")</f>
        <v>BUI</v>
      </c>
      <c r="G32" s="2" t="str">
        <f>IF([2]RSOph!G18&lt;&gt;"",[2]RSOph!G18,"")</f>
        <v>OHP-FR</v>
      </c>
      <c r="H32" s="2" t="str">
        <f>IF([2]RSOph!H18&lt;&gt;"",[2]RSOph!H18,"")</f>
        <v>CN212Alpy600ATIK6</v>
      </c>
      <c r="I32" s="2">
        <f>IF([2]RSOph!I18&lt;&gt;"",[2]RSOph!I18,"")</f>
        <v>582</v>
      </c>
      <c r="J32" s="2" t="str">
        <f>IF([2]RSOph!J18&lt;&gt;"",[2]RSOph!J18,"")</f>
        <v/>
      </c>
      <c r="K32" s="2" t="str">
        <f>IF([2]RSOph!K18&lt;&gt;"",[2]RSOph!K18,"")</f>
        <v/>
      </c>
    </row>
    <row r="33" spans="2:11" x14ac:dyDescent="0.25">
      <c r="B33" s="2">
        <f>IF([2]RSOph!B19&lt;&gt;"",[2]RSOph!B19,"")</f>
        <v>7</v>
      </c>
      <c r="C33" s="3">
        <f>IF([2]RSOph!C19&lt;&gt;"",[2]RSOph!C19,"")</f>
        <v>41735</v>
      </c>
      <c r="D33" s="2">
        <f>IF([2]RSOph!D19&lt;&gt;"",[2]RSOph!D19,"")</f>
        <v>8.9085648148148136E-2</v>
      </c>
      <c r="E33" s="2">
        <f>IF([2]RSOph!E19&lt;&gt;"",[2]RSOph!E19,"")</f>
        <v>2456753.6017999998</v>
      </c>
      <c r="F33" s="2" t="str">
        <f>IF([2]RSOph!F19&lt;&gt;"",[2]RSOph!F19,"")</f>
        <v>JPM</v>
      </c>
      <c r="G33" s="2" t="str">
        <f>IF([2]RSOph!G19&lt;&gt;"",[2]RSOph!G19,"")</f>
        <v>OHP-FR</v>
      </c>
      <c r="H33" s="2" t="str">
        <f>IF([2]RSOph!H19&lt;&gt;"",[2]RSOph!H19,"")</f>
        <v>Alpy+Newton200</v>
      </c>
      <c r="I33" s="2">
        <f>IF([2]RSOph!I19&lt;&gt;"",[2]RSOph!I19,"")</f>
        <v>441</v>
      </c>
      <c r="J33" s="2" t="str">
        <f>IF([2]RSOph!J19&lt;&gt;"",[2]RSOph!J19,"")</f>
        <v/>
      </c>
      <c r="K33" s="2" t="str">
        <f>IF([2]RSOph!K19&lt;&gt;"",[2]RSOph!K19,"")</f>
        <v/>
      </c>
    </row>
    <row r="34" spans="2:11" x14ac:dyDescent="0.25">
      <c r="B34" s="2">
        <f>IF([2]RSOph!B20&lt;&gt;"",[2]RSOph!B20,"")</f>
        <v>8</v>
      </c>
      <c r="C34" s="3">
        <f>IF([2]RSOph!C20&lt;&gt;"",[2]RSOph!C20,"")</f>
        <v>41793</v>
      </c>
      <c r="D34" s="2">
        <f>IF([2]RSOph!D20&lt;&gt;"",[2]RSOph!D20,"")</f>
        <v>0.51765046296296291</v>
      </c>
      <c r="E34" s="2">
        <f>IF([2]RSOph!E20&lt;&gt;"",[2]RSOph!E20,"")</f>
        <v>2456812.0281000002</v>
      </c>
      <c r="F34" s="2" t="str">
        <f>IF([2]RSOph!F20&lt;&gt;"",[2]RSOph!F20,"")</f>
        <v>BHQ</v>
      </c>
      <c r="G34" s="2" t="str">
        <f>IF([2]RSOph!G20&lt;&gt;"",[2]RSOph!G20,"")</f>
        <v>ARM-US</v>
      </c>
      <c r="H34" s="2" t="str">
        <f>IF([2]RSOph!H20&lt;&gt;"",[2]RSOph!H20,"")</f>
        <v>LisaC11Atik314L+</v>
      </c>
      <c r="I34" s="2">
        <f>IF([2]RSOph!I20&lt;&gt;"",[2]RSOph!I20,"")</f>
        <v>1351</v>
      </c>
      <c r="J34" s="2" t="str">
        <f>IF([2]RSOph!J20&lt;&gt;"",[2]RSOph!J20,"")</f>
        <v/>
      </c>
      <c r="K34" s="2" t="str">
        <f>IF([2]RSOph!K20&lt;&gt;"",[2]RSOph!K20,"")</f>
        <v/>
      </c>
    </row>
    <row r="35" spans="2:11" x14ac:dyDescent="0.25">
      <c r="B35" s="2">
        <f>IF([2]RSOph!B21&lt;&gt;"",[2]RSOph!B21,"")</f>
        <v>9</v>
      </c>
      <c r="C35" s="3">
        <f>IF([2]RSOph!C21&lt;&gt;"",[2]RSOph!C21,"")</f>
        <v>41793</v>
      </c>
      <c r="D35" s="2">
        <f>IF([2]RSOph!D21&lt;&gt;"",[2]RSOph!D21,"")</f>
        <v>0.51765046296296291</v>
      </c>
      <c r="E35" s="2">
        <f>IF([2]RSOph!E21&lt;&gt;"",[2]RSOph!E21,"")</f>
        <v>2456812.0281000002</v>
      </c>
      <c r="F35" s="2" t="str">
        <f>IF([2]RSOph!F21&lt;&gt;"",[2]RSOph!F21,"")</f>
        <v>BHQ</v>
      </c>
      <c r="G35" s="2" t="str">
        <f>IF([2]RSOph!G21&lt;&gt;"",[2]RSOph!G21,"")</f>
        <v>ARM_US</v>
      </c>
      <c r="H35" s="2" t="str">
        <f>IF([2]RSOph!H21&lt;&gt;"",[2]RSOph!H21,"")</f>
        <v>LisaC11Atik314L+</v>
      </c>
      <c r="I35" s="2">
        <f>IF([2]RSOph!I21&lt;&gt;"",[2]RSOph!I21,"")</f>
        <v>1351</v>
      </c>
      <c r="J35" s="2" t="str">
        <f>IF([2]RSOph!J21&lt;&gt;"",[2]RSOph!J21,"")</f>
        <v/>
      </c>
      <c r="K35" s="2" t="str">
        <f>IF([2]RSOph!K21&lt;&gt;"",[2]RSOph!K21,"")</f>
        <v/>
      </c>
    </row>
    <row r="36" spans="2:11" x14ac:dyDescent="0.25">
      <c r="B36" s="2">
        <f>IF([2]RSOph!B22&lt;&gt;"",[2]RSOph!B22,"")</f>
        <v>10</v>
      </c>
      <c r="C36" s="3">
        <f>IF([2]RSOph!C22&lt;&gt;"",[2]RSOph!C22,"")</f>
        <v>41844</v>
      </c>
      <c r="D36" s="2">
        <f>IF([2]RSOph!D22&lt;&gt;"",[2]RSOph!D22,"")</f>
        <v>0.921412037037037</v>
      </c>
      <c r="E36" s="2">
        <f>IF([2]RSOph!E22&lt;&gt;"",[2]RSOph!E22,"")</f>
        <v>2456863.4471</v>
      </c>
      <c r="F36" s="2" t="str">
        <f>IF([2]RSOph!F22&lt;&gt;"",[2]RSOph!F22,"")</f>
        <v>DBO</v>
      </c>
      <c r="G36" s="2" t="str">
        <f>IF([2]RSOph!G22&lt;&gt;"",[2]RSOph!G22,"")</f>
        <v>WCO-UK</v>
      </c>
      <c r="H36" s="2" t="str">
        <f>IF([2]RSOph!H22&lt;&gt;"",[2]RSOph!H22,"")</f>
        <v>C11+Lisa+SXVR-H694</v>
      </c>
      <c r="I36" s="2">
        <f>IF([2]RSOph!I22&lt;&gt;"",[2]RSOph!I22,"")</f>
        <v>870</v>
      </c>
      <c r="J36" s="2" t="str">
        <f>IF([2]RSOph!J22&lt;&gt;"",[2]RSOph!J22,"")</f>
        <v/>
      </c>
      <c r="K36" s="2" t="str">
        <f>IF([2]RSOph!K22&lt;&gt;"",[2]RSOph!K22,"")</f>
        <v/>
      </c>
    </row>
    <row r="37" spans="2:11" x14ac:dyDescent="0.25">
      <c r="B37" s="2">
        <f>IF([2]RSOph!B23&lt;&gt;"",[2]RSOph!B23,"")</f>
        <v>11</v>
      </c>
      <c r="C37" s="3">
        <f>IF([2]RSOph!C23&lt;&gt;"",[2]RSOph!C23,"")</f>
        <v>42174</v>
      </c>
      <c r="D37" s="2">
        <f>IF([2]RSOph!D23&lt;&gt;"",[2]RSOph!D23,"")</f>
        <v>0.65353009259259254</v>
      </c>
      <c r="E37" s="2">
        <f>IF([2]RSOph!E23&lt;&gt;"",[2]RSOph!E23,"")</f>
        <v>2457193.1743999999</v>
      </c>
      <c r="F37" s="2" t="str">
        <f>IF([2]RSOph!F23&lt;&gt;"",[2]RSOph!F23,"")</f>
        <v xml:space="preserve">DLI </v>
      </c>
      <c r="G37" s="2" t="str">
        <f>IF([2]RSOph!G23&lt;&gt;"",[2]RSOph!G23,"")</f>
        <v>JAD-CN</v>
      </c>
      <c r="H37" s="2" t="str">
        <f>IF([2]RSOph!H23&lt;&gt;"",[2]RSOph!H23,"")</f>
        <v>C11Lhires3-2400_2x</v>
      </c>
      <c r="I37" s="2">
        <f>IF([2]RSOph!I23&lt;&gt;"",[2]RSOph!I23,"")</f>
        <v>18963</v>
      </c>
      <c r="J37" s="2" t="str">
        <f>IF([2]RSOph!J23&lt;&gt;"",[2]RSOph!J23,"")</f>
        <v/>
      </c>
      <c r="K37" s="2" t="str">
        <f>IF([2]RSOph!K23&lt;&gt;"",[2]RSOph!K23,"")</f>
        <v/>
      </c>
    </row>
    <row r="38" spans="2:11" x14ac:dyDescent="0.25">
      <c r="B38" s="2">
        <f>IF([2]RSOph!B24&lt;&gt;"",[2]RSOph!B24,"")</f>
        <v>12</v>
      </c>
      <c r="C38" s="3">
        <f>IF([2]RSOph!C24&lt;&gt;"",[2]RSOph!C24,"")</f>
        <v>42183</v>
      </c>
      <c r="D38" s="2">
        <f>IF([2]RSOph!D24&lt;&gt;"",[2]RSOph!D24,"")</f>
        <v>0.88900462962962967</v>
      </c>
      <c r="E38" s="2">
        <f>IF([2]RSOph!E24&lt;&gt;"",[2]RSOph!E24,"")</f>
        <v>2457202.4238</v>
      </c>
      <c r="F38" s="2" t="str">
        <f>IF([2]RSOph!F24&lt;&gt;"",[2]RSOph!F24,"")</f>
        <v>JGF</v>
      </c>
      <c r="G38" s="2" t="str">
        <f>IF([2]RSOph!G24&lt;&gt;"",[2]RSOph!G24,"")</f>
        <v>SMM-SP</v>
      </c>
      <c r="H38" s="2" t="str">
        <f>IF([2]RSOph!H24&lt;&gt;"",[2]RSOph!H24,"")</f>
        <v>16REMOTATIK460EX</v>
      </c>
      <c r="I38" s="2">
        <f>IF([2]RSOph!I24&lt;&gt;"",[2]RSOph!I24,"")</f>
        <v>887</v>
      </c>
      <c r="J38" s="2" t="str">
        <f>IF([2]RSOph!J24&lt;&gt;"",[2]RSOph!J24,"")</f>
        <v/>
      </c>
      <c r="K38" s="2" t="str">
        <f>IF([2]RSOph!K24&lt;&gt;"",[2]RSOph!K24,"")</f>
        <v/>
      </c>
    </row>
    <row r="39" spans="2:11" x14ac:dyDescent="0.25">
      <c r="B39" s="2">
        <f>IF([2]RSOph!B25&lt;&gt;"",[2]RSOph!B25,"")</f>
        <v>13</v>
      </c>
      <c r="C39" s="3">
        <f>IF([2]RSOph!C25&lt;&gt;"",[2]RSOph!C25,"")</f>
        <v>42195</v>
      </c>
      <c r="D39" s="2">
        <f>IF([2]RSOph!D25&lt;&gt;"",[2]RSOph!D25,"")</f>
        <v>0.89121527777777787</v>
      </c>
      <c r="E39" s="2">
        <f>IF([2]RSOph!E25&lt;&gt;"",[2]RSOph!E25,"")</f>
        <v>2457214.426</v>
      </c>
      <c r="F39" s="2" t="str">
        <f>IF([2]RSOph!F25&lt;&gt;"",[2]RSOph!F25,"")</f>
        <v>JGF</v>
      </c>
      <c r="G39" s="2" t="str">
        <f>IF([2]RSOph!G25&lt;&gt;"",[2]RSOph!G25,"")</f>
        <v>SMM-SP</v>
      </c>
      <c r="H39" s="2" t="str">
        <f>IF([2]RSOph!H25&lt;&gt;"",[2]RSOph!H25,"")</f>
        <v>16REMOTATIK460EX</v>
      </c>
      <c r="I39" s="2">
        <f>IF([2]RSOph!I25&lt;&gt;"",[2]RSOph!I25,"")</f>
        <v>675</v>
      </c>
      <c r="J39" s="2" t="str">
        <f>IF([2]RSOph!J25&lt;&gt;"",[2]RSOph!J25,"")</f>
        <v/>
      </c>
      <c r="K39" s="2" t="str">
        <f>IF([2]RSOph!K25&lt;&gt;"",[2]RSOph!K25,"")</f>
        <v/>
      </c>
    </row>
    <row r="40" spans="2:11" x14ac:dyDescent="0.25">
      <c r="B40" s="2">
        <f>IF([2]RSOph!B26&lt;&gt;"",[2]RSOph!B26,"")</f>
        <v>14</v>
      </c>
      <c r="C40" s="3">
        <f>IF([2]RSOph!C26&lt;&gt;"",[2]RSOph!C26,"")</f>
        <v>42199</v>
      </c>
      <c r="D40" s="2">
        <f>IF([2]RSOph!D26&lt;&gt;"",[2]RSOph!D26,"")</f>
        <v>0.86789351851851848</v>
      </c>
      <c r="E40" s="2">
        <f>IF([2]RSOph!E26&lt;&gt;"",[2]RSOph!E26,"")</f>
        <v>2457218.4027</v>
      </c>
      <c r="F40" s="2" t="str">
        <f>IF([2]RSOph!F26&lt;&gt;"",[2]RSOph!F26,"")</f>
        <v>JGF</v>
      </c>
      <c r="G40" s="2" t="str">
        <f>IF([2]RSOph!G26&lt;&gt;"",[2]RSOph!G26,"")</f>
        <v>SMM-SP</v>
      </c>
      <c r="H40" s="2" t="str">
        <f>IF([2]RSOph!H26&lt;&gt;"",[2]RSOph!H26,"")</f>
        <v>16REMOTATIK460EX</v>
      </c>
      <c r="I40" s="2">
        <f>IF([2]RSOph!I26&lt;&gt;"",[2]RSOph!I26,"")</f>
        <v>656</v>
      </c>
      <c r="J40" s="2" t="str">
        <f>IF([2]RSOph!J26&lt;&gt;"",[2]RSOph!J26,"")</f>
        <v/>
      </c>
      <c r="K40" s="2" t="str">
        <f>IF([2]RSOph!K26&lt;&gt;"",[2]RSOph!K26,"")</f>
        <v/>
      </c>
    </row>
    <row r="41" spans="2:11" x14ac:dyDescent="0.25">
      <c r="B41" s="2">
        <f>IF([2]RSOph!B27&lt;&gt;"",[2]RSOph!B27,"")</f>
        <v>15</v>
      </c>
      <c r="C41" s="3">
        <f>IF([2]RSOph!C27&lt;&gt;"",[2]RSOph!C27,"")</f>
        <v>42244</v>
      </c>
      <c r="D41" s="2">
        <f>IF([2]RSOph!D27&lt;&gt;"",[2]RSOph!D27,"")</f>
        <v>0.81765046296296295</v>
      </c>
      <c r="E41" s="2">
        <f>IF([2]RSOph!E27&lt;&gt;"",[2]RSOph!E27,"")</f>
        <v>2457263.3316000002</v>
      </c>
      <c r="F41" s="2" t="str">
        <f>IF([2]RSOph!F27&lt;&gt;"",[2]RSOph!F27,"")</f>
        <v>PDL</v>
      </c>
      <c r="G41" s="2" t="str">
        <f>IF([2]RSOph!G27&lt;&gt;"",[2]RSOph!G27,"")</f>
        <v>ASP-FR</v>
      </c>
      <c r="H41" s="2" t="str">
        <f>IF([2]RSOph!H27&lt;&gt;"",[2]RSOph!H27,"")</f>
        <v>T400_Alpy600_Atik31</v>
      </c>
      <c r="I41" s="2">
        <f>IF([2]RSOph!I27&lt;&gt;"",[2]RSOph!I27,"")</f>
        <v>483</v>
      </c>
      <c r="J41" s="2" t="str">
        <f>IF([2]RSOph!J27&lt;&gt;"",[2]RSOph!J27,"")</f>
        <v/>
      </c>
      <c r="K41" s="2" t="str">
        <f>IF([2]RSOph!K27&lt;&gt;"",[2]RSOph!K27,"")</f>
        <v/>
      </c>
    </row>
    <row r="42" spans="2:11" x14ac:dyDescent="0.25">
      <c r="B42" s="2">
        <f>IF([2]RSOph!B28&lt;&gt;"",[2]RSOph!B28,"")</f>
        <v>16</v>
      </c>
      <c r="C42" s="3">
        <f>IF([2]RSOph!C28&lt;&gt;"",[2]RSOph!C28,"")</f>
        <v>42263</v>
      </c>
      <c r="D42" s="2">
        <f>IF([2]RSOph!D28&lt;&gt;"",[2]RSOph!D28,"")</f>
        <v>1.1168981481481481E-2</v>
      </c>
      <c r="E42" s="2">
        <f>IF([2]RSOph!E28&lt;&gt;"",[2]RSOph!E28,"")</f>
        <v>2457281.5463</v>
      </c>
      <c r="F42" s="2" t="str">
        <f>IF([2]RSOph!F28&lt;&gt;"",[2]RSOph!F28,"")</f>
        <v>LES</v>
      </c>
      <c r="G42" s="2" t="str">
        <f>IF([2]RSOph!G28&lt;&gt;"",[2]RSOph!G28,"")</f>
        <v>MRO-CA</v>
      </c>
      <c r="H42" s="2" t="str">
        <f>IF([2]RSOph!H28&lt;&gt;"",[2]RSOph!H28,"")</f>
        <v>31cmDK+23um1800lpm+</v>
      </c>
      <c r="I42" s="2">
        <f>IF([2]RSOph!I28&lt;&gt;"",[2]RSOph!I28,"")</f>
        <v>9000</v>
      </c>
      <c r="J42" s="2" t="str">
        <f>IF([2]RSOph!J28&lt;&gt;"",[2]RSOph!J28,"")</f>
        <v/>
      </c>
      <c r="K42" s="2" t="str">
        <f>IF([2]RSOph!K28&lt;&gt;"",[2]RSOph!K28,"")</f>
        <v/>
      </c>
    </row>
    <row r="43" spans="2:11" x14ac:dyDescent="0.25">
      <c r="B43" s="2">
        <f>IF([2]RSOph!B29&lt;&gt;"",[2]RSOph!B29,"")</f>
        <v>17</v>
      </c>
      <c r="C43" s="3">
        <f>IF([2]RSOph!C29&lt;&gt;"",[2]RSOph!C29,"")</f>
        <v>42563</v>
      </c>
      <c r="D43" s="2">
        <f>IF([2]RSOph!D29&lt;&gt;"",[2]RSOph!D29,"")</f>
        <v>0.13380787037037037</v>
      </c>
      <c r="E43" s="2">
        <f>IF([2]RSOph!E29&lt;&gt;"",[2]RSOph!E29,"")</f>
        <v>2457581.6688000001</v>
      </c>
      <c r="F43" s="2" t="str">
        <f>IF([2]RSOph!F29&lt;&gt;"",[2]RSOph!F29,"")</f>
        <v>LES</v>
      </c>
      <c r="G43" s="2" t="str">
        <f>IF([2]RSOph!G29&lt;&gt;"",[2]RSOph!G29,"")</f>
        <v>MRO-CA</v>
      </c>
      <c r="H43" s="2" t="str">
        <f>IF([2]RSOph!H29&lt;&gt;"",[2]RSOph!H29,"")</f>
        <v>31cmDK+23um1800lpm+</v>
      </c>
      <c r="I43" s="2">
        <f>IF([2]RSOph!I29&lt;&gt;"",[2]RSOph!I29,"")</f>
        <v>9000</v>
      </c>
      <c r="J43" s="2" t="str">
        <f>IF([2]RSOph!J29&lt;&gt;"",[2]RSOph!J29,"")</f>
        <v/>
      </c>
      <c r="K43" s="2" t="str">
        <f>IF([2]RSOph!K29&lt;&gt;"",[2]RSOph!K29,"")</f>
        <v/>
      </c>
    </row>
    <row r="44" spans="2:11" x14ac:dyDescent="0.25">
      <c r="B44" s="2">
        <f>IF([2]RSOph!B30&lt;&gt;"",[2]RSOph!B30,"")</f>
        <v>18</v>
      </c>
      <c r="C44" s="3">
        <f>IF([2]RSOph!C30&lt;&gt;"",[2]RSOph!C30,"")</f>
        <v>42566</v>
      </c>
      <c r="D44" s="2">
        <f>IF([2]RSOph!D30&lt;&gt;"",[2]RSOph!D30,"")</f>
        <v>0.87258101851851855</v>
      </c>
      <c r="E44" s="2">
        <f>IF([2]RSOph!E30&lt;&gt;"",[2]RSOph!E30,"")</f>
        <v>2457585.3958000001</v>
      </c>
      <c r="F44" s="2" t="str">
        <f>IF([2]RSOph!F30&lt;&gt;"",[2]RSOph!F30,"")</f>
        <v>JGF</v>
      </c>
      <c r="G44" s="2" t="str">
        <f>IF([2]RSOph!G30&lt;&gt;"",[2]RSOph!G30,"")</f>
        <v>SMM-SP</v>
      </c>
      <c r="H44" s="2" t="str">
        <f>IF([2]RSOph!H30&lt;&gt;"",[2]RSOph!H30,"")</f>
        <v>16REMOTATIK460EX</v>
      </c>
      <c r="I44" s="2">
        <f>IF([2]RSOph!I30&lt;&gt;"",[2]RSOph!I30,"")</f>
        <v>891</v>
      </c>
      <c r="J44" s="2" t="str">
        <f>IF([2]RSOph!J30&lt;&gt;"",[2]RSOph!J30,"")</f>
        <v/>
      </c>
      <c r="K44" s="2" t="str">
        <f>IF([2]RSOph!K30&lt;&gt;"",[2]RSOph!K30,"")</f>
        <v/>
      </c>
    </row>
    <row r="45" spans="2:11" x14ac:dyDescent="0.25">
      <c r="B45" s="2">
        <f>IF([2]RSOph!B31&lt;&gt;"",[2]RSOph!B31,"")</f>
        <v>19</v>
      </c>
      <c r="C45" s="3">
        <f>IF([2]RSOph!C31&lt;&gt;"",[2]RSOph!C31,"")</f>
        <v>42581</v>
      </c>
      <c r="D45" s="2">
        <f>IF([2]RSOph!D31&lt;&gt;"",[2]RSOph!D31,"")</f>
        <v>0.83221064814814805</v>
      </c>
      <c r="E45" s="2">
        <f>IF([2]RSOph!E31&lt;&gt;"",[2]RSOph!E31,"")</f>
        <v>2457600.3536999999</v>
      </c>
      <c r="F45" s="2" t="str">
        <f>IF([2]RSOph!F31&lt;&gt;"",[2]RSOph!F31,"")</f>
        <v>FRA</v>
      </c>
      <c r="G45" s="2" t="str">
        <f>IF([2]RSOph!G31&lt;&gt;"",[2]RSOph!G31,"")</f>
        <v>BAL-IT</v>
      </c>
      <c r="H45" s="2" t="str">
        <f>IF([2]RSOph!H31&lt;&gt;"",[2]RSOph!H31,"")</f>
        <v>SC8+Alpy600</v>
      </c>
      <c r="I45" s="2">
        <f>IF([2]RSOph!I31&lt;&gt;"",[2]RSOph!I31,"")</f>
        <v>497</v>
      </c>
      <c r="J45" s="2" t="str">
        <f>IF([2]RSOph!J31&lt;&gt;"",[2]RSOph!J31,"")</f>
        <v/>
      </c>
      <c r="K45" s="2" t="str">
        <f>IF([2]RSOph!K31&lt;&gt;"",[2]RSOph!K31,"")</f>
        <v/>
      </c>
    </row>
    <row r="46" spans="2:11" x14ac:dyDescent="0.25">
      <c r="B46" s="2">
        <f>IF([2]RSOph!B32&lt;&gt;"",[2]RSOph!B32,"")</f>
        <v>20</v>
      </c>
      <c r="C46" s="3">
        <f>IF([2]RSOph!C32&lt;&gt;"",[2]RSOph!C32,"")</f>
        <v>42582</v>
      </c>
      <c r="D46" s="2">
        <f>IF([2]RSOph!D32&lt;&gt;"",[2]RSOph!D32,"")</f>
        <v>0.90672453703703704</v>
      </c>
      <c r="E46" s="2">
        <f>IF([2]RSOph!E32&lt;&gt;"",[2]RSOph!E32,"")</f>
        <v>2457601.4328999999</v>
      </c>
      <c r="F46" s="2" t="str">
        <f>IF([2]RSOph!F32&lt;&gt;"",[2]RSOph!F32,"")</f>
        <v>JGF</v>
      </c>
      <c r="G46" s="2" t="str">
        <f>IF([2]RSOph!G32&lt;&gt;"",[2]RSOph!G32,"")</f>
        <v>SMM-SP</v>
      </c>
      <c r="H46" s="2" t="str">
        <f>IF([2]RSOph!H32&lt;&gt;"",[2]RSOph!H32,"")</f>
        <v>16REMOTATIK460EX</v>
      </c>
      <c r="I46" s="2">
        <f>IF([2]RSOph!I32&lt;&gt;"",[2]RSOph!I32,"")</f>
        <v>1029</v>
      </c>
      <c r="J46" s="2" t="str">
        <f>IF([2]RSOph!J32&lt;&gt;"",[2]RSOph!J32,"")</f>
        <v/>
      </c>
      <c r="K46" s="2" t="str">
        <f>IF([2]RSOph!K32&lt;&gt;"",[2]RSOph!K32,"")</f>
        <v/>
      </c>
    </row>
    <row r="47" spans="2:11" x14ac:dyDescent="0.25">
      <c r="B47" s="2">
        <f>IF([2]RSOph!B33&lt;&gt;"",[2]RSOph!B33,"")</f>
        <v>21</v>
      </c>
      <c r="C47" s="3">
        <f>IF([2]RSOph!C33&lt;&gt;"",[2]RSOph!C33,"")</f>
        <v>42592</v>
      </c>
      <c r="D47" s="2">
        <f>IF([2]RSOph!D33&lt;&gt;"",[2]RSOph!D33,"")</f>
        <v>0.89730324074074075</v>
      </c>
      <c r="E47" s="2">
        <f>IF([2]RSOph!E33&lt;&gt;"",[2]RSOph!E33,"")</f>
        <v>2457611.4089000002</v>
      </c>
      <c r="F47" s="2" t="str">
        <f>IF([2]RSOph!F33&lt;&gt;"",[2]RSOph!F33,"")</f>
        <v>JGF</v>
      </c>
      <c r="G47" s="2" t="str">
        <f>IF([2]RSOph!G33&lt;&gt;"",[2]RSOph!G33,"")</f>
        <v>SMM-SP</v>
      </c>
      <c r="H47" s="2" t="str">
        <f>IF([2]RSOph!H33&lt;&gt;"",[2]RSOph!H33,"")</f>
        <v>16REMOTATIK460EX</v>
      </c>
      <c r="I47" s="2">
        <f>IF([2]RSOph!I33&lt;&gt;"",[2]RSOph!I33,"")</f>
        <v>1046</v>
      </c>
      <c r="J47" s="2" t="str">
        <f>IF([2]RSOph!J33&lt;&gt;"",[2]RSOph!J33,"")</f>
        <v/>
      </c>
      <c r="K47" s="2" t="str">
        <f>IF([2]RSOph!K33&lt;&gt;"",[2]RSOph!K33,"")</f>
        <v/>
      </c>
    </row>
    <row r="48" spans="2:11" x14ac:dyDescent="0.25">
      <c r="B48" s="2">
        <f>IF([2]RSOph!B34&lt;&gt;"",[2]RSOph!B34,"")</f>
        <v>22</v>
      </c>
      <c r="C48" s="3">
        <f>IF([2]RSOph!C34&lt;&gt;"",[2]RSOph!C34,"")</f>
        <v>42593</v>
      </c>
      <c r="D48" s="2">
        <f>IF([2]RSOph!D34&lt;&gt;"",[2]RSOph!D34,"")</f>
        <v>0.83974537037037045</v>
      </c>
      <c r="E48" s="2">
        <f>IF([2]RSOph!E34&lt;&gt;"",[2]RSOph!E34,"")</f>
        <v>2457612.3629999999</v>
      </c>
      <c r="F48" s="2" t="str">
        <f>IF([2]RSOph!F34&lt;&gt;"",[2]RSOph!F34,"")</f>
        <v>JGF</v>
      </c>
      <c r="G48" s="2" t="str">
        <f>IF([2]RSOph!G34&lt;&gt;"",[2]RSOph!G34,"")</f>
        <v>SMM-SP</v>
      </c>
      <c r="H48" s="2" t="str">
        <f>IF([2]RSOph!H34&lt;&gt;"",[2]RSOph!H34,"")</f>
        <v>16REMOTATIK460EX</v>
      </c>
      <c r="I48" s="2">
        <f>IF([2]RSOph!I34&lt;&gt;"",[2]RSOph!I34,"")</f>
        <v>1067</v>
      </c>
      <c r="J48" s="2" t="str">
        <f>IF([2]RSOph!J34&lt;&gt;"",[2]RSOph!J34,"")</f>
        <v/>
      </c>
      <c r="K48" s="2" t="str">
        <f>IF([2]RSOph!K34&lt;&gt;"",[2]RSOph!K34,"")</f>
        <v/>
      </c>
    </row>
    <row r="49" spans="2:11" x14ac:dyDescent="0.25">
      <c r="B49" s="2">
        <f>IF([2]RSOph!B35&lt;&gt;"",[2]RSOph!B35,"")</f>
        <v>23</v>
      </c>
      <c r="C49" s="3">
        <f>IF([2]RSOph!C35&lt;&gt;"",[2]RSOph!C35,"")</f>
        <v>42594</v>
      </c>
      <c r="D49" s="2">
        <f>IF([2]RSOph!D35&lt;&gt;"",[2]RSOph!D35,"")</f>
        <v>0.849675925925926</v>
      </c>
      <c r="E49" s="2">
        <f>IF([2]RSOph!E35&lt;&gt;"",[2]RSOph!E35,"")</f>
        <v>2457613.3728999998</v>
      </c>
      <c r="F49" s="2" t="str">
        <f>IF([2]RSOph!F35&lt;&gt;"",[2]RSOph!F35,"")</f>
        <v>JGF</v>
      </c>
      <c r="G49" s="2" t="str">
        <f>IF([2]RSOph!G35&lt;&gt;"",[2]RSOph!G35,"")</f>
        <v>SMM-SP</v>
      </c>
      <c r="H49" s="2" t="str">
        <f>IF([2]RSOph!H35&lt;&gt;"",[2]RSOph!H35,"")</f>
        <v>16REMOTATIK460EX</v>
      </c>
      <c r="I49" s="2">
        <f>IF([2]RSOph!I35&lt;&gt;"",[2]RSOph!I35,"")</f>
        <v>1059</v>
      </c>
      <c r="J49" s="2" t="str">
        <f>IF([2]RSOph!J35&lt;&gt;"",[2]RSOph!J35,"")</f>
        <v/>
      </c>
      <c r="K49" s="2" t="str">
        <f>IF([2]RSOph!K35&lt;&gt;"",[2]RSOph!K35,"")</f>
        <v/>
      </c>
    </row>
    <row r="50" spans="2:11" x14ac:dyDescent="0.25">
      <c r="B50" s="2">
        <f>IF([2]RSOph!B36&lt;&gt;"",[2]RSOph!B36,"")</f>
        <v>24</v>
      </c>
      <c r="C50" s="3">
        <f>IF([2]RSOph!C36&lt;&gt;"",[2]RSOph!C36,"")</f>
        <v>42596</v>
      </c>
      <c r="D50" s="2">
        <f>IF([2]RSOph!D36&lt;&gt;"",[2]RSOph!D36,"")</f>
        <v>0.85513888888888889</v>
      </c>
      <c r="E50" s="2">
        <f>IF([2]RSOph!E36&lt;&gt;"",[2]RSOph!E36,"")</f>
        <v>2457615.3783999998</v>
      </c>
      <c r="F50" s="2" t="str">
        <f>IF([2]RSOph!F36&lt;&gt;"",[2]RSOph!F36,"")</f>
        <v>JGF</v>
      </c>
      <c r="G50" s="2" t="str">
        <f>IF([2]RSOph!G36&lt;&gt;"",[2]RSOph!G36,"")</f>
        <v>SMM-SP</v>
      </c>
      <c r="H50" s="2" t="str">
        <f>IF([2]RSOph!H36&lt;&gt;"",[2]RSOph!H36,"")</f>
        <v>16REMOTATIK460EX</v>
      </c>
      <c r="I50" s="2">
        <f>IF([2]RSOph!I36&lt;&gt;"",[2]RSOph!I36,"")</f>
        <v>1078</v>
      </c>
      <c r="J50" s="2" t="str">
        <f>IF([2]RSOph!J36&lt;&gt;"",[2]RSOph!J36,"")</f>
        <v/>
      </c>
      <c r="K50" s="2" t="str">
        <f>IF([2]RSOph!K36&lt;&gt;"",[2]RSOph!K36,"")</f>
        <v/>
      </c>
    </row>
    <row r="51" spans="2:11" x14ac:dyDescent="0.25">
      <c r="B51" s="2">
        <f>IF([2]RSOph!B37&lt;&gt;"",[2]RSOph!B37,"")</f>
        <v>25</v>
      </c>
      <c r="C51" s="3">
        <f>IF([2]RSOph!C37&lt;&gt;"",[2]RSOph!C37,"")</f>
        <v>42600</v>
      </c>
      <c r="D51" s="2">
        <f>IF([2]RSOph!D37&lt;&gt;"",[2]RSOph!D37,"")</f>
        <v>0.83725694444444443</v>
      </c>
      <c r="E51" s="2">
        <f>IF([2]RSOph!E37&lt;&gt;"",[2]RSOph!E37,"")</f>
        <v>2457619.3621999999</v>
      </c>
      <c r="F51" s="2" t="str">
        <f>IF([2]RSOph!F37&lt;&gt;"",[2]RSOph!F37,"")</f>
        <v>JGF</v>
      </c>
      <c r="G51" s="2" t="str">
        <f>IF([2]RSOph!G37&lt;&gt;"",[2]RSOph!G37,"")</f>
        <v>SMM-SP</v>
      </c>
      <c r="H51" s="2" t="str">
        <f>IF([2]RSOph!H37&lt;&gt;"",[2]RSOph!H37,"")</f>
        <v>16REMOTATIK460EX</v>
      </c>
      <c r="I51" s="2">
        <f>IF([2]RSOph!I37&lt;&gt;"",[2]RSOph!I37,"")</f>
        <v>1067</v>
      </c>
      <c r="J51" s="2" t="str">
        <f>IF([2]RSOph!J37&lt;&gt;"",[2]RSOph!J37,"")</f>
        <v/>
      </c>
      <c r="K51" s="2" t="str">
        <f>IF([2]RSOph!K37&lt;&gt;"",[2]RSOph!K37,"")</f>
        <v/>
      </c>
    </row>
    <row r="52" spans="2:11" x14ac:dyDescent="0.25">
      <c r="B52" s="2">
        <f>IF([2]RSOph!B38&lt;&gt;"",[2]RSOph!B38,"")</f>
        <v>26</v>
      </c>
      <c r="C52" s="3">
        <f>IF([2]RSOph!C38&lt;&gt;"",[2]RSOph!C38,"")</f>
        <v>42602</v>
      </c>
      <c r="D52" s="2">
        <f>IF([2]RSOph!D38&lt;&gt;"",[2]RSOph!D38,"")</f>
        <v>0.90700231481481486</v>
      </c>
      <c r="E52" s="2">
        <f>IF([2]RSOph!E38&lt;&gt;"",[2]RSOph!E38,"")</f>
        <v>2457621.4303000001</v>
      </c>
      <c r="F52" s="2" t="str">
        <f>IF([2]RSOph!F38&lt;&gt;"",[2]RSOph!F38,"")</f>
        <v>JGF</v>
      </c>
      <c r="G52" s="2" t="str">
        <f>IF([2]RSOph!G38&lt;&gt;"",[2]RSOph!G38,"")</f>
        <v>SMM-SP</v>
      </c>
      <c r="H52" s="2" t="str">
        <f>IF([2]RSOph!H38&lt;&gt;"",[2]RSOph!H38,"")</f>
        <v>16REMOTATIK460EX</v>
      </c>
      <c r="I52" s="2">
        <f>IF([2]RSOph!I38&lt;&gt;"",[2]RSOph!I38,"")</f>
        <v>1101</v>
      </c>
      <c r="J52" s="2" t="str">
        <f>IF([2]RSOph!J38&lt;&gt;"",[2]RSOph!J38,"")</f>
        <v/>
      </c>
      <c r="K52" s="2" t="str">
        <f>IF([2]RSOph!K38&lt;&gt;"",[2]RSOph!K38,"")</f>
        <v/>
      </c>
    </row>
    <row r="53" spans="2:11" x14ac:dyDescent="0.25">
      <c r="B53" s="2">
        <f>IF([2]RSOph!B39&lt;&gt;"",[2]RSOph!B39,"")</f>
        <v>27</v>
      </c>
      <c r="C53" s="3">
        <f>IF([2]RSOph!C39&lt;&gt;"",[2]RSOph!C39,"")</f>
        <v>42603</v>
      </c>
      <c r="D53" s="2">
        <f>IF([2]RSOph!D39&lt;&gt;"",[2]RSOph!D39,"")</f>
        <v>0.84028935185185183</v>
      </c>
      <c r="E53" s="2">
        <f>IF([2]RSOph!E39&lt;&gt;"",[2]RSOph!E39,"")</f>
        <v>2457622.3635999998</v>
      </c>
      <c r="F53" s="2" t="str">
        <f>IF([2]RSOph!F39&lt;&gt;"",[2]RSOph!F39,"")</f>
        <v>JGF</v>
      </c>
      <c r="G53" s="2" t="str">
        <f>IF([2]RSOph!G39&lt;&gt;"",[2]RSOph!G39,"")</f>
        <v>SMM-SP</v>
      </c>
      <c r="H53" s="2" t="str">
        <f>IF([2]RSOph!H39&lt;&gt;"",[2]RSOph!H39,"")</f>
        <v>16REMOTATIK460EX</v>
      </c>
      <c r="I53" s="2">
        <f>IF([2]RSOph!I39&lt;&gt;"",[2]RSOph!I39,"")</f>
        <v>1069</v>
      </c>
      <c r="J53" s="2" t="str">
        <f>IF([2]RSOph!J39&lt;&gt;"",[2]RSOph!J39,"")</f>
        <v/>
      </c>
      <c r="K53" s="2" t="str">
        <f>IF([2]RSOph!K39&lt;&gt;"",[2]RSOph!K39,"")</f>
        <v/>
      </c>
    </row>
    <row r="54" spans="2:11" x14ac:dyDescent="0.25">
      <c r="B54" s="2">
        <f>IF([2]RSOph!B40&lt;&gt;"",[2]RSOph!B40,"")</f>
        <v>28</v>
      </c>
      <c r="C54" s="3">
        <f>IF([2]RSOph!C40&lt;&gt;"",[2]RSOph!C40,"")</f>
        <v>42604</v>
      </c>
      <c r="D54" s="2">
        <f>IF([2]RSOph!D40&lt;&gt;"",[2]RSOph!D40,"")</f>
        <v>0.82048611111111114</v>
      </c>
      <c r="E54" s="2">
        <f>IF([2]RSOph!E40&lt;&gt;"",[2]RSOph!E40,"")</f>
        <v>2457623.3391</v>
      </c>
      <c r="F54" s="2" t="str">
        <f>IF([2]RSOph!F40&lt;&gt;"",[2]RSOph!F40,"")</f>
        <v>JGF</v>
      </c>
      <c r="G54" s="2" t="str">
        <f>IF([2]RSOph!G40&lt;&gt;"",[2]RSOph!G40,"")</f>
        <v>SMM-SP</v>
      </c>
      <c r="H54" s="2" t="str">
        <f>IF([2]RSOph!H40&lt;&gt;"",[2]RSOph!H40,"")</f>
        <v>16REMOTATIK460EX</v>
      </c>
      <c r="I54" s="2">
        <f>IF([2]RSOph!I40&lt;&gt;"",[2]RSOph!I40,"")</f>
        <v>1062</v>
      </c>
      <c r="J54" s="2" t="str">
        <f>IF([2]RSOph!J40&lt;&gt;"",[2]RSOph!J40,"")</f>
        <v/>
      </c>
      <c r="K54" s="2" t="str">
        <f>IF([2]RSOph!K40&lt;&gt;"",[2]RSOph!K40,"")</f>
        <v/>
      </c>
    </row>
    <row r="55" spans="2:11" x14ac:dyDescent="0.25">
      <c r="B55" s="2">
        <f>IF([2]RSOph!B41&lt;&gt;"",[2]RSOph!B41,"")</f>
        <v>29</v>
      </c>
      <c r="C55" s="3">
        <f>IF([2]RSOph!C41&lt;&gt;"",[2]RSOph!C41,"")</f>
        <v>42605</v>
      </c>
      <c r="D55" s="2">
        <f>IF([2]RSOph!D41&lt;&gt;"",[2]RSOph!D41,"")</f>
        <v>0.83799768518518514</v>
      </c>
      <c r="E55" s="2">
        <f>IF([2]RSOph!E41&lt;&gt;"",[2]RSOph!E41,"")</f>
        <v>2457624.3566000001</v>
      </c>
      <c r="F55" s="2" t="str">
        <f>IF([2]RSOph!F41&lt;&gt;"",[2]RSOph!F41,"")</f>
        <v>JGF</v>
      </c>
      <c r="G55" s="2" t="str">
        <f>IF([2]RSOph!G41&lt;&gt;"",[2]RSOph!G41,"")</f>
        <v>SMM-SP</v>
      </c>
      <c r="H55" s="2" t="str">
        <f>IF([2]RSOph!H41&lt;&gt;"",[2]RSOph!H41,"")</f>
        <v>16REMOTATIK460EX</v>
      </c>
      <c r="I55" s="2">
        <f>IF([2]RSOph!I41&lt;&gt;"",[2]RSOph!I41,"")</f>
        <v>1080</v>
      </c>
      <c r="J55" s="2" t="str">
        <f>IF([2]RSOph!J41&lt;&gt;"",[2]RSOph!J41,"")</f>
        <v/>
      </c>
      <c r="K55" s="2" t="str">
        <f>IF([2]RSOph!K41&lt;&gt;"",[2]RSOph!K41,"")</f>
        <v/>
      </c>
    </row>
    <row r="56" spans="2:11" x14ac:dyDescent="0.25">
      <c r="B56" s="2">
        <f>IF([2]RSOph!B42&lt;&gt;"",[2]RSOph!B42,"")</f>
        <v>30</v>
      </c>
      <c r="C56" s="3">
        <f>IF([2]RSOph!C42&lt;&gt;"",[2]RSOph!C42,"")</f>
        <v>42606</v>
      </c>
      <c r="D56" s="2">
        <f>IF([2]RSOph!D42&lt;&gt;"",[2]RSOph!D42,"")</f>
        <v>0.81376157407407401</v>
      </c>
      <c r="E56" s="2">
        <f>IF([2]RSOph!E42&lt;&gt;"",[2]RSOph!E42,"")</f>
        <v>2457625.3347</v>
      </c>
      <c r="F56" s="2" t="str">
        <f>IF([2]RSOph!F42&lt;&gt;"",[2]RSOph!F42,"")</f>
        <v>JGF</v>
      </c>
      <c r="G56" s="2" t="str">
        <f>IF([2]RSOph!G42&lt;&gt;"",[2]RSOph!G42,"")</f>
        <v>SMM-SP</v>
      </c>
      <c r="H56" s="2" t="str">
        <f>IF([2]RSOph!H42&lt;&gt;"",[2]RSOph!H42,"")</f>
        <v>16REMOTATIK460EX</v>
      </c>
      <c r="I56" s="2">
        <f>IF([2]RSOph!I42&lt;&gt;"",[2]RSOph!I42,"")</f>
        <v>1174</v>
      </c>
      <c r="J56" s="2" t="str">
        <f>IF([2]RSOph!J42&lt;&gt;"",[2]RSOph!J42,"")</f>
        <v/>
      </c>
      <c r="K56" s="2" t="str">
        <f>IF([2]RSOph!K42&lt;&gt;"",[2]RSOph!K42,"")</f>
        <v/>
      </c>
    </row>
    <row r="57" spans="2:11" x14ac:dyDescent="0.25">
      <c r="B57" s="2">
        <f>IF([2]RSOph!B43&lt;&gt;"",[2]RSOph!B43,"")</f>
        <v>31</v>
      </c>
      <c r="C57" s="3">
        <f>IF([2]RSOph!C43&lt;&gt;"",[2]RSOph!C43,"")</f>
        <v>42608</v>
      </c>
      <c r="D57" s="2">
        <f>IF([2]RSOph!D43&lt;&gt;"",[2]RSOph!D43,"")</f>
        <v>0.84901620370370379</v>
      </c>
      <c r="E57" s="2">
        <f>IF([2]RSOph!E43&lt;&gt;"",[2]RSOph!E43,"")</f>
        <v>2457627.3668</v>
      </c>
      <c r="F57" s="2" t="str">
        <f>IF([2]RSOph!F43&lt;&gt;"",[2]RSOph!F43,"")</f>
        <v>JGF</v>
      </c>
      <c r="G57" s="2" t="str">
        <f>IF([2]RSOph!G43&lt;&gt;"",[2]RSOph!G43,"")</f>
        <v>SMM-SP</v>
      </c>
      <c r="H57" s="2" t="str">
        <f>IF([2]RSOph!H43&lt;&gt;"",[2]RSOph!H43,"")</f>
        <v>16REMOTATIK460EX</v>
      </c>
      <c r="I57" s="2">
        <f>IF([2]RSOph!I43&lt;&gt;"",[2]RSOph!I43,"")</f>
        <v>1037</v>
      </c>
      <c r="J57" s="2" t="str">
        <f>IF([2]RSOph!J43&lt;&gt;"",[2]RSOph!J43,"")</f>
        <v/>
      </c>
      <c r="K57" s="2" t="str">
        <f>IF([2]RSOph!K43&lt;&gt;"",[2]RSOph!K43,"")</f>
        <v/>
      </c>
    </row>
    <row r="58" spans="2:11" x14ac:dyDescent="0.25">
      <c r="B58" s="2">
        <f>IF([2]RSOph!B44&lt;&gt;"",[2]RSOph!B44,"")</f>
        <v>32</v>
      </c>
      <c r="C58" s="3">
        <f>IF([2]RSOph!C44&lt;&gt;"",[2]RSOph!C44,"")</f>
        <v>42609</v>
      </c>
      <c r="D58" s="2">
        <f>IF([2]RSOph!D44&lt;&gt;"",[2]RSOph!D44,"")</f>
        <v>0.83076388888888886</v>
      </c>
      <c r="E58" s="2">
        <f>IF([2]RSOph!E44&lt;&gt;"",[2]RSOph!E44,"")</f>
        <v>2457628.3583999998</v>
      </c>
      <c r="F58" s="2" t="str">
        <f>IF([2]RSOph!F44&lt;&gt;"",[2]RSOph!F44,"")</f>
        <v>JGF</v>
      </c>
      <c r="G58" s="2" t="str">
        <f>IF([2]RSOph!G44&lt;&gt;"",[2]RSOph!G44,"")</f>
        <v>SMM-SP</v>
      </c>
      <c r="H58" s="2" t="str">
        <f>IF([2]RSOph!H44&lt;&gt;"",[2]RSOph!H44,"")</f>
        <v>16REMOTATIK460EX</v>
      </c>
      <c r="I58" s="2">
        <f>IF([2]RSOph!I44&lt;&gt;"",[2]RSOph!I44,"")</f>
        <v>1113</v>
      </c>
      <c r="J58" s="2" t="str">
        <f>IF([2]RSOph!J44&lt;&gt;"",[2]RSOph!J44,"")</f>
        <v/>
      </c>
      <c r="K58" s="2" t="str">
        <f>IF([2]RSOph!K44&lt;&gt;"",[2]RSOph!K44,"")</f>
        <v/>
      </c>
    </row>
    <row r="59" spans="2:11" x14ac:dyDescent="0.25">
      <c r="B59" s="2">
        <f>IF([2]RSOph!B45&lt;&gt;"",[2]RSOph!B45,"")</f>
        <v>33</v>
      </c>
      <c r="C59" s="3">
        <f>IF([2]RSOph!C45&lt;&gt;"",[2]RSOph!C45,"")</f>
        <v>42614</v>
      </c>
      <c r="D59" s="2">
        <f>IF([2]RSOph!D45&lt;&gt;"",[2]RSOph!D45,"")</f>
        <v>0.84068287037037026</v>
      </c>
      <c r="E59" s="2">
        <f>IF([2]RSOph!E45&lt;&gt;"",[2]RSOph!E45,"")</f>
        <v>2457633.3569999998</v>
      </c>
      <c r="F59" s="2" t="str">
        <f>IF([2]RSOph!F45&lt;&gt;"",[2]RSOph!F45,"")</f>
        <v>JGF</v>
      </c>
      <c r="G59" s="2" t="str">
        <f>IF([2]RSOph!G45&lt;&gt;"",[2]RSOph!G45,"")</f>
        <v>SMM-SP</v>
      </c>
      <c r="H59" s="2" t="str">
        <f>IF([2]RSOph!H45&lt;&gt;"",[2]RSOph!H45,"")</f>
        <v>16REMOTATIK460EX</v>
      </c>
      <c r="I59" s="2">
        <f>IF([2]RSOph!I45&lt;&gt;"",[2]RSOph!I45,"")</f>
        <v>1115</v>
      </c>
      <c r="J59" s="2" t="str">
        <f>IF([2]RSOph!J45&lt;&gt;"",[2]RSOph!J45,"")</f>
        <v/>
      </c>
      <c r="K59" s="2" t="str">
        <f>IF([2]RSOph!K45&lt;&gt;"",[2]RSOph!K45,"")</f>
        <v/>
      </c>
    </row>
    <row r="60" spans="2:11" x14ac:dyDescent="0.25">
      <c r="B60" s="2">
        <f>IF([2]RSOph!B46&lt;&gt;"",[2]RSOph!B46,"")</f>
        <v>35</v>
      </c>
      <c r="C60" s="3">
        <f>IF([2]RSOph!C46&lt;&gt;"",[2]RSOph!C46,"")</f>
        <v>42881</v>
      </c>
      <c r="D60" s="2">
        <f>IF([2]RSOph!D46&lt;&gt;"",[2]RSOph!D46,"")</f>
        <v>0.9556365740740741</v>
      </c>
      <c r="E60" s="2">
        <f>IF([2]RSOph!E46&lt;&gt;"",[2]RSOph!E46,"")</f>
        <v>2457900.4764999999</v>
      </c>
      <c r="F60" s="2" t="str">
        <f>IF([2]RSOph!F46&lt;&gt;"",[2]RSOph!F46,"")</f>
        <v>FRA</v>
      </c>
      <c r="G60" s="2" t="str">
        <f>IF([2]RSOph!G46&lt;&gt;"",[2]RSOph!G46,"")</f>
        <v>BAL-IT</v>
      </c>
      <c r="H60" s="2" t="str">
        <f>IF([2]RSOph!H46&lt;&gt;"",[2]RSOph!H46,"")</f>
        <v>SC8+Alpy600</v>
      </c>
      <c r="I60" s="2">
        <f>IF([2]RSOph!I46&lt;&gt;"",[2]RSOph!I46,"")</f>
        <v>531</v>
      </c>
      <c r="J60" s="2" t="str">
        <f>IF([2]RSOph!J46&lt;&gt;"",[2]RSOph!J46,"")</f>
        <v/>
      </c>
      <c r="K60" s="2" t="str">
        <f>IF([2]RSOph!K46&lt;&gt;"",[2]RSOph!K46,"")</f>
        <v/>
      </c>
    </row>
    <row r="61" spans="2:11" x14ac:dyDescent="0.25">
      <c r="B61" s="2">
        <f>IF([2]RSOph!B47&lt;&gt;"",[2]RSOph!B47,"")</f>
        <v>35</v>
      </c>
      <c r="C61" s="3">
        <f>IF([2]RSOph!C47&lt;&gt;"",[2]RSOph!C47,"")</f>
        <v>42882</v>
      </c>
      <c r="D61" s="2">
        <f>IF([2]RSOph!D47&lt;&gt;"",[2]RSOph!D47,"")</f>
        <v>0.95868055555555554</v>
      </c>
      <c r="E61" s="2">
        <f>IF([2]RSOph!E47&lt;&gt;"",[2]RSOph!E47,"")</f>
        <v>2457901.4857999999</v>
      </c>
      <c r="F61" s="2" t="str">
        <f>IF([2]RSOph!F47&lt;&gt;"",[2]RSOph!F47,"")</f>
        <v>FCA</v>
      </c>
      <c r="G61" s="2" t="str">
        <f>IF([2]RSOph!G47&lt;&gt;"",[2]RSOph!G47,"")</f>
        <v>PAG-SP</v>
      </c>
      <c r="H61" s="2" t="str">
        <f>IF([2]RSOph!H47&lt;&gt;"",[2]RSOph!H47,"")</f>
        <v>Newton-200DADOS-20</v>
      </c>
      <c r="I61" s="2">
        <f>IF([2]RSOph!I47&lt;&gt;"",[2]RSOph!I47,"")</f>
        <v>789</v>
      </c>
      <c r="J61" s="2" t="str">
        <f>IF([2]RSOph!J47&lt;&gt;"",[2]RSOph!J47,"")</f>
        <v/>
      </c>
      <c r="K61" s="2" t="str">
        <f>IF([2]RSOph!K47&lt;&gt;"",[2]RSOph!K47,"")</f>
        <v/>
      </c>
    </row>
    <row r="62" spans="2:11" x14ac:dyDescent="0.25">
      <c r="B62" s="2">
        <f>IF([2]RSOph!B48&lt;&gt;"",[2]RSOph!B48,"")</f>
        <v>36</v>
      </c>
      <c r="C62" s="3">
        <f>IF([2]RSOph!C48&lt;&gt;"",[2]RSOph!C48,"")</f>
        <v>42905</v>
      </c>
      <c r="D62" s="2">
        <f>IF([2]RSOph!D48&lt;&gt;"",[2]RSOph!D48,"")</f>
        <v>0.89152777777777781</v>
      </c>
      <c r="E62" s="2">
        <f>IF([2]RSOph!E48&lt;&gt;"",[2]RSOph!E48,"")</f>
        <v>2457924.4158000001</v>
      </c>
      <c r="F62" s="2" t="str">
        <f>IF([2]RSOph!F48&lt;&gt;"",[2]RSOph!F48,"")</f>
        <v>FRA</v>
      </c>
      <c r="G62" s="2" t="str">
        <f>IF([2]RSOph!G48&lt;&gt;"",[2]RSOph!G48,"")</f>
        <v>BAL-IT</v>
      </c>
      <c r="H62" s="2" t="str">
        <f>IF([2]RSOph!H48&lt;&gt;"",[2]RSOph!H48,"")</f>
        <v>SC8+Alpy600</v>
      </c>
      <c r="I62" s="2">
        <f>IF([2]RSOph!I48&lt;&gt;"",[2]RSOph!I48,"")</f>
        <v>530</v>
      </c>
      <c r="J62" s="2" t="str">
        <f>IF([2]RSOph!J48&lt;&gt;"",[2]RSOph!J48,"")</f>
        <v/>
      </c>
      <c r="K62" s="2" t="str">
        <f>IF([2]RSOph!K48&lt;&gt;"",[2]RSOph!K48,"")</f>
        <v/>
      </c>
    </row>
    <row r="63" spans="2:11" x14ac:dyDescent="0.25">
      <c r="B63" s="2">
        <f>IF([2]RSOph!B49&lt;&gt;"",[2]RSOph!B49,"")</f>
        <v>37</v>
      </c>
      <c r="C63" s="3">
        <f>IF([2]RSOph!C49&lt;&gt;"",[2]RSOph!C49,"")</f>
        <v>42916</v>
      </c>
      <c r="D63" s="2">
        <f>IF([2]RSOph!D49&lt;&gt;"",[2]RSOph!D49,"")</f>
        <v>0.33827546296296296</v>
      </c>
      <c r="E63" s="2">
        <f>IF([2]RSOph!E49&lt;&gt;"",[2]RSOph!E49,"")</f>
        <v>2457934.8553999998</v>
      </c>
      <c r="F63" s="2" t="str">
        <f>IF([2]RSOph!F49&lt;&gt;"",[2]RSOph!F49,"")</f>
        <v>FAS</v>
      </c>
      <c r="G63" s="2" t="str">
        <f>IF([2]RSOph!G49&lt;&gt;"",[2]RSOph!G49,"")</f>
        <v>DCO-US</v>
      </c>
      <c r="H63" s="2" t="str">
        <f>IF([2]RSOph!H49&lt;&gt;"",[2]RSOph!H49,"")</f>
        <v>C11HDLisaAtik414e</v>
      </c>
      <c r="I63" s="2">
        <f>IF([2]RSOph!I49&lt;&gt;"",[2]RSOph!I49,"")</f>
        <v>622</v>
      </c>
      <c r="J63" s="2" t="str">
        <f>IF([2]RSOph!J49&lt;&gt;"",[2]RSOph!J49,"")</f>
        <v/>
      </c>
      <c r="K63" s="2" t="str">
        <f>IF([2]RSOph!K49&lt;&gt;"",[2]RSOph!K49,"")</f>
        <v/>
      </c>
    </row>
    <row r="64" spans="2:11" x14ac:dyDescent="0.25">
      <c r="B64" s="2">
        <f>IF([2]RSOph!B50&lt;&gt;"",[2]RSOph!B50,"")</f>
        <v>38</v>
      </c>
      <c r="C64" s="3">
        <f>IF([2]RSOph!C50&lt;&gt;"",[2]RSOph!C50,"")</f>
        <v>42922</v>
      </c>
      <c r="D64" s="2">
        <f>IF([2]RSOph!D50&lt;&gt;"",[2]RSOph!D50,"")</f>
        <v>0.1542361111111111</v>
      </c>
      <c r="E64" s="2">
        <f>IF([2]RSOph!E50&lt;&gt;"",[2]RSOph!E50,"")</f>
        <v>2457940.6716999998</v>
      </c>
      <c r="F64" s="2" t="str">
        <f>IF([2]RSOph!F50&lt;&gt;"",[2]RSOph!F50,"")</f>
        <v>GKA</v>
      </c>
      <c r="G64" s="2" t="str">
        <f>IF([2]RSOph!G50&lt;&gt;"",[2]RSOph!G50,"")</f>
        <v>GRL-US</v>
      </c>
      <c r="H64" s="2" t="str">
        <f>IF([2]RSOph!H50&lt;&gt;"",[2]RSOph!H50,"")</f>
        <v>SC10+Alpy600</v>
      </c>
      <c r="I64" s="2">
        <f>IF([2]RSOph!I50&lt;&gt;"",[2]RSOph!I50,"")</f>
        <v>541</v>
      </c>
      <c r="J64" s="2" t="str">
        <f>IF([2]RSOph!J50&lt;&gt;"",[2]RSOph!J50,"")</f>
        <v/>
      </c>
      <c r="K64" s="2" t="str">
        <f>IF([2]RSOph!K50&lt;&gt;"",[2]RSOph!K50,"")</f>
        <v/>
      </c>
    </row>
    <row r="65" spans="2:11" x14ac:dyDescent="0.25">
      <c r="B65" s="2">
        <f>IF([2]RSOph!B51&lt;&gt;"",[2]RSOph!B51,"")</f>
        <v>39</v>
      </c>
      <c r="C65" s="3">
        <f>IF([2]RSOph!C51&lt;&gt;"",[2]RSOph!C51,"")</f>
        <v>42961</v>
      </c>
      <c r="D65" s="2">
        <f>IF([2]RSOph!D51&lt;&gt;"",[2]RSOph!D51,"")</f>
        <v>0.90770833333333334</v>
      </c>
      <c r="E65" s="2">
        <f>IF([2]RSOph!E51&lt;&gt;"",[2]RSOph!E51,"")</f>
        <v>2457980.4232999999</v>
      </c>
      <c r="F65" s="2" t="str">
        <f>IF([2]RSOph!F51&lt;&gt;"",[2]RSOph!F51,"")</f>
        <v>FRA</v>
      </c>
      <c r="G65" s="2" t="str">
        <f>IF([2]RSOph!G51&lt;&gt;"",[2]RSOph!G51,"")</f>
        <v>BAL-IT</v>
      </c>
      <c r="H65" s="2" t="str">
        <f>IF([2]RSOph!H51&lt;&gt;"",[2]RSOph!H51,"")</f>
        <v>SC8+Alpy600</v>
      </c>
      <c r="I65" s="2">
        <f>IF([2]RSOph!I51&lt;&gt;"",[2]RSOph!I51,"")</f>
        <v>533</v>
      </c>
      <c r="J65" s="2" t="str">
        <f>IF([2]RSOph!J51&lt;&gt;"",[2]RSOph!J51,"")</f>
        <v/>
      </c>
      <c r="K65" s="2" t="str">
        <f>IF([2]RSOph!K51&lt;&gt;"",[2]RSOph!K51,"")</f>
        <v/>
      </c>
    </row>
    <row r="66" spans="2:11" x14ac:dyDescent="0.25">
      <c r="B66" s="2">
        <f>IF([2]RSOph!B52&lt;&gt;"",[2]RSOph!B52,"")</f>
        <v>40</v>
      </c>
      <c r="C66" s="3">
        <f>IF([2]RSOph!C52&lt;&gt;"",[2]RSOph!C52,"")</f>
        <v>42971</v>
      </c>
      <c r="D66" s="2">
        <f>IF([2]RSOph!D52&lt;&gt;"",[2]RSOph!D52,"")</f>
        <v>0.21195601851851853</v>
      </c>
      <c r="E66" s="2">
        <f>IF([2]RSOph!E52&lt;&gt;"",[2]RSOph!E52,"")</f>
        <v>2457989.7352</v>
      </c>
      <c r="F66" s="2" t="str">
        <f>IF([2]RSOph!F52&lt;&gt;"",[2]RSOph!F52,"")</f>
        <v>JRF</v>
      </c>
      <c r="G66" s="2" t="str">
        <f>IF([2]RSOph!G52&lt;&gt;"",[2]RSOph!G52,"")</f>
        <v>MTP-US</v>
      </c>
      <c r="H66" s="2" t="str">
        <f>IF([2]RSOph!H52&lt;&gt;"",[2]RSOph!H52,"")</f>
        <v>CC13LisaATIK460EX</v>
      </c>
      <c r="I66" s="2">
        <f>IF([2]RSOph!I52&lt;&gt;"",[2]RSOph!I52,"")</f>
        <v>986</v>
      </c>
      <c r="J66" s="2" t="str">
        <f>IF([2]RSOph!J52&lt;&gt;"",[2]RSOph!J52,"")</f>
        <v/>
      </c>
      <c r="K66" s="2" t="str">
        <f>IF([2]RSOph!K52&lt;&gt;"",[2]RSOph!K52,"")</f>
        <v/>
      </c>
    </row>
    <row r="67" spans="2:11" x14ac:dyDescent="0.25">
      <c r="B67" s="2">
        <f>IF([2]RSOph!B53&lt;&gt;"",[2]RSOph!B53,"")</f>
        <v>41</v>
      </c>
      <c r="C67" s="3">
        <f>IF([2]RSOph!C53&lt;&gt;"",[2]RSOph!C53,"")</f>
        <v>42982</v>
      </c>
      <c r="D67" s="2">
        <f>IF([2]RSOph!D53&lt;&gt;"",[2]RSOph!D53,"")</f>
        <v>0.11473379629629631</v>
      </c>
      <c r="E67" s="2">
        <f>IF([2]RSOph!E53&lt;&gt;"",[2]RSOph!E53,"")</f>
        <v>2458000.6291999999</v>
      </c>
      <c r="F67" s="2" t="str">
        <f>IF([2]RSOph!F53&lt;&gt;"",[2]RSOph!F53,"")</f>
        <v>GKA</v>
      </c>
      <c r="G67" s="2" t="str">
        <f>IF([2]RSOph!G53&lt;&gt;"",[2]RSOph!G53,"")</f>
        <v>MAN-US</v>
      </c>
      <c r="H67" s="2" t="str">
        <f>IF([2]RSOph!H53&lt;&gt;"",[2]RSOph!H53,"")</f>
        <v>SC10+Alpy600</v>
      </c>
      <c r="I67" s="2">
        <f>IF([2]RSOph!I53&lt;&gt;"",[2]RSOph!I53,"")</f>
        <v>536</v>
      </c>
      <c r="J67" s="2" t="str">
        <f>IF([2]RSOph!J53&lt;&gt;"",[2]RSOph!J53,"")</f>
        <v/>
      </c>
      <c r="K67" s="2" t="str">
        <f>IF([2]RSOph!K53&lt;&gt;"",[2]RSOph!K53,"")</f>
        <v/>
      </c>
    </row>
    <row r="68" spans="2:11" x14ac:dyDescent="0.25">
      <c r="B68" s="2">
        <f>IF([2]RSOph!B54&lt;&gt;"",[2]RSOph!B54,"")</f>
        <v>42</v>
      </c>
      <c r="C68" s="3">
        <f>IF([2]RSOph!C54&lt;&gt;"",[2]RSOph!C54,"")</f>
        <v>42993</v>
      </c>
      <c r="D68" s="2">
        <f>IF([2]RSOph!D54&lt;&gt;"",[2]RSOph!D54,"")</f>
        <v>3.9386574074074074E-2</v>
      </c>
      <c r="E68" s="2">
        <f>IF([2]RSOph!E54&lt;&gt;"",[2]RSOph!E54,"")</f>
        <v>2458011.5480999998</v>
      </c>
      <c r="F68" s="2" t="str">
        <f>IF([2]RSOph!F54&lt;&gt;"",[2]RSOph!F54,"")</f>
        <v>GKA</v>
      </c>
      <c r="G68" s="2" t="str">
        <f>IF([2]RSOph!G54&lt;&gt;"",[2]RSOph!G54,"")</f>
        <v>MAN-US</v>
      </c>
      <c r="H68" s="2" t="str">
        <f>IF([2]RSOph!H54&lt;&gt;"",[2]RSOph!H54,"")</f>
        <v>SC10+Alpy600</v>
      </c>
      <c r="I68" s="2">
        <f>IF([2]RSOph!I54&lt;&gt;"",[2]RSOph!I54,"")</f>
        <v>534</v>
      </c>
      <c r="J68" s="2" t="str">
        <f>IF([2]RSOph!J54&lt;&gt;"",[2]RSOph!J54,"")</f>
        <v/>
      </c>
      <c r="K68" s="2" t="str">
        <f>IF([2]RSOph!K54&lt;&gt;"",[2]RSOph!K54,"")</f>
        <v/>
      </c>
    </row>
    <row r="69" spans="2:11" x14ac:dyDescent="0.25">
      <c r="B69" s="2">
        <f>IF([2]RSOph!B55&lt;&gt;"",[2]RSOph!B55,"")</f>
        <v>43</v>
      </c>
      <c r="C69" s="3">
        <f>IF([2]RSOph!C55&lt;&gt;"",[2]RSOph!C55,"")</f>
        <v>43001</v>
      </c>
      <c r="D69" s="2">
        <f>IF([2]RSOph!D55&lt;&gt;"",[2]RSOph!D55,"")</f>
        <v>0.1832175925925926</v>
      </c>
      <c r="E69" s="2">
        <f>IF([2]RSOph!E55&lt;&gt;"",[2]RSOph!E55,"")</f>
        <v>2458019.6959000002</v>
      </c>
      <c r="F69" s="2" t="str">
        <f>IF([2]RSOph!F55&lt;&gt;"",[2]RSOph!F55,"")</f>
        <v>JRF</v>
      </c>
      <c r="G69" s="2" t="str">
        <f>IF([2]RSOph!G55&lt;&gt;"",[2]RSOph!G55,"")</f>
        <v>UHO-US</v>
      </c>
      <c r="H69" s="2" t="str">
        <f>IF([2]RSOph!H55&lt;&gt;"",[2]RSOph!H55,"")</f>
        <v>CDK17L-200ATIK460</v>
      </c>
      <c r="I69" s="2">
        <f>IF([2]RSOph!I55&lt;&gt;"",[2]RSOph!I55,"")</f>
        <v>606</v>
      </c>
      <c r="J69" s="2" t="str">
        <f>IF([2]RSOph!J55&lt;&gt;"",[2]RSOph!J55,"")</f>
        <v/>
      </c>
      <c r="K69" s="2" t="str">
        <f>IF([2]RSOph!K55&lt;&gt;"",[2]RSOph!K55,"")</f>
        <v/>
      </c>
    </row>
    <row r="70" spans="2:11" x14ac:dyDescent="0.25">
      <c r="B70" s="2">
        <f>IF([2]RSOph!B56&lt;&gt;"",[2]RSOph!B56,"")</f>
        <v>44</v>
      </c>
      <c r="C70" s="3">
        <f>IF([2]RSOph!C56&lt;&gt;"",[2]RSOph!C56,"")</f>
        <v>43264</v>
      </c>
      <c r="D70" s="2">
        <f>IF([2]RSOph!D56&lt;&gt;"",[2]RSOph!D56,"")</f>
        <v>0.31261574074074078</v>
      </c>
      <c r="E70" s="2">
        <f>IF([2]RSOph!E56&lt;&gt;"",[2]RSOph!E56,"")</f>
        <v>2458282.8305000002</v>
      </c>
      <c r="F70" s="2" t="str">
        <f>IF([2]RSOph!F56&lt;&gt;"",[2]RSOph!F56,"")</f>
        <v>JRF</v>
      </c>
      <c r="G70" s="2" t="str">
        <f>IF([2]RSOph!G56&lt;&gt;"",[2]RSOph!G56,"")</f>
        <v>MTP-US</v>
      </c>
      <c r="H70" s="2" t="str">
        <f>IF([2]RSOph!H56&lt;&gt;"",[2]RSOph!H56,"")</f>
        <v>CC13LisaATIK460EX</v>
      </c>
      <c r="I70" s="2">
        <f>IF([2]RSOph!I56&lt;&gt;"",[2]RSOph!I56,"")</f>
        <v>853</v>
      </c>
      <c r="J70" s="2" t="str">
        <f>IF([2]RSOph!J56&lt;&gt;"",[2]RSOph!J56,"")</f>
        <v/>
      </c>
      <c r="K70" s="2" t="str">
        <f>IF([2]RSOph!K56&lt;&gt;"",[2]RSOph!K56,"")</f>
        <v/>
      </c>
    </row>
    <row r="71" spans="2:11" x14ac:dyDescent="0.25">
      <c r="B71" s="2">
        <f>IF([2]RSOph!B57&lt;&gt;"",[2]RSOph!B57,"")</f>
        <v>45</v>
      </c>
      <c r="C71" s="3">
        <f>IF([2]RSOph!C57&lt;&gt;"",[2]RSOph!C57,"")</f>
        <v>43266</v>
      </c>
      <c r="D71" s="2">
        <f>IF([2]RSOph!D57&lt;&gt;"",[2]RSOph!D57,"")</f>
        <v>0.30478009259259259</v>
      </c>
      <c r="E71" s="2">
        <f>IF([2]RSOph!E57&lt;&gt;"",[2]RSOph!E57,"")</f>
        <v>2458284.8124000002</v>
      </c>
      <c r="F71" s="2" t="str">
        <f>IF([2]RSOph!F57&lt;&gt;"",[2]RSOph!F57,"")</f>
        <v>JRF</v>
      </c>
      <c r="G71" s="2" t="str">
        <f>IF([2]RSOph!G57&lt;&gt;"",[2]RSOph!G57,"")</f>
        <v>MTP-US</v>
      </c>
      <c r="H71" s="2" t="str">
        <f>IF([2]RSOph!H57&lt;&gt;"",[2]RSOph!H57,"")</f>
        <v>CC13LisaATIK460EX</v>
      </c>
      <c r="I71" s="2">
        <f>IF([2]RSOph!I57&lt;&gt;"",[2]RSOph!I57,"")</f>
        <v>850</v>
      </c>
      <c r="J71" s="2" t="str">
        <f>IF([2]RSOph!J57&lt;&gt;"",[2]RSOph!J57,"")</f>
        <v/>
      </c>
      <c r="K71" s="2" t="str">
        <f>IF([2]RSOph!K57&lt;&gt;"",[2]RSOph!K57,"")</f>
        <v/>
      </c>
    </row>
    <row r="72" spans="2:11" x14ac:dyDescent="0.25">
      <c r="B72" s="2">
        <f>IF([2]RSOph!B58&lt;&gt;"",[2]RSOph!B58,"")</f>
        <v>46</v>
      </c>
      <c r="C72" s="3">
        <f>IF([2]RSOph!C58&lt;&gt;"",[2]RSOph!C58,"")</f>
        <v>43274</v>
      </c>
      <c r="D72" s="2">
        <f>IF([2]RSOph!D58&lt;&gt;"",[2]RSOph!D58,"")</f>
        <v>0.29537037037037034</v>
      </c>
      <c r="E72" s="2">
        <f>IF([2]RSOph!E58&lt;&gt;"",[2]RSOph!E58,"")</f>
        <v>2458292.8064999999</v>
      </c>
      <c r="F72" s="2" t="str">
        <f>IF([2]RSOph!F58&lt;&gt;"",[2]RSOph!F58,"")</f>
        <v>FAS</v>
      </c>
      <c r="G72" s="2" t="str">
        <f>IF([2]RSOph!G58&lt;&gt;"",[2]RSOph!G58,"")</f>
        <v>DCO-US</v>
      </c>
      <c r="H72" s="2" t="str">
        <f>IF([2]RSOph!H58&lt;&gt;"",[2]RSOph!H58,"")</f>
        <v>DK14+Lisa+Atik414ex</v>
      </c>
      <c r="I72" s="2">
        <f>IF([2]RSOph!I58&lt;&gt;"",[2]RSOph!I58,"")</f>
        <v>1008</v>
      </c>
      <c r="J72" s="2" t="str">
        <f>IF([2]RSOph!J58&lt;&gt;"",[2]RSOph!J58,"")</f>
        <v/>
      </c>
      <c r="K72" s="2" t="str">
        <f>IF([2]RSOph!K58&lt;&gt;"",[2]RSOph!K58,"")</f>
        <v/>
      </c>
    </row>
    <row r="73" spans="2:11" x14ac:dyDescent="0.25">
      <c r="B73" s="2">
        <f>IF([2]RSOph!B59&lt;&gt;"",[2]RSOph!B59,"")</f>
        <v>47</v>
      </c>
      <c r="C73" s="3">
        <f>IF([2]RSOph!C59&lt;&gt;"",[2]RSOph!C59,"")</f>
        <v>43289</v>
      </c>
      <c r="D73" s="2">
        <f>IF([2]RSOph!D59&lt;&gt;"",[2]RSOph!D59,"")</f>
        <v>0.35262731481481485</v>
      </c>
      <c r="E73" s="2">
        <f>IF([2]RSOph!E59&lt;&gt;"",[2]RSOph!E59,"")</f>
        <v>2458307.8651000001</v>
      </c>
      <c r="F73" s="2" t="str">
        <f>IF([2]RSOph!F59&lt;&gt;"",[2]RSOph!F59,"")</f>
        <v>JRF</v>
      </c>
      <c r="G73" s="2" t="str">
        <f>IF([2]RSOph!G59&lt;&gt;"",[2]RSOph!G59,"")</f>
        <v>MTP-US</v>
      </c>
      <c r="H73" s="2" t="str">
        <f>IF([2]RSOph!H59&lt;&gt;"",[2]RSOph!H59,"")</f>
        <v>CC13LisaATIK460EX</v>
      </c>
      <c r="I73" s="2">
        <f>IF([2]RSOph!I59&lt;&gt;"",[2]RSOph!I59,"")</f>
        <v>850</v>
      </c>
      <c r="J73" s="2" t="str">
        <f>IF([2]RSOph!J59&lt;&gt;"",[2]RSOph!J59,"")</f>
        <v/>
      </c>
      <c r="K73" s="2" t="str">
        <f>IF([2]RSOph!K59&lt;&gt;"",[2]RSOph!K59,"")</f>
        <v/>
      </c>
    </row>
    <row r="74" spans="2:11" x14ac:dyDescent="0.25">
      <c r="B74" s="2">
        <f>IF([2]RSOph!B60&lt;&gt;"",[2]RSOph!B60,"")</f>
        <v>48</v>
      </c>
      <c r="C74" s="3">
        <f>IF([2]RSOph!C60&lt;&gt;"",[2]RSOph!C60,"")</f>
        <v>43301</v>
      </c>
      <c r="D74" s="2">
        <f>IF([2]RSOph!D60&lt;&gt;"",[2]RSOph!D60,"")</f>
        <v>8.4270833333333336E-2</v>
      </c>
      <c r="E74" s="2">
        <f>IF([2]RSOph!E60&lt;&gt;"",[2]RSOph!E60,"")</f>
        <v>2458319.6340000001</v>
      </c>
      <c r="F74" s="2" t="str">
        <f>IF([2]RSOph!F60&lt;&gt;"",[2]RSOph!F60,"")</f>
        <v>LES</v>
      </c>
      <c r="G74" s="2" t="str">
        <f>IF([2]RSOph!G60&lt;&gt;"",[2]RSOph!G60,"")</f>
        <v>MRO-CA</v>
      </c>
      <c r="H74" s="2" t="str">
        <f>IF([2]RSOph!H60&lt;&gt;"",[2]RSOph!H60,"")</f>
        <v>DK310+Echelle_ESSAT</v>
      </c>
      <c r="I74" s="2">
        <f>IF([2]RSOph!I60&lt;&gt;"",[2]RSOph!I60,"")</f>
        <v>12000</v>
      </c>
      <c r="J74" s="2" t="str">
        <f>IF([2]RSOph!J60&lt;&gt;"",[2]RSOph!J60,"")</f>
        <v/>
      </c>
      <c r="K74" s="2" t="str">
        <f>IF([2]RSOph!K60&lt;&gt;"",[2]RSOph!K60,"")</f>
        <v/>
      </c>
    </row>
    <row r="75" spans="2:11" x14ac:dyDescent="0.25">
      <c r="B75" s="2">
        <f>IF([2]RSOph!B61&lt;&gt;"",[2]RSOph!B61,"")</f>
        <v>49</v>
      </c>
      <c r="C75" s="3">
        <f>IF([2]RSOph!C61&lt;&gt;"",[2]RSOph!C61,"")</f>
        <v>43603</v>
      </c>
      <c r="D75" s="2">
        <f>IF([2]RSOph!D61&lt;&gt;"",[2]RSOph!D61,"")</f>
        <v>0.45033564814814814</v>
      </c>
      <c r="E75" s="2">
        <f>IF([2]RSOph!E61&lt;&gt;"",[2]RSOph!E61,"")</f>
        <v>2458621.9667000002</v>
      </c>
      <c r="F75" s="2" t="str">
        <f>IF([2]RSOph!F61&lt;&gt;"",[2]RSOph!F61,"")</f>
        <v>JRF</v>
      </c>
      <c r="G75" s="2" t="str">
        <f>IF([2]RSOph!G61&lt;&gt;"",[2]RSOph!G61,"")</f>
        <v>UHO-US</v>
      </c>
      <c r="H75" s="2" t="str">
        <f>IF([2]RSOph!H61&lt;&gt;"",[2]RSOph!H61,"")</f>
        <v>CC13ALPY600ATIK460EX</v>
      </c>
      <c r="I75" s="2">
        <f>IF([2]RSOph!I61&lt;&gt;"",[2]RSOph!I61,"")</f>
        <v>848</v>
      </c>
      <c r="J75" s="2" t="str">
        <f>IF([2]RSOph!J61&lt;&gt;"",[2]RSOph!J61,"")</f>
        <v/>
      </c>
      <c r="K75" s="2" t="str">
        <f>IF([2]RSOph!K61&lt;&gt;"",[2]RSOph!K61,"")</f>
        <v/>
      </c>
    </row>
    <row r="76" spans="2:11" x14ac:dyDescent="0.25">
      <c r="B76" s="2">
        <f>IF([2]RSOph!B62&lt;&gt;"",[2]RSOph!B62,"")</f>
        <v>50</v>
      </c>
      <c r="C76" s="3">
        <f>IF([2]RSOph!C62&lt;&gt;"",[2]RSOph!C62,"")</f>
        <v>43613</v>
      </c>
      <c r="D76" s="2">
        <f>IF([2]RSOph!D62&lt;&gt;"",[2]RSOph!D62,"")</f>
        <v>0.43028935185185185</v>
      </c>
      <c r="E76" s="2">
        <f>IF([2]RSOph!E62&lt;&gt;"",[2]RSOph!E62,"")</f>
        <v>2458631.9446</v>
      </c>
      <c r="F76" s="2" t="str">
        <f>IF([2]RSOph!F62&lt;&gt;"",[2]RSOph!F62,"")</f>
        <v>JRF</v>
      </c>
      <c r="G76" s="2" t="str">
        <f>IF([2]RSOph!G62&lt;&gt;"",[2]RSOph!G62,"")</f>
        <v>UHO-US</v>
      </c>
      <c r="H76" s="2" t="str">
        <f>IF([2]RSOph!H62&lt;&gt;"",[2]RSOph!H62,"")</f>
        <v>CC13ALPY600ATIK460EX</v>
      </c>
      <c r="I76" s="2">
        <f>IF([2]RSOph!I62&lt;&gt;"",[2]RSOph!I62,"")</f>
        <v>443</v>
      </c>
      <c r="J76" s="2" t="str">
        <f>IF([2]RSOph!J62&lt;&gt;"",[2]RSOph!J62,"")</f>
        <v/>
      </c>
      <c r="K76" s="2" t="str">
        <f>IF([2]RSOph!K62&lt;&gt;"",[2]RSOph!K62,"")</f>
        <v/>
      </c>
    </row>
    <row r="77" spans="2:11" x14ac:dyDescent="0.25">
      <c r="B77" s="2">
        <f>IF([2]RSOph!B63&lt;&gt;"",[2]RSOph!B63,"")</f>
        <v>51</v>
      </c>
      <c r="C77" s="3">
        <f>IF([2]RSOph!C63&lt;&gt;"",[2]RSOph!C63,"")</f>
        <v>43623</v>
      </c>
      <c r="D77" s="2">
        <f>IF([2]RSOph!D63&lt;&gt;"",[2]RSOph!D63,"")</f>
        <v>0.14480324074074075</v>
      </c>
      <c r="E77" s="2">
        <f>IF([2]RSOph!E63&lt;&gt;"",[2]RSOph!E63,"")</f>
        <v>2458641.7088000001</v>
      </c>
      <c r="F77" s="2" t="str">
        <f>IF([2]RSOph!F63&lt;&gt;"",[2]RSOph!F63,"")</f>
        <v>LES</v>
      </c>
      <c r="G77" s="2" t="str">
        <f>IF([2]RSOph!G63&lt;&gt;"",[2]RSOph!G63,"")</f>
        <v>MRO-CA</v>
      </c>
      <c r="H77" s="2" t="str">
        <f>IF([2]RSOph!H63&lt;&gt;"",[2]RSOph!H63,"")</f>
        <v>31cmDK+ESSAT</v>
      </c>
      <c r="I77" s="2">
        <f>IF([2]RSOph!I63&lt;&gt;"",[2]RSOph!I63,"")</f>
        <v>14000</v>
      </c>
      <c r="J77" s="2" t="str">
        <f>IF([2]RSOph!J63&lt;&gt;"",[2]RSOph!J63,"")</f>
        <v/>
      </c>
      <c r="K77" s="2" t="str">
        <f>IF([2]RSOph!K63&lt;&gt;"",[2]RSOph!K63,"")</f>
        <v/>
      </c>
    </row>
    <row r="78" spans="2:11" x14ac:dyDescent="0.25">
      <c r="B78" s="2">
        <f>IF([2]RSOph!B64&lt;&gt;"",[2]RSOph!B64,"")</f>
        <v>52</v>
      </c>
      <c r="C78" s="3">
        <f>IF([2]RSOph!C64&lt;&gt;"",[2]RSOph!C64,"")</f>
        <v>43645</v>
      </c>
      <c r="D78" s="2">
        <f>IF([2]RSOph!D64&lt;&gt;"",[2]RSOph!D64,"")</f>
        <v>0.87187500000000007</v>
      </c>
      <c r="E78" s="2">
        <f>IF([2]RSOph!E64&lt;&gt;"",[2]RSOph!E64,"")</f>
        <v>2458664.4240999999</v>
      </c>
      <c r="F78" s="2" t="str">
        <f>IF([2]RSOph!F64&lt;&gt;"",[2]RSOph!F64,"")</f>
        <v>JGF</v>
      </c>
      <c r="G78" s="2" t="str">
        <f>IF([2]RSOph!G64&lt;&gt;"",[2]RSOph!G64,"")</f>
        <v>SMM-SP</v>
      </c>
      <c r="H78" s="2" t="str">
        <f>IF([2]RSOph!H64&lt;&gt;"",[2]RSOph!H64,"")</f>
        <v>16REMOTLINX460EX</v>
      </c>
      <c r="I78" s="2">
        <f>IF([2]RSOph!I64&lt;&gt;"",[2]RSOph!I64,"")</f>
        <v>9000</v>
      </c>
      <c r="J78" s="2" t="str">
        <f>IF([2]RSOph!J64&lt;&gt;"",[2]RSOph!J64,"")</f>
        <v/>
      </c>
      <c r="K78" s="2" t="str">
        <f>IF([2]RSOph!K64&lt;&gt;"",[2]RSOph!K64,"")</f>
        <v/>
      </c>
    </row>
    <row r="79" spans="2:11" x14ac:dyDescent="0.25">
      <c r="B79" s="2">
        <f>IF([2]RSOph!B65&lt;&gt;"",[2]RSOph!B65,"")</f>
        <v>53</v>
      </c>
      <c r="C79" s="3">
        <f>IF([2]RSOph!C65&lt;&gt;"",[2]RSOph!C65,"")</f>
        <v>43648</v>
      </c>
      <c r="D79" s="2">
        <f>IF([2]RSOph!D65&lt;&gt;"",[2]RSOph!D65,"")</f>
        <v>0.34516203703703702</v>
      </c>
      <c r="E79" s="2">
        <f>IF([2]RSOph!E65&lt;&gt;"",[2]RSOph!E65,"")</f>
        <v>2458666.8546000002</v>
      </c>
      <c r="F79" s="2" t="str">
        <f>IF([2]RSOph!F65&lt;&gt;"",[2]RSOph!F65,"")</f>
        <v>JRF</v>
      </c>
      <c r="G79" s="2" t="str">
        <f>IF([2]RSOph!G65&lt;&gt;"",[2]RSOph!G65,"")</f>
        <v>MTP-US</v>
      </c>
      <c r="H79" s="2" t="str">
        <f>IF([2]RSOph!H65&lt;&gt;"",[2]RSOph!H65,"")</f>
        <v>CC13ALPY600ATIK460EX</v>
      </c>
      <c r="I79" s="2">
        <f>IF([2]RSOph!I65&lt;&gt;"",[2]RSOph!I65,"")</f>
        <v>700</v>
      </c>
      <c r="J79" s="2" t="str">
        <f>IF([2]RSOph!J65&lt;&gt;"",[2]RSOph!J65,"")</f>
        <v/>
      </c>
      <c r="K79" s="2" t="str">
        <f>IF([2]RSOph!K65&lt;&gt;"",[2]RSOph!K65,"")</f>
        <v/>
      </c>
    </row>
    <row r="80" spans="2:11" x14ac:dyDescent="0.25">
      <c r="B80" s="2">
        <f>IF([2]RSOph!B66&lt;&gt;"",[2]RSOph!B66,"")</f>
        <v>54</v>
      </c>
      <c r="C80" s="3">
        <f>IF([2]RSOph!C66&lt;&gt;"",[2]RSOph!C66,"")</f>
        <v>43649</v>
      </c>
      <c r="D80" s="2">
        <f>IF([2]RSOph!D66&lt;&gt;"",[2]RSOph!D66,"")</f>
        <v>0.12078703703703704</v>
      </c>
      <c r="E80" s="2">
        <f>IF([2]RSOph!E66&lt;&gt;"",[2]RSOph!E66,"")</f>
        <v>2458667.6847000001</v>
      </c>
      <c r="F80" s="2" t="str">
        <f>IF([2]RSOph!F66&lt;&gt;"",[2]RSOph!F66,"")</f>
        <v>LES</v>
      </c>
      <c r="G80" s="2" t="str">
        <f>IF([2]RSOph!G66&lt;&gt;"",[2]RSOph!G66,"")</f>
        <v>MRO-CA</v>
      </c>
      <c r="H80" s="2" t="str">
        <f>IF([2]RSOph!H66&lt;&gt;"",[2]RSOph!H66,"")</f>
        <v>31cmDK+ESSAT</v>
      </c>
      <c r="I80" s="2">
        <f>IF([2]RSOph!I66&lt;&gt;"",[2]RSOph!I66,"")</f>
        <v>14000</v>
      </c>
      <c r="J80" s="2" t="str">
        <f>IF([2]RSOph!J66&lt;&gt;"",[2]RSOph!J66,"")</f>
        <v/>
      </c>
      <c r="K80" s="2" t="str">
        <f>IF([2]RSOph!K66&lt;&gt;"",[2]RSOph!K66,"")</f>
        <v/>
      </c>
    </row>
    <row r="81" spans="2:14" x14ac:dyDescent="0.25">
      <c r="B81" s="2">
        <f>IF([2]RSOph!B67&lt;&gt;"",[2]RSOph!B67,"")</f>
        <v>55</v>
      </c>
      <c r="C81" s="3">
        <f>IF([2]RSOph!C67&lt;&gt;"",[2]RSOph!C67,"")</f>
        <v>43651</v>
      </c>
      <c r="D81" s="2">
        <f>IF([2]RSOph!D67&lt;&gt;"",[2]RSOph!D67,"")</f>
        <v>0.32467592592592592</v>
      </c>
      <c r="E81" s="2">
        <f>IF([2]RSOph!E67&lt;&gt;"",[2]RSOph!E67,"")</f>
        <v>2458669.8350999998</v>
      </c>
      <c r="F81" s="2"/>
      <c r="G81" s="2" t="str">
        <f>IF([2]RSOph!G67&lt;&gt;"",[2]RSOph!G67,"")</f>
        <v>MTP-US</v>
      </c>
      <c r="H81" s="2" t="str">
        <f>IF([2]RSOph!H67&lt;&gt;"",[2]RSOph!H67,"")</f>
        <v>CC13LISAATIK460EX</v>
      </c>
      <c r="I81" s="2">
        <f>IF([2]RSOph!I67&lt;&gt;"",[2]RSOph!I67,"")</f>
        <v>907</v>
      </c>
      <c r="J81" s="2" t="str">
        <f>IF([2]RSOph!J67&lt;&gt;"",[2]RSOph!J67,"")</f>
        <v/>
      </c>
      <c r="K81" s="2" t="str">
        <f>IF([2]RSOph!K67&lt;&gt;"",[2]RSOph!K67,"")</f>
        <v/>
      </c>
    </row>
    <row r="82" spans="2:14" x14ac:dyDescent="0.25">
      <c r="B82" s="2">
        <f>IF([2]RSOph!B68&lt;&gt;"",[2]RSOph!B68,"")</f>
        <v>56</v>
      </c>
      <c r="C82" s="3">
        <f>IF([2]RSOph!C68&lt;&gt;"",[2]RSOph!C68,"")</f>
        <v>43666</v>
      </c>
      <c r="D82" s="2">
        <f>IF([2]RSOph!D68&lt;&gt;"",[2]RSOph!D68,"")</f>
        <v>0.83695601851851853</v>
      </c>
      <c r="E82" s="2">
        <f>IF([2]RSOph!E68&lt;&gt;"",[2]RSOph!E68,"")</f>
        <v>2458685.3514999999</v>
      </c>
      <c r="F82" s="2" t="str">
        <f>IF([2]RSOph!F68&lt;&gt;"",[2]RSOph!F68,"")</f>
        <v>FRA</v>
      </c>
      <c r="G82" s="2" t="str">
        <f>IF([2]RSOph!G68&lt;&gt;"",[2]RSOph!G68,"")</f>
        <v>BAL-IT</v>
      </c>
      <c r="H82" s="2" t="str">
        <f>IF([2]RSOph!H68&lt;&gt;"",[2]RSOph!H68,"")</f>
        <v>LX200-8(F</v>
      </c>
      <c r="I82" s="2">
        <f>IF([2]RSOph!I68&lt;&gt;"",[2]RSOph!I68,"")</f>
        <v>528</v>
      </c>
      <c r="J82" s="2" t="str">
        <f>IF([2]RSOph!J68&lt;&gt;"",[2]RSOph!J68,"")</f>
        <v/>
      </c>
      <c r="K82" s="2" t="str">
        <f>IF([2]RSOph!K68&lt;&gt;"",[2]RSOph!K68,"")</f>
        <v/>
      </c>
    </row>
    <row r="83" spans="2:14" x14ac:dyDescent="0.25">
      <c r="B83" s="2">
        <f>IF([2]RSOph!B69&lt;&gt;"",[2]RSOph!B69,"")</f>
        <v>57</v>
      </c>
      <c r="C83" s="3">
        <f>IF([2]RSOph!C69&lt;&gt;"",[2]RSOph!C69,"")</f>
        <v>43689</v>
      </c>
      <c r="D83" s="2">
        <f>IF([2]RSOph!D69&lt;&gt;"",[2]RSOph!D69,"")</f>
        <v>5.6064814814814817E-2</v>
      </c>
      <c r="E83" s="2">
        <f>IF([2]RSOph!E69&lt;&gt;"",[2]RSOph!E69,"")</f>
        <v>2458707.6157</v>
      </c>
      <c r="F83" s="2" t="str">
        <f>IF([2]RSOph!F69&lt;&gt;"",[2]RSOph!F69,"")</f>
        <v>LES</v>
      </c>
      <c r="G83" s="2" t="str">
        <f>IF([2]RSOph!G69&lt;&gt;"",[2]RSOph!G69,"")</f>
        <v>MRO-CA</v>
      </c>
      <c r="H83" s="2" t="str">
        <f>IF([2]RSOph!H69&lt;&gt;"",[2]RSOph!H69,"")</f>
        <v>31cmDK+ESSAT</v>
      </c>
      <c r="I83" s="2">
        <f>IF([2]RSOph!I69&lt;&gt;"",[2]RSOph!I69,"")</f>
        <v>12000</v>
      </c>
      <c r="J83" s="2" t="str">
        <f>IF([2]RSOph!J69&lt;&gt;"",[2]RSOph!J69,"")</f>
        <v/>
      </c>
      <c r="K83" s="2" t="str">
        <f>IF([2]RSOph!K69&lt;&gt;"",[2]RSOph!K69,"")</f>
        <v/>
      </c>
    </row>
    <row r="84" spans="2:14" x14ac:dyDescent="0.25">
      <c r="B84" s="2">
        <f>IF([2]RSOph!B70&lt;&gt;"",[2]RSOph!B70,"")</f>
        <v>58</v>
      </c>
      <c r="C84" s="3">
        <f>IF([2]RSOph!C70&lt;&gt;"",[2]RSOph!C70,"")</f>
        <v>43691</v>
      </c>
      <c r="D84" s="2">
        <f>IF([2]RSOph!D70&lt;&gt;"",[2]RSOph!D70,"")</f>
        <v>0.85045138888888883</v>
      </c>
      <c r="E84" s="2">
        <f>IF([2]RSOph!E70&lt;&gt;"",[2]RSOph!E70,"")</f>
        <v>2458710.3991999999</v>
      </c>
      <c r="F84" s="2" t="str">
        <f>IF([2]RSOph!F70&lt;&gt;"",[2]RSOph!F70,"")</f>
        <v>OGA</v>
      </c>
      <c r="G84" s="2" t="str">
        <f>IF([2]RSOph!G70&lt;&gt;"",[2]RSOph!G70,"")</f>
        <v>OTO-FR</v>
      </c>
      <c r="H84" s="2" t="str">
        <f>IF([2]RSOph!H70&lt;&gt;"",[2]RSOph!H70,"")</f>
        <v>RC400Astrosib-Eshel-ATIK460EX</v>
      </c>
      <c r="I84" s="2">
        <f>IF([2]RSOph!I70&lt;&gt;"",[2]RSOph!I70,"")</f>
        <v>11000</v>
      </c>
      <c r="J84" s="2" t="str">
        <f>IF([2]RSOph!J70&lt;&gt;"",[2]RSOph!J70,"")</f>
        <v/>
      </c>
      <c r="K84" s="2" t="str">
        <f>IF([2]RSOph!K70&lt;&gt;"",[2]RSOph!K70,"")</f>
        <v/>
      </c>
    </row>
    <row r="85" spans="2:14" x14ac:dyDescent="0.25">
      <c r="B85" s="2">
        <f>IF([2]RSOph!B71&lt;&gt;"",[2]RSOph!B71,"")</f>
        <v>59</v>
      </c>
      <c r="C85" s="3">
        <f>IF([2]RSOph!C71&lt;&gt;"",[2]RSOph!C71,"")</f>
        <v>43736</v>
      </c>
      <c r="D85" s="2">
        <f>IF([2]RSOph!D71&lt;&gt;"",[2]RSOph!D71,"")</f>
        <v>0.77915509259259252</v>
      </c>
      <c r="E85" s="2">
        <f>IF([2]RSOph!E71&lt;&gt;"",[2]RSOph!E71,"")</f>
        <v>2458755.3278999999</v>
      </c>
      <c r="F85" s="2" t="str">
        <f>IF([2]RSOph!F71&lt;&gt;"",[2]RSOph!F71,"")</f>
        <v>JGF</v>
      </c>
      <c r="G85" s="2" t="str">
        <f>IF([2]RSOph!G71&lt;&gt;"",[2]RSOph!G71,"")</f>
        <v>SMM-SP</v>
      </c>
      <c r="H85" s="2" t="str">
        <f>IF([2]RSOph!H71&lt;&gt;"",[2]RSOph!H71,"")</f>
        <v>16REMOTLINX460EX</v>
      </c>
      <c r="I85" s="2">
        <f>IF([2]RSOph!I71&lt;&gt;"",[2]RSOph!I71,"")</f>
        <v>9000</v>
      </c>
      <c r="J85" s="2" t="str">
        <f>IF([2]RSOph!J71&lt;&gt;"",[2]RSOph!J71,"")</f>
        <v/>
      </c>
      <c r="K85" s="2" t="str">
        <f>IF([2]RSOph!K71&lt;&gt;"",[2]RSOph!K71,"")</f>
        <v/>
      </c>
    </row>
    <row r="86" spans="2:14" x14ac:dyDescent="0.25">
      <c r="B86" s="2">
        <f>IF([2]RSOph!B72&lt;&gt;"",[2]RSOph!B72,"")</f>
        <v>60</v>
      </c>
      <c r="C86" s="3">
        <f>IF([2]RSOph!C72&lt;&gt;"",[2]RSOph!C72,"")</f>
        <v>43739</v>
      </c>
      <c r="D86" s="2">
        <f>IF([2]RSOph!D72&lt;&gt;"",[2]RSOph!D72,"")</f>
        <v>0.11050925925925925</v>
      </c>
      <c r="E86" s="2">
        <f>IF([2]RSOph!E72&lt;&gt;"",[2]RSOph!E72,"")</f>
        <v>2458757.6324999998</v>
      </c>
      <c r="F86" s="2" t="str">
        <f>IF([2]RSOph!F72&lt;&gt;"",[2]RSOph!F72,"")</f>
        <v>FAS</v>
      </c>
      <c r="G86" s="2" t="str">
        <f>IF([2]RSOph!G72&lt;&gt;"",[2]RSOph!G72,"")</f>
        <v>DCO-US</v>
      </c>
      <c r="H86" s="2" t="str">
        <f>IF([2]RSOph!H72&lt;&gt;"",[2]RSOph!H72,"")</f>
        <v>CDK14LISAAtik414ex</v>
      </c>
      <c r="I86" s="2">
        <f>IF([2]RSOph!I72&lt;&gt;"",[2]RSOph!I72,"")</f>
        <v>1073</v>
      </c>
    </row>
    <row r="87" spans="2:14" x14ac:dyDescent="0.25">
      <c r="B87" s="2">
        <f>IF([2]RSOph!B73&lt;&gt;"",[2]RSOph!B73,"")</f>
        <v>61</v>
      </c>
      <c r="C87" s="3">
        <f>IF([2]RSOph!C73&lt;&gt;"",[2]RSOph!C73,"")</f>
        <v>43754</v>
      </c>
      <c r="D87" s="2">
        <f>IF([2]RSOph!D73&lt;&gt;"",[2]RSOph!D73,"")</f>
        <v>9.1469907407407403E-2</v>
      </c>
      <c r="E87" s="2">
        <f>IF([2]RSOph!E73&lt;&gt;"",[2]RSOph!E73,"")</f>
        <v>2458772.611</v>
      </c>
      <c r="F87" s="2" t="str">
        <f>IF([2]RSOph!F73&lt;&gt;"",[2]RSOph!F73,"")</f>
        <v>FAS</v>
      </c>
      <c r="G87" s="2" t="str">
        <f>IF([2]RSOph!G73&lt;&gt;"",[2]RSOph!G73,"")</f>
        <v>DCO-US</v>
      </c>
      <c r="H87" s="2" t="str">
        <f>IF([2]RSOph!H73&lt;&gt;"",[2]RSOph!H73,"")</f>
        <v>CDK14LISAAtik414ex</v>
      </c>
      <c r="I87" s="2">
        <f>IF([2]RSOph!I73&lt;&gt;"",[2]RSOph!I73,"")</f>
        <v>1010</v>
      </c>
    </row>
    <row r="88" spans="2:14" x14ac:dyDescent="0.25">
      <c r="B88" s="2">
        <f>IF([2]RSOph!B74&lt;&gt;"",[2]RSOph!B74,"")</f>
        <v>62</v>
      </c>
      <c r="C88" s="3">
        <f>IF([2]RSOph!C74&lt;&gt;"",[2]RSOph!C74,"")</f>
        <v>43920</v>
      </c>
      <c r="D88" s="2">
        <f>IF([2]RSOph!D74&lt;&gt;"",[2]RSOph!D74,"")</f>
        <v>0.47745370370370371</v>
      </c>
      <c r="E88" s="2">
        <f>IF([2]RSOph!E74&lt;&gt;"",[2]RSOph!E74,"")</f>
        <v>2458938.9994999999</v>
      </c>
      <c r="F88" s="2" t="str">
        <f>IF([2]RSOph!F74&lt;&gt;"",[2]RSOph!F74,"")</f>
        <v>FAS</v>
      </c>
      <c r="G88" s="2" t="str">
        <f>IF([2]RSOph!G74&lt;&gt;"",[2]RSOph!G74,"")</f>
        <v>DCO-US</v>
      </c>
      <c r="H88" s="2" t="str">
        <f>IF([2]RSOph!H74&lt;&gt;"",[2]RSOph!H74,"")</f>
        <v>CDK14LISAAtik414ex</v>
      </c>
      <c r="I88" s="2">
        <f>IF([2]RSOph!I74&lt;&gt;"",[2]RSOph!I74,"")</f>
        <v>1042</v>
      </c>
      <c r="M88">
        <f t="shared" ref="M88:M124" si="0">+E88-2450000</f>
        <v>8938.999499999918</v>
      </c>
      <c r="N88">
        <f t="shared" ref="N88:N124" si="1">+O$22</f>
        <v>15</v>
      </c>
    </row>
    <row r="89" spans="2:14" x14ac:dyDescent="0.25">
      <c r="B89" s="2">
        <f>IF([2]RSOph!B75&lt;&gt;"",[2]RSOph!B75,"")</f>
        <v>63</v>
      </c>
      <c r="C89" s="3">
        <f>IF([2]RSOph!C75&lt;&gt;"",[2]RSOph!C75,"")</f>
        <v>43927</v>
      </c>
      <c r="D89" s="2">
        <f>IF([2]RSOph!D75&lt;&gt;"",[2]RSOph!D75,"")</f>
        <v>0.2973263888888889</v>
      </c>
      <c r="E89" s="2">
        <f>IF([2]RSOph!E75&lt;&gt;"",[2]RSOph!E75,"")</f>
        <v>2458945.8401000001</v>
      </c>
      <c r="F89" s="2" t="str">
        <f>IF([2]RSOph!F75&lt;&gt;"",[2]RSOph!F75,"")</f>
        <v>LES</v>
      </c>
      <c r="G89" s="2" t="str">
        <f>IF([2]RSOph!G75&lt;&gt;"",[2]RSOph!G75,"")</f>
        <v>MRO-CA</v>
      </c>
      <c r="H89" s="2" t="str">
        <f>IF([2]RSOph!H75&lt;&gt;"",[2]RSOph!H75,"")</f>
        <v>31cmDK+ESSAT_2</v>
      </c>
      <c r="I89" s="2">
        <f>IF([2]RSOph!I75&lt;&gt;"",[2]RSOph!I75,"")</f>
        <v>14000</v>
      </c>
      <c r="M89">
        <f t="shared" si="0"/>
        <v>8945.8401000001468</v>
      </c>
      <c r="N89">
        <f t="shared" si="1"/>
        <v>15</v>
      </c>
    </row>
    <row r="90" spans="2:14" x14ac:dyDescent="0.25">
      <c r="B90" s="2">
        <f>IF([2]RSOph!B76&lt;&gt;"",[2]RSOph!B76,"")</f>
        <v>64</v>
      </c>
      <c r="C90" s="3">
        <f>IF([2]RSOph!C76&lt;&gt;"",[2]RSOph!C76,"")</f>
        <v>43941</v>
      </c>
      <c r="D90" s="2">
        <f>IF([2]RSOph!D76&lt;&gt;"",[2]RSOph!D76,"")</f>
        <v>0.28918981481481482</v>
      </c>
      <c r="E90" s="2">
        <f>IF([2]RSOph!E76&lt;&gt;"",[2]RSOph!E76,"")</f>
        <v>2458959.8319999999</v>
      </c>
      <c r="F90" s="2" t="str">
        <f>IF([2]RSOph!F76&lt;&gt;"",[2]RSOph!F76,"")</f>
        <v>LES</v>
      </c>
      <c r="G90" s="2" t="str">
        <f>IF([2]RSOph!G76&lt;&gt;"",[2]RSOph!G76,"")</f>
        <v>MRO-CA</v>
      </c>
      <c r="H90" s="2" t="str">
        <f>IF([2]RSOph!H76&lt;&gt;"",[2]RSOph!H76,"")</f>
        <v>31cmDK+ESSAT_2</v>
      </c>
      <c r="I90" s="2">
        <f>IF([2]RSOph!I76&lt;&gt;"",[2]RSOph!I76,"")</f>
        <v>14000</v>
      </c>
      <c r="M90">
        <f t="shared" si="0"/>
        <v>8959.8319999999367</v>
      </c>
      <c r="N90">
        <f t="shared" si="1"/>
        <v>15</v>
      </c>
    </row>
    <row r="91" spans="2:14" x14ac:dyDescent="0.25">
      <c r="B91" s="2">
        <f>IF([2]RSOph!B77&lt;&gt;"",[2]RSOph!B77,"")</f>
        <v>65</v>
      </c>
      <c r="C91" s="3">
        <f>IF([2]RSOph!C77&lt;&gt;"",[2]RSOph!C77,"")</f>
        <v>43943</v>
      </c>
      <c r="D91" s="2">
        <f>IF([2]RSOph!D77&lt;&gt;"",[2]RSOph!D77,"")</f>
        <v>2.8240740740740736E-2</v>
      </c>
      <c r="E91" s="2">
        <f>IF([2]RSOph!E77&lt;&gt;"",[2]RSOph!E77,"")</f>
        <v>2458961.5493000001</v>
      </c>
      <c r="F91" s="2" t="str">
        <f>IF([2]RSOph!F77&lt;&gt;"",[2]RSOph!F77,"")</f>
        <v>PDTM</v>
      </c>
      <c r="G91" s="2" t="str">
        <f>IF([2]RSOph!G77&lt;&gt;"",[2]RSOph!G77,"")</f>
        <v>KOL-SK</v>
      </c>
      <c r="H91" s="2" t="str">
        <f>IF([2]RSOph!H77&lt;&gt;"",[2]RSOph!H77,"")</f>
        <v>C11+LISA+Atik460EX</v>
      </c>
      <c r="I91" s="2">
        <f>IF([2]RSOph!I77&lt;&gt;"",[2]RSOph!I77,"")</f>
        <v>746</v>
      </c>
      <c r="M91">
        <f t="shared" si="0"/>
        <v>8961.5493000000715</v>
      </c>
      <c r="N91">
        <f t="shared" si="1"/>
        <v>15</v>
      </c>
    </row>
    <row r="92" spans="2:14" x14ac:dyDescent="0.25">
      <c r="B92" s="2">
        <f>IF([2]RSOph!B78&lt;&gt;"",[2]RSOph!B78,"")</f>
        <v>66</v>
      </c>
      <c r="C92" s="3">
        <f>IF([2]RSOph!C78&lt;&gt;"",[2]RSOph!C78,"")</f>
        <v>43943</v>
      </c>
      <c r="D92" s="2">
        <f>IF([2]RSOph!D78&lt;&gt;"",[2]RSOph!D78,"")</f>
        <v>7.013888888888889E-2</v>
      </c>
      <c r="E92" s="2">
        <f>IF([2]RSOph!E78&lt;&gt;"",[2]RSOph!E78,"")</f>
        <v>2458961.5858999998</v>
      </c>
      <c r="F92" s="2" t="str">
        <f>IF([2]RSOph!F78&lt;&gt;"",[2]RSOph!F78,"")</f>
        <v>CBO</v>
      </c>
      <c r="G92" s="2" t="str">
        <f>IF([2]RSOph!G78&lt;&gt;"",[2]RSOph!G78,"")</f>
        <v>OCT-FR</v>
      </c>
      <c r="H92" s="2" t="str">
        <f>IF([2]RSOph!H78&lt;&gt;"",[2]RSOph!H78,"")</f>
        <v>N200mmF5_Alpy600</v>
      </c>
      <c r="I92" s="2">
        <f>IF([2]RSOph!I78&lt;&gt;"",[2]RSOph!I78,"")</f>
        <v>514</v>
      </c>
      <c r="M92">
        <f t="shared" si="0"/>
        <v>8961.5858999998309</v>
      </c>
      <c r="N92">
        <f t="shared" si="1"/>
        <v>15</v>
      </c>
    </row>
    <row r="93" spans="2:14" x14ac:dyDescent="0.25">
      <c r="B93" s="2">
        <f>IF([2]RSOph!B79&lt;&gt;"",[2]RSOph!B79,"")</f>
        <v>67</v>
      </c>
      <c r="C93" s="3">
        <f>IF([2]RSOph!C79&lt;&gt;"",[2]RSOph!C79,"")</f>
        <v>43944</v>
      </c>
      <c r="D93" s="2">
        <f>IF([2]RSOph!D79&lt;&gt;"",[2]RSOph!D79,"")</f>
        <v>0.28810185185185183</v>
      </c>
      <c r="E93" s="2">
        <f>IF([2]RSOph!E79&lt;&gt;"",[2]RSOph!E79,"")</f>
        <v>2458962.8308999999</v>
      </c>
      <c r="F93" s="2" t="str">
        <f>IF([2]RSOph!F79&lt;&gt;"",[2]RSOph!F79,"")</f>
        <v>LES</v>
      </c>
      <c r="G93" s="2" t="str">
        <f>IF([2]RSOph!G79&lt;&gt;"",[2]RSOph!G79,"")</f>
        <v>MRO-CA</v>
      </c>
      <c r="H93" s="2" t="str">
        <f>IF([2]RSOph!H79&lt;&gt;"",[2]RSOph!H79,"")</f>
        <v>31cmDK+ESSAT_2</v>
      </c>
      <c r="I93" s="2">
        <f>IF([2]RSOph!I79&lt;&gt;"",[2]RSOph!I79,"")</f>
        <v>14000</v>
      </c>
      <c r="M93">
        <f t="shared" si="0"/>
        <v>8962.8308999999426</v>
      </c>
      <c r="N93">
        <f t="shared" si="1"/>
        <v>15</v>
      </c>
    </row>
    <row r="94" spans="2:14" x14ac:dyDescent="0.25">
      <c r="B94" s="2">
        <f>IF([2]RSOph!B80&lt;&gt;"",[2]RSOph!B80,"")</f>
        <v>68</v>
      </c>
      <c r="C94" s="3">
        <f>IF([2]RSOph!C80&lt;&gt;"",[2]RSOph!C80,"")</f>
        <v>43944</v>
      </c>
      <c r="D94" s="2">
        <f>IF([2]RSOph!D80&lt;&gt;"",[2]RSOph!D80,"")</f>
        <v>0.45465277777777779</v>
      </c>
      <c r="E94" s="2">
        <f>IF([2]RSOph!E80&lt;&gt;"",[2]RSOph!E80,"")</f>
        <v>2458962.9742000001</v>
      </c>
      <c r="F94" s="2" t="str">
        <f>IF([2]RSOph!F80&lt;&gt;"",[2]RSOph!F80,"")</f>
        <v>FAS</v>
      </c>
      <c r="G94" s="2" t="str">
        <f>IF([2]RSOph!G80&lt;&gt;"",[2]RSOph!G80,"")</f>
        <v>DCO-US</v>
      </c>
      <c r="H94" s="2" t="str">
        <f>IF([2]RSOph!H80&lt;&gt;"",[2]RSOph!H80,"")</f>
        <v>CDK14LISAAtik414ex</v>
      </c>
      <c r="I94" s="2">
        <f>IF([2]RSOph!I80&lt;&gt;"",[2]RSOph!I80,"")</f>
        <v>1010</v>
      </c>
      <c r="M94">
        <f t="shared" si="0"/>
        <v>8962.9742000000551</v>
      </c>
      <c r="N94">
        <f t="shared" si="1"/>
        <v>15</v>
      </c>
    </row>
    <row r="95" spans="2:14" x14ac:dyDescent="0.25">
      <c r="B95" s="2">
        <f>IF([2]RSOph!B81&lt;&gt;"",[2]RSOph!B81,"")</f>
        <v>69</v>
      </c>
      <c r="C95" s="3">
        <f>IF([2]RSOph!C81&lt;&gt;"",[2]RSOph!C81,"")</f>
        <v>43958</v>
      </c>
      <c r="D95" s="2">
        <f>IF([2]RSOph!D81&lt;&gt;"",[2]RSOph!D81,"")</f>
        <v>3.7928240740740742E-2</v>
      </c>
      <c r="E95" s="2">
        <f>IF([2]RSOph!E81&lt;&gt;"",[2]RSOph!E81,"")</f>
        <v>2458976.5536000002</v>
      </c>
      <c r="F95" s="2" t="str">
        <f>IF([2]RSOph!F81&lt;&gt;"",[2]RSOph!F81,"")</f>
        <v>CBO</v>
      </c>
      <c r="G95" s="2" t="str">
        <f>IF([2]RSOph!G81&lt;&gt;"",[2]RSOph!G81,"")</f>
        <v>OCT-FR</v>
      </c>
      <c r="H95" s="2" t="str">
        <f>IF([2]RSOph!H81&lt;&gt;"",[2]RSOph!H81,"")</f>
        <v>N200mmF5_Alpy600</v>
      </c>
      <c r="I95" s="2">
        <f>IF([2]RSOph!I81&lt;&gt;"",[2]RSOph!I81,"")</f>
        <v>507</v>
      </c>
      <c r="M95">
        <f t="shared" si="0"/>
        <v>8976.5536000002176</v>
      </c>
      <c r="N95">
        <f t="shared" si="1"/>
        <v>15</v>
      </c>
    </row>
    <row r="96" spans="2:14" x14ac:dyDescent="0.25">
      <c r="B96" s="2">
        <f>IF([2]RSOph!B82&lt;&gt;"",[2]RSOph!B82,"")</f>
        <v>70</v>
      </c>
      <c r="C96" s="3">
        <f>IF([2]RSOph!C82&lt;&gt;"",[2]RSOph!C82,"")</f>
        <v>43967</v>
      </c>
      <c r="D96" s="2">
        <f>IF([2]RSOph!D82&lt;&gt;"",[2]RSOph!D82,"")</f>
        <v>2.0798611111111111E-2</v>
      </c>
      <c r="E96" s="2">
        <f>IF([2]RSOph!E82&lt;&gt;"",[2]RSOph!E82,"")</f>
        <v>2458985.5364999999</v>
      </c>
      <c r="F96" s="2" t="str">
        <f>IF([2]RSOph!F82&lt;&gt;"",[2]RSOph!F82,"")</f>
        <v>CBO</v>
      </c>
      <c r="G96" s="2" t="str">
        <f>IF([2]RSOph!G82&lt;&gt;"",[2]RSOph!G82,"")</f>
        <v>OCT-FR</v>
      </c>
      <c r="H96" s="2" t="str">
        <f>IF([2]RSOph!H82&lt;&gt;"",[2]RSOph!H82,"")</f>
        <v>N200mmF5_Alpy600</v>
      </c>
      <c r="I96" s="2">
        <f>IF([2]RSOph!I82&lt;&gt;"",[2]RSOph!I82,"")</f>
        <v>501</v>
      </c>
      <c r="M96">
        <f t="shared" si="0"/>
        <v>8985.5364999999292</v>
      </c>
      <c r="N96">
        <f t="shared" si="1"/>
        <v>15</v>
      </c>
    </row>
    <row r="97" spans="2:14" x14ac:dyDescent="0.25">
      <c r="B97" s="2">
        <f>IF([2]RSOph!B83&lt;&gt;"",[2]RSOph!B83,"")</f>
        <v>71</v>
      </c>
      <c r="C97" s="3">
        <f>IF([2]RSOph!C83&lt;&gt;"",[2]RSOph!C83,"")</f>
        <v>43970</v>
      </c>
      <c r="D97" s="2">
        <f>IF([2]RSOph!D83&lt;&gt;"",[2]RSOph!D83,"")</f>
        <v>0.99481481481481471</v>
      </c>
      <c r="E97" s="2">
        <f>IF([2]RSOph!E83&lt;&gt;"",[2]RSOph!E83,"")</f>
        <v>2458989.5104999999</v>
      </c>
      <c r="F97" s="2" t="str">
        <f>IF([2]RSOph!F83&lt;&gt;"",[2]RSOph!F83,"")</f>
        <v>CBO</v>
      </c>
      <c r="G97" s="2" t="str">
        <f>IF([2]RSOph!G83&lt;&gt;"",[2]RSOph!G83,"")</f>
        <v>OCT-FR</v>
      </c>
      <c r="H97" s="2" t="str">
        <f>IF([2]RSOph!H83&lt;&gt;"",[2]RSOph!H83,"")</f>
        <v>N200mmF5_Alpy600</v>
      </c>
      <c r="I97" s="2">
        <f>IF([2]RSOph!I83&lt;&gt;"",[2]RSOph!I83,"")</f>
        <v>507</v>
      </c>
      <c r="M97">
        <f t="shared" si="0"/>
        <v>8989.5104999998584</v>
      </c>
      <c r="N97">
        <f t="shared" si="1"/>
        <v>15</v>
      </c>
    </row>
    <row r="98" spans="2:14" x14ac:dyDescent="0.25">
      <c r="B98" s="2">
        <f>IF([2]RSOph!B84&lt;&gt;"",[2]RSOph!B84,"")</f>
        <v>72</v>
      </c>
      <c r="C98" s="3" t="str">
        <f>IF([2]RSOph!C84&lt;&gt;"",[2]RSOph!C84,"")</f>
        <v>20/05/2020</v>
      </c>
      <c r="D98" s="2">
        <f>IF([2]RSOph!D84&lt;&gt;"",[2]RSOph!D84,"")</f>
        <v>0.30208333333333331</v>
      </c>
      <c r="E98" s="2">
        <f>IF([2]RSOph!E84&lt;&gt;"",[2]RSOph!E84,"")</f>
        <v>2458989.8020000001</v>
      </c>
      <c r="F98" s="2" t="str">
        <f>IF([2]RSOph!F84&lt;&gt;"",[2]RSOph!F84,"")</f>
        <v>FAS</v>
      </c>
      <c r="G98" s="2" t="str">
        <f>IF([2]RSOph!G84&lt;&gt;"",[2]RSOph!G84,"")</f>
        <v>DCO-US</v>
      </c>
      <c r="H98" s="2" t="str">
        <f>IF([2]RSOph!H84&lt;&gt;"",[2]RSOph!H84,"")</f>
        <v>CDK14 LISA Atik414ex</v>
      </c>
      <c r="I98" s="2">
        <f>IF([2]RSOph!I84&lt;&gt;"",[2]RSOph!I84,"")</f>
        <v>1031</v>
      </c>
      <c r="M98">
        <f t="shared" si="0"/>
        <v>8989.8020000001416</v>
      </c>
      <c r="N98">
        <f t="shared" si="1"/>
        <v>15</v>
      </c>
    </row>
    <row r="99" spans="2:14" x14ac:dyDescent="0.25">
      <c r="B99" s="2">
        <f>IF([2]RSOph!B85&lt;&gt;"",[2]RSOph!B85,"")</f>
        <v>73</v>
      </c>
      <c r="C99" s="3">
        <f>IF([2]RSOph!C85&lt;&gt;"",[2]RSOph!C85,"")</f>
        <v>43971</v>
      </c>
      <c r="D99" s="2">
        <f>IF([2]RSOph!D85&lt;&gt;"",[2]RSOph!D85,"")</f>
        <v>0.72677083333333325</v>
      </c>
      <c r="E99" s="2" t="str">
        <f>IF([2]RSOph!E85&lt;&gt;"",[2]RSOph!E85,"")</f>
        <v/>
      </c>
      <c r="F99" s="2" t="str">
        <f>IF([2]RSOph!F85&lt;&gt;"",[2]RSOph!F85,"")</f>
        <v>CEL</v>
      </c>
      <c r="G99" s="2" t="str">
        <f>IF([2]RSOph!G85&lt;&gt;"",[2]RSOph!G85,"")</f>
        <v>MAR-AU</v>
      </c>
      <c r="H99" s="2" t="str">
        <f>IF([2]RSOph!H85&lt;&gt;"",[2]RSOph!H85,"")</f>
        <v>ALPYonCDK1000</v>
      </c>
      <c r="I99" s="2">
        <f>IF([2]RSOph!I85&lt;&gt;"",[2]RSOph!I85,"")</f>
        <v>500</v>
      </c>
      <c r="M99">
        <f>+M98</f>
        <v>8989.8020000001416</v>
      </c>
      <c r="N99">
        <f t="shared" si="1"/>
        <v>15</v>
      </c>
    </row>
    <row r="100" spans="2:14" x14ac:dyDescent="0.25">
      <c r="B100" s="2">
        <f>IF([2]RSOph!B86&lt;&gt;"",[2]RSOph!B86,"")</f>
        <v>74</v>
      </c>
      <c r="C100" s="3">
        <f>IF([2]RSOph!C86&lt;&gt;"",[2]RSOph!C86,"")</f>
        <v>43971</v>
      </c>
      <c r="D100" s="2">
        <f>IF([2]RSOph!D86&lt;&gt;"",[2]RSOph!D86,"")</f>
        <v>0.88487268518518514</v>
      </c>
      <c r="E100" s="2">
        <f>IF([2]RSOph!E86&lt;&gt;"",[2]RSOph!E86,"")</f>
        <v>2458990.4312999998</v>
      </c>
      <c r="F100" s="2" t="str">
        <f>IF([2]RSOph!F86&lt;&gt;"",[2]RSOph!F86,"")</f>
        <v>JGF</v>
      </c>
      <c r="G100" s="2" t="str">
        <f>IF([2]RSOph!G86&lt;&gt;"",[2]RSOph!G86,"")</f>
        <v>PIE-SP</v>
      </c>
      <c r="H100" s="2" t="str">
        <f>IF([2]RSOph!H86&lt;&gt;"",[2]RSOph!H86,"")</f>
        <v>SC406F6,5+NOU_58</v>
      </c>
      <c r="I100" s="2">
        <f>IF([2]RSOph!I86&lt;&gt;"",[2]RSOph!I86,"")</f>
        <v>8500</v>
      </c>
      <c r="M100">
        <f t="shared" si="0"/>
        <v>8990.4312999998219</v>
      </c>
      <c r="N100">
        <f t="shared" si="1"/>
        <v>15</v>
      </c>
    </row>
    <row r="101" spans="2:14" x14ac:dyDescent="0.25">
      <c r="B101" s="2">
        <f>IF([2]RSOph!B87&lt;&gt;"",[2]RSOph!B87,"")</f>
        <v>75</v>
      </c>
      <c r="C101" s="3">
        <f>IF([2]RSOph!C87&lt;&gt;"",[2]RSOph!C87,"")</f>
        <v>43972</v>
      </c>
      <c r="D101" s="2">
        <f>IF([2]RSOph!D87&lt;&gt;"",[2]RSOph!D87,"")</f>
        <v>0.22895833333333335</v>
      </c>
      <c r="E101" s="2">
        <f>IF([2]RSOph!E87&lt;&gt;"",[2]RSOph!E87,"")</f>
        <v>2458990.7788</v>
      </c>
      <c r="F101" s="2" t="str">
        <f>IF([2]RSOph!F87&lt;&gt;"",[2]RSOph!F87,"")</f>
        <v>LES</v>
      </c>
      <c r="G101" s="2" t="str">
        <f>IF([2]RSOph!G87&lt;&gt;"",[2]RSOph!G87,"")</f>
        <v>MRO-CA</v>
      </c>
      <c r="H101" s="2" t="str">
        <f>IF([2]RSOph!H87&lt;&gt;"",[2]RSOph!H87,"")</f>
        <v>31cmDK+ESSAT_2</v>
      </c>
      <c r="I101" s="2">
        <f>IF([2]RSOph!I87&lt;&gt;"",[2]RSOph!I87,"")</f>
        <v>14000</v>
      </c>
      <c r="M101">
        <f t="shared" si="0"/>
        <v>8990.7787999999709</v>
      </c>
      <c r="N101">
        <f t="shared" si="1"/>
        <v>15</v>
      </c>
    </row>
    <row r="102" spans="2:14" x14ac:dyDescent="0.25">
      <c r="B102" s="2">
        <f>IF([2]RSOph!B88&lt;&gt;"",[2]RSOph!B88,"")</f>
        <v>76</v>
      </c>
      <c r="C102" s="3">
        <f>IF([2]RSOph!C88&lt;&gt;"",[2]RSOph!C88,"")</f>
        <v>43972</v>
      </c>
      <c r="D102" s="2">
        <f>IF([2]RSOph!D88&lt;&gt;"",[2]RSOph!D88,"")</f>
        <v>0.97983796296296299</v>
      </c>
      <c r="E102" s="2">
        <f>IF([2]RSOph!E88&lt;&gt;"",[2]RSOph!E88,"")</f>
        <v>2458991.4904</v>
      </c>
      <c r="F102" s="2" t="str">
        <f>IF([2]RSOph!F88&lt;&gt;"",[2]RSOph!F88,"")</f>
        <v>PDTM</v>
      </c>
      <c r="G102" s="2" t="str">
        <f>IF([2]RSOph!G88&lt;&gt;"",[2]RSOph!G88,"")</f>
        <v>KOL-SK</v>
      </c>
      <c r="H102" s="2" t="str">
        <f>IF([2]RSOph!H88&lt;&gt;"",[2]RSOph!H88,"")</f>
        <v>C11+LISA+Atik460EX</v>
      </c>
      <c r="I102" s="2">
        <f>IF([2]RSOph!I88&lt;&gt;"",[2]RSOph!I88,"")</f>
        <v>726</v>
      </c>
      <c r="M102">
        <f t="shared" si="0"/>
        <v>8991.4904000000097</v>
      </c>
      <c r="N102">
        <f t="shared" si="1"/>
        <v>15</v>
      </c>
    </row>
    <row r="103" spans="2:14" x14ac:dyDescent="0.25">
      <c r="B103" s="2">
        <f>IF([2]RSOph!B89&lt;&gt;"",[2]RSOph!B89,"")</f>
        <v>77</v>
      </c>
      <c r="C103" s="3">
        <f>IF([2]RSOph!C89&lt;&gt;"",[2]RSOph!C89,"")</f>
        <v>43973</v>
      </c>
      <c r="D103" s="2">
        <f>IF([2]RSOph!D89&lt;&gt;"",[2]RSOph!D89,"")</f>
        <v>0.98206018518518512</v>
      </c>
      <c r="E103" s="2">
        <f>IF([2]RSOph!E89&lt;&gt;"",[2]RSOph!E89,"")</f>
        <v>2458992.4994999999</v>
      </c>
      <c r="F103" s="2" t="str">
        <f>IF([2]RSOph!F89&lt;&gt;"",[2]RSOph!F89,"")</f>
        <v>PCA</v>
      </c>
      <c r="G103" s="2" t="str">
        <f>IF([2]RSOph!G89&lt;&gt;"",[2]RSOph!G89,"")</f>
        <v>LEC-IT</v>
      </c>
      <c r="H103" s="2" t="str">
        <f>IF([2]RSOph!H89&lt;&gt;"",[2]RSOph!H89,"")</f>
        <v>VX10_Alpy600_Atik414</v>
      </c>
      <c r="I103" s="2">
        <f>IF([2]RSOph!I89&lt;&gt;"",[2]RSOph!I89,"")</f>
        <v>607</v>
      </c>
      <c r="M103">
        <f t="shared" si="0"/>
        <v>8992.499499999918</v>
      </c>
      <c r="N103">
        <f t="shared" si="1"/>
        <v>15</v>
      </c>
    </row>
    <row r="104" spans="2:14" x14ac:dyDescent="0.25">
      <c r="B104" s="2">
        <f>IF([2]RSOph!B90&lt;&gt;"",[2]RSOph!B90,"")</f>
        <v>78</v>
      </c>
      <c r="C104" s="3">
        <f>IF([2]RSOph!C90&lt;&gt;"",[2]RSOph!C90,"")</f>
        <v>43975</v>
      </c>
      <c r="D104" s="2">
        <f>IF([2]RSOph!D90&lt;&gt;"",[2]RSOph!D90,"")</f>
        <v>0.18885416666666666</v>
      </c>
      <c r="E104" s="2">
        <f>IF([2]RSOph!E90&lt;&gt;"",[2]RSOph!E90,"")</f>
        <v>2458993.7459999998</v>
      </c>
      <c r="F104" s="2" t="str">
        <f>IF([2]RSOph!F90&lt;&gt;"",[2]RSOph!F90,"")</f>
        <v>LES</v>
      </c>
      <c r="G104" s="2" t="str">
        <f>IF([2]RSOph!G90&lt;&gt;"",[2]RSOph!G90,"")</f>
        <v>MRO-CA</v>
      </c>
      <c r="H104" s="2" t="str">
        <f>IF([2]RSOph!H90&lt;&gt;"",[2]RSOph!H90,"")</f>
        <v>31cmDK+ESSAT_2</v>
      </c>
      <c r="I104" s="2">
        <f>IF([2]RSOph!I90&lt;&gt;"",[2]RSOph!I90,"")</f>
        <v>14000</v>
      </c>
      <c r="M104">
        <f t="shared" si="0"/>
        <v>8993.74599999981</v>
      </c>
      <c r="N104">
        <f t="shared" si="1"/>
        <v>15</v>
      </c>
    </row>
    <row r="105" spans="2:14" x14ac:dyDescent="0.25">
      <c r="B105" s="2">
        <f>IF([2]RSOph!B91&lt;&gt;"",[2]RSOph!B91,"")</f>
        <v>79</v>
      </c>
      <c r="C105" s="3">
        <f>IF([2]RSOph!C91&lt;&gt;"",[2]RSOph!C91,"")</f>
        <v>43976</v>
      </c>
      <c r="D105" s="2">
        <f>IF([2]RSOph!D91&lt;&gt;"",[2]RSOph!D91,"")</f>
        <v>0.86811342592592589</v>
      </c>
      <c r="E105" s="2">
        <f>IF([2]RSOph!E91&lt;&gt;"",[2]RSOph!E91,"")</f>
        <v>2458995.4254999999</v>
      </c>
      <c r="F105" s="2" t="str">
        <f>IF([2]RSOph!F91&lt;&gt;"",[2]RSOph!F91,"")</f>
        <v>JGF</v>
      </c>
      <c r="G105" s="2" t="str">
        <f>IF([2]RSOph!G91&lt;&gt;"",[2]RSOph!G91,"")</f>
        <v>PIE-SP</v>
      </c>
      <c r="H105" s="2" t="str">
        <f>IF([2]RSOph!H91&lt;&gt;"",[2]RSOph!H91,"")</f>
        <v>SC406F6,5+NOU_58</v>
      </c>
      <c r="I105" s="2">
        <f>IF([2]RSOph!I91&lt;&gt;"",[2]RSOph!I91,"")</f>
        <v>8500</v>
      </c>
      <c r="M105">
        <f t="shared" si="0"/>
        <v>8995.4254999998957</v>
      </c>
      <c r="N105">
        <f t="shared" si="1"/>
        <v>15</v>
      </c>
    </row>
    <row r="106" spans="2:14" x14ac:dyDescent="0.25">
      <c r="B106" s="2">
        <f>IF([2]RSOph!B92&lt;&gt;"",[2]RSOph!B92,"")</f>
        <v>80</v>
      </c>
      <c r="C106" s="3">
        <f>IF([2]RSOph!C92&lt;&gt;"",[2]RSOph!C92,"")</f>
        <v>43976</v>
      </c>
      <c r="D106" s="2">
        <f>IF([2]RSOph!D92&lt;&gt;"",[2]RSOph!D92,"")</f>
        <v>0.93503472222222228</v>
      </c>
      <c r="E106" s="2">
        <f>IF([2]RSOph!E92&lt;&gt;"",[2]RSOph!E92,"")</f>
        <v>2458995.4761999999</v>
      </c>
      <c r="F106" s="2" t="str">
        <f>IF([2]RSOph!F92&lt;&gt;"",[2]RSOph!F92,"")</f>
        <v>CHK</v>
      </c>
      <c r="G106" s="2" t="str">
        <f>IF([2]RSOph!G92&lt;&gt;"",[2]RSOph!G92,"")</f>
        <v>OAF-FR</v>
      </c>
      <c r="H106" s="2" t="str">
        <f>IF([2]RSOph!H92&lt;&gt;"",[2]RSOph!H92,"")</f>
        <v>CDK17+Lhires+460EX</v>
      </c>
      <c r="I106" s="2">
        <f>IF([2]RSOph!I92&lt;&gt;"",[2]RSOph!I92,"")</f>
        <v>12118</v>
      </c>
      <c r="M106">
        <f t="shared" si="0"/>
        <v>8995.4761999999173</v>
      </c>
      <c r="N106">
        <f t="shared" si="1"/>
        <v>15</v>
      </c>
    </row>
    <row r="107" spans="2:14" x14ac:dyDescent="0.25">
      <c r="B107" s="2">
        <f>IF([2]RSOph!B93&lt;&gt;"",[2]RSOph!B93,"")</f>
        <v>81</v>
      </c>
      <c r="C107" s="3">
        <f>IF([2]RSOph!C93&lt;&gt;"",[2]RSOph!C93,"")</f>
        <v>43977</v>
      </c>
      <c r="D107" s="2">
        <f>IF([2]RSOph!D93&lt;&gt;"",[2]RSOph!D93,"")</f>
        <v>0.99068287037037039</v>
      </c>
      <c r="E107" s="2">
        <f>IF([2]RSOph!E93&lt;&gt;"",[2]RSOph!E93,"")</f>
        <v>2458996.5063999998</v>
      </c>
      <c r="F107" s="2" t="str">
        <f>IF([2]RSOph!F93&lt;&gt;"",[2]RSOph!F93,"")</f>
        <v>CBO</v>
      </c>
      <c r="G107" s="2" t="str">
        <f>IF([2]RSOph!G93&lt;&gt;"",[2]RSOph!G93,"")</f>
        <v>OCT-FR</v>
      </c>
      <c r="H107" s="2" t="str">
        <f>IF([2]RSOph!H93&lt;&gt;"",[2]RSOph!H93,"")</f>
        <v>N200mmF5_Alpy600</v>
      </c>
      <c r="I107" s="2">
        <f>IF([2]RSOph!I93&lt;&gt;"",[2]RSOph!I93,"")</f>
        <v>508</v>
      </c>
      <c r="M107">
        <f t="shared" si="0"/>
        <v>8996.5063999998383</v>
      </c>
      <c r="N107">
        <f t="shared" si="1"/>
        <v>15</v>
      </c>
    </row>
    <row r="108" spans="2:14" x14ac:dyDescent="0.25">
      <c r="B108" s="2">
        <f>IF([2]RSOph!B94&lt;&gt;"",[2]RSOph!B94,"")</f>
        <v>82</v>
      </c>
      <c r="C108" s="3">
        <f>IF([2]RSOph!C94&lt;&gt;"",[2]RSOph!C94,"")</f>
        <v>43978</v>
      </c>
      <c r="D108" s="2">
        <f>IF([2]RSOph!D94&lt;&gt;"",[2]RSOph!D94,"")</f>
        <v>0.3056828703703704</v>
      </c>
      <c r="E108" s="2">
        <f>IF([2]RSOph!E94&lt;&gt;"",[2]RSOph!E94,"")</f>
        <v>2458996.8311000001</v>
      </c>
      <c r="F108" s="2" t="str">
        <f>IF([2]RSOph!F94&lt;&gt;"",[2]RSOph!F94,"")</f>
        <v>FAS</v>
      </c>
      <c r="G108" s="2" t="str">
        <f>IF([2]RSOph!G94&lt;&gt;"",[2]RSOph!G94,"")</f>
        <v>DCO-US</v>
      </c>
      <c r="H108" s="2" t="str">
        <f>IF([2]RSOph!H94&lt;&gt;"",[2]RSOph!H94,"")</f>
        <v>CDK14LISAAtik414ex</v>
      </c>
      <c r="I108" s="2">
        <f>IF([2]RSOph!I94&lt;&gt;"",[2]RSOph!I94,"")</f>
        <v>1064</v>
      </c>
      <c r="M108">
        <f t="shared" si="0"/>
        <v>8996.8311000000685</v>
      </c>
      <c r="N108">
        <f t="shared" si="1"/>
        <v>15</v>
      </c>
    </row>
    <row r="109" spans="2:14" x14ac:dyDescent="0.25">
      <c r="B109" s="2">
        <f>IF([2]RSOph!B95&lt;&gt;"",[2]RSOph!B95,"")</f>
        <v>83</v>
      </c>
      <c r="C109" s="3" t="str">
        <f>IF([2]RSOph!C95&lt;&gt;"",[2]RSOph!C95,"")</f>
        <v>30/05/2020</v>
      </c>
      <c r="D109" s="2">
        <f>IF([2]RSOph!D95&lt;&gt;"",[2]RSOph!D95,"")</f>
        <v>2.8472222222222222E-2</v>
      </c>
      <c r="E109" s="2">
        <f>IF([2]RSOph!E95&lt;&gt;"",[2]RSOph!E95,"")</f>
        <v>2458999.5279999999</v>
      </c>
      <c r="F109" s="2" t="str">
        <f>IF([2]RSOph!F95&lt;&gt;"",[2]RSOph!F95,"")</f>
        <v>CBO</v>
      </c>
      <c r="G109" s="2" t="str">
        <f>IF([2]RSOph!G95&lt;&gt;"",[2]RSOph!G95,"")</f>
        <v>OCT-FR</v>
      </c>
      <c r="H109" s="2" t="str">
        <f>IF([2]RSOph!H95&lt;&gt;"",[2]RSOph!H95,"")</f>
        <v>N200mmF5_Alpy600</v>
      </c>
      <c r="I109" s="2">
        <f>IF([2]RSOph!I95&lt;&gt;"",[2]RSOph!I95,"")</f>
        <v>501</v>
      </c>
      <c r="M109">
        <f t="shared" si="0"/>
        <v>8999.5279999999329</v>
      </c>
      <c r="N109">
        <f t="shared" si="1"/>
        <v>15</v>
      </c>
    </row>
    <row r="110" spans="2:14" x14ac:dyDescent="0.25">
      <c r="B110" s="2">
        <f>IF([2]RSOph!B96&lt;&gt;"",[2]RSOph!B96,"")</f>
        <v>84</v>
      </c>
      <c r="C110" s="3" t="str">
        <f>IF([2]RSOph!C96&lt;&gt;"",[2]RSOph!C96,"")</f>
        <v>01/06/2020</v>
      </c>
      <c r="D110" s="2">
        <f>IF([2]RSOph!D96&lt;&gt;"",[2]RSOph!D96,"")</f>
        <v>6.9444444444444434E-2</v>
      </c>
      <c r="E110" s="2">
        <f>IF([2]RSOph!E96&lt;&gt;"",[2]RSOph!E96,"")</f>
        <v>2459001.5690000001</v>
      </c>
      <c r="F110" s="2" t="str">
        <f>IF([2]RSOph!F96&lt;&gt;"",[2]RSOph!F96,"")</f>
        <v>CBO</v>
      </c>
      <c r="G110" s="2" t="str">
        <f>IF([2]RSOph!G96&lt;&gt;"",[2]RSOph!G96,"")</f>
        <v>OCT-FR</v>
      </c>
      <c r="H110" s="2" t="str">
        <f>IF([2]RSOph!H96&lt;&gt;"",[2]RSOph!H96,"")</f>
        <v>N200mmF/5+Alpy600</v>
      </c>
      <c r="I110" s="2">
        <f>IF([2]RSOph!I96&lt;&gt;"",[2]RSOph!I96,"")</f>
        <v>501</v>
      </c>
      <c r="M110">
        <f t="shared" si="0"/>
        <v>9001.5690000001341</v>
      </c>
      <c r="N110">
        <f t="shared" si="1"/>
        <v>15</v>
      </c>
    </row>
    <row r="111" spans="2:14" x14ac:dyDescent="0.25">
      <c r="B111" s="2">
        <f>IF([2]RSOph!B97&lt;&gt;"",[2]RSOph!B97,"")</f>
        <v>85</v>
      </c>
      <c r="C111" s="3">
        <f>IF([2]RSOph!C97&lt;&gt;"",[2]RSOph!C97,"")</f>
        <v>43983</v>
      </c>
      <c r="D111" s="2">
        <f>IF([2]RSOph!D97&lt;&gt;"",[2]RSOph!D97,"")</f>
        <v>0.99832175925925926</v>
      </c>
      <c r="E111" s="2">
        <f>IF([2]RSOph!E97&lt;&gt;"",[2]RSOph!E97,"")</f>
        <v>2459002.5088</v>
      </c>
      <c r="F111" s="2" t="str">
        <f>IF([2]RSOph!F97&lt;&gt;"",[2]RSOph!F97,"")</f>
        <v>PDTM</v>
      </c>
      <c r="G111" s="2" t="str">
        <f>IF([2]RSOph!G97&lt;&gt;"",[2]RSOph!G97,"")</f>
        <v>KOL-SK</v>
      </c>
      <c r="H111" s="2" t="str">
        <f>IF([2]RSOph!H97&lt;&gt;"",[2]RSOph!H97,"")</f>
        <v>C11+LISA+Atik460EX</v>
      </c>
      <c r="I111" s="2">
        <f>IF([2]RSOph!I97&lt;&gt;"",[2]RSOph!I97,"")</f>
        <v>803</v>
      </c>
      <c r="M111">
        <f t="shared" si="0"/>
        <v>9002.5087999999523</v>
      </c>
      <c r="N111">
        <f t="shared" si="1"/>
        <v>15</v>
      </c>
    </row>
    <row r="112" spans="2:14" x14ac:dyDescent="0.25">
      <c r="B112" s="2">
        <f>IF([2]RSOph!B98&lt;&gt;"",[2]RSOph!B98,"")</f>
        <v>86</v>
      </c>
      <c r="C112" s="3" t="str">
        <f>IF([2]RSOph!C98&lt;&gt;"",[2]RSOph!C98,"")</f>
        <v>07/06/2020</v>
      </c>
      <c r="D112" s="2">
        <f>IF([2]RSOph!D98&lt;&gt;"",[2]RSOph!D98,"")</f>
        <v>0.37222222222222223</v>
      </c>
      <c r="E112" s="2">
        <f>IF([2]RSOph!E98&lt;&gt;"",[2]RSOph!E98,"")</f>
        <v>2459007.872</v>
      </c>
      <c r="F112" s="2" t="str">
        <f>IF([2]RSOph!F98&lt;&gt;"",[2]RSOph!F98,"")</f>
        <v>FAS</v>
      </c>
      <c r="G112" s="2" t="str">
        <f>IF([2]RSOph!G98&lt;&gt;"",[2]RSOph!G98,"")</f>
        <v>DCO-US</v>
      </c>
      <c r="H112" s="2" t="str">
        <f>IF([2]RSOph!H98&lt;&gt;"",[2]RSOph!H98,"")</f>
        <v>CDK14 LISA Atik414ex</v>
      </c>
      <c r="I112" s="2">
        <f>IF([2]RSOph!I98&lt;&gt;"",[2]RSOph!I98,"")</f>
        <v>1063</v>
      </c>
      <c r="M112">
        <f t="shared" si="0"/>
        <v>9007.8719999999739</v>
      </c>
      <c r="N112">
        <f t="shared" si="1"/>
        <v>15</v>
      </c>
    </row>
    <row r="113" spans="2:14" x14ac:dyDescent="0.25">
      <c r="B113" s="2">
        <f>IF([2]RSOph!B99&lt;&gt;"",[2]RSOph!B99,"")</f>
        <v>87</v>
      </c>
      <c r="C113" s="3">
        <f>IF([2]RSOph!C99&lt;&gt;"",[2]RSOph!C99,"")</f>
        <v>43990</v>
      </c>
      <c r="D113" s="2">
        <f>IF([2]RSOph!D99&lt;&gt;"",[2]RSOph!D99,"")</f>
        <v>0.19109953703703705</v>
      </c>
      <c r="E113" s="2">
        <f>IF([2]RSOph!E99&lt;&gt;"",[2]RSOph!E99,"")</f>
        <v>2459008.7411000002</v>
      </c>
      <c r="F113" s="2" t="str">
        <f>IF([2]RSOph!F99&lt;&gt;"",[2]RSOph!F99,"")</f>
        <v>LES</v>
      </c>
      <c r="G113" s="2" t="str">
        <f>IF([2]RSOph!G99&lt;&gt;"",[2]RSOph!G99,"")</f>
        <v>MRO-CA</v>
      </c>
      <c r="H113" s="2" t="str">
        <f>IF([2]RSOph!H99&lt;&gt;"",[2]RSOph!H99,"")</f>
        <v>31cmDK+ESSAT_2</v>
      </c>
      <c r="I113" s="2">
        <f>IF([2]RSOph!I99&lt;&gt;"",[2]RSOph!I99,"")</f>
        <v>14000</v>
      </c>
      <c r="M113">
        <f t="shared" si="0"/>
        <v>9008.7411000002176</v>
      </c>
      <c r="N113">
        <f t="shared" si="1"/>
        <v>15</v>
      </c>
    </row>
    <row r="114" spans="2:14" x14ac:dyDescent="0.25">
      <c r="B114" s="2">
        <f>IF([2]RSOph!B100&lt;&gt;"",[2]RSOph!B100,"")</f>
        <v>88</v>
      </c>
      <c r="C114" s="3">
        <f>IF([2]RSOph!C100&lt;&gt;"",[2]RSOph!C100,"")</f>
        <v>43992</v>
      </c>
      <c r="D114" s="2">
        <f>IF([2]RSOph!D100&lt;&gt;"",[2]RSOph!D100,"")</f>
        <v>0.25631944444444443</v>
      </c>
      <c r="E114" s="2">
        <f>IF([2]RSOph!E100&lt;&gt;"",[2]RSOph!E100,"")</f>
        <v>2459010.7799</v>
      </c>
      <c r="F114" s="2" t="str">
        <f>IF([2]RSOph!F100&lt;&gt;"",[2]RSOph!F100,"")</f>
        <v>FAS</v>
      </c>
      <c r="G114" s="2" t="str">
        <f>IF([2]RSOph!G100&lt;&gt;"",[2]RSOph!G100,"")</f>
        <v>DCO-US</v>
      </c>
      <c r="H114" s="2" t="str">
        <f>IF([2]RSOph!H100&lt;&gt;"",[2]RSOph!H100,"")</f>
        <v>CDK14LISAAtik414ex</v>
      </c>
      <c r="I114" s="2">
        <f>IF([2]RSOph!I100&lt;&gt;"",[2]RSOph!I100,"")</f>
        <v>1064</v>
      </c>
      <c r="M114">
        <f t="shared" si="0"/>
        <v>9010.779899999965</v>
      </c>
      <c r="N114">
        <f t="shared" si="1"/>
        <v>15</v>
      </c>
    </row>
    <row r="115" spans="2:14" x14ac:dyDescent="0.25">
      <c r="B115" s="2">
        <f>IF([2]RSOph!B101&lt;&gt;"",[2]RSOph!B101,"")</f>
        <v>89</v>
      </c>
      <c r="C115" s="3">
        <f>IF([2]RSOph!C101&lt;&gt;"",[2]RSOph!C101,"")</f>
        <v>43994</v>
      </c>
      <c r="D115" s="2">
        <f>IF([2]RSOph!D101&lt;&gt;"",[2]RSOph!D101,"")</f>
        <v>0.87396990740740732</v>
      </c>
      <c r="E115" s="2">
        <f>IF([2]RSOph!E101&lt;&gt;"",[2]RSOph!E101,"")</f>
        <v>2459013.4032000001</v>
      </c>
      <c r="F115" s="2" t="str">
        <f>IF([2]RSOph!F101&lt;&gt;"",[2]RSOph!F101,"")</f>
        <v>TVE</v>
      </c>
      <c r="G115" s="2" t="str">
        <f>IF([2]RSOph!G101&lt;&gt;"",[2]RSOph!G101,"")</f>
        <v/>
      </c>
      <c r="H115" s="2" t="str">
        <f>IF([2]RSOph!H101&lt;&gt;"",[2]RSOph!H101,"")</f>
        <v>UVEX3300Atik314LC8</v>
      </c>
      <c r="I115" s="2">
        <f>IF([2]RSOph!I101&lt;&gt;"",[2]RSOph!I101,"")</f>
        <v>823</v>
      </c>
      <c r="M115">
        <f t="shared" si="0"/>
        <v>9013.4032000000589</v>
      </c>
      <c r="N115">
        <f t="shared" si="1"/>
        <v>15</v>
      </c>
    </row>
    <row r="116" spans="2:14" x14ac:dyDescent="0.25">
      <c r="B116" s="2">
        <f>IF([2]RSOph!B102&lt;&gt;"",[2]RSOph!B102,"")</f>
        <v>90</v>
      </c>
      <c r="C116" s="3">
        <f>IF([2]RSOph!C102&lt;&gt;"",[2]RSOph!C102,"")</f>
        <v>43996</v>
      </c>
      <c r="D116" s="2">
        <f>IF([2]RSOph!D102&lt;&gt;"",[2]RSOph!D102,"")</f>
        <v>0.18920138888888891</v>
      </c>
      <c r="E116" s="2">
        <f>IF([2]RSOph!E102&lt;&gt;"",[2]RSOph!E102,"")</f>
        <v>2459014.7463000002</v>
      </c>
      <c r="F116" s="2" t="str">
        <f>IF([2]RSOph!F102&lt;&gt;"",[2]RSOph!F102,"")</f>
        <v>LES</v>
      </c>
      <c r="G116" s="2" t="str">
        <f>IF([2]RSOph!G102&lt;&gt;"",[2]RSOph!G102,"")</f>
        <v>MRO-CA</v>
      </c>
      <c r="H116" s="2" t="str">
        <f>IF([2]RSOph!H102&lt;&gt;"",[2]RSOph!H102,"")</f>
        <v>31cmDK+ESSAT_2</v>
      </c>
      <c r="I116" s="2">
        <f>IF([2]RSOph!I102&lt;&gt;"",[2]RSOph!I102,"")</f>
        <v>14000</v>
      </c>
      <c r="M116">
        <f t="shared" si="0"/>
        <v>9014.7463000002317</v>
      </c>
      <c r="N116">
        <f t="shared" si="1"/>
        <v>15</v>
      </c>
    </row>
    <row r="117" spans="2:14" x14ac:dyDescent="0.25">
      <c r="B117" s="2">
        <f>IF([2]RSOph!B103&lt;&gt;"",[2]RSOph!B103,"")</f>
        <v>91</v>
      </c>
      <c r="C117" s="3" t="str">
        <f>IF([2]RSOph!C103&lt;&gt;"",[2]RSOph!C103,"")</f>
        <v>14/06/2020</v>
      </c>
      <c r="D117" s="2">
        <f>IF([2]RSOph!D103&lt;&gt;"",[2]RSOph!D103,"")</f>
        <v>0.28194444444444444</v>
      </c>
      <c r="E117" s="2">
        <f>IF([2]RSOph!E103&lt;&gt;"",[2]RSOph!E103,"")</f>
        <v>2459014.7820000001</v>
      </c>
      <c r="F117" s="2" t="str">
        <f>IF([2]RSOph!F103&lt;&gt;"",[2]RSOph!F103,"")</f>
        <v>FAS</v>
      </c>
      <c r="G117" s="2" t="str">
        <f>IF([2]RSOph!G103&lt;&gt;"",[2]RSOph!G103,"")</f>
        <v>DCO-US</v>
      </c>
      <c r="H117" s="2" t="str">
        <f>IF([2]RSOph!H103&lt;&gt;"",[2]RSOph!H103,"")</f>
        <v>CDK14 LISA Atik414ex</v>
      </c>
      <c r="I117" s="2">
        <f>IF([2]RSOph!I103&lt;&gt;"",[2]RSOph!I103,"")</f>
        <v>1041</v>
      </c>
      <c r="M117">
        <f t="shared" si="0"/>
        <v>9014.7820000001229</v>
      </c>
      <c r="N117">
        <f t="shared" si="1"/>
        <v>15</v>
      </c>
    </row>
    <row r="118" spans="2:14" x14ac:dyDescent="0.25">
      <c r="B118" s="2">
        <f>IF([2]RSOph!B105&lt;&gt;"",[2]RSOph!B105,"")</f>
        <v>93</v>
      </c>
      <c r="C118" s="3" t="str">
        <f>IF([2]RSOph!C105&lt;&gt;"",[2]RSOph!C105,"")</f>
        <v>18/06/2020</v>
      </c>
      <c r="D118" s="2">
        <f>IF([2]RSOph!D105&lt;&gt;"",[2]RSOph!D105,"")</f>
        <v>0.27569444444444446</v>
      </c>
      <c r="E118" s="2">
        <f>IF([2]RSOph!E105&lt;&gt;"",[2]RSOph!E105,"")</f>
        <v>2459018.7749999999</v>
      </c>
      <c r="F118" s="2" t="str">
        <f>IF([2]RSOph!F105&lt;&gt;"",[2]RSOph!F105,"")</f>
        <v>FAS</v>
      </c>
      <c r="G118" s="2" t="str">
        <f>IF([2]RSOph!G105&lt;&gt;"",[2]RSOph!G105,"")</f>
        <v>DCO-US</v>
      </c>
      <c r="H118" s="2" t="str">
        <f>IF([2]RSOph!H105&lt;&gt;"",[2]RSOph!H105,"")</f>
        <v>CDK14 LISA Atik414ex</v>
      </c>
      <c r="I118" s="2">
        <f>IF([2]RSOph!I105&lt;&gt;"",[2]RSOph!I105,"")</f>
        <v>1058</v>
      </c>
      <c r="M118">
        <f t="shared" si="0"/>
        <v>9018.7749999999069</v>
      </c>
      <c r="N118">
        <f t="shared" si="1"/>
        <v>15</v>
      </c>
    </row>
    <row r="119" spans="2:14" x14ac:dyDescent="0.25">
      <c r="B119" s="2">
        <f>IF([2]RSOph!B106&lt;&gt;"",[2]RSOph!B106,"")</f>
        <v>94</v>
      </c>
      <c r="C119" s="3" t="str">
        <f>IF([2]RSOph!C106&lt;&gt;"",[2]RSOph!C106,"")</f>
        <v>19/06/2020</v>
      </c>
      <c r="D119" s="2">
        <f>IF([2]RSOph!D106&lt;&gt;"",[2]RSOph!D106,"")</f>
        <v>0.53888888888888886</v>
      </c>
      <c r="E119" s="2">
        <f>IF([2]RSOph!E106&lt;&gt;"",[2]RSOph!E106,"")</f>
        <v>2459020</v>
      </c>
      <c r="F119" s="2" t="str">
        <f>IF([2]RSOph!F106&lt;&gt;"",[2]RSOph!F106,"")</f>
        <v>CEL</v>
      </c>
      <c r="G119" s="2" t="str">
        <f>IF([2]RSOph!G106&lt;&gt;"",[2]RSOph!G106,"")</f>
        <v>MAR-AU</v>
      </c>
      <c r="H119" s="2" t="str">
        <f>IF([2]RSOph!H106&lt;&gt;"",[2]RSOph!H106,"")</f>
        <v>ALPY on CDK1000</v>
      </c>
      <c r="I119" s="2">
        <f>IF([2]RSOph!I106&lt;&gt;"",[2]RSOph!I106,"")</f>
        <v>500</v>
      </c>
      <c r="M119">
        <f t="shared" si="0"/>
        <v>9020</v>
      </c>
      <c r="N119">
        <f t="shared" si="1"/>
        <v>15</v>
      </c>
    </row>
    <row r="120" spans="2:14" x14ac:dyDescent="0.25">
      <c r="B120" s="2">
        <f>IF([2]RSOph!B107&lt;&gt;"",[2]RSOph!B107,"")</f>
        <v>95</v>
      </c>
      <c r="C120" s="3">
        <f>IF([2]RSOph!C107&lt;&gt;"",[2]RSOph!C107,"")</f>
        <v>44001</v>
      </c>
      <c r="D120" s="2">
        <f>IF([2]RSOph!D107&lt;&gt;"",[2]RSOph!D107,"")</f>
        <v>0.86486111111111119</v>
      </c>
      <c r="E120" s="2">
        <f>IF([2]RSOph!E107&lt;&gt;"",[2]RSOph!E107,"")</f>
        <v>2459020.4067000002</v>
      </c>
      <c r="F120" s="2" t="str">
        <f>IF([2]RSOph!F107&lt;&gt;"",[2]RSOph!F107,"")</f>
        <v>JGF</v>
      </c>
      <c r="G120" s="2" t="str">
        <f>IF([2]RSOph!G107&lt;&gt;"",[2]RSOph!G107,"")</f>
        <v>PIE-SP</v>
      </c>
      <c r="H120" s="2" t="str">
        <f>IF([2]RSOph!H107&lt;&gt;"",[2]RSOph!H107,"")</f>
        <v>NOU_T</v>
      </c>
      <c r="I120" s="2">
        <f>IF([2]RSOph!I107&lt;&gt;"",[2]RSOph!I107,"")</f>
        <v>9500</v>
      </c>
      <c r="M120">
        <f t="shared" si="0"/>
        <v>9020.4067000001669</v>
      </c>
      <c r="N120">
        <f t="shared" si="1"/>
        <v>15</v>
      </c>
    </row>
    <row r="121" spans="2:14" x14ac:dyDescent="0.25">
      <c r="B121" s="2">
        <f>IF([2]RSOph!B108&lt;&gt;"",[2]RSOph!B108,"")</f>
        <v>96</v>
      </c>
      <c r="C121" s="3">
        <f>IF([2]RSOph!C108&lt;&gt;"",[2]RSOph!C108,"")</f>
        <v>44005</v>
      </c>
      <c r="D121" s="2">
        <f>IF([2]RSOph!D108&lt;&gt;"",[2]RSOph!D108,"")</f>
        <v>0.22616898148148148</v>
      </c>
      <c r="E121" s="2">
        <f>IF([2]RSOph!E108&lt;&gt;"",[2]RSOph!E108,"")</f>
        <v>2459023.7519</v>
      </c>
      <c r="F121" s="2" t="str">
        <f>IF([2]RSOph!F108&lt;&gt;"",[2]RSOph!F108,"")</f>
        <v>FAS</v>
      </c>
      <c r="G121" s="2" t="str">
        <f>IF([2]RSOph!G108&lt;&gt;"",[2]RSOph!G108,"")</f>
        <v>DCO-US</v>
      </c>
      <c r="H121" s="2" t="str">
        <f>IF([2]RSOph!H108&lt;&gt;"",[2]RSOph!H108,"")</f>
        <v>CDK14LISAAtik414ex</v>
      </c>
      <c r="I121" s="2">
        <f>IF([2]RSOph!I108&lt;&gt;"",[2]RSOph!I108,"")</f>
        <v>1056</v>
      </c>
      <c r="M121">
        <f t="shared" si="0"/>
        <v>9023.751900000032</v>
      </c>
      <c r="N121">
        <f t="shared" si="1"/>
        <v>15</v>
      </c>
    </row>
    <row r="122" spans="2:14" x14ac:dyDescent="0.25">
      <c r="B122" s="2">
        <f>IF([2]RSOph!B109&lt;&gt;"",[2]RSOph!B109,"")</f>
        <v>97</v>
      </c>
      <c r="C122" s="3" t="str">
        <f>IF([2]RSOph!C109&lt;&gt;"",[2]RSOph!C109,"")</f>
        <v>25/06/2020</v>
      </c>
      <c r="D122" s="2">
        <f>IF([2]RSOph!D109&lt;&gt;"",[2]RSOph!D109,"")</f>
        <v>5.5555555555555552E-2</v>
      </c>
      <c r="E122" s="2">
        <f>IF([2]RSOph!E109&lt;&gt;"",[2]RSOph!E109,"")</f>
        <v>2459025.5559999999</v>
      </c>
      <c r="F122" s="2" t="str">
        <f>IF([2]RSOph!F109&lt;&gt;"",[2]RSOph!F109,"")</f>
        <v>CBO</v>
      </c>
      <c r="G122" s="2" t="str">
        <f>IF([2]RSOph!G109&lt;&gt;"",[2]RSOph!G109,"")</f>
        <v>OCT-FR</v>
      </c>
      <c r="H122" s="2" t="str">
        <f>IF([2]RSOph!H109&lt;&gt;"",[2]RSOph!H109,"")</f>
        <v>N200mmF/5+Alpy600</v>
      </c>
      <c r="I122" s="2">
        <f>IF([2]RSOph!I109&lt;&gt;"",[2]RSOph!I109,"")</f>
        <v>502</v>
      </c>
      <c r="M122">
        <f t="shared" si="0"/>
        <v>9025.5559999998659</v>
      </c>
      <c r="N122">
        <f t="shared" si="1"/>
        <v>15</v>
      </c>
    </row>
    <row r="123" spans="2:14" x14ac:dyDescent="0.25">
      <c r="B123" s="2">
        <f>IF([2]RSOph!B110&lt;&gt;"",[2]RSOph!B110,"")</f>
        <v>98</v>
      </c>
      <c r="C123" s="3">
        <f>IF([2]RSOph!C110&lt;&gt;"",[2]RSOph!C110,"")</f>
        <v>44008</v>
      </c>
      <c r="D123" s="2">
        <f>IF([2]RSOph!D110&lt;&gt;"",[2]RSOph!D110,"")</f>
        <v>0.86894675925925924</v>
      </c>
      <c r="E123" s="2">
        <f>IF([2]RSOph!E110&lt;&gt;"",[2]RSOph!E110,"")</f>
        <v>2459027.4002</v>
      </c>
      <c r="F123" s="2" t="str">
        <f>IF([2]RSOph!F110&lt;&gt;"",[2]RSOph!F110,"")</f>
        <v>TVE</v>
      </c>
      <c r="G123" s="2" t="str">
        <f>IF([2]RSOph!G110&lt;&gt;"",[2]RSOph!G110,"")</f>
        <v>LAT-IT</v>
      </c>
      <c r="H123" s="2" t="str">
        <f>IF([2]RSOph!H110&lt;&gt;"",[2]RSOph!H110,"")</f>
        <v>UVEX3300Atik314LC8</v>
      </c>
      <c r="I123" s="2">
        <f>IF([2]RSOph!I110&lt;&gt;"",[2]RSOph!I110,"")</f>
        <v>842</v>
      </c>
      <c r="M123">
        <f t="shared" si="0"/>
        <v>9027.4002000000328</v>
      </c>
      <c r="N123">
        <f t="shared" si="1"/>
        <v>15</v>
      </c>
    </row>
    <row r="124" spans="2:14" x14ac:dyDescent="0.25">
      <c r="B124" s="2">
        <f>IF([2]RSOph!B111&lt;&gt;"",[2]RSOph!B111,"")</f>
        <v>99</v>
      </c>
      <c r="C124" s="3">
        <f>IF([2]RSOph!C111&lt;&gt;"",[2]RSOph!C111,"")</f>
        <v>44010</v>
      </c>
      <c r="D124" s="2">
        <f>IF([2]RSOph!D111&lt;&gt;"",[2]RSOph!D111,"")</f>
        <v>0.21341435185185187</v>
      </c>
      <c r="E124" s="2">
        <f>IF([2]RSOph!E111&lt;&gt;"",[2]RSOph!E111,"")</f>
        <v>2459028.7396</v>
      </c>
      <c r="F124" s="2" t="str">
        <f>IF([2]RSOph!F111&lt;&gt;"",[2]RSOph!F111,"")</f>
        <v>FAS</v>
      </c>
      <c r="G124" s="2" t="str">
        <f>IF([2]RSOph!G111&lt;&gt;"",[2]RSOph!G111,"")</f>
        <v>DCO-US</v>
      </c>
      <c r="H124" s="2" t="str">
        <f>IF([2]RSOph!H111&lt;&gt;"",[2]RSOph!H111,"")</f>
        <v>CDK14LISAAtik414ex</v>
      </c>
      <c r="I124" s="2">
        <f>IF([2]RSOph!I111&lt;&gt;"",[2]RSOph!I111,"")</f>
        <v>1062</v>
      </c>
      <c r="M124">
        <f t="shared" si="0"/>
        <v>9028.7395999999717</v>
      </c>
      <c r="N124">
        <f t="shared" si="1"/>
        <v>15</v>
      </c>
    </row>
    <row r="125" spans="2:14" x14ac:dyDescent="0.25">
      <c r="B125" s="2">
        <f>IF([2]RSOph!B112&lt;&gt;"",[2]RSOph!B112,"")</f>
        <v>100</v>
      </c>
      <c r="C125" s="3">
        <f>IF([2]RSOph!C112&lt;&gt;"",[2]RSOph!C112,"")</f>
        <v>44016</v>
      </c>
      <c r="D125" s="2">
        <f>IF([2]RSOph!D112&lt;&gt;"",[2]RSOph!D112,"")</f>
        <v>0.24791666666666667</v>
      </c>
      <c r="E125" s="2">
        <f>IF([2]RSOph!E112&lt;&gt;"",[2]RSOph!E112,"")</f>
        <v>2459034.7480000001</v>
      </c>
      <c r="F125" s="2" t="str">
        <f>IF([2]RSOph!F112&lt;&gt;"",[2]RSOph!F112,"")</f>
        <v>FAS</v>
      </c>
      <c r="G125" s="2" t="str">
        <f>IF([2]RSOph!G112&lt;&gt;"",[2]RSOph!G112,"")</f>
        <v>DCO-US</v>
      </c>
      <c r="H125" s="2" t="str">
        <f>IF([2]RSOph!H112&lt;&gt;"",[2]RSOph!H112,"")</f>
        <v>CDK14 LISA Atik414ex</v>
      </c>
      <c r="I125" s="2">
        <f>IF([2]RSOph!I112&lt;&gt;"",[2]RSOph!I112,"")</f>
        <v>1059</v>
      </c>
      <c r="M125">
        <f t="shared" ref="M125:M158" si="2">+E125-2450000</f>
        <v>9034.7480000001378</v>
      </c>
      <c r="N125">
        <f t="shared" ref="N125:N158" si="3">+O$22</f>
        <v>15</v>
      </c>
    </row>
    <row r="126" spans="2:14" x14ac:dyDescent="0.25">
      <c r="B126" s="2">
        <f>IF([2]RSOph!B113&lt;&gt;"",[2]RSOph!B113,"")</f>
        <v>101</v>
      </c>
      <c r="C126" s="3">
        <f>IF([2]RSOph!C113&lt;&gt;"",[2]RSOph!C113,"")</f>
        <v>44020</v>
      </c>
      <c r="D126" s="2">
        <f>IF([2]RSOph!D113&lt;&gt;"",[2]RSOph!D113,"")</f>
        <v>0.22638888888888889</v>
      </c>
      <c r="E126" s="2">
        <f>IF([2]RSOph!E113&lt;&gt;"",[2]RSOph!E113,"")</f>
        <v>2459038.7259999998</v>
      </c>
      <c r="F126" s="2" t="str">
        <f>IF([2]RSOph!F113&lt;&gt;"",[2]RSOph!F113,"")</f>
        <v>FAS</v>
      </c>
      <c r="G126" s="2" t="str">
        <f>IF([2]RSOph!G113&lt;&gt;"",[2]RSOph!G113,"")</f>
        <v>DCO-US</v>
      </c>
      <c r="H126" s="2" t="str">
        <f>IF([2]RSOph!H113&lt;&gt;"",[2]RSOph!H113,"")</f>
        <v>CDK14 LISA Atik414ex</v>
      </c>
      <c r="I126" s="2">
        <f>IF([2]RSOph!I113&lt;&gt;"",[2]RSOph!I113,"")</f>
        <v>1029</v>
      </c>
      <c r="M126">
        <f t="shared" si="2"/>
        <v>9038.7259999997914</v>
      </c>
      <c r="N126">
        <f t="shared" si="3"/>
        <v>15</v>
      </c>
    </row>
    <row r="127" spans="2:14" x14ac:dyDescent="0.25">
      <c r="B127" s="2">
        <f>IF([2]RSOph!B114&lt;&gt;"",[2]RSOph!B114,"")</f>
        <v>102</v>
      </c>
      <c r="C127" s="3" t="str">
        <f>IF([2]RSOph!C114&lt;&gt;"",[2]RSOph!C114,"")</f>
        <v>10/07/2020</v>
      </c>
      <c r="D127" s="2">
        <f>IF([2]RSOph!D114&lt;&gt;"",[2]RSOph!D114,"")</f>
        <v>0</v>
      </c>
      <c r="E127" s="2">
        <f>IF([2]RSOph!E114&lt;&gt;"",[2]RSOph!E114,"")</f>
        <v>2459040.5</v>
      </c>
      <c r="F127" s="2" t="str">
        <f>IF([2]RSOph!F114&lt;&gt;"",[2]RSOph!F114,"")</f>
        <v>CBO</v>
      </c>
      <c r="G127" s="2" t="str">
        <f>IF([2]RSOph!G114&lt;&gt;"",[2]RSOph!G114,"")</f>
        <v>OCT-FR</v>
      </c>
      <c r="H127" s="2" t="str">
        <f>IF([2]RSOph!H114&lt;&gt;"",[2]RSOph!H114,"")</f>
        <v>N200mmF5_Alpy600</v>
      </c>
      <c r="I127" s="2">
        <f>IF([2]RSOph!I114&lt;&gt;"",[2]RSOph!I114,"")</f>
        <v>502</v>
      </c>
      <c r="M127">
        <f t="shared" si="2"/>
        <v>9040.5</v>
      </c>
      <c r="N127">
        <f t="shared" si="3"/>
        <v>15</v>
      </c>
    </row>
    <row r="128" spans="2:14" x14ac:dyDescent="0.25">
      <c r="B128" s="2">
        <f>IF([2]RSOph!B115&lt;&gt;"",[2]RSOph!B115,"")</f>
        <v>103</v>
      </c>
      <c r="C128" s="3" t="str">
        <f>IF([2]RSOph!C115&lt;&gt;"",[2]RSOph!C115,"")</f>
        <v>10/07/2020</v>
      </c>
      <c r="D128" s="2">
        <f>IF([2]RSOph!D115&lt;&gt;"",[2]RSOph!D115,"")</f>
        <v>0.88750000000000007</v>
      </c>
      <c r="E128" s="2">
        <f>IF([2]RSOph!E115&lt;&gt;"",[2]RSOph!E115,"")</f>
        <v>2459041.3870000001</v>
      </c>
      <c r="F128" s="2" t="str">
        <f>IF([2]RSOph!F115&lt;&gt;"",[2]RSOph!F115,"")</f>
        <v>PDTM</v>
      </c>
      <c r="G128" s="2" t="str">
        <f>IF([2]RSOph!G115&lt;&gt;"",[2]RSOph!G115,"")</f>
        <v>KOL-SK</v>
      </c>
      <c r="H128" s="2" t="str">
        <f>IF([2]RSOph!H115&lt;&gt;"",[2]RSOph!H115,"")</f>
        <v>C11+LISA+Atik 460EX</v>
      </c>
      <c r="I128" s="2">
        <f>IF([2]RSOph!I115&lt;&gt;"",[2]RSOph!I115,"")</f>
        <v>1076</v>
      </c>
      <c r="M128">
        <f t="shared" si="2"/>
        <v>9041.3870000001043</v>
      </c>
      <c r="N128">
        <f t="shared" si="3"/>
        <v>15</v>
      </c>
    </row>
    <row r="129" spans="2:14" x14ac:dyDescent="0.25">
      <c r="B129" s="2">
        <f>IF([2]RSOph!B116&lt;&gt;"",[2]RSOph!B116,"")</f>
        <v>104</v>
      </c>
      <c r="C129" s="3" t="str">
        <f>IF([2]RSOph!C116&lt;&gt;"",[2]RSOph!C116,"")</f>
        <v>11/07/2020</v>
      </c>
      <c r="D129" s="2">
        <f>IF([2]RSOph!D116&lt;&gt;"",[2]RSOph!D116,"")</f>
        <v>0.8354166666666667</v>
      </c>
      <c r="E129" s="2">
        <f>IF([2]RSOph!E116&lt;&gt;"",[2]RSOph!E116,"")</f>
        <v>2459042.335</v>
      </c>
      <c r="F129" s="2" t="str">
        <f>IF([2]RSOph!F116&lt;&gt;"",[2]RSOph!F116,"")</f>
        <v>TVE</v>
      </c>
      <c r="G129" s="2" t="str">
        <f>IF([2]RSOph!G116&lt;&gt;"",[2]RSOph!G116,"")</f>
        <v>LAT-IT</v>
      </c>
      <c r="H129" s="2" t="str">
        <f>IF([2]RSOph!H116&lt;&gt;"",[2]RSOph!H116,"")</f>
        <v>UVEX3 300 Atik314L C8</v>
      </c>
      <c r="I129" s="2">
        <f>IF([2]RSOph!I116&lt;&gt;"",[2]RSOph!I116,"")</f>
        <v>811</v>
      </c>
      <c r="M129">
        <f t="shared" si="2"/>
        <v>9042.3349999999627</v>
      </c>
      <c r="N129">
        <f t="shared" si="3"/>
        <v>15</v>
      </c>
    </row>
    <row r="130" spans="2:14" x14ac:dyDescent="0.25">
      <c r="B130" s="2">
        <f>IF([2]RSOph!B117&lt;&gt;"",[2]RSOph!B117,"")</f>
        <v>105</v>
      </c>
      <c r="C130" s="3" t="str">
        <f>IF([2]RSOph!C117&lt;&gt;"",[2]RSOph!C117,"")</f>
        <v>12/07/2020</v>
      </c>
      <c r="D130" s="2">
        <f>IF([2]RSOph!D117&lt;&gt;"",[2]RSOph!D117,"")</f>
        <v>0.86249999999999993</v>
      </c>
      <c r="E130" s="2">
        <f>IF([2]RSOph!E117&lt;&gt;"",[2]RSOph!E117,"")</f>
        <v>2459043.3629999999</v>
      </c>
      <c r="F130" s="2" t="str">
        <f>IF([2]RSOph!F117&lt;&gt;"",[2]RSOph!F117,"")</f>
        <v>PDTM</v>
      </c>
      <c r="G130" s="2" t="str">
        <f>IF([2]RSOph!G117&lt;&gt;"",[2]RSOph!G117,"")</f>
        <v>KOL-SK</v>
      </c>
      <c r="H130" s="2" t="str">
        <f>IF([2]RSOph!H117&lt;&gt;"",[2]RSOph!H117,"")</f>
        <v>C11+LISA+Atik 460EX</v>
      </c>
      <c r="I130" s="2">
        <f>IF([2]RSOph!I117&lt;&gt;"",[2]RSOph!I117,"")</f>
        <v>927</v>
      </c>
      <c r="M130">
        <f t="shared" si="2"/>
        <v>9043.3629999998957</v>
      </c>
      <c r="N130">
        <f t="shared" si="3"/>
        <v>15</v>
      </c>
    </row>
    <row r="131" spans="2:14" x14ac:dyDescent="0.25">
      <c r="B131" s="2">
        <f>IF([2]RSOph!B118&lt;&gt;"",[2]RSOph!B118,"")</f>
        <v>106</v>
      </c>
      <c r="C131" s="3" t="str">
        <f>IF([2]RSOph!C118&lt;&gt;"",[2]RSOph!C118,"")</f>
        <v>16/07/2020</v>
      </c>
      <c r="D131" s="2">
        <f>IF([2]RSOph!D118&lt;&gt;"",[2]RSOph!D118,"")</f>
        <v>0.22569444444444445</v>
      </c>
      <c r="E131" s="2">
        <f>IF([2]RSOph!E118&lt;&gt;"",[2]RSOph!E118,"")</f>
        <v>2459046.7250000001</v>
      </c>
      <c r="F131" s="2" t="str">
        <f>IF([2]RSOph!F118&lt;&gt;"",[2]RSOph!F118,"")</f>
        <v>FAS</v>
      </c>
      <c r="G131" s="2" t="str">
        <f>IF([2]RSOph!G118&lt;&gt;"",[2]RSOph!G118,"")</f>
        <v>DCO-US</v>
      </c>
      <c r="H131" s="2" t="str">
        <f>IF([2]RSOph!H118&lt;&gt;"",[2]RSOph!H118,"")</f>
        <v>CDK14 LISA Atik414ex</v>
      </c>
      <c r="I131" s="2">
        <f>IF([2]RSOph!I118&lt;&gt;"",[2]RSOph!I118,"")</f>
        <v>1029</v>
      </c>
      <c r="M131">
        <f t="shared" si="2"/>
        <v>9046.7250000000931</v>
      </c>
      <c r="N131">
        <f t="shared" si="3"/>
        <v>15</v>
      </c>
    </row>
    <row r="132" spans="2:14" x14ac:dyDescent="0.25">
      <c r="B132" s="2">
        <f>IF([2]RSOph!B119&lt;&gt;"",[2]RSOph!B119,"")</f>
        <v>107</v>
      </c>
      <c r="C132" s="3" t="str">
        <f>IF([2]RSOph!C119&lt;&gt;"",[2]RSOph!C119,"")</f>
        <v>20/07/2020</v>
      </c>
      <c r="D132" s="2">
        <f>IF([2]RSOph!D119&lt;&gt;"",[2]RSOph!D119,"")</f>
        <v>0.85069444444444453</v>
      </c>
      <c r="E132" s="2">
        <f>IF([2]RSOph!E119&lt;&gt;"",[2]RSOph!E119,"")</f>
        <v>2459051.3509999998</v>
      </c>
      <c r="F132" s="2" t="str">
        <f>IF([2]RSOph!F119&lt;&gt;"",[2]RSOph!F119,"")</f>
        <v>JGF</v>
      </c>
      <c r="G132" s="2" t="str">
        <f>IF([2]RSOph!G119&lt;&gt;"",[2]RSOph!G119,"")</f>
        <v>SMM-SP</v>
      </c>
      <c r="H132" s="2" t="str">
        <f>IF([2]RSOph!H119&lt;&gt;"",[2]RSOph!H119,"")</f>
        <v>16 REMOT LINX 460EX</v>
      </c>
      <c r="I132" s="2">
        <f>IF([2]RSOph!I119&lt;&gt;"",[2]RSOph!I119,"")</f>
        <v>10000</v>
      </c>
      <c r="M132">
        <f t="shared" si="2"/>
        <v>9051.3509999997914</v>
      </c>
      <c r="N132">
        <f t="shared" si="3"/>
        <v>15</v>
      </c>
    </row>
    <row r="133" spans="2:14" x14ac:dyDescent="0.25">
      <c r="B133" s="2">
        <f>IF([2]RSOph!B120&lt;&gt;"",[2]RSOph!B120,"")</f>
        <v>108</v>
      </c>
      <c r="C133" s="3" t="str">
        <f>IF([2]RSOph!C120&lt;&gt;"",[2]RSOph!C120,"")</f>
        <v>21/07/2020</v>
      </c>
      <c r="D133" s="2">
        <f>IF([2]RSOph!D120&lt;&gt;"",[2]RSOph!D120,"")</f>
        <v>0.87013888888888891</v>
      </c>
      <c r="E133" s="2">
        <f>IF([2]RSOph!E120&lt;&gt;"",[2]RSOph!E120,"")</f>
        <v>2459052.4194999998</v>
      </c>
      <c r="F133" s="2" t="str">
        <f>IF([2]RSOph!F120&lt;&gt;"",[2]RSOph!F120,"")</f>
        <v>JGF</v>
      </c>
      <c r="G133" s="2" t="str">
        <f>IF([2]RSOph!G120&lt;&gt;"",[2]RSOph!G120,"")</f>
        <v>SMM-SP</v>
      </c>
      <c r="H133" s="2" t="str">
        <f>IF([2]RSOph!H120&lt;&gt;"",[2]RSOph!H120,"")</f>
        <v>16 REMOT LINX 460EX</v>
      </c>
      <c r="I133" s="2">
        <f>IF([2]RSOph!I120&lt;&gt;"",[2]RSOph!I120,"")</f>
        <v>10000</v>
      </c>
      <c r="M133">
        <f t="shared" si="2"/>
        <v>9052.4194999998435</v>
      </c>
      <c r="N133">
        <f t="shared" si="3"/>
        <v>15</v>
      </c>
    </row>
    <row r="134" spans="2:14" x14ac:dyDescent="0.25">
      <c r="B134" s="2">
        <f>IF([2]RSOph!B121&lt;&gt;"",[2]RSOph!B121,"")</f>
        <v>109</v>
      </c>
      <c r="C134" s="3" t="str">
        <f>IF([2]RSOph!C121&lt;&gt;"",[2]RSOph!C121,"")</f>
        <v>21/07/2020</v>
      </c>
      <c r="D134" s="2">
        <f>IF([2]RSOph!D121&lt;&gt;"",[2]RSOph!D121,"")</f>
        <v>0.93819444444444444</v>
      </c>
      <c r="E134" s="2">
        <f>IF([2]RSOph!E121&lt;&gt;"",[2]RSOph!E121,"")</f>
        <v>2459052.4525000001</v>
      </c>
      <c r="F134" s="2" t="str">
        <f>IF([2]RSOph!F121&lt;&gt;"",[2]RSOph!F121,"")</f>
        <v>CBO</v>
      </c>
      <c r="G134" s="2" t="str">
        <f>IF([2]RSOph!G121&lt;&gt;"",[2]RSOph!G121,"")</f>
        <v>OCT-FR</v>
      </c>
      <c r="H134" s="2" t="str">
        <f>IF([2]RSOph!H121&lt;&gt;"",[2]RSOph!H121,"")</f>
        <v>N200mmF/5+Alpy600</v>
      </c>
      <c r="I134" s="2">
        <f>IF([2]RSOph!I121&lt;&gt;"",[2]RSOph!I121,"")</f>
        <v>506</v>
      </c>
      <c r="M134">
        <f t="shared" si="2"/>
        <v>9052.4525000001304</v>
      </c>
      <c r="N134">
        <f t="shared" si="3"/>
        <v>15</v>
      </c>
    </row>
    <row r="135" spans="2:14" x14ac:dyDescent="0.25">
      <c r="B135" s="2">
        <f>IF([2]RSOph!B122&lt;&gt;"",[2]RSOph!B122,"")</f>
        <v>110</v>
      </c>
      <c r="C135" s="3" t="str">
        <f>IF([2]RSOph!C122&lt;&gt;"",[2]RSOph!C122,"")</f>
        <v>24/07/2020</v>
      </c>
      <c r="D135" s="2">
        <f>IF([2]RSOph!D122&lt;&gt;"",[2]RSOph!D122,"")</f>
        <v>0.85625000000000007</v>
      </c>
      <c r="E135" s="2">
        <f>IF([2]RSOph!E122&lt;&gt;"",[2]RSOph!E122,"")</f>
        <v>2459055.4057</v>
      </c>
      <c r="F135" s="2" t="str">
        <f>IF([2]RSOph!F122&lt;&gt;"",[2]RSOph!F122,"")</f>
        <v>JGF</v>
      </c>
      <c r="G135" s="2" t="str">
        <f>IF([2]RSOph!G122&lt;&gt;"",[2]RSOph!G122,"")</f>
        <v>SMM-SP</v>
      </c>
      <c r="H135" s="2" t="str">
        <f>IF([2]RSOph!H122&lt;&gt;"",[2]RSOph!H122,"")</f>
        <v>16 REMOT LINX 460EX</v>
      </c>
      <c r="I135" s="2">
        <f>IF([2]RSOph!I122&lt;&gt;"",[2]RSOph!I122,"")</f>
        <v>10000</v>
      </c>
      <c r="M135">
        <f t="shared" si="2"/>
        <v>9055.405700000003</v>
      </c>
      <c r="N135">
        <f t="shared" si="3"/>
        <v>15</v>
      </c>
    </row>
    <row r="136" spans="2:14" x14ac:dyDescent="0.25">
      <c r="B136" s="2">
        <f>IF([2]RSOph!B123&lt;&gt;"",[2]RSOph!B123,"")</f>
        <v>111</v>
      </c>
      <c r="C136" s="3" t="str">
        <f>IF([2]RSOph!C123&lt;&gt;"",[2]RSOph!C123,"")</f>
        <v>25/07/2020</v>
      </c>
      <c r="D136" s="2">
        <f>IF([2]RSOph!D123&lt;&gt;"",[2]RSOph!D123,"")</f>
        <v>7.2222222222222229E-2</v>
      </c>
      <c r="E136" s="2">
        <f>IF([2]RSOph!E123&lt;&gt;"",[2]RSOph!E123,"")</f>
        <v>2459055.6298000002</v>
      </c>
      <c r="F136" s="2" t="str">
        <f>IF([2]RSOph!F123&lt;&gt;"",[2]RSOph!F123,"")</f>
        <v>LES</v>
      </c>
      <c r="G136" s="2" t="str">
        <f>IF([2]RSOph!G123&lt;&gt;"",[2]RSOph!G123,"")</f>
        <v>MRO-CA</v>
      </c>
      <c r="H136" s="2" t="str">
        <f>IF([2]RSOph!H123&lt;&gt;"",[2]RSOph!H123,"")</f>
        <v>31cmDK+ESSAT_2</v>
      </c>
      <c r="I136" s="2">
        <f>IF([2]RSOph!I123&lt;&gt;"",[2]RSOph!I123,"")</f>
        <v>14000</v>
      </c>
      <c r="M136">
        <f t="shared" si="2"/>
        <v>9055.629800000228</v>
      </c>
      <c r="N136">
        <f t="shared" si="3"/>
        <v>15</v>
      </c>
    </row>
    <row r="137" spans="2:14" x14ac:dyDescent="0.25">
      <c r="B137" s="2">
        <f>IF([2]RSOph!B124&lt;&gt;"",[2]RSOph!B124,"")</f>
        <v>112</v>
      </c>
      <c r="C137" s="3" t="str">
        <f>IF([2]RSOph!C124&lt;&gt;"",[2]RSOph!C124,"")</f>
        <v>25/07/2020</v>
      </c>
      <c r="D137" s="2">
        <f>IF([2]RSOph!D124&lt;&gt;"",[2]RSOph!D124,"")</f>
        <v>0.85416666666666663</v>
      </c>
      <c r="E137" s="2">
        <f>IF([2]RSOph!E124&lt;&gt;"",[2]RSOph!E124,"")</f>
        <v>2459056.3975999998</v>
      </c>
      <c r="F137" s="2" t="str">
        <f>IF([2]RSOph!F124&lt;&gt;"",[2]RSOph!F124,"")</f>
        <v>JGF</v>
      </c>
      <c r="G137" s="2" t="str">
        <f>IF([2]RSOph!G124&lt;&gt;"",[2]RSOph!G124,"")</f>
        <v>SMM-SP</v>
      </c>
      <c r="H137" s="2" t="str">
        <f>IF([2]RSOph!H124&lt;&gt;"",[2]RSOph!H124,"")</f>
        <v>16 REMOT LINX 460EX</v>
      </c>
      <c r="I137" s="2">
        <f>IF([2]RSOph!I124&lt;&gt;"",[2]RSOph!I124,"")</f>
        <v>10000</v>
      </c>
      <c r="M137">
        <f t="shared" si="2"/>
        <v>9056.3975999997929</v>
      </c>
      <c r="N137">
        <f t="shared" si="3"/>
        <v>15</v>
      </c>
    </row>
    <row r="138" spans="2:14" x14ac:dyDescent="0.25">
      <c r="B138" s="2">
        <f>IF([2]RSOph!B125&lt;&gt;"",[2]RSOph!B125,"")</f>
        <v>113</v>
      </c>
      <c r="C138" s="3" t="str">
        <f>IF([2]RSOph!C125&lt;&gt;"",[2]RSOph!C125,"")</f>
        <v>27/07/2020</v>
      </c>
      <c r="D138" s="2">
        <f>IF([2]RSOph!D125&lt;&gt;"",[2]RSOph!D125,"")</f>
        <v>0.19444444444444445</v>
      </c>
      <c r="E138" s="2">
        <f>IF([2]RSOph!E125&lt;&gt;"",[2]RSOph!E125,"")</f>
        <v>2459057.7072999999</v>
      </c>
      <c r="F138" s="2" t="str">
        <f>IF([2]RSOph!F125&lt;&gt;"",[2]RSOph!F125,"")</f>
        <v>FAS</v>
      </c>
      <c r="G138" s="2" t="str">
        <f>IF([2]RSOph!G125&lt;&gt;"",[2]RSOph!G125,"")</f>
        <v>DCO-US</v>
      </c>
      <c r="H138" s="2" t="str">
        <f>IF([2]RSOph!H125&lt;&gt;"",[2]RSOph!H125,"")</f>
        <v>CDK14 LISA Atik414ex</v>
      </c>
      <c r="I138" s="2">
        <f>IF([2]RSOph!I125&lt;&gt;"",[2]RSOph!I125,"")</f>
        <v>1056</v>
      </c>
      <c r="M138">
        <f t="shared" si="2"/>
        <v>9057.7072999998927</v>
      </c>
      <c r="N138">
        <f t="shared" si="3"/>
        <v>15</v>
      </c>
    </row>
    <row r="139" spans="2:14" x14ac:dyDescent="0.25">
      <c r="B139" s="2">
        <f>IF([2]RSOph!B126&lt;&gt;"",[2]RSOph!B126,"")</f>
        <v>114</v>
      </c>
      <c r="C139" s="3" t="str">
        <f>IF([2]RSOph!C126&lt;&gt;"",[2]RSOph!C126,"")</f>
        <v>28/07/2020</v>
      </c>
      <c r="D139" s="2">
        <f>IF([2]RSOph!D126&lt;&gt;"",[2]RSOph!D126,"")</f>
        <v>0.85625000000000007</v>
      </c>
      <c r="E139" s="2">
        <f>IF([2]RSOph!E126&lt;&gt;"",[2]RSOph!E126,"")</f>
        <v>2459059.4051000001</v>
      </c>
      <c r="F139" s="2" t="str">
        <f>IF([2]RSOph!F126&lt;&gt;"",[2]RSOph!F126,"")</f>
        <v>JGF</v>
      </c>
      <c r="G139" s="2" t="str">
        <f>IF([2]RSOph!G126&lt;&gt;"",[2]RSOph!G126,"")</f>
        <v>SMM-SP</v>
      </c>
      <c r="H139" s="2" t="str">
        <f>IF([2]RSOph!H126&lt;&gt;"",[2]RSOph!H126,"")</f>
        <v>16 REMOT LINX 460EX</v>
      </c>
      <c r="I139" s="2">
        <f>IF([2]RSOph!I126&lt;&gt;"",[2]RSOph!I126,"")</f>
        <v>10000</v>
      </c>
      <c r="M139">
        <f t="shared" si="2"/>
        <v>9059.4051000000909</v>
      </c>
      <c r="N139">
        <f t="shared" si="3"/>
        <v>15</v>
      </c>
    </row>
    <row r="140" spans="2:14" x14ac:dyDescent="0.25">
      <c r="B140" s="2">
        <f>IF([2]RSOph!B127&lt;&gt;"",[2]RSOph!B127,"")</f>
        <v>115</v>
      </c>
      <c r="C140" s="3" t="str">
        <f>IF([2]RSOph!C127&lt;&gt;"",[2]RSOph!C127,"")</f>
        <v>31/07/2020</v>
      </c>
      <c r="D140" s="2">
        <f>IF([2]RSOph!D127&lt;&gt;"",[2]RSOph!D127,"")</f>
        <v>0.86458333333333337</v>
      </c>
      <c r="E140" s="2">
        <f>IF([2]RSOph!E127&lt;&gt;"",[2]RSOph!E127,"")</f>
        <v>2459062.4136999999</v>
      </c>
      <c r="F140" s="2" t="str">
        <f>IF([2]RSOph!F127&lt;&gt;"",[2]RSOph!F127,"")</f>
        <v>JGF</v>
      </c>
      <c r="G140" s="2" t="str">
        <f>IF([2]RSOph!G127&lt;&gt;"",[2]RSOph!G127,"")</f>
        <v>SMM-SP</v>
      </c>
      <c r="H140" s="2" t="str">
        <f>IF([2]RSOph!H127&lt;&gt;"",[2]RSOph!H127,"")</f>
        <v>16 REMOT LINX 460EX</v>
      </c>
      <c r="I140" s="2">
        <f>IF([2]RSOph!I127&lt;&gt;"",[2]RSOph!I127,"")</f>
        <v>10000</v>
      </c>
      <c r="M140">
        <f t="shared" si="2"/>
        <v>9062.4136999999173</v>
      </c>
      <c r="N140">
        <f t="shared" si="3"/>
        <v>15</v>
      </c>
    </row>
    <row r="141" spans="2:14" x14ac:dyDescent="0.25">
      <c r="B141" s="2">
        <f>IF([2]RSOph!B128&lt;&gt;"",[2]RSOph!B128,"")</f>
        <v>116</v>
      </c>
      <c r="C141" s="3">
        <f>IF([2]RSOph!C128&lt;&gt;"",[2]RSOph!C128,"")</f>
        <v>44044</v>
      </c>
      <c r="D141" s="2">
        <f>IF([2]RSOph!D128&lt;&gt;"",[2]RSOph!D128,"")</f>
        <v>5.8333333333333327E-2</v>
      </c>
      <c r="E141" s="2">
        <f>IF([2]RSOph!E128&lt;&gt;"",[2]RSOph!E128,"")</f>
        <v>2459062.6159999999</v>
      </c>
      <c r="F141" s="2" t="str">
        <f>IF([2]RSOph!F128&lt;&gt;"",[2]RSOph!F128,"")</f>
        <v>LES</v>
      </c>
      <c r="G141" s="2" t="str">
        <f>IF([2]RSOph!G128&lt;&gt;"",[2]RSOph!G128,"")</f>
        <v>MRO-CA</v>
      </c>
      <c r="H141" s="2" t="str">
        <f>IF([2]RSOph!H128&lt;&gt;"",[2]RSOph!H128,"")</f>
        <v>31cmDK+ESSAT_2</v>
      </c>
      <c r="I141" s="2">
        <f>IF([2]RSOph!I128&lt;&gt;"",[2]RSOph!I128,"")</f>
        <v>14000</v>
      </c>
      <c r="M141">
        <f t="shared" si="2"/>
        <v>9062.6159999999218</v>
      </c>
      <c r="N141">
        <f t="shared" si="3"/>
        <v>15</v>
      </c>
    </row>
    <row r="142" spans="2:14" x14ac:dyDescent="0.25">
      <c r="B142" s="2">
        <f>IF([2]RSOph!B129&lt;&gt;"",[2]RSOph!B129,"")</f>
        <v>117</v>
      </c>
      <c r="C142" s="3">
        <f>IF([2]RSOph!C129&lt;&gt;"",[2]RSOph!C129,"")</f>
        <v>44046</v>
      </c>
      <c r="D142" s="2">
        <f>IF([2]RSOph!D129&lt;&gt;"",[2]RSOph!D129,"")</f>
        <v>0.89513888888888893</v>
      </c>
      <c r="E142" s="2">
        <f>IF([2]RSOph!E129&lt;&gt;"",[2]RSOph!E129,"")</f>
        <v>2459065.4232000001</v>
      </c>
      <c r="F142" s="2" t="str">
        <f>IF([2]RSOph!F129&lt;&gt;"",[2]RSOph!F129,"")</f>
        <v>JGF</v>
      </c>
      <c r="G142" s="2" t="str">
        <f>IF([2]RSOph!G129&lt;&gt;"",[2]RSOph!G129,"")</f>
        <v>SMM-SP</v>
      </c>
      <c r="H142" s="2" t="str">
        <f>IF([2]RSOph!H129&lt;&gt;"",[2]RSOph!H129,"")</f>
        <v>16 REMOT LINX 460EX</v>
      </c>
      <c r="I142" s="2">
        <f>IF([2]RSOph!I129&lt;&gt;"",[2]RSOph!I129,"")</f>
        <v>10000</v>
      </c>
      <c r="M142">
        <f t="shared" si="2"/>
        <v>9065.4232000000775</v>
      </c>
      <c r="N142">
        <f t="shared" si="3"/>
        <v>15</v>
      </c>
    </row>
    <row r="143" spans="2:14" x14ac:dyDescent="0.25">
      <c r="B143" s="2">
        <f>IF([2]RSOph!B130&lt;&gt;"",[2]RSOph!B130,"")</f>
        <v>118</v>
      </c>
      <c r="C143" s="3">
        <f>IF([2]RSOph!C130&lt;&gt;"",[2]RSOph!C130,"")</f>
        <v>44050</v>
      </c>
      <c r="D143" s="2">
        <f>IF([2]RSOph!D130&lt;&gt;"",[2]RSOph!D130,"")</f>
        <v>0.83888888888888891</v>
      </c>
      <c r="E143" s="2">
        <f>IF([2]RSOph!E130&lt;&gt;"",[2]RSOph!E130,"")</f>
        <v>2459069.3717999998</v>
      </c>
      <c r="F143" s="2" t="str">
        <f>IF([2]RSOph!F130&lt;&gt;"",[2]RSOph!F130,"")</f>
        <v>JMI</v>
      </c>
      <c r="G143" s="2" t="str">
        <f>IF([2]RSOph!G130&lt;&gt;"",[2]RSOph!G130,"")</f>
        <v>SAO-FR</v>
      </c>
      <c r="H143" s="2" t="str">
        <f>IF([2]RSOph!H130&lt;&gt;"",[2]RSOph!H130,"")</f>
        <v>C11f7-Lisa-Atik460EX</v>
      </c>
      <c r="I143" s="2">
        <f>IF([2]RSOph!I130&lt;&gt;"",[2]RSOph!I130,"")</f>
        <v>1000</v>
      </c>
      <c r="M143">
        <f t="shared" si="2"/>
        <v>9069.371799999848</v>
      </c>
      <c r="N143">
        <f t="shared" si="3"/>
        <v>15</v>
      </c>
    </row>
    <row r="144" spans="2:14" x14ac:dyDescent="0.25">
      <c r="B144" s="2">
        <f>IF([2]RSOph!B131&lt;&gt;"",[2]RSOph!B131,"")</f>
        <v>119</v>
      </c>
      <c r="C144" s="3">
        <f>IF([2]RSOph!C131&lt;&gt;"",[2]RSOph!C131,"")</f>
        <v>43990</v>
      </c>
      <c r="D144" s="2">
        <f>IF([2]RSOph!D131&lt;&gt;"",[2]RSOph!D131,"")</f>
        <v>4.9999999999999996E-2</v>
      </c>
      <c r="E144" s="2">
        <f>IF([2]RSOph!E131&lt;&gt;"",[2]RSOph!E131,"")</f>
        <v>2459067.6</v>
      </c>
      <c r="F144" s="2" t="str">
        <f>IF([2]RSOph!F131&lt;&gt;"",[2]RSOph!F131,"")</f>
        <v>LES</v>
      </c>
      <c r="G144" s="2" t="str">
        <f>IF([2]RSOph!G131&lt;&gt;"",[2]RSOph!G131,"")</f>
        <v>MRO-CA</v>
      </c>
      <c r="H144" s="2" t="str">
        <f>IF([2]RSOph!H131&lt;&gt;"",[2]RSOph!H131,"")</f>
        <v>31cmDK+ESSAT_2</v>
      </c>
      <c r="I144" s="2">
        <f>IF([2]RSOph!I131&lt;&gt;"",[2]RSOph!I131,"")</f>
        <v>14000</v>
      </c>
      <c r="M144">
        <f t="shared" si="2"/>
        <v>9067.6000000000931</v>
      </c>
      <c r="N144">
        <f t="shared" si="3"/>
        <v>15</v>
      </c>
    </row>
    <row r="145" spans="2:14" x14ac:dyDescent="0.25">
      <c r="B145" s="2">
        <f>IF([2]RSOph!B132&lt;&gt;"",[2]RSOph!B132,"")</f>
        <v>120</v>
      </c>
      <c r="C145" s="3">
        <f>IF([2]RSOph!C132&lt;&gt;"",[2]RSOph!C132,"")</f>
        <v>44052</v>
      </c>
      <c r="D145" s="2">
        <f>IF([2]RSOph!D132&lt;&gt;"",[2]RSOph!D132,"")</f>
        <v>0.125</v>
      </c>
      <c r="E145" s="2">
        <f>IF([2]RSOph!E132&lt;&gt;"",[2]RSOph!E132,"")</f>
        <v>2459070.6299000001</v>
      </c>
      <c r="F145" s="2" t="str">
        <f>IF([2]RSOph!F132&lt;&gt;"",[2]RSOph!F132,"")</f>
        <v>KSH</v>
      </c>
      <c r="G145" s="2" t="str">
        <f>IF([2]RSOph!G132&lt;&gt;"",[2]RSOph!G132,"")</f>
        <v>CAR-US</v>
      </c>
      <c r="H145" s="2" t="str">
        <f>IF([2]RSOph!H132&lt;&gt;"",[2]RSOph!H132,"")</f>
        <v>DEVO Observatory</v>
      </c>
      <c r="I145" s="2">
        <f>IF([2]RSOph!I132&lt;&gt;"",[2]RSOph!I132,"")</f>
        <v>1000</v>
      </c>
      <c r="M145">
        <f t="shared" si="2"/>
        <v>9070.6299000000581</v>
      </c>
      <c r="N145">
        <f t="shared" si="3"/>
        <v>15</v>
      </c>
    </row>
    <row r="146" spans="2:14" x14ac:dyDescent="0.25">
      <c r="B146" s="2">
        <f>IF([2]RSOph!B133&lt;&gt;"",[2]RSOph!B133,"")</f>
        <v>121</v>
      </c>
      <c r="C146" s="3">
        <f>IF([2]RSOph!C133&lt;&gt;"",[2]RSOph!C133,"")</f>
        <v>44055</v>
      </c>
      <c r="D146" s="2">
        <f>IF([2]RSOph!D133&lt;&gt;"",[2]RSOph!D133,"")</f>
        <v>0.1111111111111111</v>
      </c>
      <c r="E146" s="2">
        <f>IF([2]RSOph!E133&lt;&gt;"",[2]RSOph!E133,"")</f>
        <v>2459073.6165999998</v>
      </c>
      <c r="F146" s="2" t="str">
        <f>IF([2]RSOph!F133&lt;&gt;"",[2]RSOph!F133,"")</f>
        <v>KSH</v>
      </c>
      <c r="G146" s="2" t="str">
        <f>IF([2]RSOph!G133&lt;&gt;"",[2]RSOph!G133,"")</f>
        <v>CAR-US</v>
      </c>
      <c r="H146" s="2" t="str">
        <f>IF([2]RSOph!H133&lt;&gt;"",[2]RSOph!H133,"")</f>
        <v>DEVO Observatory</v>
      </c>
      <c r="I146" s="2">
        <f>IF([2]RSOph!I133&lt;&gt;"",[2]RSOph!I133,"")</f>
        <v>1000</v>
      </c>
      <c r="M146">
        <f t="shared" si="2"/>
        <v>9073.6165999998339</v>
      </c>
      <c r="N146">
        <f t="shared" si="3"/>
        <v>15</v>
      </c>
    </row>
    <row r="147" spans="2:14" x14ac:dyDescent="0.25">
      <c r="B147" s="2">
        <f>IF([2]RSOph!B134&lt;&gt;"",[2]RSOph!B134,"")</f>
        <v>122</v>
      </c>
      <c r="C147" s="3">
        <f>IF([2]RSOph!C134&lt;&gt;"",[2]RSOph!C134,"")</f>
        <v>44053</v>
      </c>
      <c r="D147" s="2">
        <f>IF([2]RSOph!D134&lt;&gt;"",[2]RSOph!D134,"")</f>
        <v>0.9277777777777777</v>
      </c>
      <c r="E147" s="2">
        <f>IF([2]RSOph!E134&lt;&gt;"",[2]RSOph!E134,"")</f>
        <v>2459072.4421999999</v>
      </c>
      <c r="F147" s="2" t="str">
        <f>IF([2]RSOph!F134&lt;&gt;"",[2]RSOph!F134,"")</f>
        <v>PAD</v>
      </c>
      <c r="G147" s="2" t="str">
        <f>IF([2]RSOph!G134&lt;&gt;"",[2]RSOph!G134,"")</f>
        <v>KOL-SK</v>
      </c>
      <c r="H147" s="2" t="str">
        <f>IF([2]RSOph!H134&lt;&gt;"",[2]RSOph!H134,"")</f>
        <v>C11+LISA+Atik 460EX</v>
      </c>
      <c r="I147" s="2">
        <f>IF([2]RSOph!I134&lt;&gt;"",[2]RSOph!I134,"")</f>
        <v>1001</v>
      </c>
      <c r="M147">
        <f t="shared" si="2"/>
        <v>9072.4421999999322</v>
      </c>
      <c r="N147">
        <f t="shared" si="3"/>
        <v>15</v>
      </c>
    </row>
    <row r="148" spans="2:14" x14ac:dyDescent="0.25">
      <c r="B148" s="2">
        <f>IF([2]RSOph!B135&lt;&gt;"",[2]RSOph!B135,"")</f>
        <v>123</v>
      </c>
      <c r="C148" s="3" t="str">
        <f>IF([2]RSOph!C135&lt;&gt;"",[2]RSOph!C135,"")</f>
        <v>13/08/2020</v>
      </c>
      <c r="D148" s="2">
        <f>IF([2]RSOph!D135&lt;&gt;"",[2]RSOph!D135,"")</f>
        <v>7.013888888888889E-2</v>
      </c>
      <c r="E148" s="2">
        <f>IF([2]RSOph!E135&lt;&gt;"",[2]RSOph!E135,"")</f>
        <v>2459074.6205000002</v>
      </c>
      <c r="F148" s="2" t="str">
        <f>IF([2]RSOph!F135&lt;&gt;"",[2]RSOph!F135,"")</f>
        <v>LES</v>
      </c>
      <c r="G148" s="2" t="str">
        <f>IF([2]RSOph!G135&lt;&gt;"",[2]RSOph!G135,"")</f>
        <v>MRO-CA</v>
      </c>
      <c r="H148" s="2" t="str">
        <f>IF([2]RSOph!H135&lt;&gt;"",[2]RSOph!H135,"")</f>
        <v>31cmDK+ESSAT_2</v>
      </c>
      <c r="I148" s="2">
        <f>IF([2]RSOph!I135&lt;&gt;"",[2]RSOph!I135,"")</f>
        <v>12000</v>
      </c>
      <c r="M148">
        <f t="shared" si="2"/>
        <v>9074.6205000001937</v>
      </c>
      <c r="N148">
        <f t="shared" si="3"/>
        <v>15</v>
      </c>
    </row>
    <row r="149" spans="2:14" x14ac:dyDescent="0.25">
      <c r="B149" s="2">
        <f>IF([2]RSOph!B136&lt;&gt;"",[2]RSOph!B136,"")</f>
        <v>124</v>
      </c>
      <c r="C149" s="3" t="str">
        <f>IF([2]RSOph!C136&lt;&gt;"",[2]RSOph!C136,"")</f>
        <v>13/08/2020</v>
      </c>
      <c r="D149" s="2">
        <f>IF([2]RSOph!D136&lt;&gt;"",[2]RSOph!D136,"")</f>
        <v>0.83472222222222225</v>
      </c>
      <c r="E149" s="2">
        <f>IF([2]RSOph!E136&lt;&gt;"",[2]RSOph!E136,"")</f>
        <v>2459075.3903000001</v>
      </c>
      <c r="F149" s="2" t="str">
        <f>IF([2]RSOph!F136&lt;&gt;"",[2]RSOph!F136,"")</f>
        <v>JGF</v>
      </c>
      <c r="G149" s="2" t="str">
        <f>IF([2]RSOph!G136&lt;&gt;"",[2]RSOph!G136,"")</f>
        <v>SMM-SP</v>
      </c>
      <c r="H149" s="2" t="str">
        <f>IF([2]RSOph!H136&lt;&gt;"",[2]RSOph!H136,"")</f>
        <v>16 REMOT LINX 460EX</v>
      </c>
      <c r="I149" s="2">
        <f>IF([2]RSOph!I136&lt;&gt;"",[2]RSOph!I136,"")</f>
        <v>10000</v>
      </c>
      <c r="M149">
        <f t="shared" si="2"/>
        <v>9075.3903000000864</v>
      </c>
      <c r="N149">
        <f t="shared" si="3"/>
        <v>15</v>
      </c>
    </row>
    <row r="150" spans="2:14" x14ac:dyDescent="0.25">
      <c r="B150" s="2">
        <f>IF([2]RSOph!B137&lt;&gt;"",[2]RSOph!B137,"")</f>
        <v>125</v>
      </c>
      <c r="C150" s="3">
        <f>IF([2]RSOph!C137&lt;&gt;"",[2]RSOph!C137,"")</f>
        <v>44055</v>
      </c>
      <c r="D150" s="2">
        <f>IF([2]RSOph!D137&lt;&gt;"",[2]RSOph!D137,"")</f>
        <v>0.81111111111111101</v>
      </c>
      <c r="E150" s="2">
        <f>IF([2]RSOph!E137&lt;&gt;"",[2]RSOph!E137,"")</f>
        <v>2459074.3324000002</v>
      </c>
      <c r="F150" s="2" t="str">
        <f>IF([2]RSOph!F137&lt;&gt;"",[2]RSOph!F137,"")</f>
        <v>FRA</v>
      </c>
      <c r="G150" s="2" t="str">
        <f>IF([2]RSOph!G137&lt;&gt;"",[2]RSOph!G137,"")</f>
        <v/>
      </c>
      <c r="H150" s="2" t="str">
        <f>IF([2]RSOph!H137&lt;&gt;"",[2]RSOph!H137,"")</f>
        <v>LX200-8(F/5)+Alpy600+SXV-M7</v>
      </c>
      <c r="I150" s="2">
        <f>IF([2]RSOph!I137&lt;&gt;"",[2]RSOph!I137,"")</f>
        <v>538</v>
      </c>
      <c r="M150">
        <f t="shared" si="2"/>
        <v>9074.3324000001885</v>
      </c>
      <c r="N150">
        <f t="shared" si="3"/>
        <v>15</v>
      </c>
    </row>
    <row r="151" spans="2:14" x14ac:dyDescent="0.25">
      <c r="B151" s="2">
        <f>IF([2]RSOph!B138&lt;&gt;"",[2]RSOph!B138,"")</f>
        <v>126</v>
      </c>
      <c r="C151" s="3" t="str">
        <f>IF([2]RSOph!C138&lt;&gt;"",[2]RSOph!C138,"")</f>
        <v>23/08/2020</v>
      </c>
      <c r="D151" s="2">
        <f>IF([2]RSOph!D138&lt;&gt;"",[2]RSOph!D138,"")</f>
        <v>8.819444444444445E-2</v>
      </c>
      <c r="E151" s="2">
        <f>IF([2]RSOph!E138&lt;&gt;"",[2]RSOph!E138,"")</f>
        <v>2459084.5937999999</v>
      </c>
      <c r="F151" s="2" t="str">
        <f>IF([2]RSOph!F138&lt;&gt;"",[2]RSOph!F138,"")</f>
        <v>KSH</v>
      </c>
      <c r="G151" s="2" t="str">
        <f>IF([2]RSOph!G138&lt;&gt;"",[2]RSOph!G138,"")</f>
        <v>CAR-US</v>
      </c>
      <c r="H151" s="2" t="str">
        <f>IF([2]RSOph!H138&lt;&gt;"",[2]RSOph!H138,"")</f>
        <v>KAS - DEVO Observatory</v>
      </c>
      <c r="I151" s="2">
        <f>IF([2]RSOph!I138&lt;&gt;"",[2]RSOph!I138,"")</f>
        <v>1000</v>
      </c>
      <c r="M151">
        <f t="shared" si="2"/>
        <v>9084.5937999999151</v>
      </c>
      <c r="N151">
        <f t="shared" si="3"/>
        <v>15</v>
      </c>
    </row>
    <row r="152" spans="2:14" x14ac:dyDescent="0.25">
      <c r="B152" s="2">
        <f>IF([2]RSOph!B139&lt;&gt;"",[2]RSOph!B139,"")</f>
        <v>127</v>
      </c>
      <c r="C152" s="3">
        <f>IF([2]RSOph!C139&lt;&gt;"",[2]RSOph!C139,"")</f>
        <v>44069</v>
      </c>
      <c r="D152" s="2">
        <f>IF([2]RSOph!D139&lt;&gt;"",[2]RSOph!D139,"")</f>
        <v>0.82430555555555562</v>
      </c>
      <c r="E152" s="2">
        <f>IF([2]RSOph!E139&lt;&gt;"",[2]RSOph!E139,"")</f>
        <v>2459088.3736999999</v>
      </c>
      <c r="F152" s="2" t="str">
        <f>IF([2]RSOph!F139&lt;&gt;"",[2]RSOph!F139,"")</f>
        <v>JGF</v>
      </c>
      <c r="G152" s="2" t="str">
        <f>IF([2]RSOph!G139&lt;&gt;"",[2]RSOph!G139,"")</f>
        <v>SMM-SP</v>
      </c>
      <c r="H152" s="2" t="str">
        <f>IF([2]RSOph!H139&lt;&gt;"",[2]RSOph!H139,"")</f>
        <v>16 REMOT LINX 460EX</v>
      </c>
      <c r="I152" s="2">
        <f>IF([2]RSOph!I139&lt;&gt;"",[2]RSOph!I139,"")</f>
        <v>9500</v>
      </c>
      <c r="M152">
        <f t="shared" si="2"/>
        <v>9088.37369999988</v>
      </c>
      <c r="N152">
        <f t="shared" si="3"/>
        <v>15</v>
      </c>
    </row>
    <row r="153" spans="2:14" x14ac:dyDescent="0.25">
      <c r="B153" s="2">
        <f>IF([2]RSOph!B140&lt;&gt;"",[2]RSOph!B140,"")</f>
        <v>128</v>
      </c>
      <c r="C153" s="3">
        <f>IF([2]RSOph!C140&lt;&gt;"",[2]RSOph!C140,"")</f>
        <v>43990</v>
      </c>
      <c r="D153" s="2">
        <f>IF([2]RSOph!D140&lt;&gt;"",[2]RSOph!D140,"")</f>
        <v>0.8930555555555556</v>
      </c>
      <c r="E153" s="2">
        <f>IF([2]RSOph!E140&lt;&gt;"",[2]RSOph!E140,"")</f>
        <v>2459068.4035</v>
      </c>
      <c r="F153" s="2" t="str">
        <f>IF([2]RSOph!F140&lt;&gt;"",[2]RSOph!F140,"")</f>
        <v>FCA</v>
      </c>
      <c r="G153" s="2" t="str">
        <f>IF([2]RSOph!G140&lt;&gt;"",[2]RSOph!G140,"")</f>
        <v>PAG-SP</v>
      </c>
      <c r="H153" s="2" t="str">
        <f>IF([2]RSOph!H140&lt;&gt;"",[2]RSOph!H140,"")</f>
        <v>N-200 f/4.7 + Barlow 2X  DADOS 200 l/mm</v>
      </c>
      <c r="I153" s="2">
        <f>IF([2]RSOph!I140&lt;&gt;"",[2]RSOph!I140,"")</f>
        <v>769</v>
      </c>
      <c r="M153">
        <f t="shared" si="2"/>
        <v>9068.4035000000149</v>
      </c>
      <c r="N153">
        <f t="shared" si="3"/>
        <v>15</v>
      </c>
    </row>
    <row r="154" spans="2:14" x14ac:dyDescent="0.25">
      <c r="B154" s="2">
        <f>IF([2]RSOph!B141&lt;&gt;"",[2]RSOph!B141,"")</f>
        <v>129</v>
      </c>
      <c r="C154" s="3" t="str">
        <f>IF([2]RSOph!C141&lt;&gt;"",[2]RSOph!C141,"")</f>
        <v>15/09/2020</v>
      </c>
      <c r="D154" s="2">
        <f>IF([2]RSOph!D141&lt;&gt;"",[2]RSOph!D141,"")</f>
        <v>0.80069444444444438</v>
      </c>
      <c r="E154" s="2">
        <f>IF([2]RSOph!E141&lt;&gt;"",[2]RSOph!E141,"")</f>
        <v>2459108.3358</v>
      </c>
      <c r="F154" s="2" t="str">
        <f>IF([2]RSOph!F141&lt;&gt;"",[2]RSOph!F141,"")</f>
        <v>JGF</v>
      </c>
      <c r="G154" s="2" t="str">
        <f>IF([2]RSOph!G141&lt;&gt;"",[2]RSOph!G141,"")</f>
        <v>SMM-SP</v>
      </c>
      <c r="H154" s="2" t="str">
        <f>IF([2]RSOph!H141&lt;&gt;"",[2]RSOph!H141,"")</f>
        <v>16 REMOT LINX 460EX</v>
      </c>
      <c r="I154" s="2">
        <f>IF([2]RSOph!I141&lt;&gt;"",[2]RSOph!I141,"")</f>
        <v>9500</v>
      </c>
      <c r="M154">
        <f t="shared" si="2"/>
        <v>9108.3358000000007</v>
      </c>
      <c r="N154">
        <f t="shared" si="3"/>
        <v>15</v>
      </c>
    </row>
    <row r="155" spans="2:14" x14ac:dyDescent="0.25">
      <c r="B155" s="2">
        <f>IF([2]RSOph!B142&lt;&gt;"",[2]RSOph!B142,"")</f>
        <v>130</v>
      </c>
      <c r="C155" s="3" t="str">
        <f>IF([2]RSOph!C142&lt;&gt;"",[2]RSOph!C142,"")</f>
        <v>24/09/2020</v>
      </c>
      <c r="D155" s="2">
        <f>IF([2]RSOph!D142&lt;&gt;"",[2]RSOph!D142,"")</f>
        <v>0.78819444444444453</v>
      </c>
      <c r="E155" s="2">
        <f>IF([2]RSOph!E142&lt;&gt;"",[2]RSOph!E142,"")</f>
        <v>2459117.3232999998</v>
      </c>
      <c r="F155" s="2" t="str">
        <f>IF([2]RSOph!F142&lt;&gt;"",[2]RSOph!F142,"")</f>
        <v>JGF</v>
      </c>
      <c r="G155" s="2" t="str">
        <f>IF([2]RSOph!G142&lt;&gt;"",[2]RSOph!G142,"")</f>
        <v>SMM-SP</v>
      </c>
      <c r="H155" s="2" t="str">
        <f>IF([2]RSOph!H142&lt;&gt;"",[2]RSOph!H142,"")</f>
        <v>16 REMOT LINX 460EX</v>
      </c>
      <c r="I155" s="2">
        <f>IF([2]RSOph!I142&lt;&gt;"",[2]RSOph!I142,"")</f>
        <v>9500</v>
      </c>
      <c r="M155">
        <f t="shared" si="2"/>
        <v>9117.3232999998145</v>
      </c>
      <c r="N155">
        <f t="shared" si="3"/>
        <v>15</v>
      </c>
    </row>
    <row r="156" spans="2:14" x14ac:dyDescent="0.25">
      <c r="B156" s="2">
        <f>IF([2]RSOph!B143&lt;&gt;"",[2]RSOph!B143,"")</f>
        <v>131</v>
      </c>
      <c r="C156" s="3">
        <f>IF([2]RSOph!C143&lt;&gt;"",[2]RSOph!C143,"")</f>
        <v>44052</v>
      </c>
      <c r="D156" s="2">
        <f>IF([2]RSOph!D143&lt;&gt;"",[2]RSOph!D143,"")</f>
        <v>0.48888888888888887</v>
      </c>
      <c r="E156" s="2">
        <f>IF([2]RSOph!E143&lt;&gt;"",[2]RSOph!E143,"")</f>
        <v>2459101.0274999999</v>
      </c>
      <c r="F156" s="2" t="str">
        <f>IF([2]RSOph!F143&lt;&gt;"",[2]RSOph!F143,"")</f>
        <v>CEL</v>
      </c>
      <c r="G156" s="2" t="str">
        <f>IF([2]RSOph!G143&lt;&gt;"",[2]RSOph!G143,"")</f>
        <v>MAR-AU</v>
      </c>
      <c r="H156" s="2" t="str">
        <f>IF([2]RSOph!H143&lt;&gt;"",[2]RSOph!H143,"")</f>
        <v>CDK1000-Alpy600-Atik460EX</v>
      </c>
      <c r="I156" s="2">
        <f>IF([2]RSOph!I143&lt;&gt;"",[2]RSOph!I143,"")</f>
        <v>10000</v>
      </c>
      <c r="M156">
        <f t="shared" si="2"/>
        <v>9101.027499999851</v>
      </c>
      <c r="N156">
        <f t="shared" si="3"/>
        <v>15</v>
      </c>
    </row>
    <row r="157" spans="2:14" x14ac:dyDescent="0.25">
      <c r="B157" s="2">
        <f>IF([2]RSOph!B144&lt;&gt;"",[2]RSOph!B144,"")</f>
        <v>132</v>
      </c>
      <c r="C157" s="3">
        <f>IF([2]RSOph!C144&lt;&gt;"",[2]RSOph!C144,"")</f>
        <v>44105</v>
      </c>
      <c r="D157" s="2">
        <f>IF([2]RSOph!D144&lt;&gt;"",[2]RSOph!D144,"")</f>
        <v>9.2361111111111116E-2</v>
      </c>
      <c r="E157" s="2">
        <f>IF([2]RSOph!E144&lt;&gt;"",[2]RSOph!E144,"")</f>
        <v>2459123.6052000001</v>
      </c>
      <c r="F157" s="2" t="str">
        <f>IF([2]RSOph!F144&lt;&gt;"",[2]RSOph!F144,"")</f>
        <v>FAS</v>
      </c>
      <c r="G157" s="2" t="str">
        <f>IF([2]RSOph!G144&lt;&gt;"",[2]RSOph!G144,"")</f>
        <v>DCO-US</v>
      </c>
      <c r="H157" s="2" t="str">
        <f>IF([2]RSOph!H144&lt;&gt;"",[2]RSOph!H144,"")</f>
        <v>CDK14 LISA Atik414ex</v>
      </c>
      <c r="I157" s="2">
        <f>IF([2]RSOph!I144&lt;&gt;"",[2]RSOph!I144,"")</f>
        <v>1067</v>
      </c>
      <c r="M157">
        <f t="shared" si="2"/>
        <v>9123.6052000001073</v>
      </c>
      <c r="N157">
        <f t="shared" si="3"/>
        <v>15</v>
      </c>
    </row>
    <row r="158" spans="2:14" x14ac:dyDescent="0.25">
      <c r="B158" s="2">
        <f>IF([2]RSOph!B145&lt;&gt;"",[2]RSOph!B145,"")</f>
        <v>133</v>
      </c>
      <c r="C158" s="3" t="str">
        <f>IF([2]RSOph!C145&lt;&gt;"",[2]RSOph!C145,"")</f>
        <v>29/09/2020</v>
      </c>
      <c r="D158" s="2">
        <f>IF([2]RSOph!D145&lt;&gt;"",[2]RSOph!D145,"")</f>
        <v>0.79305555555555562</v>
      </c>
      <c r="E158" s="2">
        <f>IF([2]RSOph!E145&lt;&gt;"",[2]RSOph!E145,"")</f>
        <v>2459122.3215999999</v>
      </c>
      <c r="F158" s="2" t="str">
        <f>IF([2]RSOph!F145&lt;&gt;"",[2]RSOph!F145,"")</f>
        <v>JGF</v>
      </c>
      <c r="G158" s="2" t="str">
        <f>IF([2]RSOph!G145&lt;&gt;"",[2]RSOph!G145,"")</f>
        <v>SMM-SP</v>
      </c>
      <c r="H158" s="2" t="str">
        <f>IF([2]RSOph!H145&lt;&gt;"",[2]RSOph!H145,"")</f>
        <v>16 REMOT LINX 460EX</v>
      </c>
      <c r="I158" s="2">
        <f>IF([2]RSOph!I145&lt;&gt;"",[2]RSOph!I145,"")</f>
        <v>9500</v>
      </c>
      <c r="M158">
        <f t="shared" si="2"/>
        <v>9122.3215999999084</v>
      </c>
      <c r="N158">
        <f t="shared" si="3"/>
        <v>15</v>
      </c>
    </row>
    <row r="159" spans="2:14" x14ac:dyDescent="0.25">
      <c r="B159" s="2"/>
      <c r="C159" s="3"/>
      <c r="D159" s="2"/>
      <c r="E159" s="2"/>
      <c r="F159" s="2"/>
      <c r="G159" s="2"/>
      <c r="H159" s="2"/>
      <c r="I159" s="2"/>
    </row>
    <row r="160" spans="2:14" x14ac:dyDescent="0.25">
      <c r="B160" s="2"/>
      <c r="C160" s="3"/>
      <c r="D160" s="2"/>
      <c r="E160" s="2"/>
      <c r="F160" s="2"/>
      <c r="G160" s="2"/>
      <c r="H160" s="2"/>
      <c r="I160" s="2"/>
    </row>
    <row r="161" spans="2:9" x14ac:dyDescent="0.25">
      <c r="B161" s="2"/>
      <c r="C161" s="3"/>
      <c r="D161" s="2"/>
      <c r="E161" s="2"/>
      <c r="F161" s="2"/>
      <c r="G161" s="2"/>
      <c r="H161" s="2"/>
      <c r="I161" s="2"/>
    </row>
    <row r="162" spans="2:9" x14ac:dyDescent="0.25">
      <c r="B162" s="2"/>
      <c r="C162" s="3"/>
      <c r="D162" s="2"/>
      <c r="E162" s="2"/>
      <c r="F162" s="2"/>
      <c r="G162" s="2"/>
      <c r="H162" s="2"/>
      <c r="I162" s="2"/>
    </row>
    <row r="163" spans="2:9" x14ac:dyDescent="0.25">
      <c r="B163" s="2"/>
      <c r="C163" s="3"/>
      <c r="D163" s="2"/>
      <c r="E163" s="2"/>
      <c r="F163" s="2"/>
      <c r="G163" s="2"/>
      <c r="H163" s="2"/>
      <c r="I163" s="2"/>
    </row>
    <row r="164" spans="2:9" x14ac:dyDescent="0.25">
      <c r="B164" s="2"/>
      <c r="C164" s="3"/>
      <c r="D164" s="2"/>
      <c r="E164" s="2"/>
      <c r="F164" s="2"/>
      <c r="G164" s="2"/>
      <c r="H164" s="2"/>
      <c r="I164" s="2"/>
    </row>
    <row r="165" spans="2:9" x14ac:dyDescent="0.25">
      <c r="B165" s="2"/>
      <c r="C165" s="3"/>
      <c r="D165" s="2"/>
      <c r="E165" s="2"/>
      <c r="F165" s="2"/>
      <c r="G165" s="2"/>
      <c r="H165" s="2"/>
      <c r="I165" s="2"/>
    </row>
    <row r="166" spans="2:9" x14ac:dyDescent="0.25">
      <c r="B166" s="2"/>
      <c r="C166" s="3"/>
      <c r="D166" s="2"/>
      <c r="E166" s="2"/>
      <c r="F166" s="2"/>
      <c r="G166" s="2"/>
      <c r="H166" s="2"/>
      <c r="I166" s="2"/>
    </row>
    <row r="167" spans="2:9" x14ac:dyDescent="0.25">
      <c r="B167" s="2"/>
      <c r="C167" s="3"/>
      <c r="D167" s="2"/>
      <c r="E167" s="2"/>
      <c r="F167" s="2"/>
      <c r="G167" s="2"/>
      <c r="H167" s="2"/>
      <c r="I167" s="2"/>
    </row>
    <row r="168" spans="2:9" x14ac:dyDescent="0.25">
      <c r="B168" s="2"/>
      <c r="C168" s="3"/>
      <c r="D168" s="2"/>
      <c r="E168" s="2"/>
      <c r="F168" s="2"/>
      <c r="G168" s="2"/>
      <c r="H168" s="2"/>
      <c r="I168" s="2"/>
    </row>
    <row r="169" spans="2:9" x14ac:dyDescent="0.25">
      <c r="B169" s="2"/>
      <c r="C169" s="3"/>
      <c r="D169" s="2"/>
      <c r="E169" s="2"/>
      <c r="F169" s="2"/>
      <c r="G169" s="2"/>
      <c r="H169" s="2"/>
      <c r="I169" s="2"/>
    </row>
    <row r="170" spans="2:9" x14ac:dyDescent="0.25">
      <c r="B170" s="2"/>
      <c r="C170" s="3"/>
      <c r="D170" s="2"/>
      <c r="E170" s="2"/>
      <c r="F170" s="2"/>
      <c r="G170" s="2"/>
      <c r="H170" s="2"/>
      <c r="I170" s="2"/>
    </row>
    <row r="171" spans="2:9" x14ac:dyDescent="0.25">
      <c r="B171" s="2"/>
      <c r="C171" s="3"/>
      <c r="D171" s="2"/>
      <c r="E171" s="2"/>
      <c r="F171" s="2"/>
      <c r="G171" s="2"/>
      <c r="H171" s="2"/>
      <c r="I171" s="2"/>
    </row>
    <row r="172" spans="2:9" x14ac:dyDescent="0.25">
      <c r="B172" s="2"/>
      <c r="C172" s="3"/>
      <c r="D172" s="2"/>
      <c r="E172" s="2"/>
      <c r="F172" s="2"/>
      <c r="G172" s="2"/>
      <c r="H172" s="2"/>
      <c r="I172" s="2"/>
    </row>
    <row r="173" spans="2:9" x14ac:dyDescent="0.25">
      <c r="B173" s="2"/>
      <c r="C173" s="3"/>
      <c r="D173" s="2"/>
      <c r="E173" s="2"/>
      <c r="F173" s="2"/>
      <c r="G173" s="2"/>
      <c r="H173" s="2"/>
      <c r="I173" s="2"/>
    </row>
    <row r="174" spans="2:9" x14ac:dyDescent="0.25">
      <c r="B174" s="2"/>
      <c r="C174" s="3"/>
      <c r="D174" s="2"/>
      <c r="E174" s="2"/>
      <c r="F174" s="2"/>
      <c r="G174" s="2"/>
      <c r="H174" s="2"/>
      <c r="I174" s="2"/>
    </row>
    <row r="175" spans="2:9" x14ac:dyDescent="0.25">
      <c r="B175" s="2"/>
      <c r="C175" s="3"/>
      <c r="D175" s="2"/>
      <c r="E175" s="2"/>
      <c r="F175" s="2"/>
      <c r="G175" s="2"/>
      <c r="H175" s="2"/>
      <c r="I175" s="2"/>
    </row>
    <row r="176" spans="2:9" x14ac:dyDescent="0.25">
      <c r="B176" s="2"/>
      <c r="C176" s="3"/>
      <c r="D176" s="2"/>
      <c r="E176" s="2"/>
      <c r="F176" s="2"/>
      <c r="G176" s="2"/>
      <c r="H176" s="2"/>
      <c r="I176" s="2"/>
    </row>
    <row r="177" spans="2:14" x14ac:dyDescent="0.25">
      <c r="B177" s="2"/>
      <c r="C177" s="3"/>
      <c r="D177" s="2"/>
      <c r="E177" s="2"/>
      <c r="F177" s="2"/>
      <c r="G177" s="2"/>
      <c r="H177" s="2"/>
      <c r="I177" s="2"/>
    </row>
    <row r="178" spans="2:14" x14ac:dyDescent="0.25">
      <c r="B178" s="2"/>
      <c r="C178" s="3"/>
      <c r="D178" s="2"/>
      <c r="E178" s="2"/>
      <c r="F178" s="2"/>
      <c r="G178" s="2"/>
      <c r="H178" s="2"/>
      <c r="I178" s="2"/>
    </row>
    <row r="179" spans="2:14" x14ac:dyDescent="0.25">
      <c r="B179" s="2"/>
      <c r="C179" s="3"/>
      <c r="D179" s="2"/>
      <c r="E179" s="2"/>
      <c r="F179" s="2"/>
      <c r="G179" s="2"/>
      <c r="H179" s="2"/>
      <c r="I179" s="2"/>
    </row>
    <row r="180" spans="2:14" x14ac:dyDescent="0.25">
      <c r="B180" s="2"/>
      <c r="C180" s="3"/>
      <c r="D180" s="2"/>
      <c r="E180" s="2"/>
      <c r="F180" s="2"/>
      <c r="G180" s="2"/>
      <c r="H180" s="2"/>
      <c r="I180" s="2"/>
    </row>
    <row r="181" spans="2:14" x14ac:dyDescent="0.25">
      <c r="B181" s="2"/>
      <c r="C181" s="3"/>
      <c r="D181" s="2"/>
      <c r="E181" s="2"/>
      <c r="F181" s="2"/>
      <c r="G181" s="2"/>
      <c r="H181" s="2"/>
      <c r="I181" s="2"/>
    </row>
    <row r="182" spans="2:14" x14ac:dyDescent="0.25">
      <c r="B182" s="2"/>
      <c r="C182" s="3"/>
      <c r="D182" s="2"/>
      <c r="E182" s="2"/>
      <c r="F182" s="2"/>
      <c r="G182" s="2"/>
      <c r="H182" s="2"/>
      <c r="I182" s="2"/>
    </row>
    <row r="183" spans="2:14" x14ac:dyDescent="0.25">
      <c r="B183" s="2"/>
      <c r="C183" s="3"/>
      <c r="D183" s="2"/>
      <c r="E183" s="2"/>
      <c r="F183" s="2"/>
      <c r="G183" s="2"/>
      <c r="H183" s="2"/>
      <c r="I183" s="2"/>
    </row>
    <row r="184" spans="2:14" x14ac:dyDescent="0.25">
      <c r="B184" s="2"/>
      <c r="C184" s="3"/>
      <c r="D184" s="2"/>
      <c r="E184" s="2"/>
      <c r="F184" s="2"/>
      <c r="G184" s="2"/>
      <c r="H184" s="2"/>
      <c r="I184" s="2"/>
    </row>
    <row r="185" spans="2:14" x14ac:dyDescent="0.25">
      <c r="B185" s="2"/>
      <c r="C185" s="3"/>
      <c r="D185" s="2"/>
      <c r="E185" s="2"/>
      <c r="F185" s="2"/>
      <c r="G185" s="2"/>
      <c r="H185" s="2"/>
      <c r="I185" s="2"/>
    </row>
    <row r="186" spans="2:14" x14ac:dyDescent="0.25">
      <c r="B186" s="2"/>
      <c r="C186" s="3"/>
      <c r="D186" s="2"/>
      <c r="E186" s="2"/>
      <c r="F186" s="2"/>
      <c r="G186" s="2"/>
      <c r="H186" s="2"/>
      <c r="I186" s="2"/>
    </row>
    <row r="187" spans="2:14" x14ac:dyDescent="0.25">
      <c r="B187" s="2"/>
      <c r="C187" s="3"/>
      <c r="D187" s="2"/>
      <c r="E187" s="2"/>
      <c r="F187" s="2"/>
      <c r="G187" s="2"/>
      <c r="H187" s="2"/>
      <c r="I187" s="2"/>
    </row>
    <row r="188" spans="2:14" x14ac:dyDescent="0.25">
      <c r="B188" s="2"/>
      <c r="C188" s="3"/>
      <c r="D188" s="2"/>
      <c r="E188" s="2"/>
      <c r="F188" s="2"/>
      <c r="G188" s="2"/>
      <c r="H188" s="2"/>
      <c r="I188" s="2"/>
    </row>
    <row r="189" spans="2:14" x14ac:dyDescent="0.25">
      <c r="B189" s="2"/>
      <c r="C189" s="3"/>
      <c r="D189" s="2"/>
      <c r="E189" s="2"/>
      <c r="F189" s="2"/>
      <c r="G189" s="2"/>
      <c r="H189" s="2"/>
      <c r="I189" s="2"/>
    </row>
    <row r="190" spans="2:14" x14ac:dyDescent="0.25">
      <c r="B190" s="2"/>
      <c r="C190" s="3"/>
      <c r="D190" s="2"/>
      <c r="E190" s="2"/>
      <c r="F190" s="2"/>
      <c r="G190" s="2"/>
      <c r="H190" s="2"/>
      <c r="I190" s="2"/>
    </row>
    <row r="191" spans="2:14" x14ac:dyDescent="0.25">
      <c r="B191" s="2" t="str">
        <f>IF([2]RSOph!B178&lt;&gt;"",[2]RSOph!B178,"")</f>
        <v/>
      </c>
      <c r="C191" s="3" t="str">
        <f>IF([2]RSOph!C178&lt;&gt;"",[2]RSOph!C178,"")</f>
        <v/>
      </c>
      <c r="D191" s="2" t="str">
        <f>IF([2]RSOph!D178&lt;&gt;"",[2]RSOph!D178,"")</f>
        <v/>
      </c>
      <c r="E191" s="2" t="str">
        <f>IF([2]RSOph!E178&lt;&gt;"",[2]RSOph!E178,"")</f>
        <v/>
      </c>
      <c r="F191" s="2" t="str">
        <f>IF([2]RSOph!F178&lt;&gt;"",[2]RSOph!F178,"")</f>
        <v/>
      </c>
      <c r="G191" s="2" t="str">
        <f>IF([2]RSOph!G178&lt;&gt;"",[2]RSOph!G178,"")</f>
        <v/>
      </c>
      <c r="H191" s="2" t="str">
        <f>IF([2]RSOph!H178&lt;&gt;"",[2]RSOph!H178,"")</f>
        <v/>
      </c>
      <c r="I191" s="2" t="str">
        <f>IF([2]RSOph!I178&lt;&gt;"",[2]RSOph!I178,"")</f>
        <v/>
      </c>
      <c r="M191" t="e">
        <f t="shared" ref="M191:M192" si="4">+E191-2450000</f>
        <v>#VALUE!</v>
      </c>
      <c r="N191">
        <f t="shared" ref="N191:N192" si="5">+O$22</f>
        <v>15</v>
      </c>
    </row>
    <row r="192" spans="2:14" x14ac:dyDescent="0.25">
      <c r="B192" s="2" t="str">
        <f>IF([2]RSOph!B179&lt;&gt;"",[2]RSOph!B179,"")</f>
        <v/>
      </c>
      <c r="C192" s="3" t="str">
        <f>IF([2]RSOph!C179&lt;&gt;"",[2]RSOph!C179,"")</f>
        <v/>
      </c>
      <c r="D192" s="2" t="str">
        <f>IF([2]RSOph!D179&lt;&gt;"",[2]RSOph!D179,"")</f>
        <v/>
      </c>
      <c r="E192" s="2" t="str">
        <f>IF([2]RSOph!E179&lt;&gt;"",[2]RSOph!E179,"")</f>
        <v/>
      </c>
      <c r="F192" s="2" t="str">
        <f>IF([2]RSOph!F179&lt;&gt;"",[2]RSOph!F179,"")</f>
        <v/>
      </c>
      <c r="G192" s="2" t="str">
        <f>IF([2]RSOph!G179&lt;&gt;"",[2]RSOph!G179,"")</f>
        <v/>
      </c>
      <c r="H192" s="2" t="str">
        <f>IF([2]RSOph!H179&lt;&gt;"",[2]RSOph!H179,"")</f>
        <v/>
      </c>
      <c r="I192" s="2" t="str">
        <f>IF([2]RSOph!I179&lt;&gt;"",[2]RSOph!I179,"")</f>
        <v/>
      </c>
      <c r="M192" t="e">
        <f t="shared" si="4"/>
        <v>#VALUE!</v>
      </c>
      <c r="N192">
        <f t="shared" si="5"/>
        <v>15</v>
      </c>
    </row>
    <row r="193" spans="2:9" x14ac:dyDescent="0.25">
      <c r="B193" s="2" t="str">
        <f>IF([2]RSOph!B180&lt;&gt;"",[2]RSOph!B180,"")</f>
        <v/>
      </c>
      <c r="C193" s="3" t="str">
        <f>IF([2]RSOph!C180&lt;&gt;"",[2]RSOph!C180,"")</f>
        <v/>
      </c>
      <c r="D193" s="2" t="str">
        <f>IF([2]RSOph!D180&lt;&gt;"",[2]RSOph!D180,"")</f>
        <v/>
      </c>
      <c r="E193" s="2" t="str">
        <f>IF([2]RSOph!E180&lt;&gt;"",[2]RSOph!E180,"")</f>
        <v/>
      </c>
      <c r="F193" s="2" t="str">
        <f>IF([2]RSOph!F180&lt;&gt;"",[2]RSOph!F180,"")</f>
        <v/>
      </c>
      <c r="G193" s="2" t="str">
        <f>IF([2]RSOph!G180&lt;&gt;"",[2]RSOph!G180,"")</f>
        <v/>
      </c>
      <c r="H193" s="2" t="str">
        <f>IF([2]RSOph!H180&lt;&gt;"",[2]RSOph!H180,"")</f>
        <v/>
      </c>
      <c r="I193" s="2" t="str">
        <f>IF([2]RSOph!I180&lt;&gt;"",[2]RSOph!I180,"")</f>
        <v/>
      </c>
    </row>
    <row r="194" spans="2:9" x14ac:dyDescent="0.25">
      <c r="B194" s="2" t="str">
        <f>IF([2]RSOph!B181&lt;&gt;"",[2]RSOph!B181,"")</f>
        <v/>
      </c>
      <c r="C194" s="3" t="str">
        <f>IF([2]RSOph!C181&lt;&gt;"",[2]RSOph!C181,"")</f>
        <v/>
      </c>
      <c r="D194" s="2" t="str">
        <f>IF([2]RSOph!D181&lt;&gt;"",[2]RSOph!D181,"")</f>
        <v/>
      </c>
      <c r="E194" s="2" t="str">
        <f>IF([2]RSOph!E181&lt;&gt;"",[2]RSOph!E181,"")</f>
        <v/>
      </c>
      <c r="F194" s="2" t="str">
        <f>IF([2]RSOph!F181&lt;&gt;"",[2]RSOph!F181,"")</f>
        <v/>
      </c>
      <c r="G194" s="2" t="str">
        <f>IF([2]RSOph!G181&lt;&gt;"",[2]RSOph!G181,"")</f>
        <v/>
      </c>
      <c r="H194" s="2" t="str">
        <f>IF([2]RSOph!H181&lt;&gt;"",[2]RSOph!H181,"")</f>
        <v/>
      </c>
      <c r="I194" s="2" t="str">
        <f>IF([2]RSOph!I181&lt;&gt;"",[2]RSOph!I181,"")</f>
        <v/>
      </c>
    </row>
    <row r="195" spans="2:9" x14ac:dyDescent="0.25">
      <c r="B195" s="2" t="str">
        <f>IF([2]RSOph!B182&lt;&gt;"",[2]RSOph!B182,"")</f>
        <v/>
      </c>
      <c r="C195" s="3" t="str">
        <f>IF([2]RSOph!C182&lt;&gt;"",[2]RSOph!C182,"")</f>
        <v/>
      </c>
      <c r="D195" s="2" t="str">
        <f>IF([2]RSOph!D182&lt;&gt;"",[2]RSOph!D182,"")</f>
        <v/>
      </c>
      <c r="E195" s="2" t="str">
        <f>IF([2]RSOph!E182&lt;&gt;"",[2]RSOph!E182,"")</f>
        <v/>
      </c>
      <c r="F195" s="2" t="str">
        <f>IF([2]RSOph!F182&lt;&gt;"",[2]RSOph!F182,"")</f>
        <v/>
      </c>
      <c r="G195" s="2" t="str">
        <f>IF([2]RSOph!G182&lt;&gt;"",[2]RSOph!G182,"")</f>
        <v/>
      </c>
      <c r="H195" s="2" t="str">
        <f>IF([2]RSOph!H182&lt;&gt;"",[2]RSOph!H182,"")</f>
        <v/>
      </c>
      <c r="I195" s="2" t="str">
        <f>IF([2]RSOph!I182&lt;&gt;"",[2]RSOph!I182,"")</f>
        <v/>
      </c>
    </row>
    <row r="196" spans="2:9" x14ac:dyDescent="0.25">
      <c r="B196" s="2" t="str">
        <f>IF([2]RSOph!B183&lt;&gt;"",[2]RSOph!B183,"")</f>
        <v/>
      </c>
      <c r="C196" s="3" t="str">
        <f>IF([2]RSOph!C183&lt;&gt;"",[2]RSOph!C183,"")</f>
        <v/>
      </c>
      <c r="D196" s="2" t="str">
        <f>IF([2]RSOph!D183&lt;&gt;"",[2]RSOph!D183,"")</f>
        <v/>
      </c>
      <c r="E196" s="2" t="str">
        <f>IF([2]RSOph!E183&lt;&gt;"",[2]RSOph!E183,"")</f>
        <v/>
      </c>
      <c r="F196" s="2" t="str">
        <f>IF([2]RSOph!F183&lt;&gt;"",[2]RSOph!F183,"")</f>
        <v/>
      </c>
      <c r="G196" s="2" t="str">
        <f>IF([2]RSOph!G183&lt;&gt;"",[2]RSOph!G183,"")</f>
        <v/>
      </c>
      <c r="H196" s="2" t="str">
        <f>IF([2]RSOph!H183&lt;&gt;"",[2]RSOph!H183,"")</f>
        <v/>
      </c>
      <c r="I196" s="2" t="str">
        <f>IF([2]RSOph!I183&lt;&gt;"",[2]RSOph!I183,"")</f>
        <v/>
      </c>
    </row>
    <row r="197" spans="2:9" x14ac:dyDescent="0.25">
      <c r="B197" s="2" t="str">
        <f>IF([2]RSOph!B184&lt;&gt;"",[2]RSOph!B184,"")</f>
        <v/>
      </c>
      <c r="C197" s="3" t="str">
        <f>IF([2]RSOph!C184&lt;&gt;"",[2]RSOph!C184,"")</f>
        <v/>
      </c>
      <c r="D197" s="2" t="str">
        <f>IF([2]RSOph!D184&lt;&gt;"",[2]RSOph!D184,"")</f>
        <v/>
      </c>
      <c r="E197" s="2" t="str">
        <f>IF([2]RSOph!E184&lt;&gt;"",[2]RSOph!E184,"")</f>
        <v/>
      </c>
      <c r="F197" s="2" t="str">
        <f>IF([2]RSOph!F184&lt;&gt;"",[2]RSOph!F184,"")</f>
        <v/>
      </c>
      <c r="G197" s="2" t="str">
        <f>IF([2]RSOph!G184&lt;&gt;"",[2]RSOph!G184,"")</f>
        <v/>
      </c>
      <c r="H197" s="2" t="str">
        <f>IF([2]RSOph!H184&lt;&gt;"",[2]RSOph!H184,"")</f>
        <v/>
      </c>
      <c r="I197" s="2" t="str">
        <f>IF([2]RSOph!I184&lt;&gt;"",[2]RSOph!I184,"")</f>
        <v/>
      </c>
    </row>
    <row r="198" spans="2:9" x14ac:dyDescent="0.25">
      <c r="B198" s="2" t="str">
        <f>IF([2]RSOph!B185&lt;&gt;"",[2]RSOph!B185,"")</f>
        <v/>
      </c>
      <c r="C198" s="3" t="str">
        <f>IF([2]RSOph!C185&lt;&gt;"",[2]RSOph!C185,"")</f>
        <v/>
      </c>
      <c r="D198" s="2" t="str">
        <f>IF([2]RSOph!D185&lt;&gt;"",[2]RSOph!D185,"")</f>
        <v/>
      </c>
      <c r="E198" s="2" t="str">
        <f>IF([2]RSOph!E185&lt;&gt;"",[2]RSOph!E185,"")</f>
        <v/>
      </c>
      <c r="F198" s="2" t="str">
        <f>IF([2]RSOph!F185&lt;&gt;"",[2]RSOph!F185,"")</f>
        <v/>
      </c>
      <c r="G198" s="2" t="str">
        <f>IF([2]RSOph!G185&lt;&gt;"",[2]RSOph!G185,"")</f>
        <v/>
      </c>
      <c r="H198" s="2" t="str">
        <f>IF([2]RSOph!H185&lt;&gt;"",[2]RSOph!H185,"")</f>
        <v/>
      </c>
      <c r="I198" s="2" t="str">
        <f>IF([2]RSOph!I185&lt;&gt;"",[2]RSOph!I185,"")</f>
        <v/>
      </c>
    </row>
    <row r="199" spans="2:9" x14ac:dyDescent="0.25">
      <c r="B199" s="2" t="str">
        <f>IF([2]RSOph!B186&lt;&gt;"",[2]RSOph!B186,"")</f>
        <v/>
      </c>
      <c r="C199" s="3" t="str">
        <f>IF([2]RSOph!C186&lt;&gt;"",[2]RSOph!C186,"")</f>
        <v/>
      </c>
      <c r="D199" s="2" t="str">
        <f>IF([2]RSOph!D186&lt;&gt;"",[2]RSOph!D186,"")</f>
        <v/>
      </c>
      <c r="E199" s="2" t="str">
        <f>IF([2]RSOph!E186&lt;&gt;"",[2]RSOph!E186,"")</f>
        <v/>
      </c>
      <c r="F199" s="2" t="str">
        <f>IF([2]RSOph!F186&lt;&gt;"",[2]RSOph!F186,"")</f>
        <v/>
      </c>
      <c r="G199" s="2" t="str">
        <f>IF([2]RSOph!G186&lt;&gt;"",[2]RSOph!G186,"")</f>
        <v/>
      </c>
      <c r="H199" s="2" t="str">
        <f>IF([2]RSOph!H186&lt;&gt;"",[2]RSOph!H186,"")</f>
        <v/>
      </c>
      <c r="I199" s="2" t="str">
        <f>IF([2]RSOph!I186&lt;&gt;"",[2]RSOph!I186,"")</f>
        <v/>
      </c>
    </row>
    <row r="200" spans="2:9" x14ac:dyDescent="0.25">
      <c r="B200" s="2" t="str">
        <f>IF([2]RSOph!B187&lt;&gt;"",[2]RSOph!B187,"")</f>
        <v/>
      </c>
      <c r="C200" s="3" t="str">
        <f>IF([2]RSOph!C187&lt;&gt;"",[2]RSOph!C187,"")</f>
        <v/>
      </c>
      <c r="D200" s="2" t="str">
        <f>IF([2]RSOph!D187&lt;&gt;"",[2]RSOph!D187,"")</f>
        <v/>
      </c>
      <c r="E200" s="2" t="str">
        <f>IF([2]RSOph!E187&lt;&gt;"",[2]RSOph!E187,"")</f>
        <v/>
      </c>
      <c r="F200" s="2" t="str">
        <f>IF([2]RSOph!F187&lt;&gt;"",[2]RSOph!F187,"")</f>
        <v/>
      </c>
      <c r="G200" s="2" t="str">
        <f>IF([2]RSOph!G187&lt;&gt;"",[2]RSOph!G187,"")</f>
        <v/>
      </c>
      <c r="H200" s="2" t="str">
        <f>IF([2]RSOph!H187&lt;&gt;"",[2]RSOph!H187,"")</f>
        <v/>
      </c>
      <c r="I200" s="2" t="str">
        <f>IF([2]RSOph!I187&lt;&gt;"",[2]RSOph!I187,"")</f>
        <v/>
      </c>
    </row>
    <row r="201" spans="2:9" x14ac:dyDescent="0.25">
      <c r="B201" s="2" t="str">
        <f>IF([2]RSOph!B188&lt;&gt;"",[2]RSOph!B188,"")</f>
        <v/>
      </c>
      <c r="C201" s="3" t="str">
        <f>IF([2]RSOph!C188&lt;&gt;"",[2]RSOph!C188,"")</f>
        <v/>
      </c>
      <c r="D201" s="2" t="str">
        <f>IF([2]RSOph!D188&lt;&gt;"",[2]RSOph!D188,"")</f>
        <v/>
      </c>
      <c r="E201" s="2" t="str">
        <f>IF([2]RSOph!E188&lt;&gt;"",[2]RSOph!E188,"")</f>
        <v/>
      </c>
      <c r="F201" s="2" t="str">
        <f>IF([2]RSOph!F188&lt;&gt;"",[2]RSOph!F188,"")</f>
        <v/>
      </c>
      <c r="G201" s="2" t="str">
        <f>IF([2]RSOph!G188&lt;&gt;"",[2]RSOph!G188,"")</f>
        <v/>
      </c>
      <c r="H201" s="2" t="str">
        <f>IF([2]RSOph!H188&lt;&gt;"",[2]RSOph!H188,"")</f>
        <v/>
      </c>
      <c r="I201" s="2" t="str">
        <f>IF([2]RSOph!I188&lt;&gt;"",[2]RSOph!I188,"")</f>
        <v/>
      </c>
    </row>
    <row r="202" spans="2:9" x14ac:dyDescent="0.25">
      <c r="B202" s="2" t="str">
        <f>IF([2]RSOph!B189&lt;&gt;"",[2]RSOph!B189,"")</f>
        <v/>
      </c>
      <c r="C202" s="3" t="str">
        <f>IF([2]RSOph!C189&lt;&gt;"",[2]RSOph!C189,"")</f>
        <v/>
      </c>
      <c r="D202" s="2" t="str">
        <f>IF([2]RSOph!D189&lt;&gt;"",[2]RSOph!D189,"")</f>
        <v/>
      </c>
      <c r="E202" s="2" t="str">
        <f>IF([2]RSOph!E189&lt;&gt;"",[2]RSOph!E189,"")</f>
        <v/>
      </c>
      <c r="F202" s="2" t="str">
        <f>IF([2]RSOph!F189&lt;&gt;"",[2]RSOph!F189,"")</f>
        <v/>
      </c>
      <c r="G202" s="2" t="str">
        <f>IF([2]RSOph!G189&lt;&gt;"",[2]RSOph!G189,"")</f>
        <v/>
      </c>
      <c r="H202" s="2" t="str">
        <f>IF([2]RSOph!H189&lt;&gt;"",[2]RSOph!H189,"")</f>
        <v/>
      </c>
      <c r="I202" s="2" t="str">
        <f>IF([2]RSOph!I189&lt;&gt;"",[2]RSOph!I189,"")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M24:N28"/>
  <sheetViews>
    <sheetView workbookViewId="0">
      <selection activeCell="M10" sqref="M10"/>
    </sheetView>
  </sheetViews>
  <sheetFormatPr baseColWidth="10" defaultRowHeight="15" x14ac:dyDescent="0.25"/>
  <sheetData>
    <row r="24" spans="13:14" x14ac:dyDescent="0.25">
      <c r="M24">
        <v>7180</v>
      </c>
      <c r="N24">
        <v>8.39</v>
      </c>
    </row>
    <row r="25" spans="13:14" x14ac:dyDescent="0.25">
      <c r="M25">
        <v>7204</v>
      </c>
      <c r="N25">
        <v>7</v>
      </c>
    </row>
    <row r="26" spans="13:14" x14ac:dyDescent="0.25">
      <c r="M26">
        <v>7298</v>
      </c>
      <c r="N26">
        <v>8</v>
      </c>
    </row>
    <row r="27" spans="13:14" x14ac:dyDescent="0.25">
      <c r="M27">
        <v>7309</v>
      </c>
      <c r="N27">
        <v>7.5</v>
      </c>
    </row>
    <row r="28" spans="13:14" x14ac:dyDescent="0.25">
      <c r="M28">
        <v>7344</v>
      </c>
      <c r="N28">
        <v>7.55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C4:L7"/>
  <sheetViews>
    <sheetView workbookViewId="0">
      <selection activeCell="E2" sqref="E2"/>
    </sheetView>
  </sheetViews>
  <sheetFormatPr baseColWidth="10" defaultRowHeight="15" x14ac:dyDescent="0.25"/>
  <sheetData>
    <row r="4" spans="3:12" x14ac:dyDescent="0.25">
      <c r="C4" t="s">
        <v>203</v>
      </c>
      <c r="D4">
        <f>+COUNTA(V!A:A)</f>
        <v>759</v>
      </c>
      <c r="L4">
        <v>2431668</v>
      </c>
    </row>
    <row r="5" spans="3:12" x14ac:dyDescent="0.25">
      <c r="C5" t="s">
        <v>204</v>
      </c>
      <c r="D5">
        <f>+COUNTA(Vis!A:A)</f>
        <v>1810</v>
      </c>
      <c r="L5">
        <v>816.5</v>
      </c>
    </row>
    <row r="6" spans="3:12" x14ac:dyDescent="0.25">
      <c r="C6" t="s">
        <v>205</v>
      </c>
    </row>
    <row r="7" spans="3:12" x14ac:dyDescent="0.25">
      <c r="C7" t="s">
        <v>206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A986"/>
  <sheetViews>
    <sheetView topLeftCell="A301" workbookViewId="0">
      <selection activeCell="M713" sqref="M713"/>
    </sheetView>
  </sheetViews>
  <sheetFormatPr baseColWidth="10" defaultRowHeight="15" x14ac:dyDescent="0.25"/>
  <cols>
    <col min="1" max="1" width="13.7109375" bestFit="1" customWidth="1"/>
    <col min="2" max="2" width="12.140625" bestFit="1" customWidth="1"/>
    <col min="3" max="3" width="9.5703125" bestFit="1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2">
        <v>2436400.0596699999</v>
      </c>
      <c r="B1" s="12" t="s">
        <v>92</v>
      </c>
      <c r="C1" s="12">
        <v>5.35</v>
      </c>
      <c r="D1" s="1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2">
        <v>2436402.1905</v>
      </c>
      <c r="B2" s="12" t="s">
        <v>782</v>
      </c>
      <c r="C2" s="12">
        <v>6.2050000000000001</v>
      </c>
      <c r="D2" s="1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2">
        <v>2436404.1804999998</v>
      </c>
      <c r="B3" s="12" t="s">
        <v>783</v>
      </c>
      <c r="C3" s="12">
        <v>6.81</v>
      </c>
      <c r="D3" s="1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2">
        <v>2436405.6860000002</v>
      </c>
      <c r="B4" s="12" t="s">
        <v>784</v>
      </c>
      <c r="C4" s="12">
        <v>7.2</v>
      </c>
      <c r="D4" s="1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2">
        <v>2436407.6839999999</v>
      </c>
      <c r="B5" s="12" t="s">
        <v>785</v>
      </c>
      <c r="C5" s="12">
        <v>7.54</v>
      </c>
      <c r="D5" s="12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2">
        <v>2436408.6880000001</v>
      </c>
      <c r="B6" s="12" t="s">
        <v>786</v>
      </c>
      <c r="C6" s="12">
        <v>7.66</v>
      </c>
      <c r="D6" s="12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2">
        <v>2452086.6213000002</v>
      </c>
      <c r="B7" s="12" t="s">
        <v>207</v>
      </c>
      <c r="C7" s="12">
        <v>11.06</v>
      </c>
      <c r="D7" s="12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2">
        <v>2452087.6230000001</v>
      </c>
      <c r="B8" s="12" t="s">
        <v>208</v>
      </c>
      <c r="C8" s="12">
        <v>11.14</v>
      </c>
      <c r="D8" s="12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2">
        <v>2452467.6411000001</v>
      </c>
      <c r="B9" s="12" t="s">
        <v>209</v>
      </c>
      <c r="C9" s="12">
        <v>11.38</v>
      </c>
      <c r="D9" s="1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2">
        <v>2452472.9323</v>
      </c>
      <c r="B10" s="12" t="s">
        <v>210</v>
      </c>
      <c r="C10" s="12">
        <v>11.21</v>
      </c>
      <c r="D10" s="12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2">
        <v>2452493.6205000002</v>
      </c>
      <c r="B11" s="12" t="s">
        <v>211</v>
      </c>
      <c r="C11" s="12">
        <v>11.19</v>
      </c>
      <c r="D11" s="12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2">
        <v>2452562.5348</v>
      </c>
      <c r="B12" s="12" t="s">
        <v>212</v>
      </c>
      <c r="C12" s="12">
        <v>11.31</v>
      </c>
      <c r="D12" s="12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2">
        <v>2452563.6076000002</v>
      </c>
      <c r="B13" s="12" t="s">
        <v>213</v>
      </c>
      <c r="C13" s="12">
        <v>11.04</v>
      </c>
      <c r="D13" s="12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2">
        <v>2452655.7310000001</v>
      </c>
      <c r="B14" s="12" t="s">
        <v>214</v>
      </c>
      <c r="C14" s="12">
        <v>11.3</v>
      </c>
      <c r="D14" s="1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2">
        <v>2452777.7993000001</v>
      </c>
      <c r="B15" s="12" t="s">
        <v>215</v>
      </c>
      <c r="C15" s="12">
        <v>10.76</v>
      </c>
      <c r="D15" s="1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2">
        <v>2452791.53547</v>
      </c>
      <c r="B16" s="12" t="s">
        <v>216</v>
      </c>
      <c r="C16" s="12">
        <v>10.686667</v>
      </c>
      <c r="D16" s="1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2">
        <v>2452800.7152999998</v>
      </c>
      <c r="B17" s="12" t="s">
        <v>217</v>
      </c>
      <c r="C17" s="12">
        <v>10.5</v>
      </c>
      <c r="D17" s="1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2">
        <v>2452811.6653</v>
      </c>
      <c r="B18" s="12" t="s">
        <v>218</v>
      </c>
      <c r="C18" s="12">
        <v>10.74</v>
      </c>
      <c r="D18" s="1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2">
        <v>2452820.6674000002</v>
      </c>
      <c r="B19" s="12" t="s">
        <v>219</v>
      </c>
      <c r="C19" s="12">
        <v>11.01</v>
      </c>
      <c r="D19" s="1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2">
        <v>2452827.8028000002</v>
      </c>
      <c r="B20" s="12" t="s">
        <v>220</v>
      </c>
      <c r="C20" s="12">
        <v>11.08</v>
      </c>
      <c r="D20" s="1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2">
        <v>2452834.75507</v>
      </c>
      <c r="B21" s="12" t="s">
        <v>221</v>
      </c>
      <c r="C21" s="12">
        <v>10.77</v>
      </c>
      <c r="D21" s="1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2">
        <v>2452841.6916999999</v>
      </c>
      <c r="B22" s="12" t="s">
        <v>222</v>
      </c>
      <c r="C22" s="12">
        <v>10.92</v>
      </c>
      <c r="D22" s="1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2">
        <v>2452850.6833000001</v>
      </c>
      <c r="B23" s="12" t="s">
        <v>223</v>
      </c>
      <c r="C23" s="12">
        <v>11.175000000000001</v>
      </c>
      <c r="D23" s="1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2">
        <v>2452855.1934000002</v>
      </c>
      <c r="B24" s="12" t="s">
        <v>224</v>
      </c>
      <c r="C24" s="12">
        <v>11.045</v>
      </c>
      <c r="D24" s="1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2">
        <v>2452858.6464999998</v>
      </c>
      <c r="B25" s="12" t="s">
        <v>225</v>
      </c>
      <c r="C25" s="12">
        <v>11.1</v>
      </c>
      <c r="D25" s="1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2">
        <v>2452862.6458000001</v>
      </c>
      <c r="B26" s="12" t="s">
        <v>226</v>
      </c>
      <c r="C26" s="12">
        <v>11.35</v>
      </c>
      <c r="D26" s="1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2">
        <v>2452871.1079500001</v>
      </c>
      <c r="B27" s="12" t="s">
        <v>227</v>
      </c>
      <c r="C27" s="12">
        <v>11.015000000000001</v>
      </c>
      <c r="D27" s="1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2">
        <v>2452875.5943</v>
      </c>
      <c r="B28" s="12" t="s">
        <v>228</v>
      </c>
      <c r="C28" s="12">
        <v>11.19</v>
      </c>
      <c r="D28" s="1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2">
        <v>2452882.6565</v>
      </c>
      <c r="B29" s="12" t="s">
        <v>229</v>
      </c>
      <c r="C29" s="12">
        <v>11</v>
      </c>
      <c r="D29" s="1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2">
        <v>2452890.6277999999</v>
      </c>
      <c r="B30" s="12" t="s">
        <v>230</v>
      </c>
      <c r="C30" s="12">
        <v>11.26</v>
      </c>
      <c r="D30" s="1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2">
        <v>2452900.1153500001</v>
      </c>
      <c r="B31" s="12" t="s">
        <v>231</v>
      </c>
      <c r="C31" s="12">
        <v>11.205</v>
      </c>
      <c r="D31" s="1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2">
        <v>2452906.62115</v>
      </c>
      <c r="B32" s="12" t="s">
        <v>232</v>
      </c>
      <c r="C32" s="12">
        <v>10.96</v>
      </c>
      <c r="D32" s="1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2">
        <v>2452908.6046000002</v>
      </c>
      <c r="B33" s="12" t="s">
        <v>233</v>
      </c>
      <c r="C33" s="12">
        <v>10.95</v>
      </c>
      <c r="D33" s="1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2">
        <v>2452921.0578000001</v>
      </c>
      <c r="B34" s="12" t="s">
        <v>234</v>
      </c>
      <c r="C34" s="12">
        <v>10.755000000000001</v>
      </c>
      <c r="D34" s="1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2">
        <v>2452926.5531000001</v>
      </c>
      <c r="B35" s="12" t="s">
        <v>235</v>
      </c>
      <c r="C35" s="12">
        <v>10.98</v>
      </c>
      <c r="D35" s="1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2">
        <v>2452935.2259999998</v>
      </c>
      <c r="B36" s="12" t="s">
        <v>236</v>
      </c>
      <c r="C36" s="12">
        <v>10.98</v>
      </c>
      <c r="D36" s="1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2">
        <v>2452937.5375000001</v>
      </c>
      <c r="B37" s="12" t="s">
        <v>237</v>
      </c>
      <c r="C37" s="12">
        <v>10.96</v>
      </c>
      <c r="D37" s="1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2">
        <v>2452953.4912</v>
      </c>
      <c r="B38" s="12" t="s">
        <v>238</v>
      </c>
      <c r="C38" s="12">
        <v>10.86</v>
      </c>
      <c r="D38" s="1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2">
        <v>2452964.4843299999</v>
      </c>
      <c r="B39" s="12" t="s">
        <v>239</v>
      </c>
      <c r="C39" s="12">
        <v>11.28</v>
      </c>
      <c r="D39" s="1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2">
        <v>2453087.8640000001</v>
      </c>
      <c r="B40" s="12" t="s">
        <v>240</v>
      </c>
      <c r="C40" s="12">
        <v>11.45</v>
      </c>
      <c r="D40" s="1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2">
        <v>2453143.1943000001</v>
      </c>
      <c r="B41" s="12" t="s">
        <v>241</v>
      </c>
      <c r="C41" s="12">
        <v>11.24</v>
      </c>
      <c r="D41" s="1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2">
        <v>2453169.5014</v>
      </c>
      <c r="B42" s="12" t="s">
        <v>242</v>
      </c>
      <c r="C42" s="12">
        <v>11.75</v>
      </c>
      <c r="D42" s="1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2">
        <v>2453187.7308</v>
      </c>
      <c r="B43" s="12" t="s">
        <v>243</v>
      </c>
      <c r="C43" s="12">
        <v>11.16</v>
      </c>
      <c r="D43" s="1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2">
        <v>2453189.4183</v>
      </c>
      <c r="B44" s="12" t="s">
        <v>244</v>
      </c>
      <c r="C44" s="12">
        <v>11.35</v>
      </c>
      <c r="D44" s="1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2">
        <v>2453197.7592000002</v>
      </c>
      <c r="B45" s="12" t="s">
        <v>245</v>
      </c>
      <c r="C45" s="12">
        <v>11.1</v>
      </c>
      <c r="D45" s="1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2">
        <v>2453201.5019</v>
      </c>
      <c r="B46" s="12" t="s">
        <v>246</v>
      </c>
      <c r="C46" s="12">
        <v>11.07</v>
      </c>
      <c r="D46" s="1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2">
        <v>2453215.6820999999</v>
      </c>
      <c r="B47" s="12" t="s">
        <v>247</v>
      </c>
      <c r="C47" s="12">
        <v>10.926667</v>
      </c>
      <c r="D47" s="1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2">
        <v>2453224.7371999999</v>
      </c>
      <c r="B48" s="12" t="s">
        <v>248</v>
      </c>
      <c r="C48" s="12">
        <v>11.22</v>
      </c>
      <c r="D48" s="1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2">
        <v>2453226.71257</v>
      </c>
      <c r="B49" s="12" t="s">
        <v>249</v>
      </c>
      <c r="C49" s="12">
        <v>11.21</v>
      </c>
      <c r="D49" s="1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2">
        <v>2453231.5318</v>
      </c>
      <c r="B50" s="12" t="s">
        <v>250</v>
      </c>
      <c r="C50" s="12">
        <v>11.34</v>
      </c>
      <c r="D50" s="1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2">
        <v>2453236.3434000001</v>
      </c>
      <c r="B51" s="12" t="s">
        <v>251</v>
      </c>
      <c r="C51" s="12">
        <v>11.065</v>
      </c>
      <c r="D51" s="1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2">
        <v>2453239.7036000001</v>
      </c>
      <c r="B52" s="12" t="s">
        <v>252</v>
      </c>
      <c r="C52" s="12">
        <v>11.2</v>
      </c>
      <c r="D52" s="1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2">
        <v>2453249.6573000001</v>
      </c>
      <c r="B53" s="12" t="s">
        <v>253</v>
      </c>
      <c r="C53" s="12">
        <v>11.14</v>
      </c>
      <c r="D53" s="1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2">
        <v>2453254.4007000001</v>
      </c>
      <c r="B54" s="12" t="s">
        <v>254</v>
      </c>
      <c r="C54" s="12">
        <v>11.6</v>
      </c>
      <c r="D54" s="1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2">
        <v>2453261.41017</v>
      </c>
      <c r="B55" s="12" t="s">
        <v>255</v>
      </c>
      <c r="C55" s="12">
        <v>11.463333</v>
      </c>
      <c r="D55" s="1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2">
        <v>2453265.3684</v>
      </c>
      <c r="B56" s="12" t="s">
        <v>256</v>
      </c>
      <c r="C56" s="12">
        <v>11.3</v>
      </c>
      <c r="D56" s="12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2">
        <v>2453269.0953000002</v>
      </c>
      <c r="B57" s="12" t="s">
        <v>257</v>
      </c>
      <c r="C57" s="12">
        <v>11.3</v>
      </c>
      <c r="D57" s="12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2">
        <v>2453284.5891</v>
      </c>
      <c r="B58" s="12" t="s">
        <v>258</v>
      </c>
      <c r="C58" s="12">
        <v>10.88</v>
      </c>
      <c r="D58" s="12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2">
        <v>2453290.5328000002</v>
      </c>
      <c r="B59" s="12" t="s">
        <v>259</v>
      </c>
      <c r="C59" s="12">
        <v>10.82</v>
      </c>
      <c r="D59" s="12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2">
        <v>2453304.51933</v>
      </c>
      <c r="B60" s="12" t="s">
        <v>260</v>
      </c>
      <c r="C60" s="12">
        <v>10.826667</v>
      </c>
      <c r="D60" s="12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2">
        <v>2453322.48673</v>
      </c>
      <c r="B61" s="12" t="s">
        <v>261</v>
      </c>
      <c r="C61" s="12">
        <v>11.156667000000001</v>
      </c>
      <c r="D61" s="12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2">
        <v>2453330.6800000002</v>
      </c>
      <c r="B62" s="12" t="s">
        <v>262</v>
      </c>
      <c r="C62" s="12">
        <v>10.65</v>
      </c>
      <c r="D62" s="1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2">
        <v>2453435.9097000002</v>
      </c>
      <c r="B63" s="12" t="s">
        <v>263</v>
      </c>
      <c r="C63" s="12">
        <v>10.51</v>
      </c>
      <c r="D63" s="1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2">
        <v>2453465.8580999998</v>
      </c>
      <c r="B64" s="12" t="s">
        <v>264</v>
      </c>
      <c r="C64" s="12">
        <v>10.54</v>
      </c>
      <c r="D64" s="1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2">
        <v>2453470.8221999998</v>
      </c>
      <c r="B65" s="12" t="s">
        <v>265</v>
      </c>
      <c r="C65" s="12">
        <v>10.47</v>
      </c>
      <c r="D65" s="1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2">
        <v>2453475.3605</v>
      </c>
      <c r="B66" s="12" t="s">
        <v>266</v>
      </c>
      <c r="C66" s="12">
        <v>10.725</v>
      </c>
      <c r="D66" s="1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2">
        <v>2453488.9068</v>
      </c>
      <c r="B67" s="12" t="s">
        <v>267</v>
      </c>
      <c r="C67" s="12">
        <v>10.76</v>
      </c>
      <c r="D67" s="1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2">
        <v>2453495.8478000001</v>
      </c>
      <c r="B68" s="12" t="s">
        <v>268</v>
      </c>
      <c r="C68" s="12">
        <v>10.51</v>
      </c>
      <c r="D68" s="12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2">
        <v>2453516.8709999998</v>
      </c>
      <c r="B69" s="12" t="s">
        <v>269</v>
      </c>
      <c r="C69" s="12">
        <v>10.57</v>
      </c>
      <c r="D69" s="12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2">
        <v>2453520.517</v>
      </c>
      <c r="B70" s="12" t="s">
        <v>270</v>
      </c>
      <c r="C70" s="12">
        <v>10.6</v>
      </c>
      <c r="D70" s="12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2">
        <v>2453523.1908499999</v>
      </c>
      <c r="B71" s="12" t="s">
        <v>271</v>
      </c>
      <c r="C71" s="12">
        <v>10.38</v>
      </c>
      <c r="D71" s="1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2">
        <v>2453528.5019999999</v>
      </c>
      <c r="B72" s="12" t="s">
        <v>272</v>
      </c>
      <c r="C72" s="12">
        <v>10.38</v>
      </c>
      <c r="D72" s="12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2">
        <v>2453531.503</v>
      </c>
      <c r="B73" s="12" t="s">
        <v>273</v>
      </c>
      <c r="C73" s="12">
        <v>10.55</v>
      </c>
      <c r="D73" s="12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2">
        <v>2453535.7420000001</v>
      </c>
      <c r="B74" s="12" t="s">
        <v>274</v>
      </c>
      <c r="C74" s="12">
        <v>10.199999999999999</v>
      </c>
      <c r="D74" s="12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2">
        <v>2453537.477</v>
      </c>
      <c r="B75" s="12" t="s">
        <v>275</v>
      </c>
      <c r="C75" s="12">
        <v>10.45</v>
      </c>
      <c r="D75" s="12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2">
        <v>2453539.64175</v>
      </c>
      <c r="B76" s="12" t="s">
        <v>276</v>
      </c>
      <c r="C76" s="12">
        <v>10.36</v>
      </c>
      <c r="D76" s="1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2">
        <v>2453541.7552</v>
      </c>
      <c r="B77" s="12" t="s">
        <v>277</v>
      </c>
      <c r="C77" s="12">
        <v>10.199999999999999</v>
      </c>
      <c r="D77" s="1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2">
        <v>2453545.477</v>
      </c>
      <c r="B78" s="12" t="s">
        <v>137</v>
      </c>
      <c r="C78" s="12">
        <v>10.52</v>
      </c>
      <c r="D78" s="12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2">
        <v>2453547.469</v>
      </c>
      <c r="B79" s="12" t="s">
        <v>278</v>
      </c>
      <c r="C79" s="12">
        <v>10.65</v>
      </c>
      <c r="D79" s="1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2">
        <v>2453549.9654999999</v>
      </c>
      <c r="B80" s="12" t="s">
        <v>279</v>
      </c>
      <c r="C80" s="12">
        <v>10.42</v>
      </c>
      <c r="D80" s="12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2">
        <v>2453551.463</v>
      </c>
      <c r="B81" s="12" t="s">
        <v>280</v>
      </c>
      <c r="C81" s="12">
        <v>10.65</v>
      </c>
      <c r="D81" s="1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2">
        <v>2453555.2071500001</v>
      </c>
      <c r="B82" s="12" t="s">
        <v>281</v>
      </c>
      <c r="C82" s="12">
        <v>10.38</v>
      </c>
      <c r="D82" s="12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2">
        <v>2453559.4440000001</v>
      </c>
      <c r="B83" s="12" t="s">
        <v>282</v>
      </c>
      <c r="C83" s="12">
        <v>10.48</v>
      </c>
      <c r="D83" s="1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2">
        <v>2453563.1096000001</v>
      </c>
      <c r="B84" s="12" t="s">
        <v>283</v>
      </c>
      <c r="C84" s="12">
        <v>10.545</v>
      </c>
      <c r="D84" s="12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2">
        <v>2453565.48</v>
      </c>
      <c r="B85" s="12" t="s">
        <v>284</v>
      </c>
      <c r="C85" s="12">
        <v>10.46</v>
      </c>
      <c r="D85" s="12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2">
        <v>2453569.9794999999</v>
      </c>
      <c r="B86" s="12" t="s">
        <v>285</v>
      </c>
      <c r="C86" s="12">
        <v>10.605</v>
      </c>
      <c r="D86" s="12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2">
        <v>2453571.7439999999</v>
      </c>
      <c r="B87" s="12" t="s">
        <v>286</v>
      </c>
      <c r="C87" s="12">
        <v>10.61</v>
      </c>
      <c r="D87" s="12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2">
        <v>2453580.4479999999</v>
      </c>
      <c r="B88" s="12" t="s">
        <v>287</v>
      </c>
      <c r="C88" s="12">
        <v>10.86</v>
      </c>
      <c r="D88" s="12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2">
        <v>2453581.4479999999</v>
      </c>
      <c r="B89" s="12" t="s">
        <v>288</v>
      </c>
      <c r="C89" s="12">
        <v>10.9</v>
      </c>
      <c r="D89" s="12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2">
        <v>2453597.3420000002</v>
      </c>
      <c r="B90" s="12" t="s">
        <v>289</v>
      </c>
      <c r="C90" s="12">
        <v>10.91</v>
      </c>
      <c r="D90" s="12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2">
        <v>2453599.3879999998</v>
      </c>
      <c r="B91" s="12" t="s">
        <v>290</v>
      </c>
      <c r="C91" s="12">
        <v>11.09</v>
      </c>
      <c r="D91" s="12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2">
        <v>2453613.3629999999</v>
      </c>
      <c r="B92" s="12" t="s">
        <v>185</v>
      </c>
      <c r="C92" s="12">
        <v>11.33</v>
      </c>
      <c r="D92" s="12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2">
        <v>2453617.35</v>
      </c>
      <c r="B93" s="12" t="s">
        <v>291</v>
      </c>
      <c r="C93" s="12">
        <v>11.24</v>
      </c>
      <c r="D93" s="1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2">
        <v>2453624.6439999999</v>
      </c>
      <c r="B94" s="12" t="s">
        <v>292</v>
      </c>
      <c r="C94" s="12">
        <v>11.23</v>
      </c>
      <c r="D94" s="12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2">
        <v>2453634.6290000002</v>
      </c>
      <c r="B95" s="12" t="s">
        <v>293</v>
      </c>
      <c r="C95" s="12">
        <v>11.33</v>
      </c>
      <c r="D95" s="12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2">
        <v>2453641.6052000001</v>
      </c>
      <c r="B96" s="12" t="s">
        <v>294</v>
      </c>
      <c r="C96" s="12">
        <v>11.09</v>
      </c>
      <c r="D96" s="12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2">
        <v>2453644.5010000002</v>
      </c>
      <c r="B97" s="12" t="s">
        <v>295</v>
      </c>
      <c r="C97" s="12">
        <v>11.02</v>
      </c>
      <c r="D97" s="12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2">
        <v>2453649.5824000002</v>
      </c>
      <c r="B98" s="12" t="s">
        <v>296</v>
      </c>
      <c r="C98" s="12">
        <v>10.89</v>
      </c>
      <c r="D98" s="12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2">
        <v>2453673.4718999998</v>
      </c>
      <c r="B99" s="12" t="s">
        <v>297</v>
      </c>
      <c r="C99" s="12">
        <v>10.76</v>
      </c>
      <c r="D99" s="12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2">
        <v>2453677.4937999998</v>
      </c>
      <c r="B100" s="12" t="s">
        <v>298</v>
      </c>
      <c r="C100" s="12">
        <v>10.8</v>
      </c>
      <c r="D100" s="12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2">
        <v>2453686.4657999999</v>
      </c>
      <c r="B101" s="12" t="s">
        <v>299</v>
      </c>
      <c r="C101" s="12">
        <v>11.29</v>
      </c>
      <c r="D101" s="12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2">
        <v>2453767.9737</v>
      </c>
      <c r="B102" s="12" t="s">
        <v>300</v>
      </c>
      <c r="C102" s="12">
        <v>10.98</v>
      </c>
      <c r="D102" s="12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2">
        <v>2453780.04421</v>
      </c>
      <c r="B103" s="12" t="s">
        <v>301</v>
      </c>
      <c r="C103" s="12">
        <v>4.9673109999999996</v>
      </c>
      <c r="D103" s="12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2">
        <v>2453781.0529299998</v>
      </c>
      <c r="B104" s="12" t="s">
        <v>302</v>
      </c>
      <c r="C104" s="12">
        <v>5.5275559999999997</v>
      </c>
      <c r="D104" s="12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2">
        <v>2453782.9475799999</v>
      </c>
      <c r="B105" s="12" t="s">
        <v>303</v>
      </c>
      <c r="C105" s="12">
        <v>6.2402160000000002</v>
      </c>
      <c r="D105" s="12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2">
        <v>2453787.3621499999</v>
      </c>
      <c r="B106" s="12" t="s">
        <v>304</v>
      </c>
      <c r="C106" s="12">
        <v>7.2450000000000001</v>
      </c>
      <c r="D106" s="12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2">
        <v>2453788.4750000001</v>
      </c>
      <c r="B107" s="12" t="s">
        <v>305</v>
      </c>
      <c r="C107" s="12">
        <v>7.3949999999999996</v>
      </c>
      <c r="D107" s="12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2">
        <v>2453790.9454000001</v>
      </c>
      <c r="B108" s="12" t="s">
        <v>306</v>
      </c>
      <c r="C108" s="12">
        <v>7.66</v>
      </c>
      <c r="D108" s="12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2">
        <v>2453791.4750000001</v>
      </c>
      <c r="B109" s="12" t="s">
        <v>306</v>
      </c>
      <c r="C109" s="12">
        <v>7.7249999999999996</v>
      </c>
      <c r="D109" s="12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2">
        <v>2453792.4841</v>
      </c>
      <c r="B110" s="12" t="s">
        <v>307</v>
      </c>
      <c r="C110" s="12">
        <v>7.78</v>
      </c>
      <c r="D110" s="12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2">
        <v>2453793.6488700002</v>
      </c>
      <c r="B111" s="12" t="s">
        <v>308</v>
      </c>
      <c r="C111" s="12">
        <v>7.9233330000000004</v>
      </c>
      <c r="D111" s="12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2">
        <v>2453795.47028</v>
      </c>
      <c r="B112" s="12" t="s">
        <v>309</v>
      </c>
      <c r="C112" s="12">
        <v>8.0218330000000009</v>
      </c>
      <c r="D112" s="12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2">
        <v>2453796.9731999999</v>
      </c>
      <c r="B113" s="12" t="s">
        <v>310</v>
      </c>
      <c r="C113" s="12">
        <v>8.23</v>
      </c>
      <c r="D113" s="12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2">
        <v>2453798.4553</v>
      </c>
      <c r="B114" s="12" t="s">
        <v>311</v>
      </c>
      <c r="C114" s="12">
        <v>8.35</v>
      </c>
      <c r="D114" s="12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2">
        <v>2453799.9496800001</v>
      </c>
      <c r="B115" s="12" t="s">
        <v>312</v>
      </c>
      <c r="C115" s="12">
        <v>8.3887110000000007</v>
      </c>
      <c r="D115" s="12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2">
        <v>2453800.1375799999</v>
      </c>
      <c r="B116" s="12" t="s">
        <v>312</v>
      </c>
      <c r="C116" s="12">
        <v>8.42</v>
      </c>
      <c r="D116" s="12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2">
        <v>2453801.4787300001</v>
      </c>
      <c r="B117" s="12" t="s">
        <v>313</v>
      </c>
      <c r="C117" s="12">
        <v>8.4875000000000007</v>
      </c>
      <c r="D117" s="12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2">
        <v>2453802.98</v>
      </c>
      <c r="B118" s="12" t="s">
        <v>314</v>
      </c>
      <c r="C118" s="12">
        <v>8.66</v>
      </c>
      <c r="D118" s="12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2">
        <v>2453808.9497000002</v>
      </c>
      <c r="B119" s="12" t="s">
        <v>140</v>
      </c>
      <c r="C119" s="12">
        <v>9.1</v>
      </c>
      <c r="D119" s="12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2">
        <v>2453810.9503500001</v>
      </c>
      <c r="B120" s="12" t="s">
        <v>315</v>
      </c>
      <c r="C120" s="12">
        <v>9.1859999999999999</v>
      </c>
      <c r="D120" s="12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2">
        <v>2453812.9441999998</v>
      </c>
      <c r="B121" s="12" t="s">
        <v>316</v>
      </c>
      <c r="C121" s="12">
        <v>9.2100000000000009</v>
      </c>
      <c r="D121" s="12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2">
        <v>2453817.4325999999</v>
      </c>
      <c r="B122" s="12" t="s">
        <v>317</v>
      </c>
      <c r="C122" s="12">
        <v>9.4499999999999993</v>
      </c>
      <c r="D122" s="12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2">
        <v>2453818.9286000002</v>
      </c>
      <c r="B123" s="12" t="s">
        <v>318</v>
      </c>
      <c r="C123" s="12">
        <v>9.6</v>
      </c>
      <c r="D123" s="12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2">
        <v>2453820.9205999998</v>
      </c>
      <c r="B124" s="12" t="s">
        <v>319</v>
      </c>
      <c r="C124" s="12">
        <v>9.6999999999999993</v>
      </c>
      <c r="D124" s="12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2">
        <v>2453824.8647500002</v>
      </c>
      <c r="B125" s="12" t="s">
        <v>320</v>
      </c>
      <c r="C125" s="12">
        <v>9.77</v>
      </c>
      <c r="D125" s="12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2">
        <v>2453827.8975</v>
      </c>
      <c r="B126" s="12" t="s">
        <v>321</v>
      </c>
      <c r="C126" s="12">
        <v>9.9</v>
      </c>
      <c r="D126" s="12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2">
        <v>2453829.3951500002</v>
      </c>
      <c r="B127" s="12" t="s">
        <v>322</v>
      </c>
      <c r="C127" s="12">
        <v>9.9</v>
      </c>
      <c r="D127" s="12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2">
        <v>2453832.8950999998</v>
      </c>
      <c r="B128" s="12" t="s">
        <v>323</v>
      </c>
      <c r="C128" s="12">
        <v>10</v>
      </c>
      <c r="D128" s="12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2">
        <v>2453834.3844499998</v>
      </c>
      <c r="B129" s="12" t="s">
        <v>324</v>
      </c>
      <c r="C129" s="12">
        <v>10</v>
      </c>
      <c r="D129" s="12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2">
        <v>2453836.8122999999</v>
      </c>
      <c r="B130" s="12" t="s">
        <v>325</v>
      </c>
      <c r="C130" s="12">
        <v>9.8800000000000008</v>
      </c>
      <c r="D130" s="12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2">
        <v>2453838.37445</v>
      </c>
      <c r="B131" s="12" t="s">
        <v>326</v>
      </c>
      <c r="C131" s="12">
        <v>10</v>
      </c>
      <c r="D131" s="12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2">
        <v>2453841.8399499999</v>
      </c>
      <c r="B132" s="12" t="s">
        <v>327</v>
      </c>
      <c r="C132" s="12">
        <v>10.029999999999999</v>
      </c>
      <c r="D132" s="12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2">
        <v>2453843.3606500002</v>
      </c>
      <c r="B133" s="12" t="s">
        <v>328</v>
      </c>
      <c r="C133" s="12">
        <v>10.1</v>
      </c>
      <c r="D133" s="12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2">
        <v>2453844.85995</v>
      </c>
      <c r="B134" s="12" t="s">
        <v>329</v>
      </c>
      <c r="C134" s="12">
        <v>10.055</v>
      </c>
      <c r="D134" s="12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2">
        <v>2453846.3547999999</v>
      </c>
      <c r="B135" s="12" t="s">
        <v>330</v>
      </c>
      <c r="C135" s="12">
        <v>10.1</v>
      </c>
      <c r="D135" s="12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2">
        <v>2453851.3327000001</v>
      </c>
      <c r="B136" s="12" t="s">
        <v>331</v>
      </c>
      <c r="C136" s="12">
        <v>10.1</v>
      </c>
      <c r="D136" s="12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2">
        <v>2453853.3332000002</v>
      </c>
      <c r="B137" s="12" t="s">
        <v>332</v>
      </c>
      <c r="C137" s="12">
        <v>10.199999999999999</v>
      </c>
      <c r="D137" s="12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2">
        <v>2453854.8672500001</v>
      </c>
      <c r="B138" s="12" t="s">
        <v>333</v>
      </c>
      <c r="C138" s="12">
        <v>10.244999999999999</v>
      </c>
      <c r="D138" s="12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2">
        <v>2453856.3175499998</v>
      </c>
      <c r="B139" s="12" t="s">
        <v>334</v>
      </c>
      <c r="C139" s="12">
        <v>10.35</v>
      </c>
      <c r="D139" s="12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2">
        <v>2453857.8210999998</v>
      </c>
      <c r="B140" s="12" t="s">
        <v>335</v>
      </c>
      <c r="C140" s="12">
        <v>10.3</v>
      </c>
      <c r="D140" s="12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2">
        <v>2453860.2928999998</v>
      </c>
      <c r="B141" s="12" t="s">
        <v>336</v>
      </c>
      <c r="C141" s="12">
        <v>10.404999999999999</v>
      </c>
      <c r="D141" s="12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2">
        <v>2453861.3084499999</v>
      </c>
      <c r="B142" s="12" t="s">
        <v>337</v>
      </c>
      <c r="C142" s="12">
        <v>10.5</v>
      </c>
      <c r="D142" s="12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2">
        <v>2453863.2931499998</v>
      </c>
      <c r="B143" s="12" t="s">
        <v>338</v>
      </c>
      <c r="C143" s="12">
        <v>10.59</v>
      </c>
      <c r="D143" s="12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2">
        <v>2453864.7958</v>
      </c>
      <c r="B144" s="12" t="s">
        <v>339</v>
      </c>
      <c r="C144" s="12">
        <v>10.6</v>
      </c>
      <c r="D144" s="12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2">
        <v>2453866.2921000002</v>
      </c>
      <c r="B145" s="12" t="s">
        <v>340</v>
      </c>
      <c r="C145" s="12">
        <v>10.7</v>
      </c>
      <c r="D145" s="12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2">
        <v>2453874.7697999999</v>
      </c>
      <c r="B146" s="12" t="s">
        <v>341</v>
      </c>
      <c r="C146" s="12">
        <v>11.1</v>
      </c>
      <c r="D146" s="12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2">
        <v>2453876.7647000002</v>
      </c>
      <c r="B147" s="12" t="s">
        <v>342</v>
      </c>
      <c r="C147" s="12">
        <v>11.2</v>
      </c>
      <c r="D147" s="12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2">
        <v>2453878.7596</v>
      </c>
      <c r="B148" s="12" t="s">
        <v>343</v>
      </c>
      <c r="C148" s="12">
        <v>11.2</v>
      </c>
      <c r="D148" s="12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2">
        <v>2453879.7790999999</v>
      </c>
      <c r="B149" s="12" t="s">
        <v>344</v>
      </c>
      <c r="C149" s="12">
        <v>11.27</v>
      </c>
      <c r="D149" s="12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2">
        <v>2453881.39793</v>
      </c>
      <c r="B150" s="12" t="s">
        <v>345</v>
      </c>
      <c r="C150" s="12">
        <v>11.333333</v>
      </c>
      <c r="D150" s="12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2">
        <v>2453882.7514999998</v>
      </c>
      <c r="B151" s="12" t="s">
        <v>346</v>
      </c>
      <c r="C151" s="12">
        <v>11.4</v>
      </c>
      <c r="D151" s="12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2">
        <v>2453883.7884</v>
      </c>
      <c r="B152" s="12" t="s">
        <v>347</v>
      </c>
      <c r="C152" s="12">
        <v>11.47</v>
      </c>
      <c r="D152" s="12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2">
        <v>2453885.23985</v>
      </c>
      <c r="B153" s="12" t="s">
        <v>142</v>
      </c>
      <c r="C153" s="12">
        <v>11.55</v>
      </c>
      <c r="D153" s="12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2">
        <v>2453886.7404999998</v>
      </c>
      <c r="B154" s="12" t="s">
        <v>348</v>
      </c>
      <c r="C154" s="12">
        <v>11.6</v>
      </c>
      <c r="D154" s="12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2">
        <v>2453890.2419500002</v>
      </c>
      <c r="B155" s="12" t="s">
        <v>349</v>
      </c>
      <c r="C155" s="12">
        <v>11.6</v>
      </c>
      <c r="D155" s="12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2">
        <v>2453893.2267499999</v>
      </c>
      <c r="B156" s="12" t="s">
        <v>350</v>
      </c>
      <c r="C156" s="12">
        <v>11.55</v>
      </c>
      <c r="D156" s="12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2">
        <v>2453894.8297999999</v>
      </c>
      <c r="B157" s="12" t="s">
        <v>351</v>
      </c>
      <c r="C157" s="12">
        <v>11.5</v>
      </c>
      <c r="D157" s="1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2">
        <v>2453897.7234999998</v>
      </c>
      <c r="B158" s="12" t="s">
        <v>352</v>
      </c>
      <c r="C158" s="12">
        <v>11.48</v>
      </c>
      <c r="D158" s="12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2">
        <v>2453899.2162500001</v>
      </c>
      <c r="B159" s="12" t="s">
        <v>353</v>
      </c>
      <c r="C159" s="12">
        <v>11.5</v>
      </c>
      <c r="D159" s="12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2">
        <v>2453900.7173000001</v>
      </c>
      <c r="B160" s="12" t="s">
        <v>143</v>
      </c>
      <c r="C160" s="12">
        <v>11.5</v>
      </c>
      <c r="D160" s="12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2">
        <v>2453902.4879999999</v>
      </c>
      <c r="B161" s="12" t="s">
        <v>354</v>
      </c>
      <c r="C161" s="12">
        <v>11.54</v>
      </c>
      <c r="D161" s="12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2">
        <v>2453904.2001</v>
      </c>
      <c r="B162" s="12" t="s">
        <v>355</v>
      </c>
      <c r="C162" s="12">
        <v>11.6</v>
      </c>
      <c r="D162" s="12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2">
        <v>2453906.6995000001</v>
      </c>
      <c r="B163" s="12" t="s">
        <v>356</v>
      </c>
      <c r="C163" s="12">
        <v>11.7</v>
      </c>
      <c r="D163" s="12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2">
        <v>2453915.4730000002</v>
      </c>
      <c r="B164" s="12" t="s">
        <v>357</v>
      </c>
      <c r="C164" s="12">
        <v>11.94</v>
      </c>
      <c r="D164" s="12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2">
        <v>2453916.7102000001</v>
      </c>
      <c r="B165" s="12" t="s">
        <v>358</v>
      </c>
      <c r="C165" s="12">
        <v>11.965</v>
      </c>
      <c r="D165" s="12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2">
        <v>2453918.2017999999</v>
      </c>
      <c r="B166" s="12" t="s">
        <v>359</v>
      </c>
      <c r="C166" s="12">
        <v>11.95</v>
      </c>
      <c r="D166" s="12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2">
        <v>2453919.7001</v>
      </c>
      <c r="B167" s="12" t="s">
        <v>360</v>
      </c>
      <c r="C167" s="12">
        <v>12</v>
      </c>
      <c r="D167" s="12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2">
        <v>2453922.7204</v>
      </c>
      <c r="B168" s="12" t="s">
        <v>361</v>
      </c>
      <c r="C168" s="12">
        <v>11.99</v>
      </c>
      <c r="D168" s="12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2">
        <v>2453927.6864999998</v>
      </c>
      <c r="B169" s="12" t="s">
        <v>362</v>
      </c>
      <c r="C169" s="12">
        <v>11.8</v>
      </c>
      <c r="D169" s="12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2">
        <v>2453930.6771999998</v>
      </c>
      <c r="B170" s="12" t="s">
        <v>363</v>
      </c>
      <c r="C170" s="12">
        <v>11.8</v>
      </c>
      <c r="D170" s="1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2">
        <v>2453933.6745000002</v>
      </c>
      <c r="B171" s="12" t="s">
        <v>144</v>
      </c>
      <c r="C171" s="12">
        <v>11.8</v>
      </c>
      <c r="D171" s="1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2">
        <v>2453934.6745000002</v>
      </c>
      <c r="B172" s="12" t="s">
        <v>364</v>
      </c>
      <c r="C172" s="12">
        <v>11.8</v>
      </c>
      <c r="D172" s="1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2">
        <v>2453936.7192500001</v>
      </c>
      <c r="B173" s="12" t="s">
        <v>365</v>
      </c>
      <c r="C173" s="12">
        <v>11.885</v>
      </c>
      <c r="D173" s="1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2">
        <v>2453938.2331500002</v>
      </c>
      <c r="B174" s="12" t="s">
        <v>366</v>
      </c>
      <c r="C174" s="12">
        <v>11.88</v>
      </c>
      <c r="D174" s="1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2">
        <v>2453940.1689499998</v>
      </c>
      <c r="B175" s="12" t="s">
        <v>186</v>
      </c>
      <c r="C175" s="12">
        <v>11.9</v>
      </c>
      <c r="D175" s="12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2">
        <v>2453941.6710000001</v>
      </c>
      <c r="B176" s="12" t="s">
        <v>367</v>
      </c>
      <c r="C176" s="12">
        <v>12</v>
      </c>
      <c r="D176" s="1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2">
        <v>2453943.0581999999</v>
      </c>
      <c r="B177" s="12" t="s">
        <v>368</v>
      </c>
      <c r="C177" s="12">
        <v>12.0875</v>
      </c>
      <c r="D177" s="12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2">
        <v>2453946.0894200001</v>
      </c>
      <c r="B178" s="12" t="s">
        <v>369</v>
      </c>
      <c r="C178" s="12">
        <v>11.862500000000001</v>
      </c>
      <c r="D178" s="12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2">
        <v>2453952.3621</v>
      </c>
      <c r="B179" s="12" t="s">
        <v>370</v>
      </c>
      <c r="C179" s="12">
        <v>11.545</v>
      </c>
      <c r="D179" s="12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2">
        <v>2453955.6403000001</v>
      </c>
      <c r="B180" s="12" t="s">
        <v>371</v>
      </c>
      <c r="C180" s="12">
        <v>11.6</v>
      </c>
      <c r="D180" s="12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2">
        <v>2453957.1099</v>
      </c>
      <c r="B181" s="12" t="s">
        <v>372</v>
      </c>
      <c r="C181" s="12">
        <v>11.54</v>
      </c>
      <c r="D181" s="12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2">
        <v>2453958.1568499999</v>
      </c>
      <c r="B182" s="12" t="s">
        <v>373</v>
      </c>
      <c r="C182" s="12">
        <v>11.6</v>
      </c>
      <c r="D182" s="12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2">
        <v>2453960.1414000001</v>
      </c>
      <c r="B183" s="12" t="s">
        <v>374</v>
      </c>
      <c r="C183" s="12">
        <v>11.65</v>
      </c>
      <c r="D183" s="12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2">
        <v>2453970.6264999998</v>
      </c>
      <c r="B184" s="12" t="s">
        <v>375</v>
      </c>
      <c r="C184" s="12">
        <v>11.5</v>
      </c>
      <c r="D184" s="12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2">
        <v>2453971.6279000002</v>
      </c>
      <c r="B185" s="12" t="s">
        <v>376</v>
      </c>
      <c r="C185" s="12">
        <v>11.6</v>
      </c>
      <c r="D185" s="12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2">
        <v>2453972.6740999999</v>
      </c>
      <c r="B186" s="12" t="s">
        <v>377</v>
      </c>
      <c r="C186" s="12">
        <v>11.5</v>
      </c>
      <c r="D186" s="12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2">
        <v>2453975.1324499999</v>
      </c>
      <c r="B187" s="12" t="s">
        <v>378</v>
      </c>
      <c r="C187" s="12">
        <v>11.5</v>
      </c>
      <c r="D187" s="12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2">
        <v>2453977.6209</v>
      </c>
      <c r="B188" s="12" t="s">
        <v>379</v>
      </c>
      <c r="C188" s="12">
        <v>11.6</v>
      </c>
      <c r="D188" s="12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2">
        <v>2453978.7446300001</v>
      </c>
      <c r="B189" s="12" t="s">
        <v>145</v>
      </c>
      <c r="C189" s="12">
        <v>11.71</v>
      </c>
      <c r="D189" s="12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2">
        <v>2453979.7179100001</v>
      </c>
      <c r="B190" s="12" t="s">
        <v>380</v>
      </c>
      <c r="C190" s="12">
        <v>11.727581000000001</v>
      </c>
      <c r="D190" s="12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2">
        <v>2453980.7433600002</v>
      </c>
      <c r="B191" s="12" t="s">
        <v>381</v>
      </c>
      <c r="C191" s="12">
        <v>11.780628999999999</v>
      </c>
      <c r="D191" s="12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2">
        <v>2453981.9443299999</v>
      </c>
      <c r="B192" s="12" t="s">
        <v>382</v>
      </c>
      <c r="C192" s="12">
        <v>11.783766</v>
      </c>
      <c r="D192" s="12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2">
        <v>2453982.9790699999</v>
      </c>
      <c r="B193" s="12" t="s">
        <v>383</v>
      </c>
      <c r="C193" s="12">
        <v>11.832312</v>
      </c>
      <c r="D193" s="12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2">
        <v>2453983.9963199999</v>
      </c>
      <c r="B194" s="12" t="s">
        <v>384</v>
      </c>
      <c r="C194" s="12">
        <v>11.897347999999999</v>
      </c>
      <c r="D194" s="12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2">
        <v>2453985.9088099999</v>
      </c>
      <c r="B195" s="12" t="s">
        <v>385</v>
      </c>
      <c r="C195" s="12">
        <v>12.112444</v>
      </c>
      <c r="D195" s="12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2">
        <v>2453987.0875599999</v>
      </c>
      <c r="B196" s="12" t="s">
        <v>386</v>
      </c>
      <c r="C196" s="12">
        <v>12.192</v>
      </c>
      <c r="D196" s="12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2">
        <v>2453987.9629899999</v>
      </c>
      <c r="B197" s="12" t="s">
        <v>387</v>
      </c>
      <c r="C197" s="12">
        <v>12.152513000000001</v>
      </c>
      <c r="D197" s="12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2">
        <v>2453989.7544200001</v>
      </c>
      <c r="B198" s="12" t="s">
        <v>388</v>
      </c>
      <c r="C198" s="12">
        <v>12.019333</v>
      </c>
      <c r="D198" s="12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2">
        <v>2453990.83231</v>
      </c>
      <c r="B199" s="12" t="s">
        <v>389</v>
      </c>
      <c r="C199" s="12">
        <v>11.963611999999999</v>
      </c>
      <c r="D199" s="12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2">
        <v>2453991.93469</v>
      </c>
      <c r="B200" s="12" t="s">
        <v>390</v>
      </c>
      <c r="C200" s="12">
        <v>11.831951</v>
      </c>
      <c r="D200" s="12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2">
        <v>2453992.9651700002</v>
      </c>
      <c r="B201" s="12" t="s">
        <v>391</v>
      </c>
      <c r="C201" s="12">
        <v>11.696320999999999</v>
      </c>
      <c r="D201" s="12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2">
        <v>2453993.9788500001</v>
      </c>
      <c r="B202" s="12" t="s">
        <v>146</v>
      </c>
      <c r="C202" s="12">
        <v>11.593832000000001</v>
      </c>
      <c r="D202" s="12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2">
        <v>2453995.73911</v>
      </c>
      <c r="B203" s="12" t="s">
        <v>393</v>
      </c>
      <c r="C203" s="12">
        <v>11.487176</v>
      </c>
      <c r="D203" s="12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2">
        <v>2453996.4162300001</v>
      </c>
      <c r="B204" s="12" t="s">
        <v>393</v>
      </c>
      <c r="C204" s="12">
        <v>11.456965</v>
      </c>
      <c r="D204" s="12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2">
        <v>2453997.2400799999</v>
      </c>
      <c r="B205" s="12" t="s">
        <v>394</v>
      </c>
      <c r="C205" s="12">
        <v>11.448</v>
      </c>
      <c r="D205" s="12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2">
        <v>2453998.3105700002</v>
      </c>
      <c r="B206" s="12" t="s">
        <v>395</v>
      </c>
      <c r="C206" s="12">
        <v>11.443185</v>
      </c>
      <c r="D206" s="12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2">
        <v>2453999.34711</v>
      </c>
      <c r="B207" s="12" t="s">
        <v>396</v>
      </c>
      <c r="C207" s="12">
        <v>11.445584999999999</v>
      </c>
      <c r="D207" s="12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2">
        <v>2454000.3255599998</v>
      </c>
      <c r="B208" s="12" t="s">
        <v>397</v>
      </c>
      <c r="C208" s="12">
        <v>11.466804</v>
      </c>
      <c r="D208" s="12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2">
        <v>2454001.2788900002</v>
      </c>
      <c r="B209" s="12" t="s">
        <v>398</v>
      </c>
      <c r="C209" s="12">
        <v>11.4315</v>
      </c>
      <c r="D209" s="12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2">
        <v>2454002.7731300001</v>
      </c>
      <c r="B210" s="12" t="s">
        <v>400</v>
      </c>
      <c r="C210" s="12">
        <v>11.458278</v>
      </c>
      <c r="D210" s="12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2">
        <v>2454002.9504999998</v>
      </c>
      <c r="B211" s="12" t="s">
        <v>400</v>
      </c>
      <c r="C211" s="12">
        <v>11.484477999999999</v>
      </c>
      <c r="D211" s="12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2">
        <v>2454004.4897799999</v>
      </c>
      <c r="B212" s="12" t="s">
        <v>401</v>
      </c>
      <c r="C212" s="12">
        <v>11.503333</v>
      </c>
      <c r="D212" s="12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2">
        <v>2454005.5391000002</v>
      </c>
      <c r="B213" s="12" t="s">
        <v>402</v>
      </c>
      <c r="C213" s="12">
        <v>11.5</v>
      </c>
      <c r="D213" s="12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2">
        <v>2454006.90026</v>
      </c>
      <c r="B214" s="12" t="s">
        <v>403</v>
      </c>
      <c r="C214" s="12">
        <v>11.594522</v>
      </c>
      <c r="D214" s="12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2">
        <v>2454007.8932699999</v>
      </c>
      <c r="B215" s="12" t="s">
        <v>404</v>
      </c>
      <c r="C215" s="12">
        <v>11.634258000000001</v>
      </c>
      <c r="D215" s="12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2">
        <v>2454009.8209600002</v>
      </c>
      <c r="B216" s="12" t="s">
        <v>405</v>
      </c>
      <c r="C216" s="12">
        <v>11.5966</v>
      </c>
      <c r="D216" s="12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2">
        <v>2454010.9408200001</v>
      </c>
      <c r="B217" s="12" t="s">
        <v>406</v>
      </c>
      <c r="C217" s="12">
        <v>11.612727</v>
      </c>
      <c r="D217" s="12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2">
        <v>2454011.6814299999</v>
      </c>
      <c r="B218" s="12" t="s">
        <v>407</v>
      </c>
      <c r="C218" s="12">
        <v>11.6135</v>
      </c>
      <c r="D218" s="12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2">
        <v>2454015.5491999998</v>
      </c>
      <c r="B219" s="12" t="s">
        <v>408</v>
      </c>
      <c r="C219" s="12">
        <v>11.55</v>
      </c>
      <c r="D219" s="12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2">
        <v>2454018.5882000001</v>
      </c>
      <c r="B220" s="12" t="s">
        <v>409</v>
      </c>
      <c r="C220" s="12">
        <v>11.4</v>
      </c>
      <c r="D220" s="12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2">
        <v>2454030.5224000001</v>
      </c>
      <c r="B221" s="12" t="s">
        <v>410</v>
      </c>
      <c r="C221" s="12">
        <v>11.6</v>
      </c>
      <c r="D221" s="12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2">
        <v>2454037.5696</v>
      </c>
      <c r="B222" s="12" t="s">
        <v>411</v>
      </c>
      <c r="C222" s="12">
        <v>11.75</v>
      </c>
      <c r="D222" s="12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2">
        <v>2454042.0655999999</v>
      </c>
      <c r="B223" s="12" t="s">
        <v>412</v>
      </c>
      <c r="C223" s="12">
        <v>11.654999999999999</v>
      </c>
      <c r="D223" s="12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2">
        <v>2454044.5666</v>
      </c>
      <c r="B224" s="12" t="s">
        <v>413</v>
      </c>
      <c r="C224" s="12">
        <v>11.66</v>
      </c>
      <c r="D224" s="12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2">
        <v>2454049.4871</v>
      </c>
      <c r="B225" s="12" t="s">
        <v>414</v>
      </c>
      <c r="C225" s="12">
        <v>11.2</v>
      </c>
      <c r="D225" s="12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2">
        <v>2454061.4704999998</v>
      </c>
      <c r="B226" s="12" t="s">
        <v>415</v>
      </c>
      <c r="C226" s="12">
        <v>11.27</v>
      </c>
      <c r="D226" s="12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2">
        <v>2454157.9989999998</v>
      </c>
      <c r="B227" s="12" t="s">
        <v>416</v>
      </c>
      <c r="C227" s="12">
        <v>11.18</v>
      </c>
      <c r="D227" s="12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2">
        <v>2454159.0030999999</v>
      </c>
      <c r="B228" s="12" t="s">
        <v>417</v>
      </c>
      <c r="C228" s="12">
        <v>11.34</v>
      </c>
      <c r="D228" s="12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2">
        <v>2454162.4889000002</v>
      </c>
      <c r="B229" s="12" t="s">
        <v>418</v>
      </c>
      <c r="C229" s="12">
        <v>11.22</v>
      </c>
      <c r="D229" s="12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2">
        <v>2454163.9761999999</v>
      </c>
      <c r="B230" s="12" t="s">
        <v>419</v>
      </c>
      <c r="C230" s="12">
        <v>11.45</v>
      </c>
      <c r="D230" s="12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2">
        <v>2454166.4801500002</v>
      </c>
      <c r="B231" s="12" t="s">
        <v>420</v>
      </c>
      <c r="C231" s="12">
        <v>11.35</v>
      </c>
      <c r="D231" s="12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2">
        <v>2454169.4638</v>
      </c>
      <c r="B232" s="12" t="s">
        <v>421</v>
      </c>
      <c r="C232" s="12">
        <v>11.395</v>
      </c>
      <c r="D232" s="12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2">
        <v>2454176.4454999999</v>
      </c>
      <c r="B233" s="12" t="s">
        <v>422</v>
      </c>
      <c r="C233" s="12">
        <v>11.49</v>
      </c>
      <c r="D233" s="12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2">
        <v>2454179.4382500001</v>
      </c>
      <c r="B234" s="12" t="s">
        <v>423</v>
      </c>
      <c r="C234" s="12">
        <v>11.404999999999999</v>
      </c>
      <c r="D234" s="12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2">
        <v>2454180.9300000002</v>
      </c>
      <c r="B235" s="12" t="s">
        <v>424</v>
      </c>
      <c r="C235" s="12">
        <v>11.31</v>
      </c>
      <c r="D235" s="12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2">
        <v>2454185.4219999998</v>
      </c>
      <c r="B236" s="12" t="s">
        <v>425</v>
      </c>
      <c r="C236" s="12">
        <v>11.62</v>
      </c>
      <c r="D236" s="12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2">
        <v>2454186.9125000001</v>
      </c>
      <c r="B237" s="12" t="s">
        <v>426</v>
      </c>
      <c r="C237" s="12">
        <v>11.58</v>
      </c>
      <c r="D237" s="12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2">
        <v>2454189.4024</v>
      </c>
      <c r="B238" s="12" t="s">
        <v>427</v>
      </c>
      <c r="C238" s="12">
        <v>11.57</v>
      </c>
      <c r="D238" s="12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2">
        <v>2454190.9043000001</v>
      </c>
      <c r="B239" s="12" t="s">
        <v>428</v>
      </c>
      <c r="C239" s="12">
        <v>11.41</v>
      </c>
      <c r="D239" s="12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2">
        <v>2454192.4053500001</v>
      </c>
      <c r="B240" s="12" t="s">
        <v>429</v>
      </c>
      <c r="C240" s="12">
        <v>11.385</v>
      </c>
      <c r="D240" s="12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2">
        <v>2454194.3938500001</v>
      </c>
      <c r="B241" s="12" t="s">
        <v>430</v>
      </c>
      <c r="C241" s="12">
        <v>11.19</v>
      </c>
      <c r="D241" s="12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2">
        <v>2454195.8905000002</v>
      </c>
      <c r="B242" s="12" t="s">
        <v>431</v>
      </c>
      <c r="C242" s="12">
        <v>11.01</v>
      </c>
      <c r="D242" s="12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2">
        <v>2454199.3872000002</v>
      </c>
      <c r="B243" s="12" t="s">
        <v>432</v>
      </c>
      <c r="C243" s="12">
        <v>11.2</v>
      </c>
      <c r="D243" s="12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2">
        <v>2454201.8714999999</v>
      </c>
      <c r="B244" s="12" t="s">
        <v>433</v>
      </c>
      <c r="C244" s="12">
        <v>11.19</v>
      </c>
      <c r="D244" s="12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2">
        <v>2454202.8834000002</v>
      </c>
      <c r="B245" s="12" t="s">
        <v>434</v>
      </c>
      <c r="C245" s="12">
        <v>11.19</v>
      </c>
      <c r="D245" s="12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2">
        <v>2454206.3663499998</v>
      </c>
      <c r="B246" s="12" t="s">
        <v>435</v>
      </c>
      <c r="C246" s="12">
        <v>11.015000000000001</v>
      </c>
      <c r="D246" s="12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2">
        <v>2454209.3547999999</v>
      </c>
      <c r="B247" s="12" t="s">
        <v>436</v>
      </c>
      <c r="C247" s="12">
        <v>11.185</v>
      </c>
      <c r="D247" s="12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2">
        <v>2454210.8698</v>
      </c>
      <c r="B248" s="12" t="s">
        <v>437</v>
      </c>
      <c r="C248" s="12">
        <v>11.125</v>
      </c>
      <c r="D248" s="12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2">
        <v>2454212.8418000001</v>
      </c>
      <c r="B249" s="12" t="s">
        <v>438</v>
      </c>
      <c r="C249" s="12">
        <v>11.04</v>
      </c>
      <c r="D249" s="12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2">
        <v>2454216.3412000001</v>
      </c>
      <c r="B250" s="12" t="s">
        <v>439</v>
      </c>
      <c r="C250" s="12">
        <v>11.02</v>
      </c>
      <c r="D250" s="12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2">
        <v>2454217.8292999999</v>
      </c>
      <c r="B251" s="12" t="s">
        <v>440</v>
      </c>
      <c r="C251" s="12">
        <v>10.98</v>
      </c>
      <c r="D251" s="12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2">
        <v>2454224.31745</v>
      </c>
      <c r="B252" s="12" t="s">
        <v>441</v>
      </c>
      <c r="C252" s="12">
        <v>11.05</v>
      </c>
      <c r="D252" s="12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2">
        <v>2454225.8308999999</v>
      </c>
      <c r="B253" s="12" t="s">
        <v>442</v>
      </c>
      <c r="C253" s="12">
        <v>10.975</v>
      </c>
      <c r="D253" s="12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2">
        <v>2454227.8078999999</v>
      </c>
      <c r="B254" s="12" t="s">
        <v>443</v>
      </c>
      <c r="C254" s="12">
        <v>11</v>
      </c>
      <c r="D254" s="12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2">
        <v>2454231.2951500001</v>
      </c>
      <c r="B255" s="12" t="s">
        <v>444</v>
      </c>
      <c r="C255" s="12">
        <v>10.914999999999999</v>
      </c>
      <c r="D255" s="12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2">
        <v>2454233.2894000001</v>
      </c>
      <c r="B256" s="12" t="s">
        <v>445</v>
      </c>
      <c r="C256" s="12">
        <v>10.865</v>
      </c>
      <c r="D256" s="12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2">
        <v>2454234.8128499999</v>
      </c>
      <c r="B257" s="12" t="s">
        <v>148</v>
      </c>
      <c r="C257" s="12">
        <v>11.145</v>
      </c>
      <c r="D257" s="12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2">
        <v>2454241.2700999998</v>
      </c>
      <c r="B258" s="12" t="s">
        <v>446</v>
      </c>
      <c r="C258" s="12">
        <v>10.89</v>
      </c>
      <c r="D258" s="12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2">
        <v>2454243.2642999999</v>
      </c>
      <c r="B259" s="12" t="s">
        <v>447</v>
      </c>
      <c r="C259" s="12">
        <v>10.88</v>
      </c>
      <c r="D259" s="12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2">
        <v>2454249.8459000001</v>
      </c>
      <c r="B260" s="12" t="s">
        <v>448</v>
      </c>
      <c r="C260" s="12">
        <v>10.93</v>
      </c>
      <c r="D260" s="12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2">
        <v>2454262.7582</v>
      </c>
      <c r="B261" s="12" t="s">
        <v>449</v>
      </c>
      <c r="C261" s="12">
        <v>10.76</v>
      </c>
      <c r="D261" s="12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2">
        <v>2454267.44</v>
      </c>
      <c r="B262" s="12" t="s">
        <v>450</v>
      </c>
      <c r="C262" s="12">
        <v>10.7</v>
      </c>
      <c r="D262" s="12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2">
        <v>2454271.46</v>
      </c>
      <c r="B263" s="12" t="s">
        <v>149</v>
      </c>
      <c r="C263" s="12">
        <v>10.8</v>
      </c>
      <c r="D263" s="12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2">
        <v>2454274.6976800002</v>
      </c>
      <c r="B264" s="12" t="s">
        <v>451</v>
      </c>
      <c r="C264" s="12">
        <v>11.31</v>
      </c>
      <c r="D264" s="12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2">
        <v>2454289.33</v>
      </c>
      <c r="B265" s="12" t="s">
        <v>452</v>
      </c>
      <c r="C265" s="12">
        <v>11.1</v>
      </c>
      <c r="D265" s="12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2">
        <v>2454297.7831999999</v>
      </c>
      <c r="B266" s="12" t="s">
        <v>453</v>
      </c>
      <c r="C266" s="12">
        <v>10.86</v>
      </c>
      <c r="D266" s="12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2">
        <v>2454313.4133000001</v>
      </c>
      <c r="B267" s="12" t="s">
        <v>454</v>
      </c>
      <c r="C267" s="12">
        <v>11</v>
      </c>
      <c r="D267" s="12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2">
        <v>2454314.7546999999</v>
      </c>
      <c r="B268" s="12" t="s">
        <v>455</v>
      </c>
      <c r="C268" s="12">
        <v>10.67</v>
      </c>
      <c r="D268" s="12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2">
        <v>2454316.7483000001</v>
      </c>
      <c r="B269" s="12" t="s">
        <v>456</v>
      </c>
      <c r="C269" s="12">
        <v>10.52</v>
      </c>
      <c r="D269" s="12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2">
        <v>2454323.7244000002</v>
      </c>
      <c r="B270" s="12" t="s">
        <v>457</v>
      </c>
      <c r="C270" s="12">
        <v>10.81</v>
      </c>
      <c r="D270" s="12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2">
        <v>2454336.6642999998</v>
      </c>
      <c r="B271" s="12" t="s">
        <v>458</v>
      </c>
      <c r="C271" s="12">
        <v>10.87</v>
      </c>
      <c r="D271" s="12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2">
        <v>2454341.1851499998</v>
      </c>
      <c r="B272" s="12" t="s">
        <v>459</v>
      </c>
      <c r="C272" s="12">
        <v>10.484999999999999</v>
      </c>
      <c r="D272" s="12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2">
        <v>2454344.6694999998</v>
      </c>
      <c r="B273" s="12" t="s">
        <v>460</v>
      </c>
      <c r="C273" s="12">
        <v>10.81</v>
      </c>
      <c r="D273" s="12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2">
        <v>2454349.6507999999</v>
      </c>
      <c r="B274" s="12" t="s">
        <v>150</v>
      </c>
      <c r="C274" s="12">
        <v>11.2</v>
      </c>
      <c r="D274" s="12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2">
        <v>2454357.6390999998</v>
      </c>
      <c r="B275" s="12" t="s">
        <v>461</v>
      </c>
      <c r="C275" s="12">
        <v>10.76</v>
      </c>
      <c r="D275" s="12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2">
        <v>2454359.59583</v>
      </c>
      <c r="B276" s="12" t="s">
        <v>462</v>
      </c>
      <c r="C276" s="12">
        <v>10.7</v>
      </c>
      <c r="D276" s="12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2">
        <v>2454360.6150000002</v>
      </c>
      <c r="B277" s="12" t="s">
        <v>463</v>
      </c>
      <c r="C277" s="12">
        <v>10.74</v>
      </c>
      <c r="D277" s="12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2">
        <v>2454378.5682000001</v>
      </c>
      <c r="B278" s="12" t="s">
        <v>151</v>
      </c>
      <c r="C278" s="12">
        <v>11</v>
      </c>
      <c r="D278" s="12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2">
        <v>2454394.5395</v>
      </c>
      <c r="B279" s="12" t="s">
        <v>464</v>
      </c>
      <c r="C279" s="12">
        <v>10.99</v>
      </c>
      <c r="D279" s="12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2">
        <v>2454402.5207000002</v>
      </c>
      <c r="B280" s="12" t="s">
        <v>465</v>
      </c>
      <c r="C280" s="12">
        <v>11.38</v>
      </c>
      <c r="D280" s="12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2">
        <v>2454404.5085</v>
      </c>
      <c r="B281" s="12" t="s">
        <v>466</v>
      </c>
      <c r="C281" s="12">
        <v>11.28</v>
      </c>
      <c r="D281" s="12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2">
        <v>2454407.5128000001</v>
      </c>
      <c r="B282" s="12" t="s">
        <v>467</v>
      </c>
      <c r="C282" s="12">
        <v>11.02</v>
      </c>
      <c r="D282" s="12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2">
        <v>2454573.8602</v>
      </c>
      <c r="B283" s="12" t="s">
        <v>468</v>
      </c>
      <c r="C283" s="12">
        <v>11.62</v>
      </c>
      <c r="D283" s="12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2">
        <v>2454578.8651999999</v>
      </c>
      <c r="B284" s="12" t="s">
        <v>469</v>
      </c>
      <c r="C284" s="12">
        <v>11.55</v>
      </c>
      <c r="D284" s="12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2">
        <v>2454583.7083999999</v>
      </c>
      <c r="B285" s="12" t="s">
        <v>470</v>
      </c>
      <c r="C285" s="12">
        <v>11.8</v>
      </c>
      <c r="D285" s="12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2">
        <v>2454600.37</v>
      </c>
      <c r="B286" s="12" t="s">
        <v>471</v>
      </c>
      <c r="C286" s="12">
        <v>11.2</v>
      </c>
      <c r="D286" s="12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2">
        <v>2454611.8692999999</v>
      </c>
      <c r="B287" s="12" t="s">
        <v>472</v>
      </c>
      <c r="C287" s="12">
        <v>10.98</v>
      </c>
      <c r="D287" s="12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2">
        <v>2454615.7272000001</v>
      </c>
      <c r="B288" s="12" t="s">
        <v>473</v>
      </c>
      <c r="C288" s="12">
        <v>11.34</v>
      </c>
      <c r="D288" s="12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2">
        <v>2454620.48</v>
      </c>
      <c r="B289" s="12" t="s">
        <v>153</v>
      </c>
      <c r="C289" s="12">
        <v>10.7</v>
      </c>
      <c r="D289" s="12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2">
        <v>2454627.38</v>
      </c>
      <c r="B290" s="12" t="s">
        <v>474</v>
      </c>
      <c r="C290" s="12">
        <v>11.2</v>
      </c>
      <c r="D290" s="12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2">
        <v>2454641.8379000002</v>
      </c>
      <c r="B291" s="12" t="s">
        <v>475</v>
      </c>
      <c r="C291" s="12">
        <v>10.91</v>
      </c>
      <c r="D291" s="12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2">
        <v>2454649.7662</v>
      </c>
      <c r="B292" s="12" t="s">
        <v>154</v>
      </c>
      <c r="C292" s="12">
        <v>10.93</v>
      </c>
      <c r="D292" s="12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2">
        <v>2454652.4305599998</v>
      </c>
      <c r="B293" s="12" t="s">
        <v>476</v>
      </c>
      <c r="C293" s="12">
        <v>11.2</v>
      </c>
      <c r="D293" s="12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2">
        <v>2454662.7292999998</v>
      </c>
      <c r="B294" s="12" t="s">
        <v>477</v>
      </c>
      <c r="C294" s="12">
        <v>11</v>
      </c>
      <c r="D294" s="12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2">
        <v>2454704.5843000002</v>
      </c>
      <c r="B295" s="12" t="s">
        <v>478</v>
      </c>
      <c r="C295" s="12">
        <v>10.85</v>
      </c>
      <c r="D295" s="12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2">
        <v>2454717.6236999999</v>
      </c>
      <c r="B296" s="12" t="s">
        <v>479</v>
      </c>
      <c r="C296" s="12">
        <v>10.95</v>
      </c>
      <c r="D296" s="12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2">
        <v>2454732.5913</v>
      </c>
      <c r="B297" s="12" t="s">
        <v>480</v>
      </c>
      <c r="C297" s="12">
        <v>10.84</v>
      </c>
      <c r="D297" s="12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2">
        <v>2454743.5551999998</v>
      </c>
      <c r="B298" s="12" t="s">
        <v>481</v>
      </c>
      <c r="C298" s="12">
        <v>10.62</v>
      </c>
      <c r="D298" s="12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2">
        <v>2454770.5134000001</v>
      </c>
      <c r="B299" s="12" t="s">
        <v>482</v>
      </c>
      <c r="C299" s="12">
        <v>10.78</v>
      </c>
      <c r="D299" s="12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2">
        <v>2454907.9416999999</v>
      </c>
      <c r="B300" s="12" t="s">
        <v>483</v>
      </c>
      <c r="C300" s="12">
        <v>10.96</v>
      </c>
      <c r="D300" s="12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2">
        <v>2454918.0218799999</v>
      </c>
      <c r="B301" s="12" t="s">
        <v>484</v>
      </c>
      <c r="C301" s="12">
        <v>10.856</v>
      </c>
      <c r="D301" s="12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2">
        <v>2454933.8577000001</v>
      </c>
      <c r="B302" s="12" t="s">
        <v>485</v>
      </c>
      <c r="C302" s="12">
        <v>11.01</v>
      </c>
      <c r="D302" s="12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2">
        <v>2454963.8213999998</v>
      </c>
      <c r="B303" s="12" t="s">
        <v>486</v>
      </c>
      <c r="C303" s="12">
        <v>10.73</v>
      </c>
      <c r="D303" s="12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2">
        <v>2454970.7925999998</v>
      </c>
      <c r="B304" s="12" t="s">
        <v>487</v>
      </c>
      <c r="C304" s="12">
        <v>10.74</v>
      </c>
      <c r="D304" s="12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2">
        <v>2454994.4873700002</v>
      </c>
      <c r="B305" s="12" t="s">
        <v>488</v>
      </c>
      <c r="C305" s="12">
        <v>10.641</v>
      </c>
      <c r="D305" s="12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2">
        <v>2454997.7077000001</v>
      </c>
      <c r="B306" s="12" t="s">
        <v>489</v>
      </c>
      <c r="C306" s="12">
        <v>10.82</v>
      </c>
      <c r="D306" s="12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2">
        <v>2455024.4158899998</v>
      </c>
      <c r="B307" s="12" t="s">
        <v>490</v>
      </c>
      <c r="C307" s="12">
        <v>11.071</v>
      </c>
      <c r="D307" s="12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2">
        <v>2455041.2477799999</v>
      </c>
      <c r="B308" s="12" t="s">
        <v>491</v>
      </c>
      <c r="C308" s="12">
        <v>10.8005</v>
      </c>
      <c r="D308" s="12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2">
        <v>2455044.8015999999</v>
      </c>
      <c r="B309" s="12" t="s">
        <v>492</v>
      </c>
      <c r="C309" s="12">
        <v>10.56</v>
      </c>
      <c r="D309" s="12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2">
        <v>2455049.7083000001</v>
      </c>
      <c r="B310" s="12" t="s">
        <v>493</v>
      </c>
      <c r="C310" s="12">
        <v>10.62</v>
      </c>
      <c r="D310" s="12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2">
        <v>2455060.0865699998</v>
      </c>
      <c r="B311" s="12" t="s">
        <v>155</v>
      </c>
      <c r="C311" s="12">
        <v>10.4855</v>
      </c>
      <c r="D311" s="12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2">
        <v>2455061.57571</v>
      </c>
      <c r="B312" s="12" t="s">
        <v>494</v>
      </c>
      <c r="C312" s="12">
        <v>10.593999999999999</v>
      </c>
      <c r="D312" s="12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2">
        <v>2455066.0241399999</v>
      </c>
      <c r="B313" s="12" t="s">
        <v>495</v>
      </c>
      <c r="C313" s="12">
        <v>10.4825</v>
      </c>
      <c r="D313" s="12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2">
        <v>2455067.5921200002</v>
      </c>
      <c r="B314" s="12" t="s">
        <v>496</v>
      </c>
      <c r="C314" s="12">
        <v>10.387</v>
      </c>
      <c r="D314" s="12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2">
        <v>2455069.56476</v>
      </c>
      <c r="B315" s="12" t="s">
        <v>156</v>
      </c>
      <c r="C315" s="12">
        <v>10.204000000000001</v>
      </c>
      <c r="D315" s="12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2">
        <v>2455072.6097900001</v>
      </c>
      <c r="B316" s="12" t="s">
        <v>497</v>
      </c>
      <c r="C316" s="12">
        <v>10.502000000000001</v>
      </c>
      <c r="D316" s="12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2">
        <v>2455074.5676899999</v>
      </c>
      <c r="B317" s="12" t="s">
        <v>498</v>
      </c>
      <c r="C317" s="12">
        <v>10.608000000000001</v>
      </c>
      <c r="D317" s="12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2">
        <v>2455077.6453999998</v>
      </c>
      <c r="B318" s="12" t="s">
        <v>499</v>
      </c>
      <c r="C318" s="12">
        <v>10.81</v>
      </c>
      <c r="D318" s="12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2">
        <v>2455080.0625999998</v>
      </c>
      <c r="B319" s="12" t="s">
        <v>500</v>
      </c>
      <c r="C319" s="12">
        <v>10.4755</v>
      </c>
      <c r="D319" s="12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2">
        <v>2455081.5544199999</v>
      </c>
      <c r="B320" s="12" t="s">
        <v>501</v>
      </c>
      <c r="C320" s="12">
        <v>10.596</v>
      </c>
      <c r="D320" s="12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2">
        <v>2455094.5221500001</v>
      </c>
      <c r="B321" s="12" t="s">
        <v>502</v>
      </c>
      <c r="C321" s="12">
        <v>10.635999999999999</v>
      </c>
      <c r="D321" s="12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2">
        <v>2455096.0136299999</v>
      </c>
      <c r="B322" s="12" t="s">
        <v>503</v>
      </c>
      <c r="C322" s="12">
        <v>10.698499999999999</v>
      </c>
      <c r="D322" s="12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2">
        <v>2455100.4992200001</v>
      </c>
      <c r="B323" s="12" t="s">
        <v>157</v>
      </c>
      <c r="C323" s="12">
        <v>10.516</v>
      </c>
      <c r="D323" s="12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2">
        <v>2455123.5395999998</v>
      </c>
      <c r="B324" s="12" t="s">
        <v>504</v>
      </c>
      <c r="C324" s="12">
        <v>10.82</v>
      </c>
      <c r="D324" s="12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2">
        <v>2455137.5178</v>
      </c>
      <c r="B325" s="12" t="s">
        <v>505</v>
      </c>
      <c r="C325" s="12">
        <v>11</v>
      </c>
      <c r="D325" s="12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2">
        <v>2455148.4923</v>
      </c>
      <c r="B326" s="12" t="s">
        <v>506</v>
      </c>
      <c r="C326" s="12">
        <v>10.72</v>
      </c>
      <c r="D326" s="12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2">
        <v>2455167.4712999999</v>
      </c>
      <c r="B327" s="12" t="s">
        <v>507</v>
      </c>
      <c r="C327" s="12">
        <v>11</v>
      </c>
      <c r="D327" s="12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2">
        <v>2455252.9648000002</v>
      </c>
      <c r="B328" s="12" t="s">
        <v>508</v>
      </c>
      <c r="C328" s="12">
        <v>10.65</v>
      </c>
      <c r="D328" s="12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2">
        <v>2455274.9415000002</v>
      </c>
      <c r="B329" s="12" t="s">
        <v>509</v>
      </c>
      <c r="C329" s="12">
        <v>10.599</v>
      </c>
      <c r="D329" s="12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2">
        <v>2455279.9207000001</v>
      </c>
      <c r="B330" s="12" t="s">
        <v>510</v>
      </c>
      <c r="C330" s="12">
        <v>10.96</v>
      </c>
      <c r="D330" s="12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2">
        <v>2455282.9256000002</v>
      </c>
      <c r="B331" s="12" t="s">
        <v>511</v>
      </c>
      <c r="C331" s="12">
        <v>10.766</v>
      </c>
      <c r="D331" s="12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2">
        <v>2455301.8867000001</v>
      </c>
      <c r="B332" s="12" t="s">
        <v>158</v>
      </c>
      <c r="C332" s="12">
        <v>10.61</v>
      </c>
      <c r="D332" s="12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2">
        <v>2455304.5274999999</v>
      </c>
      <c r="B333" s="12" t="s">
        <v>512</v>
      </c>
      <c r="C333" s="12">
        <v>10.79</v>
      </c>
      <c r="D333" s="12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2">
        <v>2455321.8184000002</v>
      </c>
      <c r="B334" s="12" t="s">
        <v>513</v>
      </c>
      <c r="C334" s="12">
        <v>10.47</v>
      </c>
      <c r="D334" s="12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2">
        <v>2455343.8264000001</v>
      </c>
      <c r="B335" s="12" t="s">
        <v>514</v>
      </c>
      <c r="C335" s="12">
        <v>10.67</v>
      </c>
      <c r="D335" s="12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2">
        <v>2455373.6784999999</v>
      </c>
      <c r="B336" s="12" t="s">
        <v>515</v>
      </c>
      <c r="C336" s="12">
        <v>10.82</v>
      </c>
      <c r="D336" s="12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2">
        <v>2455378.7486100001</v>
      </c>
      <c r="B337" s="12" t="s">
        <v>516</v>
      </c>
      <c r="C337" s="12">
        <v>10.959</v>
      </c>
      <c r="D337" s="12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2">
        <v>2455388.42154</v>
      </c>
      <c r="B338" s="12" t="s">
        <v>517</v>
      </c>
      <c r="C338" s="12">
        <v>10.888</v>
      </c>
      <c r="D338" s="12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2">
        <v>2455414.7013400001</v>
      </c>
      <c r="B339" s="12" t="s">
        <v>159</v>
      </c>
      <c r="C339" s="12">
        <v>10.581</v>
      </c>
      <c r="D339" s="12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2">
        <v>2455417.7220000001</v>
      </c>
      <c r="B340" s="12" t="s">
        <v>518</v>
      </c>
      <c r="C340" s="12">
        <v>10.97</v>
      </c>
      <c r="D340" s="12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2">
        <v>2455425.7072999999</v>
      </c>
      <c r="B341" s="12" t="s">
        <v>519</v>
      </c>
      <c r="C341" s="12">
        <v>10.67</v>
      </c>
      <c r="D341" s="12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2">
        <v>2455436.6729000001</v>
      </c>
      <c r="B342" s="12" t="s">
        <v>520</v>
      </c>
      <c r="C342" s="12">
        <v>10.59</v>
      </c>
      <c r="D342" s="12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2">
        <v>2455438.6367000001</v>
      </c>
      <c r="B343" s="12" t="s">
        <v>521</v>
      </c>
      <c r="C343" s="12">
        <v>10.78</v>
      </c>
      <c r="D343" s="12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2">
        <v>2455452.6501799999</v>
      </c>
      <c r="B344" s="12" t="s">
        <v>522</v>
      </c>
      <c r="C344" s="12">
        <v>10.804</v>
      </c>
      <c r="D344" s="12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2">
        <v>2455477.5641999999</v>
      </c>
      <c r="B345" s="12" t="s">
        <v>523</v>
      </c>
      <c r="C345" s="12">
        <v>10.84</v>
      </c>
      <c r="D345" s="12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2">
        <v>2455479.5495000002</v>
      </c>
      <c r="B346" s="12" t="s">
        <v>524</v>
      </c>
      <c r="C346" s="12">
        <v>10.68</v>
      </c>
      <c r="D346" s="12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2">
        <v>2455492.5222999998</v>
      </c>
      <c r="B347" s="12" t="s">
        <v>525</v>
      </c>
      <c r="C347" s="12">
        <v>10.86</v>
      </c>
      <c r="D347" s="12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2">
        <v>2455509.4696</v>
      </c>
      <c r="B348" s="12" t="s">
        <v>526</v>
      </c>
      <c r="C348" s="12">
        <v>10.94</v>
      </c>
      <c r="D348" s="12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2">
        <v>2455615.4772199998</v>
      </c>
      <c r="B349" s="12" t="s">
        <v>527</v>
      </c>
      <c r="C349" s="12">
        <v>10.8185</v>
      </c>
      <c r="D349" s="12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2">
        <v>2455618.96753</v>
      </c>
      <c r="B350" s="12" t="s">
        <v>528</v>
      </c>
      <c r="C350" s="12">
        <v>10.692</v>
      </c>
      <c r="D350" s="12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2">
        <v>2455622.45793</v>
      </c>
      <c r="B351" s="12" t="s">
        <v>529</v>
      </c>
      <c r="C351" s="12">
        <v>10.847</v>
      </c>
      <c r="D351" s="12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2">
        <v>2455624.4525199998</v>
      </c>
      <c r="B352" s="12" t="s">
        <v>530</v>
      </c>
      <c r="C352" s="12">
        <v>10.818</v>
      </c>
      <c r="D352" s="12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2">
        <v>2455630.4361399999</v>
      </c>
      <c r="B353" s="12" t="s">
        <v>531</v>
      </c>
      <c r="C353" s="12">
        <v>11.1655</v>
      </c>
      <c r="D353" s="12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2">
        <v>2455632.4306399999</v>
      </c>
      <c r="B354" s="12" t="s">
        <v>532</v>
      </c>
      <c r="C354" s="12">
        <v>11.122</v>
      </c>
      <c r="D354" s="12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2">
        <v>2455634.9238800001</v>
      </c>
      <c r="B355" s="12" t="s">
        <v>533</v>
      </c>
      <c r="C355" s="12">
        <v>11.116</v>
      </c>
      <c r="D355" s="12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2">
        <v>2455638.41432</v>
      </c>
      <c r="B356" s="12" t="s">
        <v>534</v>
      </c>
      <c r="C356" s="12">
        <v>11.022</v>
      </c>
      <c r="D356" s="12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2">
        <v>2455640.4088400002</v>
      </c>
      <c r="B357" s="12" t="s">
        <v>535</v>
      </c>
      <c r="C357" s="12">
        <v>10.823</v>
      </c>
      <c r="D357" s="12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2">
        <v>2455643.8991999999</v>
      </c>
      <c r="B358" s="12" t="s">
        <v>536</v>
      </c>
      <c r="C358" s="12">
        <v>10.871</v>
      </c>
      <c r="D358" s="12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2">
        <v>2455645.3992400002</v>
      </c>
      <c r="B359" s="12" t="s">
        <v>537</v>
      </c>
      <c r="C359" s="12">
        <v>10.964</v>
      </c>
      <c r="D359" s="12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2">
        <v>2455646.8950499999</v>
      </c>
      <c r="B360" s="12" t="s">
        <v>538</v>
      </c>
      <c r="C360" s="12">
        <v>10.686999999999999</v>
      </c>
      <c r="D360" s="12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2">
        <v>2455649.9500500001</v>
      </c>
      <c r="B361" s="12" t="s">
        <v>539</v>
      </c>
      <c r="C361" s="12">
        <v>10.882</v>
      </c>
      <c r="D361" s="12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2">
        <v>2455655.4507300002</v>
      </c>
      <c r="B362" s="12" t="s">
        <v>540</v>
      </c>
      <c r="C362" s="12">
        <v>10.878</v>
      </c>
      <c r="D362" s="12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2">
        <v>2455660.9521599999</v>
      </c>
      <c r="B363" s="12" t="s">
        <v>541</v>
      </c>
      <c r="C363" s="12">
        <v>10.803000000000001</v>
      </c>
      <c r="D363" s="12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2">
        <v>2455665.9229100002</v>
      </c>
      <c r="B364" s="12" t="s">
        <v>542</v>
      </c>
      <c r="C364" s="12">
        <v>10.629</v>
      </c>
      <c r="D364" s="12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2">
        <v>2455669.9016200001</v>
      </c>
      <c r="B365" s="12" t="s">
        <v>543</v>
      </c>
      <c r="C365" s="12">
        <v>10.603</v>
      </c>
      <c r="D365" s="12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2">
        <v>2455673.8439799999</v>
      </c>
      <c r="B366" s="12" t="s">
        <v>544</v>
      </c>
      <c r="C366" s="12">
        <v>10.743</v>
      </c>
      <c r="D366" s="12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2">
        <v>2455677.8339200001</v>
      </c>
      <c r="B367" s="12" t="s">
        <v>545</v>
      </c>
      <c r="C367" s="12">
        <v>10.69</v>
      </c>
      <c r="D367" s="12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2">
        <v>2455682.96801</v>
      </c>
      <c r="B368" s="12" t="s">
        <v>160</v>
      </c>
      <c r="C368" s="12">
        <v>10.888</v>
      </c>
      <c r="D368" s="12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2">
        <v>2455684.81244</v>
      </c>
      <c r="B369" s="12" t="s">
        <v>546</v>
      </c>
      <c r="C369" s="12">
        <v>10.922000000000001</v>
      </c>
      <c r="D369" s="12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2">
        <v>2455688.8017600002</v>
      </c>
      <c r="B370" s="12" t="s">
        <v>547</v>
      </c>
      <c r="C370" s="12">
        <v>11.048</v>
      </c>
      <c r="D370" s="12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2">
        <v>2455693.7694700002</v>
      </c>
      <c r="B371" s="12" t="s">
        <v>548</v>
      </c>
      <c r="C371" s="12">
        <v>10.724</v>
      </c>
      <c r="D371" s="12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2">
        <v>2455697.7535999999</v>
      </c>
      <c r="B372" s="12" t="s">
        <v>549</v>
      </c>
      <c r="C372" s="12">
        <v>11.109</v>
      </c>
      <c r="D372" s="12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2">
        <v>2455712.4375</v>
      </c>
      <c r="B373" s="12" t="s">
        <v>550</v>
      </c>
      <c r="C373" s="12">
        <v>10.8</v>
      </c>
      <c r="D373" s="12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2">
        <v>2455718.824</v>
      </c>
      <c r="B374" s="12" t="s">
        <v>551</v>
      </c>
      <c r="C374" s="12">
        <v>11.4</v>
      </c>
      <c r="D374" s="12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2">
        <v>2455720.7752999999</v>
      </c>
      <c r="B375" s="12" t="s">
        <v>552</v>
      </c>
      <c r="C375" s="12">
        <v>11.255000000000001</v>
      </c>
      <c r="D375" s="12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2">
        <v>2455724.80669</v>
      </c>
      <c r="B376" s="12" t="s">
        <v>553</v>
      </c>
      <c r="C376" s="12">
        <v>11.486000000000001</v>
      </c>
      <c r="D376" s="12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2">
        <v>2455728.7462200001</v>
      </c>
      <c r="B377" s="12" t="s">
        <v>554</v>
      </c>
      <c r="C377" s="12">
        <v>11.271000000000001</v>
      </c>
      <c r="D377" s="12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2">
        <v>2455734.0852000001</v>
      </c>
      <c r="B378" s="12" t="s">
        <v>555</v>
      </c>
      <c r="C378" s="12">
        <v>10.9955</v>
      </c>
      <c r="D378" s="12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2">
        <v>2455738.07675</v>
      </c>
      <c r="B379" s="12" t="s">
        <v>556</v>
      </c>
      <c r="C379" s="12">
        <v>11.015499999999999</v>
      </c>
      <c r="D379" s="12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2">
        <v>2455739.7927000001</v>
      </c>
      <c r="B380" s="12" t="s">
        <v>557</v>
      </c>
      <c r="C380" s="12">
        <v>11.17</v>
      </c>
      <c r="D380" s="12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2">
        <v>2455741.7758999998</v>
      </c>
      <c r="B381" s="12" t="s">
        <v>558</v>
      </c>
      <c r="C381" s="12">
        <v>10.933999999999999</v>
      </c>
      <c r="D381" s="12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2">
        <v>2455749.38056</v>
      </c>
      <c r="B382" s="12" t="s">
        <v>559</v>
      </c>
      <c r="C382" s="12">
        <v>11.1</v>
      </c>
      <c r="D382" s="12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2">
        <v>2455753.77434</v>
      </c>
      <c r="B383" s="12" t="s">
        <v>560</v>
      </c>
      <c r="C383" s="12">
        <v>10.789</v>
      </c>
      <c r="D383" s="12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2">
        <v>2455758.8017099998</v>
      </c>
      <c r="B384" s="12" t="s">
        <v>561</v>
      </c>
      <c r="C384" s="12">
        <v>11.066750000000001</v>
      </c>
      <c r="D384" s="12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2">
        <v>2455760.6545199999</v>
      </c>
      <c r="B385" s="12" t="s">
        <v>562</v>
      </c>
      <c r="C385" s="12">
        <v>11.0145</v>
      </c>
      <c r="D385" s="12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2">
        <v>2455761.6616799999</v>
      </c>
      <c r="B386" s="12" t="s">
        <v>563</v>
      </c>
      <c r="C386" s="12">
        <v>11.172333</v>
      </c>
      <c r="D386" s="12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2">
        <v>2455762.67827</v>
      </c>
      <c r="B387" s="12" t="s">
        <v>564</v>
      </c>
      <c r="C387" s="12">
        <v>10.96</v>
      </c>
      <c r="D387" s="12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2">
        <v>2455763.72511</v>
      </c>
      <c r="B388" s="12" t="s">
        <v>565</v>
      </c>
      <c r="C388" s="12">
        <v>10.867667000000001</v>
      </c>
      <c r="D388" s="12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2">
        <v>2455765.23655</v>
      </c>
      <c r="B389" s="12" t="s">
        <v>161</v>
      </c>
      <c r="C389" s="12">
        <v>11.172833000000001</v>
      </c>
      <c r="D389" s="12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2">
        <v>2455769.0338900001</v>
      </c>
      <c r="B390" s="12" t="s">
        <v>566</v>
      </c>
      <c r="C390" s="12">
        <v>11.065666999999999</v>
      </c>
      <c r="D390" s="12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2">
        <v>2455769.71844</v>
      </c>
      <c r="B391" s="12" t="s">
        <v>567</v>
      </c>
      <c r="C391" s="12">
        <v>10.947333</v>
      </c>
      <c r="D391" s="12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2">
        <v>2455771.3930899999</v>
      </c>
      <c r="B392" s="12" t="s">
        <v>568</v>
      </c>
      <c r="C392" s="12">
        <v>11.154999999999999</v>
      </c>
      <c r="D392" s="12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2">
        <v>2455775.6953699999</v>
      </c>
      <c r="B393" s="12" t="s">
        <v>569</v>
      </c>
      <c r="C393" s="12">
        <v>11.120333</v>
      </c>
      <c r="D393" s="12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2">
        <v>2455780.7160499999</v>
      </c>
      <c r="B394" s="12" t="s">
        <v>570</v>
      </c>
      <c r="C394" s="12">
        <v>11.388999999999999</v>
      </c>
      <c r="D394" s="12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2">
        <v>2455783.3076399998</v>
      </c>
      <c r="B395" s="12" t="s">
        <v>571</v>
      </c>
      <c r="C395" s="12">
        <v>11.180332999999999</v>
      </c>
      <c r="D395" s="12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2">
        <v>2455785.65337</v>
      </c>
      <c r="B396" s="12" t="s">
        <v>572</v>
      </c>
      <c r="C396" s="12">
        <v>11.320667</v>
      </c>
      <c r="D396" s="12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2">
        <v>2455788.16383</v>
      </c>
      <c r="B397" s="12" t="s">
        <v>573</v>
      </c>
      <c r="C397" s="12">
        <v>10.936166999999999</v>
      </c>
      <c r="D397" s="12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2">
        <v>2455789.6964500002</v>
      </c>
      <c r="B398" s="12" t="s">
        <v>574</v>
      </c>
      <c r="C398" s="12">
        <v>10.890667000000001</v>
      </c>
      <c r="D398" s="12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2">
        <v>2455796.4049200001</v>
      </c>
      <c r="B399" s="12" t="s">
        <v>575</v>
      </c>
      <c r="C399" s="12">
        <v>10.86425</v>
      </c>
      <c r="D399" s="12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2">
        <v>2455799.66047</v>
      </c>
      <c r="B400" s="12" t="s">
        <v>576</v>
      </c>
      <c r="C400" s="12">
        <v>10.892666999999999</v>
      </c>
      <c r="D400" s="12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2">
        <v>2455801.6102900002</v>
      </c>
      <c r="B401" s="12" t="s">
        <v>200</v>
      </c>
      <c r="C401" s="12">
        <v>10.725667</v>
      </c>
      <c r="D401" s="12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2">
        <v>2455803.6685100002</v>
      </c>
      <c r="B402" s="12" t="s">
        <v>577</v>
      </c>
      <c r="C402" s="12">
        <v>10.742667000000001</v>
      </c>
      <c r="D402" s="12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2">
        <v>2455812.6549499999</v>
      </c>
      <c r="B403" s="12" t="s">
        <v>578</v>
      </c>
      <c r="C403" s="12">
        <v>11.153</v>
      </c>
      <c r="D403" s="12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2">
        <v>2455816.5798999998</v>
      </c>
      <c r="B404" s="12" t="s">
        <v>579</v>
      </c>
      <c r="C404" s="12">
        <v>10.85</v>
      </c>
      <c r="D404" s="12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2">
        <v>2455865.5560099999</v>
      </c>
      <c r="B405" s="12" t="s">
        <v>580</v>
      </c>
      <c r="C405" s="12">
        <v>11.32</v>
      </c>
      <c r="D405" s="12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2">
        <v>2455869.5583199998</v>
      </c>
      <c r="B406" s="12" t="s">
        <v>581</v>
      </c>
      <c r="C406" s="12">
        <v>11.404999999999999</v>
      </c>
      <c r="D406" s="12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2">
        <v>2455943.9854799998</v>
      </c>
      <c r="B407" s="12" t="s">
        <v>582</v>
      </c>
      <c r="C407" s="12">
        <v>11.58</v>
      </c>
      <c r="D407" s="12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2">
        <v>2455956.9739799998</v>
      </c>
      <c r="B408" s="12" t="s">
        <v>583</v>
      </c>
      <c r="C408" s="12">
        <v>11.635</v>
      </c>
      <c r="D408" s="12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2">
        <v>2455972.0274</v>
      </c>
      <c r="B409" s="12" t="s">
        <v>584</v>
      </c>
      <c r="C409" s="12">
        <v>11.212999999999999</v>
      </c>
      <c r="D409" s="12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2">
        <v>2455989.9730799999</v>
      </c>
      <c r="B410" s="12" t="s">
        <v>585</v>
      </c>
      <c r="C410" s="12">
        <v>11.381</v>
      </c>
      <c r="D410" s="12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2">
        <v>2455999.9363000002</v>
      </c>
      <c r="B411" s="12" t="s">
        <v>586</v>
      </c>
      <c r="C411" s="12">
        <v>11.69</v>
      </c>
      <c r="D411" s="12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2">
        <v>2456001.9290999998</v>
      </c>
      <c r="B412" s="12" t="s">
        <v>587</v>
      </c>
      <c r="C412" s="12">
        <v>11.535</v>
      </c>
      <c r="D412" s="12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2">
        <v>2456002.9381900001</v>
      </c>
      <c r="B413" s="12" t="s">
        <v>588</v>
      </c>
      <c r="C413" s="12">
        <v>11.22</v>
      </c>
      <c r="D413" s="12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2">
        <v>2456005.4306100002</v>
      </c>
      <c r="B414" s="12" t="s">
        <v>589</v>
      </c>
      <c r="C414" s="12">
        <v>11.157</v>
      </c>
      <c r="D414" s="12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2">
        <v>2456007.92343</v>
      </c>
      <c r="B415" s="12" t="s">
        <v>590</v>
      </c>
      <c r="C415" s="12">
        <v>11.249000000000001</v>
      </c>
      <c r="D415" s="12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2">
        <v>2456008.9452800001</v>
      </c>
      <c r="B416" s="12" t="s">
        <v>591</v>
      </c>
      <c r="C416" s="12">
        <v>11.141500000000001</v>
      </c>
      <c r="D416" s="12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2">
        <v>2456009.9253400001</v>
      </c>
      <c r="B417" s="12" t="s">
        <v>592</v>
      </c>
      <c r="C417" s="12">
        <v>11.27</v>
      </c>
      <c r="D417" s="12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2">
        <v>2456012.9238900002</v>
      </c>
      <c r="B418" s="12" t="s">
        <v>163</v>
      </c>
      <c r="C418" s="12">
        <v>11.03</v>
      </c>
      <c r="D418" s="12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2">
        <v>2456014.5583600001</v>
      </c>
      <c r="B419" s="12" t="s">
        <v>593</v>
      </c>
      <c r="C419" s="12">
        <v>10.988667</v>
      </c>
      <c r="D419" s="12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2">
        <v>2456015.8548300001</v>
      </c>
      <c r="B420" s="12" t="s">
        <v>594</v>
      </c>
      <c r="C420" s="12">
        <v>11.01</v>
      </c>
      <c r="D420" s="12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2">
        <v>2456018.9271499999</v>
      </c>
      <c r="B421" s="12" t="s">
        <v>595</v>
      </c>
      <c r="C421" s="12">
        <v>11.231</v>
      </c>
      <c r="D421" s="12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2">
        <v>2456021.4304900002</v>
      </c>
      <c r="B422" s="12" t="s">
        <v>596</v>
      </c>
      <c r="C422" s="12">
        <v>11.051500000000001</v>
      </c>
      <c r="D422" s="12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2">
        <v>2456026.8305500001</v>
      </c>
      <c r="B423" s="12" t="s">
        <v>597</v>
      </c>
      <c r="C423" s="12">
        <v>11.063499999999999</v>
      </c>
      <c r="D423" s="12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2">
        <v>2456027.9803200001</v>
      </c>
      <c r="B424" s="12" t="s">
        <v>598</v>
      </c>
      <c r="C424" s="12">
        <v>10.93</v>
      </c>
      <c r="D424" s="12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2">
        <v>2456033.34136</v>
      </c>
      <c r="B425" s="12" t="s">
        <v>164</v>
      </c>
      <c r="C425" s="12">
        <v>11.041</v>
      </c>
      <c r="D425" s="12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2">
        <v>2456034.4444200001</v>
      </c>
      <c r="B426" s="12" t="s">
        <v>599</v>
      </c>
      <c r="C426" s="12">
        <v>11.103999999999999</v>
      </c>
      <c r="D426" s="12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2">
        <v>2456038.8303499999</v>
      </c>
      <c r="B427" s="12" t="s">
        <v>600</v>
      </c>
      <c r="C427" s="12">
        <v>11.099</v>
      </c>
      <c r="D427" s="12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2">
        <v>2456041.2820000001</v>
      </c>
      <c r="B428" s="12" t="s">
        <v>601</v>
      </c>
      <c r="C428" s="12">
        <v>11.428000000000001</v>
      </c>
      <c r="D428" s="12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2">
        <v>2456042.8078800002</v>
      </c>
      <c r="B429" s="12" t="s">
        <v>602</v>
      </c>
      <c r="C429" s="12">
        <v>11.223000000000001</v>
      </c>
      <c r="D429" s="12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2">
        <v>2456045.3357299999</v>
      </c>
      <c r="B430" s="12" t="s">
        <v>603</v>
      </c>
      <c r="C430" s="12">
        <v>11.297000000000001</v>
      </c>
      <c r="D430" s="12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2">
        <v>2456046.8051</v>
      </c>
      <c r="B431" s="12" t="s">
        <v>604</v>
      </c>
      <c r="C431" s="12">
        <v>11.231</v>
      </c>
      <c r="D431" s="12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2">
        <v>2456049.3581300001</v>
      </c>
      <c r="B432" s="12" t="s">
        <v>605</v>
      </c>
      <c r="C432" s="12">
        <v>11.0855</v>
      </c>
      <c r="D432" s="12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2">
        <v>2456050.8312400002</v>
      </c>
      <c r="B433" s="12" t="s">
        <v>606</v>
      </c>
      <c r="C433" s="12">
        <v>10.948</v>
      </c>
      <c r="D433" s="12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2">
        <v>2456053.8172900002</v>
      </c>
      <c r="B434" s="12" t="s">
        <v>607</v>
      </c>
      <c r="C434" s="12">
        <v>10.86</v>
      </c>
      <c r="D434" s="12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2">
        <v>2456058.2050200002</v>
      </c>
      <c r="B435" s="12" t="s">
        <v>608</v>
      </c>
      <c r="C435" s="12">
        <v>11.0885</v>
      </c>
      <c r="D435" s="12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2">
        <v>2456061.2584600002</v>
      </c>
      <c r="B436" s="12" t="s">
        <v>609</v>
      </c>
      <c r="C436" s="12">
        <v>11.221500000000001</v>
      </c>
      <c r="D436" s="12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2">
        <v>2456063.1947499998</v>
      </c>
      <c r="B437" s="12" t="s">
        <v>610</v>
      </c>
      <c r="C437" s="12">
        <v>11.134</v>
      </c>
      <c r="D437" s="12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2">
        <v>2456065.69741</v>
      </c>
      <c r="B438" s="12" t="s">
        <v>611</v>
      </c>
      <c r="C438" s="12">
        <v>11.539</v>
      </c>
      <c r="D438" s="12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2">
        <v>2456067.1214399999</v>
      </c>
      <c r="B439" s="12" t="s">
        <v>612</v>
      </c>
      <c r="C439" s="12">
        <v>11.061</v>
      </c>
      <c r="D439" s="12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2">
        <v>2456067.7354199998</v>
      </c>
      <c r="B440" s="12" t="s">
        <v>165</v>
      </c>
      <c r="C440" s="12">
        <v>11.209</v>
      </c>
      <c r="D440" s="12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2">
        <v>2456070.3331800001</v>
      </c>
      <c r="B441" s="12" t="s">
        <v>613</v>
      </c>
      <c r="C441" s="12">
        <v>11.007999999999999</v>
      </c>
      <c r="D441" s="12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2">
        <v>2456071.8299799999</v>
      </c>
      <c r="B442" s="12" t="s">
        <v>614</v>
      </c>
      <c r="C442" s="12">
        <v>11.257</v>
      </c>
      <c r="D442" s="12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2">
        <v>2456074.3975399998</v>
      </c>
      <c r="B443" s="12" t="s">
        <v>615</v>
      </c>
      <c r="C443" s="12">
        <v>10.9542</v>
      </c>
      <c r="D443" s="12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2">
        <v>2456078.6856800001</v>
      </c>
      <c r="B444" s="12" t="s">
        <v>166</v>
      </c>
      <c r="C444" s="12">
        <v>11.355499999999999</v>
      </c>
      <c r="D444" s="12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2">
        <v>2456081.8396399999</v>
      </c>
      <c r="B445" s="12" t="s">
        <v>616</v>
      </c>
      <c r="C445" s="12">
        <v>11.218</v>
      </c>
      <c r="D445" s="12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2">
        <v>2456083.2719700001</v>
      </c>
      <c r="B446" s="12" t="s">
        <v>617</v>
      </c>
      <c r="C446" s="12">
        <v>11.423</v>
      </c>
      <c r="D446" s="12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2">
        <v>2456085.2176899998</v>
      </c>
      <c r="B447" s="12" t="s">
        <v>618</v>
      </c>
      <c r="C447" s="12">
        <v>11.442500000000001</v>
      </c>
      <c r="D447" s="12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2">
        <v>2456086.3153499998</v>
      </c>
      <c r="B448" s="12" t="s">
        <v>619</v>
      </c>
      <c r="C448" s="12">
        <v>11.416499999999999</v>
      </c>
      <c r="D448" s="12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2">
        <v>2456087.66976</v>
      </c>
      <c r="B449" s="12" t="s">
        <v>620</v>
      </c>
      <c r="C449" s="12">
        <v>11.292999999999999</v>
      </c>
      <c r="D449" s="12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2">
        <v>2456089.1858899998</v>
      </c>
      <c r="B450" s="12" t="s">
        <v>621</v>
      </c>
      <c r="C450" s="12">
        <v>11.273</v>
      </c>
      <c r="D450" s="12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2">
        <v>2456090.7378099998</v>
      </c>
      <c r="B451" s="12" t="s">
        <v>622</v>
      </c>
      <c r="C451" s="12">
        <v>11.2385</v>
      </c>
      <c r="D451" s="12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2">
        <v>2456092.1868699999</v>
      </c>
      <c r="B452" s="12" t="s">
        <v>623</v>
      </c>
      <c r="C452" s="12">
        <v>11.141500000000001</v>
      </c>
      <c r="D452" s="12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2">
        <v>2456093.5346300001</v>
      </c>
      <c r="B453" s="12" t="s">
        <v>624</v>
      </c>
      <c r="C453" s="12">
        <v>11.301500000000001</v>
      </c>
      <c r="D453" s="12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2">
        <v>2456094.5553899999</v>
      </c>
      <c r="B454" s="12" t="s">
        <v>625</v>
      </c>
      <c r="C454" s="12">
        <v>11.159000000000001</v>
      </c>
      <c r="D454" s="12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2">
        <v>2456096.74126</v>
      </c>
      <c r="B455" s="12" t="s">
        <v>626</v>
      </c>
      <c r="C455" s="12">
        <v>11.311</v>
      </c>
      <c r="D455" s="12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2">
        <v>2456097.7821200001</v>
      </c>
      <c r="B456" s="12" t="s">
        <v>167</v>
      </c>
      <c r="C456" s="12">
        <v>11.138</v>
      </c>
      <c r="D456" s="12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2">
        <v>2456099.6800500001</v>
      </c>
      <c r="B457" s="12" t="s">
        <v>627</v>
      </c>
      <c r="C457" s="12">
        <v>11.194000000000001</v>
      </c>
      <c r="D457" s="12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2">
        <v>2456101.25551</v>
      </c>
      <c r="B458" s="12" t="s">
        <v>628</v>
      </c>
      <c r="C458" s="12">
        <v>11.272</v>
      </c>
      <c r="D458" s="12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2">
        <v>2456103.2399800001</v>
      </c>
      <c r="B459" s="12" t="s">
        <v>629</v>
      </c>
      <c r="C459" s="12">
        <v>11.193</v>
      </c>
      <c r="D459" s="12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2">
        <v>2456104.65179</v>
      </c>
      <c r="B460" s="12" t="s">
        <v>630</v>
      </c>
      <c r="C460" s="12">
        <v>11.287000000000001</v>
      </c>
      <c r="D460" s="12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2">
        <v>2456106.3570300001</v>
      </c>
      <c r="B461" s="12" t="s">
        <v>187</v>
      </c>
      <c r="C461" s="12">
        <v>11.2675</v>
      </c>
      <c r="D461" s="12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2">
        <v>2456107.2078100001</v>
      </c>
      <c r="B462" s="12" t="s">
        <v>631</v>
      </c>
      <c r="C462" s="12">
        <v>11.18</v>
      </c>
      <c r="D462" s="12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2">
        <v>2456109.2149899998</v>
      </c>
      <c r="B463" s="12" t="s">
        <v>188</v>
      </c>
      <c r="C463" s="12">
        <v>11.141667</v>
      </c>
      <c r="D463" s="12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2">
        <v>2456110.6055899998</v>
      </c>
      <c r="B464" s="12" t="s">
        <v>632</v>
      </c>
      <c r="C464" s="12">
        <v>11.172000000000001</v>
      </c>
      <c r="D464" s="12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2">
        <v>2456117.21269</v>
      </c>
      <c r="B465" s="12" t="s">
        <v>633</v>
      </c>
      <c r="C465" s="12">
        <v>11.054333</v>
      </c>
      <c r="D465" s="12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2">
        <v>2456118.3478999999</v>
      </c>
      <c r="B466" s="12" t="s">
        <v>634</v>
      </c>
      <c r="C466" s="12">
        <v>11.01</v>
      </c>
      <c r="D466" s="12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2">
        <v>2456120.6389299999</v>
      </c>
      <c r="B467" s="12" t="s">
        <v>635</v>
      </c>
      <c r="C467" s="12">
        <v>10.7</v>
      </c>
      <c r="D467" s="12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2">
        <v>2456126.3292</v>
      </c>
      <c r="B468" s="12" t="s">
        <v>636</v>
      </c>
      <c r="C468" s="12">
        <v>11.4</v>
      </c>
      <c r="D468" s="12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2">
        <v>2456128.4138400001</v>
      </c>
      <c r="B469" s="12" t="s">
        <v>637</v>
      </c>
      <c r="C469" s="12">
        <v>11.249000000000001</v>
      </c>
      <c r="D469" s="12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2">
        <v>2456129.6061399998</v>
      </c>
      <c r="B470" s="12" t="s">
        <v>638</v>
      </c>
      <c r="C470" s="12">
        <v>11.55</v>
      </c>
      <c r="D470" s="12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2">
        <v>2456131.0129200001</v>
      </c>
      <c r="B471" s="12" t="s">
        <v>168</v>
      </c>
      <c r="C471" s="12">
        <v>11.6435</v>
      </c>
      <c r="D471" s="12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2">
        <v>2456132.0410099998</v>
      </c>
      <c r="B472" s="12" t="s">
        <v>639</v>
      </c>
      <c r="C472" s="12">
        <v>11.4175</v>
      </c>
      <c r="D472" s="12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2">
        <v>2456133.4065899998</v>
      </c>
      <c r="B473" s="12" t="s">
        <v>640</v>
      </c>
      <c r="C473" s="12">
        <v>11.372999999999999</v>
      </c>
      <c r="D473" s="12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2">
        <v>2456137.3951400002</v>
      </c>
      <c r="B474" s="12" t="s">
        <v>201</v>
      </c>
      <c r="C474" s="12">
        <v>11.539</v>
      </c>
      <c r="D474" s="12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2">
        <v>2456146.16353</v>
      </c>
      <c r="B475" s="12" t="s">
        <v>641</v>
      </c>
      <c r="C475" s="12">
        <v>11.49</v>
      </c>
      <c r="D475" s="12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2">
        <v>2456147.6736300001</v>
      </c>
      <c r="B476" s="12" t="s">
        <v>202</v>
      </c>
      <c r="C476" s="12">
        <v>11.577</v>
      </c>
      <c r="D476" s="12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2">
        <v>2456150.7185200001</v>
      </c>
      <c r="B477" s="12" t="s">
        <v>189</v>
      </c>
      <c r="C477" s="12">
        <v>11.271000000000001</v>
      </c>
      <c r="D477" s="12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2">
        <v>2456155.2237999998</v>
      </c>
      <c r="B478" s="12" t="s">
        <v>642</v>
      </c>
      <c r="C478" s="12">
        <v>11.5845</v>
      </c>
      <c r="D478" s="12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2">
        <v>2456157.7119300002</v>
      </c>
      <c r="B479" s="12" t="s">
        <v>643</v>
      </c>
      <c r="C479" s="12">
        <v>11.489000000000001</v>
      </c>
      <c r="D479" s="12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2">
        <v>2456159.6770600001</v>
      </c>
      <c r="B480" s="12" t="s">
        <v>644</v>
      </c>
      <c r="C480" s="12">
        <v>11.321</v>
      </c>
      <c r="D480" s="12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2">
        <v>2456162.1676400001</v>
      </c>
      <c r="B481" s="12" t="s">
        <v>645</v>
      </c>
      <c r="C481" s="12">
        <v>11.407500000000001</v>
      </c>
      <c r="D481" s="12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2">
        <v>2456169.14995</v>
      </c>
      <c r="B482" s="12" t="s">
        <v>190</v>
      </c>
      <c r="C482" s="12">
        <v>11.5825</v>
      </c>
      <c r="D482" s="12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2">
        <v>2456170.6793900002</v>
      </c>
      <c r="B483" s="12" t="s">
        <v>646</v>
      </c>
      <c r="C483" s="12">
        <v>11.692</v>
      </c>
      <c r="D483" s="12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2">
        <v>2456180.1306799999</v>
      </c>
      <c r="B484" s="12" t="s">
        <v>169</v>
      </c>
      <c r="C484" s="12">
        <v>11.5655</v>
      </c>
      <c r="D484" s="12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2">
        <v>2456181.5808100002</v>
      </c>
      <c r="B485" s="12" t="s">
        <v>647</v>
      </c>
      <c r="C485" s="12">
        <v>11.672000000000001</v>
      </c>
      <c r="D485" s="12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2">
        <v>2456182.6398100001</v>
      </c>
      <c r="B486" s="12" t="s">
        <v>191</v>
      </c>
      <c r="C486" s="12">
        <v>11.382999999999999</v>
      </c>
      <c r="D486" s="12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2">
        <v>2456184.0801599999</v>
      </c>
      <c r="B487" s="12" t="s">
        <v>648</v>
      </c>
      <c r="C487" s="12">
        <v>11.449</v>
      </c>
      <c r="D487" s="12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2">
        <v>2456193.6296999999</v>
      </c>
      <c r="B488" s="12" t="s">
        <v>649</v>
      </c>
      <c r="C488" s="12">
        <v>11.204000000000001</v>
      </c>
      <c r="D488" s="12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2">
        <v>2456195.5048600002</v>
      </c>
      <c r="B489" s="12" t="s">
        <v>650</v>
      </c>
      <c r="C489" s="12">
        <v>11.523999999999999</v>
      </c>
      <c r="D489" s="12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2">
        <v>2456200.6058100001</v>
      </c>
      <c r="B490" s="12" t="s">
        <v>651</v>
      </c>
      <c r="C490" s="12">
        <v>11.314</v>
      </c>
      <c r="D490" s="12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2">
        <v>2456202.6091100001</v>
      </c>
      <c r="B491" s="12" t="s">
        <v>652</v>
      </c>
      <c r="C491" s="12">
        <v>11.241</v>
      </c>
      <c r="D491" s="12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2">
        <v>2456229.5497300001</v>
      </c>
      <c r="B492" s="12" t="s">
        <v>653</v>
      </c>
      <c r="C492" s="12">
        <v>11.083</v>
      </c>
      <c r="D492" s="12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2">
        <v>2456303.0598399998</v>
      </c>
      <c r="B493" s="12" t="s">
        <v>654</v>
      </c>
      <c r="C493" s="12">
        <v>10.856</v>
      </c>
      <c r="D493" s="12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2">
        <v>2456328.9910200001</v>
      </c>
      <c r="B494" s="12" t="s">
        <v>655</v>
      </c>
      <c r="C494" s="12">
        <v>11.664999999999999</v>
      </c>
      <c r="D494" s="12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2">
        <v>2456335.9925199999</v>
      </c>
      <c r="B495" s="12" t="s">
        <v>656</v>
      </c>
      <c r="C495" s="12">
        <v>11.231999999999999</v>
      </c>
      <c r="D495" s="12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2">
        <v>2456337.9938300001</v>
      </c>
      <c r="B496" s="12" t="s">
        <v>657</v>
      </c>
      <c r="C496" s="12">
        <v>11.247</v>
      </c>
      <c r="D496" s="12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2">
        <v>2456339.9458699999</v>
      </c>
      <c r="B497" s="12" t="s">
        <v>658</v>
      </c>
      <c r="C497" s="12">
        <v>11.186999999999999</v>
      </c>
      <c r="D497" s="12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2">
        <v>2456347.4147199998</v>
      </c>
      <c r="B498" s="12" t="s">
        <v>659</v>
      </c>
      <c r="C498" s="12">
        <v>11.1875</v>
      </c>
      <c r="D498" s="12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2">
        <v>2456348.9078600002</v>
      </c>
      <c r="B499" s="12" t="s">
        <v>660</v>
      </c>
      <c r="C499" s="12">
        <v>10.917999999999999</v>
      </c>
      <c r="D499" s="12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2">
        <v>2456354.8953900002</v>
      </c>
      <c r="B500" s="12" t="s">
        <v>661</v>
      </c>
      <c r="C500" s="12">
        <v>11.254</v>
      </c>
      <c r="D500" s="12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2">
        <v>2456358.9243999999</v>
      </c>
      <c r="B501" s="12" t="s">
        <v>662</v>
      </c>
      <c r="C501" s="12">
        <v>11.3</v>
      </c>
      <c r="D501" s="12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2">
        <v>2456359.9247099999</v>
      </c>
      <c r="B502" s="12" t="s">
        <v>663</v>
      </c>
      <c r="C502" s="12">
        <v>11.186</v>
      </c>
      <c r="D502" s="12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2">
        <v>2456363.8690399998</v>
      </c>
      <c r="B503" s="12" t="s">
        <v>664</v>
      </c>
      <c r="C503" s="12">
        <v>11.009</v>
      </c>
      <c r="D503" s="12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2">
        <v>2456366.5475300001</v>
      </c>
      <c r="B504" s="12" t="s">
        <v>665</v>
      </c>
      <c r="C504" s="12">
        <v>11.067333</v>
      </c>
      <c r="D504" s="12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2">
        <v>2456367.8677500002</v>
      </c>
      <c r="B505" s="12" t="s">
        <v>666</v>
      </c>
      <c r="C505" s="12">
        <v>11.116</v>
      </c>
      <c r="D505" s="12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2">
        <v>2456370.8477099999</v>
      </c>
      <c r="B506" s="12" t="s">
        <v>667</v>
      </c>
      <c r="C506" s="12">
        <v>11.255000000000001</v>
      </c>
      <c r="D506" s="12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2">
        <v>2456373.8664099998</v>
      </c>
      <c r="B507" s="12" t="s">
        <v>668</v>
      </c>
      <c r="C507" s="12">
        <v>11.308999999999999</v>
      </c>
      <c r="D507" s="12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2">
        <v>2456378.8312300001</v>
      </c>
      <c r="B508" s="12" t="s">
        <v>669</v>
      </c>
      <c r="C508" s="12">
        <v>11.521000000000001</v>
      </c>
      <c r="D508" s="12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2">
        <v>2456380.8813299998</v>
      </c>
      <c r="B509" s="12" t="s">
        <v>670</v>
      </c>
      <c r="C509" s="12">
        <v>11.57</v>
      </c>
      <c r="D509" s="12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2">
        <v>2456387.8693400002</v>
      </c>
      <c r="B510" s="12" t="s">
        <v>671</v>
      </c>
      <c r="C510" s="12">
        <v>11.45</v>
      </c>
      <c r="D510" s="12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2">
        <v>2456392.88393</v>
      </c>
      <c r="B511" s="12" t="s">
        <v>672</v>
      </c>
      <c r="C511" s="12">
        <v>11.750999999999999</v>
      </c>
      <c r="D511" s="12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2">
        <v>2456396.2817899999</v>
      </c>
      <c r="B512" s="12" t="s">
        <v>673</v>
      </c>
      <c r="C512" s="12">
        <v>11.474500000000001</v>
      </c>
      <c r="D512" s="12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2">
        <v>2456398.93456</v>
      </c>
      <c r="B513" s="12" t="s">
        <v>674</v>
      </c>
      <c r="C513" s="12">
        <v>11.56</v>
      </c>
      <c r="D513" s="12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2">
        <v>2456402.8258099998</v>
      </c>
      <c r="B514" s="12" t="s">
        <v>675</v>
      </c>
      <c r="C514" s="12">
        <v>11.574999999999999</v>
      </c>
      <c r="D514" s="12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2">
        <v>2456404.7665499998</v>
      </c>
      <c r="B515" s="12" t="s">
        <v>676</v>
      </c>
      <c r="C515" s="12">
        <v>11.323</v>
      </c>
      <c r="D515" s="12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2">
        <v>2456409.8162600002</v>
      </c>
      <c r="B516" s="12" t="s">
        <v>677</v>
      </c>
      <c r="C516" s="12">
        <v>11.118</v>
      </c>
      <c r="D516" s="12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2">
        <v>2456422.8000400001</v>
      </c>
      <c r="B517" s="12" t="s">
        <v>678</v>
      </c>
      <c r="C517" s="12">
        <v>11.396000000000001</v>
      </c>
      <c r="D517" s="12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2">
        <v>2456427.2701699999</v>
      </c>
      <c r="B518" s="12" t="s">
        <v>170</v>
      </c>
      <c r="C518" s="12">
        <v>11.391500000000001</v>
      </c>
      <c r="D518" s="12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2">
        <v>2456428.28217</v>
      </c>
      <c r="B519" s="12" t="s">
        <v>679</v>
      </c>
      <c r="C519" s="12">
        <v>11.255000000000001</v>
      </c>
      <c r="D519" s="12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2">
        <v>2456430.72413</v>
      </c>
      <c r="B520" s="12" t="s">
        <v>680</v>
      </c>
      <c r="C520" s="12">
        <v>11.345000000000001</v>
      </c>
      <c r="D520" s="12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2">
        <v>2456436.22572</v>
      </c>
      <c r="B521" s="12" t="s">
        <v>681</v>
      </c>
      <c r="C521" s="12">
        <v>11.593999999999999</v>
      </c>
      <c r="D521" s="12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2">
        <v>2456437.71539</v>
      </c>
      <c r="B522" s="12" t="s">
        <v>682</v>
      </c>
      <c r="C522" s="12">
        <v>11.75</v>
      </c>
      <c r="D522" s="12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2">
        <v>2456444.8897899999</v>
      </c>
      <c r="B523" s="12" t="s">
        <v>683</v>
      </c>
      <c r="C523" s="12">
        <v>11.28</v>
      </c>
      <c r="D523" s="12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2">
        <v>2456447.7215399998</v>
      </c>
      <c r="B524" s="12" t="s">
        <v>684</v>
      </c>
      <c r="C524" s="12">
        <v>11.333</v>
      </c>
      <c r="D524" s="12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2">
        <v>2456450.5706500001</v>
      </c>
      <c r="B525" s="12" t="s">
        <v>685</v>
      </c>
      <c r="C525" s="12">
        <v>11.044</v>
      </c>
      <c r="D525" s="12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2">
        <v>2456455.1329899998</v>
      </c>
      <c r="B526" s="12" t="s">
        <v>686</v>
      </c>
      <c r="C526" s="12">
        <v>11.278</v>
      </c>
      <c r="D526" s="12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2">
        <v>2456456.7911999999</v>
      </c>
      <c r="B527" s="12" t="s">
        <v>687</v>
      </c>
      <c r="C527" s="12">
        <v>11.06</v>
      </c>
      <c r="D527" s="12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2">
        <v>2456457.7471500002</v>
      </c>
      <c r="B528" s="12" t="s">
        <v>688</v>
      </c>
      <c r="C528" s="12">
        <v>11.52</v>
      </c>
      <c r="D528" s="12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2">
        <v>2456461.3875000002</v>
      </c>
      <c r="B529" s="12" t="s">
        <v>689</v>
      </c>
      <c r="C529" s="12">
        <v>11.125</v>
      </c>
      <c r="D529" s="12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2">
        <v>2456463.3972499999</v>
      </c>
      <c r="B530" s="12" t="s">
        <v>192</v>
      </c>
      <c r="C530" s="12">
        <v>11.065</v>
      </c>
      <c r="D530" s="12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2">
        <v>2456470.2711800002</v>
      </c>
      <c r="B531" s="12" t="s">
        <v>690</v>
      </c>
      <c r="C531" s="12">
        <v>11.284000000000001</v>
      </c>
      <c r="D531" s="12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2">
        <v>2456472.7615700001</v>
      </c>
      <c r="B532" s="12" t="s">
        <v>691</v>
      </c>
      <c r="C532" s="12">
        <v>11.15</v>
      </c>
      <c r="D532" s="12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2">
        <v>2456474.3785000001</v>
      </c>
      <c r="B533" s="12" t="s">
        <v>692</v>
      </c>
      <c r="C533" s="12">
        <v>11.06</v>
      </c>
      <c r="D533" s="12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2">
        <v>2456476.3931</v>
      </c>
      <c r="B534" s="12" t="s">
        <v>193</v>
      </c>
      <c r="C534" s="12">
        <v>10.94</v>
      </c>
      <c r="D534" s="12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2">
        <v>2456478.5699300002</v>
      </c>
      <c r="B535" s="12" t="s">
        <v>693</v>
      </c>
      <c r="C535" s="12">
        <v>11.435499999999999</v>
      </c>
      <c r="D535" s="12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2">
        <v>2456479.6779700001</v>
      </c>
      <c r="B536" s="12" t="s">
        <v>694</v>
      </c>
      <c r="C536" s="12">
        <v>11.054</v>
      </c>
      <c r="D536" s="12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2">
        <v>2456481.2417299999</v>
      </c>
      <c r="B537" s="12" t="s">
        <v>695</v>
      </c>
      <c r="C537" s="12">
        <v>11.098000000000001</v>
      </c>
      <c r="D537" s="12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2">
        <v>2456483.2393899998</v>
      </c>
      <c r="B538" s="12" t="s">
        <v>696</v>
      </c>
      <c r="C538" s="12">
        <v>11.278499999999999</v>
      </c>
      <c r="D538" s="12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2">
        <v>2456485.2290400001</v>
      </c>
      <c r="B539" s="12" t="s">
        <v>697</v>
      </c>
      <c r="C539" s="12">
        <v>11.3515</v>
      </c>
      <c r="D539" s="12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2">
        <v>2456487.22493</v>
      </c>
      <c r="B540" s="12" t="s">
        <v>698</v>
      </c>
      <c r="C540" s="12">
        <v>11.127000000000001</v>
      </c>
      <c r="D540" s="12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2">
        <v>2456488.3638499998</v>
      </c>
      <c r="B541" s="12" t="s">
        <v>194</v>
      </c>
      <c r="C541" s="12">
        <v>11.17</v>
      </c>
      <c r="D541" s="12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2">
        <v>2456490.21563</v>
      </c>
      <c r="B542" s="12" t="s">
        <v>172</v>
      </c>
      <c r="C542" s="12">
        <v>11.1815</v>
      </c>
      <c r="D542" s="12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2">
        <v>2456491.7259399998</v>
      </c>
      <c r="B543" s="12" t="s">
        <v>699</v>
      </c>
      <c r="C543" s="12">
        <v>11.118</v>
      </c>
      <c r="D543" s="12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2">
        <v>2456497.2019000002</v>
      </c>
      <c r="B544" s="12" t="s">
        <v>700</v>
      </c>
      <c r="C544" s="12">
        <v>11.0555</v>
      </c>
      <c r="D544" s="12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2">
        <v>2456498.7205400001</v>
      </c>
      <c r="B545" s="12" t="s">
        <v>701</v>
      </c>
      <c r="C545" s="12">
        <v>11.095000000000001</v>
      </c>
      <c r="D545" s="12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2">
        <v>2456500.5191299999</v>
      </c>
      <c r="B546" s="12" t="s">
        <v>702</v>
      </c>
      <c r="C546" s="12">
        <v>11.096500000000001</v>
      </c>
      <c r="D546" s="12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2">
        <v>2456501.6804599999</v>
      </c>
      <c r="B547" s="12" t="s">
        <v>703</v>
      </c>
      <c r="C547" s="12">
        <v>11.189</v>
      </c>
      <c r="D547" s="12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2">
        <v>2456503.6864700001</v>
      </c>
      <c r="B548" s="12" t="s">
        <v>704</v>
      </c>
      <c r="C548" s="12">
        <v>11.24</v>
      </c>
      <c r="D548" s="12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2">
        <v>2456505.6850899998</v>
      </c>
      <c r="B549" s="12" t="s">
        <v>705</v>
      </c>
      <c r="C549" s="12">
        <v>11.051</v>
      </c>
      <c r="D549" s="12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2">
        <v>2456506.71019</v>
      </c>
      <c r="B550" s="12" t="s">
        <v>173</v>
      </c>
      <c r="C550" s="12">
        <v>11.458</v>
      </c>
      <c r="D550" s="12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2">
        <v>2456508.6887300001</v>
      </c>
      <c r="B551" s="12" t="s">
        <v>195</v>
      </c>
      <c r="C551" s="12">
        <v>11.265000000000001</v>
      </c>
      <c r="D551" s="12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2">
        <v>2456511.65454</v>
      </c>
      <c r="B552" s="12" t="s">
        <v>706</v>
      </c>
      <c r="C552" s="12">
        <v>11.081</v>
      </c>
      <c r="D552" s="12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2">
        <v>2456512.6929700002</v>
      </c>
      <c r="B553" s="12" t="s">
        <v>707</v>
      </c>
      <c r="C553" s="12">
        <v>11.542999999999999</v>
      </c>
      <c r="D553" s="12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2">
        <v>2456515.6469800002</v>
      </c>
      <c r="B554" s="12" t="s">
        <v>196</v>
      </c>
      <c r="C554" s="12">
        <v>11.214</v>
      </c>
      <c r="D554" s="12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2">
        <v>2456517.6676699999</v>
      </c>
      <c r="B555" s="12" t="s">
        <v>708</v>
      </c>
      <c r="C555" s="12">
        <v>11.411</v>
      </c>
      <c r="D555" s="12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2">
        <v>2456519.16573</v>
      </c>
      <c r="B556" s="12" t="s">
        <v>709</v>
      </c>
      <c r="C556" s="12">
        <v>11.3245</v>
      </c>
      <c r="D556" s="12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2">
        <v>2456523.6385499998</v>
      </c>
      <c r="B557" s="12" t="s">
        <v>710</v>
      </c>
      <c r="C557" s="12">
        <v>11.170999999999999</v>
      </c>
      <c r="D557" s="12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2">
        <v>2456525.14481</v>
      </c>
      <c r="B558" s="12" t="s">
        <v>711</v>
      </c>
      <c r="C558" s="12">
        <v>11.0915</v>
      </c>
      <c r="D558" s="12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2">
        <v>2456526.6391599998</v>
      </c>
      <c r="B559" s="12" t="s">
        <v>712</v>
      </c>
      <c r="C559" s="12">
        <v>11.31</v>
      </c>
      <c r="D559" s="12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2">
        <v>2456529.1557100001</v>
      </c>
      <c r="B560" s="12" t="s">
        <v>713</v>
      </c>
      <c r="C560" s="12">
        <v>11.063000000000001</v>
      </c>
      <c r="D560" s="12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2">
        <v>2456531.1453499999</v>
      </c>
      <c r="B561" s="12" t="s">
        <v>197</v>
      </c>
      <c r="C561" s="12">
        <v>11.334</v>
      </c>
      <c r="D561" s="12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2">
        <v>2456533.1431399998</v>
      </c>
      <c r="B562" s="12" t="s">
        <v>714</v>
      </c>
      <c r="C562" s="12">
        <v>11.227</v>
      </c>
      <c r="D562" s="12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2">
        <v>2456534.6345799998</v>
      </c>
      <c r="B563" s="12" t="s">
        <v>715</v>
      </c>
      <c r="C563" s="12">
        <v>11.157999999999999</v>
      </c>
      <c r="D563" s="12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2">
        <v>2456535.63503</v>
      </c>
      <c r="B564" s="12" t="s">
        <v>198</v>
      </c>
      <c r="C564" s="12">
        <v>10.898</v>
      </c>
      <c r="D564" s="12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2">
        <v>2456538.13797</v>
      </c>
      <c r="B565" s="12" t="s">
        <v>174</v>
      </c>
      <c r="C565" s="12">
        <v>11.0335</v>
      </c>
      <c r="D565" s="12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2">
        <v>2456539.6333400002</v>
      </c>
      <c r="B566" s="12" t="s">
        <v>716</v>
      </c>
      <c r="C566" s="12">
        <v>11.271000000000001</v>
      </c>
      <c r="D566" s="12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2">
        <v>2456540.69575</v>
      </c>
      <c r="B567" s="12" t="s">
        <v>717</v>
      </c>
      <c r="C567" s="12">
        <v>10.972</v>
      </c>
      <c r="D567" s="12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2">
        <v>2456542.6350799999</v>
      </c>
      <c r="B568" s="12" t="s">
        <v>718</v>
      </c>
      <c r="C568" s="12">
        <v>10.847</v>
      </c>
      <c r="D568" s="12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2">
        <v>2456544.60396</v>
      </c>
      <c r="B569" s="12" t="s">
        <v>719</v>
      </c>
      <c r="C569" s="12">
        <v>10.956</v>
      </c>
      <c r="D569" s="12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2">
        <v>2456546.1035600002</v>
      </c>
      <c r="B570" s="12" t="s">
        <v>720</v>
      </c>
      <c r="C570" s="12">
        <v>10.7895</v>
      </c>
      <c r="D570" s="12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2">
        <v>2456557.4156999998</v>
      </c>
      <c r="B571" s="12" t="s">
        <v>721</v>
      </c>
      <c r="C571" s="12">
        <v>10.81</v>
      </c>
      <c r="D571" s="12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2">
        <v>2456566.5422100001</v>
      </c>
      <c r="B572" s="12" t="s">
        <v>199</v>
      </c>
      <c r="C572" s="12">
        <v>10.734999999999999</v>
      </c>
      <c r="D572" s="12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2">
        <v>2456567.5425100001</v>
      </c>
      <c r="B573" s="12" t="s">
        <v>722</v>
      </c>
      <c r="C573" s="12">
        <v>11.095000000000001</v>
      </c>
      <c r="D573" s="12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2">
        <v>2456569.54238</v>
      </c>
      <c r="B574" s="12" t="s">
        <v>723</v>
      </c>
      <c r="C574" s="12">
        <v>11.247999999999999</v>
      </c>
      <c r="D574" s="12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2">
        <v>2456705.4254600001</v>
      </c>
      <c r="B575" s="12" t="s">
        <v>724</v>
      </c>
      <c r="C575" s="12">
        <v>11.061999999999999</v>
      </c>
      <c r="D575" s="12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2">
        <v>2456706.9475699998</v>
      </c>
      <c r="B576" s="12" t="s">
        <v>725</v>
      </c>
      <c r="C576" s="12">
        <v>11.298</v>
      </c>
      <c r="D576" s="12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2">
        <v>2456707.9489799999</v>
      </c>
      <c r="B577" s="12" t="s">
        <v>726</v>
      </c>
      <c r="C577" s="12">
        <v>11.147</v>
      </c>
      <c r="D577" s="12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2">
        <v>2456710.9374199999</v>
      </c>
      <c r="B578" s="12" t="s">
        <v>727</v>
      </c>
      <c r="C578" s="12">
        <v>10.971</v>
      </c>
      <c r="D578" s="12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2">
        <v>2456715.92484</v>
      </c>
      <c r="B579" s="12" t="s">
        <v>728</v>
      </c>
      <c r="C579" s="12">
        <v>11.118</v>
      </c>
      <c r="D579" s="12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2">
        <v>2456723.9015299999</v>
      </c>
      <c r="B580" s="12" t="s">
        <v>729</v>
      </c>
      <c r="C580" s="12">
        <v>11.116</v>
      </c>
      <c r="D580" s="12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2">
        <v>2456726.8817500002</v>
      </c>
      <c r="B581" s="12" t="s">
        <v>730</v>
      </c>
      <c r="C581" s="12">
        <v>11.3285</v>
      </c>
      <c r="D581" s="12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2">
        <v>2456751.24456</v>
      </c>
      <c r="B582" s="12" t="s">
        <v>731</v>
      </c>
      <c r="C582" s="12">
        <v>11.215</v>
      </c>
      <c r="D582" s="12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2">
        <v>2456757.81036</v>
      </c>
      <c r="B583" s="12" t="s">
        <v>732</v>
      </c>
      <c r="C583" s="12">
        <v>11.06</v>
      </c>
      <c r="D583" s="12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2">
        <v>2456759.8028699998</v>
      </c>
      <c r="B584" s="12" t="s">
        <v>733</v>
      </c>
      <c r="C584" s="12">
        <v>11.234</v>
      </c>
      <c r="D584" s="12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2">
        <v>2456770.8189500002</v>
      </c>
      <c r="B585" s="12" t="s">
        <v>734</v>
      </c>
      <c r="C585" s="12">
        <v>11.266999999999999</v>
      </c>
      <c r="D585" s="12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2">
        <v>2456782.2705999999</v>
      </c>
      <c r="B586" s="12" t="s">
        <v>735</v>
      </c>
      <c r="C586" s="12">
        <v>11.0825</v>
      </c>
      <c r="D586" s="12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2">
        <v>2456786.7056</v>
      </c>
      <c r="B587" s="12" t="s">
        <v>736</v>
      </c>
      <c r="C587" s="12">
        <v>11.195</v>
      </c>
      <c r="D587" s="12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2">
        <v>2456796.7050800002</v>
      </c>
      <c r="B588" s="12" t="s">
        <v>737</v>
      </c>
      <c r="C588" s="12">
        <v>11.016500000000001</v>
      </c>
      <c r="D588" s="12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2">
        <v>2456798.3234799998</v>
      </c>
      <c r="B589" s="12" t="s">
        <v>738</v>
      </c>
      <c r="C589" s="12">
        <v>11.33</v>
      </c>
      <c r="D589" s="12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2">
        <v>2456800.8173799999</v>
      </c>
      <c r="B590" s="12" t="s">
        <v>739</v>
      </c>
      <c r="C590" s="12">
        <v>11.452999999999999</v>
      </c>
      <c r="D590" s="12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2">
        <v>2456812.0200200002</v>
      </c>
      <c r="B591" s="12" t="s">
        <v>740</v>
      </c>
      <c r="C591" s="12">
        <v>11.42</v>
      </c>
      <c r="D591" s="12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2">
        <v>2456844.5162999998</v>
      </c>
      <c r="B592" s="12" t="s">
        <v>741</v>
      </c>
      <c r="C592" s="12">
        <v>11.37</v>
      </c>
      <c r="D592" s="12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2">
        <v>2456850.6269499999</v>
      </c>
      <c r="B593" s="12" t="s">
        <v>742</v>
      </c>
      <c r="C593" s="12">
        <v>11.4015</v>
      </c>
      <c r="D593" s="12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2">
        <v>2456856.85408</v>
      </c>
      <c r="B594" s="12" t="s">
        <v>177</v>
      </c>
      <c r="C594" s="12">
        <v>11.391753</v>
      </c>
      <c r="D594" s="12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2">
        <v>2456860.8435</v>
      </c>
      <c r="B595" s="12" t="s">
        <v>743</v>
      </c>
      <c r="C595" s="12">
        <v>11.583458</v>
      </c>
      <c r="D595" s="12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2">
        <v>2456863.1994500002</v>
      </c>
      <c r="B596" s="12" t="s">
        <v>744</v>
      </c>
      <c r="C596" s="12">
        <v>11.205</v>
      </c>
      <c r="D596" s="12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2">
        <v>2456866.6866199998</v>
      </c>
      <c r="B597" s="12" t="s">
        <v>745</v>
      </c>
      <c r="C597" s="12">
        <v>11.234</v>
      </c>
      <c r="D597" s="12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2">
        <v>2456868.5164999999</v>
      </c>
      <c r="B598" s="12" t="s">
        <v>746</v>
      </c>
      <c r="C598" s="12">
        <v>11.27</v>
      </c>
      <c r="D598" s="12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2">
        <v>2456870.6727200001</v>
      </c>
      <c r="B599" s="12" t="s">
        <v>747</v>
      </c>
      <c r="C599" s="12">
        <v>11.404999999999999</v>
      </c>
      <c r="D599" s="12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2">
        <v>2456872.6662499998</v>
      </c>
      <c r="B600" s="12" t="s">
        <v>748</v>
      </c>
      <c r="C600" s="12">
        <v>11.547000000000001</v>
      </c>
      <c r="D600" s="12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2">
        <v>2456884.1391400001</v>
      </c>
      <c r="B601" s="12" t="s">
        <v>749</v>
      </c>
      <c r="C601" s="12">
        <v>11.4665</v>
      </c>
      <c r="D601" s="12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2">
        <v>2456891.6496899999</v>
      </c>
      <c r="B602" s="12" t="s">
        <v>750</v>
      </c>
      <c r="C602" s="12">
        <v>11.073</v>
      </c>
      <c r="D602" s="12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2">
        <v>2456894.1111400002</v>
      </c>
      <c r="B603" s="12" t="s">
        <v>751</v>
      </c>
      <c r="C603" s="12">
        <v>11.472</v>
      </c>
      <c r="D603" s="12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2">
        <v>2456895.60427</v>
      </c>
      <c r="B604" s="12" t="s">
        <v>5</v>
      </c>
      <c r="C604" s="12">
        <v>11.332000000000001</v>
      </c>
      <c r="D604" s="12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2">
        <v>2456901.5888899998</v>
      </c>
      <c r="B605" s="12" t="s">
        <v>752</v>
      </c>
      <c r="C605" s="12">
        <v>11.113</v>
      </c>
      <c r="D605" s="12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2">
        <v>2456904.8167599998</v>
      </c>
      <c r="B606" s="12" t="s">
        <v>6</v>
      </c>
      <c r="C606" s="12">
        <v>11.175000000000001</v>
      </c>
      <c r="D606" s="12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2">
        <v>2456916.3129500002</v>
      </c>
      <c r="B607" s="12" t="s">
        <v>753</v>
      </c>
      <c r="C607" s="12">
        <v>11.494999999999999</v>
      </c>
      <c r="D607" s="12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2">
        <v>2457061.94936</v>
      </c>
      <c r="B608" s="12" t="s">
        <v>754</v>
      </c>
      <c r="C608" s="12">
        <v>11.87</v>
      </c>
      <c r="D608" s="12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2">
        <v>2457064.9540800001</v>
      </c>
      <c r="B609" s="12" t="s">
        <v>755</v>
      </c>
      <c r="C609" s="12">
        <v>11.571</v>
      </c>
      <c r="D609" s="12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2">
        <v>2457065.9664500002</v>
      </c>
      <c r="B610" s="12" t="s">
        <v>756</v>
      </c>
      <c r="C610" s="12">
        <v>11.637</v>
      </c>
      <c r="D610" s="12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2">
        <v>2457068.9301999998</v>
      </c>
      <c r="B611" s="12" t="s">
        <v>757</v>
      </c>
      <c r="C611" s="12">
        <v>11.477</v>
      </c>
      <c r="D611" s="12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2">
        <v>2457090.8667899999</v>
      </c>
      <c r="B612" s="12" t="s">
        <v>758</v>
      </c>
      <c r="C612" s="12">
        <v>11.353999999999999</v>
      </c>
      <c r="D612" s="12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2">
        <v>2457094.93487</v>
      </c>
      <c r="B613" s="12" t="s">
        <v>759</v>
      </c>
      <c r="C613" s="12">
        <v>11.414999999999999</v>
      </c>
      <c r="D613" s="12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2">
        <v>2457098.8922000001</v>
      </c>
      <c r="B614" s="12" t="s">
        <v>760</v>
      </c>
      <c r="C614" s="12">
        <v>11.855</v>
      </c>
      <c r="D614" s="12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2">
        <v>2457112.52782</v>
      </c>
      <c r="B615" s="12" t="s">
        <v>761</v>
      </c>
      <c r="C615" s="12">
        <v>11.4145</v>
      </c>
      <c r="D615" s="12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2">
        <v>2457114.3210499999</v>
      </c>
      <c r="B616" s="12" t="s">
        <v>762</v>
      </c>
      <c r="C616" s="12">
        <v>11.682499999999999</v>
      </c>
      <c r="D616" s="12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2">
        <v>2457116.9210700002</v>
      </c>
      <c r="B617" s="12" t="s">
        <v>763</v>
      </c>
      <c r="C617" s="12">
        <v>11.349</v>
      </c>
      <c r="D617" s="12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2">
        <v>2457157.7617299999</v>
      </c>
      <c r="B618" s="12" t="s">
        <v>1</v>
      </c>
      <c r="C618" s="12">
        <v>11.263</v>
      </c>
      <c r="D618" s="12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2">
        <v>2457159.2082799999</v>
      </c>
      <c r="B619" s="12" t="s">
        <v>764</v>
      </c>
      <c r="C619" s="12">
        <v>11.349586</v>
      </c>
      <c r="D619" s="12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2">
        <v>2457163.2257599998</v>
      </c>
      <c r="B620" s="12" t="s">
        <v>765</v>
      </c>
      <c r="C620" s="12">
        <v>11.274347000000001</v>
      </c>
      <c r="D620" s="12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2">
        <v>2457164.8844400002</v>
      </c>
      <c r="B621" s="12" t="s">
        <v>766</v>
      </c>
      <c r="C621" s="12">
        <v>11.41</v>
      </c>
      <c r="D621" s="12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2">
        <v>2457170.1218900001</v>
      </c>
      <c r="B622" s="12" t="s">
        <v>767</v>
      </c>
      <c r="C622" s="12">
        <v>11.477931999999999</v>
      </c>
      <c r="D622" s="12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2">
        <v>2457171.1345199998</v>
      </c>
      <c r="B623" s="12" t="s">
        <v>768</v>
      </c>
      <c r="C623" s="12">
        <v>11.403911000000001</v>
      </c>
      <c r="D623" s="12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2">
        <v>2457186.0510200001</v>
      </c>
      <c r="B624" s="12" t="s">
        <v>180</v>
      </c>
      <c r="C624" s="12">
        <v>11.471</v>
      </c>
      <c r="D624" s="12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2">
        <v>2457188.8330700002</v>
      </c>
      <c r="B625" s="12" t="s">
        <v>769</v>
      </c>
      <c r="C625" s="12">
        <v>11.683</v>
      </c>
      <c r="D625" s="12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2">
        <v>2457201.1437300001</v>
      </c>
      <c r="B626" s="12" t="s">
        <v>2</v>
      </c>
      <c r="C626" s="12">
        <v>11.563000000000001</v>
      </c>
      <c r="D626" s="12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2">
        <v>2457213.4049499999</v>
      </c>
      <c r="B627" s="12" t="s">
        <v>3</v>
      </c>
      <c r="C627" s="12">
        <v>11.162096999999999</v>
      </c>
      <c r="D627" s="12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2">
        <v>2457214.05877</v>
      </c>
      <c r="B628" s="12" t="s">
        <v>4</v>
      </c>
      <c r="C628" s="12">
        <v>11.251279</v>
      </c>
      <c r="D628" s="12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2">
        <v>2457426.9570499999</v>
      </c>
      <c r="B629" s="12" t="s">
        <v>181</v>
      </c>
      <c r="C629" s="12">
        <v>11.433</v>
      </c>
      <c r="D629" s="12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2">
        <v>2457446.5581200002</v>
      </c>
      <c r="B630" s="12" t="s">
        <v>770</v>
      </c>
      <c r="C630" s="12">
        <v>11.1465</v>
      </c>
      <c r="D630" s="12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2">
        <v>2457452.88106</v>
      </c>
      <c r="B631" s="12" t="s">
        <v>771</v>
      </c>
      <c r="C631" s="12">
        <v>11.333</v>
      </c>
      <c r="D631" s="12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2">
        <v>2457454.8764</v>
      </c>
      <c r="B632" s="12" t="s">
        <v>772</v>
      </c>
      <c r="C632" s="12">
        <v>10.906000000000001</v>
      </c>
      <c r="D632" s="12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2">
        <v>2457459.3603300001</v>
      </c>
      <c r="B633" s="12" t="s">
        <v>773</v>
      </c>
      <c r="C633" s="12">
        <v>11.272500000000001</v>
      </c>
      <c r="D633" s="12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2">
        <v>2457471.8695200002</v>
      </c>
      <c r="B634" s="12" t="s">
        <v>774</v>
      </c>
      <c r="C634" s="12">
        <v>11.587999999999999</v>
      </c>
      <c r="D634" s="12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2">
        <v>2457486.7845299998</v>
      </c>
      <c r="B635" s="12" t="s">
        <v>775</v>
      </c>
      <c r="C635" s="12">
        <v>11.430999999999999</v>
      </c>
      <c r="D635" s="12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2">
        <v>2457489.7782100001</v>
      </c>
      <c r="B636" s="12" t="s">
        <v>776</v>
      </c>
      <c r="C636" s="12">
        <v>11.372999999999999</v>
      </c>
      <c r="D636" s="12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2">
        <v>2457506.2721299999</v>
      </c>
      <c r="B637" s="12" t="s">
        <v>777</v>
      </c>
      <c r="C637" s="12">
        <v>11.535</v>
      </c>
      <c r="D637" s="12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2">
        <v>2457540.88735</v>
      </c>
      <c r="B638" s="12" t="s">
        <v>7</v>
      </c>
      <c r="C638" s="12">
        <v>11.282</v>
      </c>
      <c r="D638" s="12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2">
        <v>2457562.66555</v>
      </c>
      <c r="B639" s="12" t="s">
        <v>778</v>
      </c>
      <c r="C639" s="12">
        <v>11.552</v>
      </c>
      <c r="D639" s="12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2">
        <v>2457573.3944000001</v>
      </c>
      <c r="B640" s="12" t="s">
        <v>9</v>
      </c>
      <c r="C640" s="12">
        <v>11.3</v>
      </c>
      <c r="D640" s="12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2">
        <v>2457582.3977399999</v>
      </c>
      <c r="B641" s="12" t="s">
        <v>10</v>
      </c>
      <c r="C641" s="12">
        <v>11.404999999999999</v>
      </c>
      <c r="D641" s="12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2">
        <v>2457651.3282499998</v>
      </c>
      <c r="B642" s="12" t="s">
        <v>13</v>
      </c>
      <c r="C642" s="12">
        <v>11.224</v>
      </c>
      <c r="D642" s="12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2">
        <v>2457672.2871300001</v>
      </c>
      <c r="B643" s="12" t="s">
        <v>779</v>
      </c>
      <c r="C643" s="12">
        <v>11.792999999999999</v>
      </c>
      <c r="D643" s="12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2">
        <v>2457784.9704100001</v>
      </c>
      <c r="B644" s="12" t="s">
        <v>780</v>
      </c>
      <c r="C644" s="12">
        <v>10.881</v>
      </c>
      <c r="D644" s="12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2">
        <v>2457785.9789800001</v>
      </c>
      <c r="B645" s="12" t="s">
        <v>781</v>
      </c>
      <c r="C645" s="12">
        <v>11.016</v>
      </c>
      <c r="D645" s="12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2">
        <v>2457895.4596199999</v>
      </c>
      <c r="B646" s="12" t="s">
        <v>787</v>
      </c>
      <c r="C646" s="12">
        <v>10.999511999999999</v>
      </c>
      <c r="D646" s="12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2">
        <v>2457896.5148</v>
      </c>
      <c r="B647" s="12" t="s">
        <v>788</v>
      </c>
      <c r="C647" s="12">
        <v>11.114321</v>
      </c>
      <c r="D647" s="12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2">
        <v>2457904.28859</v>
      </c>
      <c r="B648" s="12" t="s">
        <v>789</v>
      </c>
      <c r="C648" s="12">
        <v>10.93375</v>
      </c>
      <c r="D648" s="12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2457977.36858</v>
      </c>
      <c r="B649" s="1" t="s">
        <v>2463</v>
      </c>
      <c r="C649" s="1">
        <v>10.624000000000001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2457977.3687700001</v>
      </c>
      <c r="B650" s="1" t="s">
        <v>2463</v>
      </c>
      <c r="C650" s="1">
        <v>10.64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2457978.3511800002</v>
      </c>
      <c r="B651" s="1" t="s">
        <v>2464</v>
      </c>
      <c r="C651" s="1">
        <v>10.4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2457978.3513799999</v>
      </c>
      <c r="B652" s="1" t="s">
        <v>2464</v>
      </c>
      <c r="C652" s="1">
        <v>10.356999999999999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2457991.54734</v>
      </c>
      <c r="B653" s="1" t="s">
        <v>2465</v>
      </c>
      <c r="C653" s="1">
        <v>10.628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2458007.5923199998</v>
      </c>
      <c r="B654" s="1" t="s">
        <v>2466</v>
      </c>
      <c r="C654" s="1">
        <v>10.673999999999999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2458011.3083899999</v>
      </c>
      <c r="B655" s="1" t="s">
        <v>2467</v>
      </c>
      <c r="C655" s="1">
        <v>10.657999999999999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2458011.5339000002</v>
      </c>
      <c r="B656" s="1" t="s">
        <v>2468</v>
      </c>
      <c r="C656" s="1">
        <v>11.118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2458011.5368900001</v>
      </c>
      <c r="B657" s="1" t="s">
        <v>2468</v>
      </c>
      <c r="C657" s="1">
        <v>11.055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2458011.5416299999</v>
      </c>
      <c r="B658" s="1" t="s">
        <v>2468</v>
      </c>
      <c r="C658" s="1">
        <v>10.992000000000001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2458019.5233</v>
      </c>
      <c r="B659" s="1" t="s">
        <v>2469</v>
      </c>
      <c r="C659" s="1">
        <v>10.957000000000001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2458045.4978999998</v>
      </c>
      <c r="B660" s="1" t="s">
        <v>2470</v>
      </c>
      <c r="C660" s="1">
        <v>10.781000000000001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2458048.4728999999</v>
      </c>
      <c r="B661" s="1" t="s">
        <v>2471</v>
      </c>
      <c r="C661" s="1">
        <v>10.877000000000001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2458206.9009500002</v>
      </c>
      <c r="B662" s="1" t="s">
        <v>2472</v>
      </c>
      <c r="C662" s="1">
        <v>11.103999999999999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2458273.8817599998</v>
      </c>
      <c r="B663" s="1" t="s">
        <v>2473</v>
      </c>
      <c r="C663" s="1">
        <v>11.029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2458316.6847000001</v>
      </c>
      <c r="B664" s="1" t="s">
        <v>2474</v>
      </c>
      <c r="C664" s="1">
        <v>11.015000000000001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2458336.6686999998</v>
      </c>
      <c r="B665" s="1" t="s">
        <v>2475</v>
      </c>
      <c r="C665" s="1">
        <v>10.901999999999999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2458375.5554999998</v>
      </c>
      <c r="B666" s="1" t="s">
        <v>2476</v>
      </c>
      <c r="C666" s="1">
        <v>10.923999999999999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2458377.5888</v>
      </c>
      <c r="B667" s="1" t="s">
        <v>2477</v>
      </c>
      <c r="C667" s="1">
        <v>10.942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2458408.2797599998</v>
      </c>
      <c r="B668" s="1" t="s">
        <v>2478</v>
      </c>
      <c r="C668" s="1">
        <v>10.702999999999999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2458663.06837</v>
      </c>
      <c r="B669" s="1" t="s">
        <v>2479</v>
      </c>
      <c r="C669" s="1">
        <v>11.055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2458663.06965</v>
      </c>
      <c r="B670" s="1" t="s">
        <v>2479</v>
      </c>
      <c r="C670" s="1">
        <v>11.074999999999999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2458683.6691700001</v>
      </c>
      <c r="B671" s="1" t="s">
        <v>2480</v>
      </c>
      <c r="C671" s="1">
        <v>10.692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2458684.6481599999</v>
      </c>
      <c r="B672" s="1" t="s">
        <v>2481</v>
      </c>
      <c r="C672" s="1">
        <v>10.678000000000001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2458692.5565399998</v>
      </c>
      <c r="B673" s="1" t="s">
        <v>2482</v>
      </c>
      <c r="C673" s="1">
        <v>11.005000000000001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2458693.6743000001</v>
      </c>
      <c r="B674" s="1" t="s">
        <v>2523</v>
      </c>
      <c r="C674" s="1">
        <v>11.15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2458699.5880999998</v>
      </c>
      <c r="B675" s="1" t="s">
        <v>2522</v>
      </c>
      <c r="C675" s="1">
        <v>10.939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2458701.6118000001</v>
      </c>
      <c r="B676" s="1" t="s">
        <v>2524</v>
      </c>
      <c r="C676" s="1">
        <v>10.962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2458705.5541599998</v>
      </c>
      <c r="B677" s="1" t="s">
        <v>2525</v>
      </c>
      <c r="C677" s="1">
        <v>10.574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2458726.5854000002</v>
      </c>
      <c r="B678" s="1" t="s">
        <v>2526</v>
      </c>
      <c r="C678" s="1">
        <v>10.682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2458727.5306099998</v>
      </c>
      <c r="B679" s="1" t="s">
        <v>2527</v>
      </c>
      <c r="C679" s="1">
        <v>10.888999999999999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2458728.577</v>
      </c>
      <c r="B680" s="1" t="s">
        <v>2528</v>
      </c>
      <c r="C680" s="1">
        <v>10.771000000000001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2458734.5473099998</v>
      </c>
      <c r="B681" s="1" t="s">
        <v>2529</v>
      </c>
      <c r="C681" s="1">
        <v>10.227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2458735.3253199998</v>
      </c>
      <c r="B682" s="1" t="s">
        <v>2529</v>
      </c>
      <c r="C682" s="1">
        <v>10.401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2458735.5274800002</v>
      </c>
      <c r="B683" s="1" t="s">
        <v>2530</v>
      </c>
      <c r="C683" s="1">
        <v>10.538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2458738.5251500001</v>
      </c>
      <c r="B684" s="1" t="s">
        <v>2531</v>
      </c>
      <c r="C684" s="1">
        <v>10.856999999999999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2458757.5104</v>
      </c>
      <c r="B685" s="1" t="s">
        <v>2532</v>
      </c>
      <c r="C685" s="1">
        <v>10.638999999999999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2458785.4722000002</v>
      </c>
      <c r="B686" s="1" t="s">
        <v>2533</v>
      </c>
      <c r="C686" s="1">
        <v>10.913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2458882.9709100001</v>
      </c>
      <c r="B687" s="1" t="s">
        <v>2534</v>
      </c>
      <c r="C687" s="1">
        <v>10.502000000000001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2458887.9748300002</v>
      </c>
      <c r="B688" s="1" t="s">
        <v>2535</v>
      </c>
      <c r="C688" s="1">
        <v>10.581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2458888.9606300001</v>
      </c>
      <c r="B689" s="1" t="s">
        <v>2536</v>
      </c>
      <c r="C689" s="1">
        <v>10.6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2458889.9779500002</v>
      </c>
      <c r="B690" s="1" t="s">
        <v>2537</v>
      </c>
      <c r="C690" s="1">
        <v>10.429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2458895.9545100001</v>
      </c>
      <c r="B691" s="1" t="s">
        <v>2538</v>
      </c>
      <c r="C691" s="1">
        <v>10.571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2458904.9652</v>
      </c>
      <c r="B692" s="1" t="s">
        <v>2539</v>
      </c>
      <c r="C692" s="1">
        <v>10.625999999999999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2458921.9440199998</v>
      </c>
      <c r="B693" s="1" t="s">
        <v>2540</v>
      </c>
      <c r="C693" s="1">
        <v>10.526999999999999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2458932.9206400001</v>
      </c>
      <c r="B694" s="1" t="s">
        <v>2541</v>
      </c>
      <c r="C694" s="1">
        <v>11.009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2458967.91346</v>
      </c>
      <c r="B695" s="1" t="s">
        <v>2542</v>
      </c>
      <c r="C695" s="1">
        <v>10.394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2458973.9127600002</v>
      </c>
      <c r="B696" s="1" t="s">
        <v>2543</v>
      </c>
      <c r="C696" s="1">
        <v>10.574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2458974.9091599998</v>
      </c>
      <c r="B697" s="1" t="s">
        <v>2544</v>
      </c>
      <c r="C697" s="1">
        <v>10.542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2458986.6228999998</v>
      </c>
      <c r="B698" s="1" t="s">
        <v>2545</v>
      </c>
      <c r="C698" s="1">
        <v>10.920999999999999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2458990.9031099998</v>
      </c>
      <c r="B699" s="1" t="s">
        <v>2546</v>
      </c>
      <c r="C699" s="1">
        <v>10.669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2459004.0649999999</v>
      </c>
      <c r="B700" s="1" t="s">
        <v>2547</v>
      </c>
      <c r="C700" s="1">
        <v>10.923999999999999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2459004.3960000002</v>
      </c>
      <c r="B701" s="1" t="s">
        <v>2547</v>
      </c>
      <c r="C701" s="1">
        <v>10.771000000000001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2459009.0520000001</v>
      </c>
      <c r="B702" s="1" t="s">
        <v>2548</v>
      </c>
      <c r="C702" s="1">
        <v>11.079000000000001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2459010.2400000002</v>
      </c>
      <c r="B703" s="1" t="s">
        <v>2549</v>
      </c>
      <c r="C703" s="1">
        <v>11.128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2459011.406</v>
      </c>
      <c r="B704" s="1" t="s">
        <v>2550</v>
      </c>
      <c r="C704" s="1">
        <v>10.948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2459012.3760000002</v>
      </c>
      <c r="B705" s="1" t="s">
        <v>2551</v>
      </c>
      <c r="C705" s="1">
        <v>10.737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2459019.05583</v>
      </c>
      <c r="B706" s="1" t="s">
        <v>2552</v>
      </c>
      <c r="C706" s="1">
        <v>10.587999999999999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2459019.44625</v>
      </c>
      <c r="B707" s="1" t="s">
        <v>2552</v>
      </c>
      <c r="C707" s="1">
        <v>10.714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2459020.0970000001</v>
      </c>
      <c r="B708" s="1" t="s">
        <v>2553</v>
      </c>
      <c r="C708" s="1">
        <v>10.680999999999999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2459020.7250100002</v>
      </c>
      <c r="B709" s="1" t="s">
        <v>2554</v>
      </c>
      <c r="C709" s="1">
        <v>10.827999999999999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2459021.5877200002</v>
      </c>
      <c r="B710" s="1" t="s">
        <v>2555</v>
      </c>
      <c r="C710" s="1">
        <v>10.879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2459026.0929999999</v>
      </c>
      <c r="B711" s="1" t="s">
        <v>2556</v>
      </c>
      <c r="C711" s="1">
        <v>10.978999999999999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2459030.0959999999</v>
      </c>
      <c r="B712" s="1" t="s">
        <v>2557</v>
      </c>
      <c r="C712" s="1">
        <v>10.757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2459041.1320000002</v>
      </c>
      <c r="B713" s="1" t="s">
        <v>2558</v>
      </c>
      <c r="C713" s="1">
        <v>10.91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2459052.3960000002</v>
      </c>
      <c r="B714" s="1" t="s">
        <v>2559</v>
      </c>
      <c r="C714" s="1">
        <v>10.85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2459065.5765499999</v>
      </c>
      <c r="B715" s="1" t="s">
        <v>2560</v>
      </c>
      <c r="C715" s="1">
        <v>10.647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2459069.4389999998</v>
      </c>
      <c r="B716" s="1" t="s">
        <v>2561</v>
      </c>
      <c r="C716" s="1">
        <v>10.81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2459072.59424</v>
      </c>
      <c r="B717" s="1" t="s">
        <v>2562</v>
      </c>
      <c r="C717" s="1">
        <v>10.743399999999999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2459072.5950000002</v>
      </c>
      <c r="B718" s="1" t="s">
        <v>2562</v>
      </c>
      <c r="C718" s="1">
        <v>10.7713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2459072.5957599999</v>
      </c>
      <c r="B719" s="1" t="s">
        <v>2562</v>
      </c>
      <c r="C719" s="1">
        <v>10.758100000000001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2459072.5965200001</v>
      </c>
      <c r="B720" s="1" t="s">
        <v>2562</v>
      </c>
      <c r="C720" s="1">
        <v>10.7684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2459072.5972799999</v>
      </c>
      <c r="B721" s="1" t="s">
        <v>2562</v>
      </c>
      <c r="C721" s="1">
        <v>10.7599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2459072.5980500001</v>
      </c>
      <c r="B722" s="1" t="s">
        <v>2562</v>
      </c>
      <c r="C722" s="1">
        <v>10.8064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2459072.7555999998</v>
      </c>
      <c r="B723" s="1" t="s">
        <v>2562</v>
      </c>
      <c r="C723" s="1">
        <v>10.6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2459078.67472</v>
      </c>
      <c r="B724" s="1" t="s">
        <v>2563</v>
      </c>
      <c r="C724" s="1">
        <v>11.1022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2459078.6754899998</v>
      </c>
      <c r="B725" s="1" t="s">
        <v>2563</v>
      </c>
      <c r="C725" s="1">
        <v>11.0853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2459078.67625</v>
      </c>
      <c r="B726" s="1" t="s">
        <v>2563</v>
      </c>
      <c r="C726" s="1">
        <v>11.100199999999999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2459078.6770100002</v>
      </c>
      <c r="B727" s="1" t="s">
        <v>2563</v>
      </c>
      <c r="C727" s="1">
        <v>11.144299999999999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2459078.6777599999</v>
      </c>
      <c r="B728" s="1" t="s">
        <v>2563</v>
      </c>
      <c r="C728" s="1">
        <v>11.1546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2459078.6785200001</v>
      </c>
      <c r="B729" s="1" t="s">
        <v>2563</v>
      </c>
      <c r="C729" s="1">
        <v>11.182499999999999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2459078.6792799998</v>
      </c>
      <c r="B730" s="1" t="s">
        <v>2563</v>
      </c>
      <c r="C730" s="1">
        <v>11.095599999999999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2459078.6800500001</v>
      </c>
      <c r="B731" s="1" t="s">
        <v>2563</v>
      </c>
      <c r="C731" s="1">
        <v>11.0951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2459078.6808099998</v>
      </c>
      <c r="B732" s="1" t="s">
        <v>2563</v>
      </c>
      <c r="C732" s="1">
        <v>11.0845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2459078.6815599999</v>
      </c>
      <c r="B733" s="1" t="s">
        <v>2563</v>
      </c>
      <c r="C733" s="1">
        <v>11.061400000000001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2459078.6823</v>
      </c>
      <c r="B734" s="1" t="s">
        <v>2563</v>
      </c>
      <c r="C734" s="1">
        <v>11.1526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2459078.6830600002</v>
      </c>
      <c r="B735" s="1" t="s">
        <v>2563</v>
      </c>
      <c r="C735" s="1">
        <v>11.065099999999999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2459078.68383</v>
      </c>
      <c r="B736" s="1" t="s">
        <v>2563</v>
      </c>
      <c r="C736" s="1">
        <v>11.0983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2459078.6845900002</v>
      </c>
      <c r="B737" s="1" t="s">
        <v>2563</v>
      </c>
      <c r="C737" s="1">
        <v>11.0932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2459078.6853399999</v>
      </c>
      <c r="B738" s="1" t="s">
        <v>2563</v>
      </c>
      <c r="C738" s="1">
        <v>11.0602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2459085.6483300002</v>
      </c>
      <c r="B739" s="1" t="s">
        <v>2564</v>
      </c>
      <c r="C739" s="1">
        <v>10.8771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2459085.6491</v>
      </c>
      <c r="B740" s="1" t="s">
        <v>2564</v>
      </c>
      <c r="C740" s="1">
        <v>10.869199999999999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2459085.6498699998</v>
      </c>
      <c r="B741" s="1" t="s">
        <v>2564</v>
      </c>
      <c r="C741" s="1">
        <v>10.840199999999999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2459085.65062</v>
      </c>
      <c r="B742" s="1" t="s">
        <v>2564</v>
      </c>
      <c r="C742" s="1">
        <v>10.811299999999999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2459085.6513700001</v>
      </c>
      <c r="B743" s="1" t="s">
        <v>2564</v>
      </c>
      <c r="C743" s="1">
        <v>10.831799999999999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2459085.6521299998</v>
      </c>
      <c r="B744" s="1" t="s">
        <v>2564</v>
      </c>
      <c r="C744" s="1">
        <v>10.848000000000001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2459085.65289</v>
      </c>
      <c r="B745" s="1" t="s">
        <v>2564</v>
      </c>
      <c r="C745" s="1">
        <v>10.8169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2459085.6538300002</v>
      </c>
      <c r="B746" s="1" t="s">
        <v>2564</v>
      </c>
      <c r="C746" s="1">
        <v>10.803699999999999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2459085.6546299998</v>
      </c>
      <c r="B747" s="1" t="s">
        <v>2564</v>
      </c>
      <c r="C747" s="1">
        <v>10.7493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2459085.6554</v>
      </c>
      <c r="B748" s="1" t="s">
        <v>2564</v>
      </c>
      <c r="C748" s="1">
        <v>10.770300000000001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2459085.6561599998</v>
      </c>
      <c r="B749" s="1" t="s">
        <v>2564</v>
      </c>
      <c r="C749" s="1">
        <v>10.8194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2459085.6569400001</v>
      </c>
      <c r="B750" s="1" t="s">
        <v>2564</v>
      </c>
      <c r="C750" s="1">
        <v>10.842000000000001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2459085.6576899998</v>
      </c>
      <c r="B751" s="1" t="s">
        <v>2564</v>
      </c>
      <c r="C751" s="1">
        <v>10.8238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2459085.6584600001</v>
      </c>
      <c r="B752" s="1" t="s">
        <v>2564</v>
      </c>
      <c r="C752" s="1">
        <v>10.8438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2459085.6592100002</v>
      </c>
      <c r="B753" s="1" t="s">
        <v>2564</v>
      </c>
      <c r="C753" s="1">
        <v>10.7904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2459095.3574799998</v>
      </c>
      <c r="B754" s="1" t="s">
        <v>2565</v>
      </c>
      <c r="C754" s="1">
        <v>10.827999999999999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2459100.3569999998</v>
      </c>
      <c r="B755" s="1" t="s">
        <v>2566</v>
      </c>
      <c r="C755" s="1">
        <v>10.78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2459111.5095799998</v>
      </c>
      <c r="B756" s="1" t="s">
        <v>2567</v>
      </c>
      <c r="C756" s="1">
        <v>11.05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2459118.50178</v>
      </c>
      <c r="B757" s="1" t="s">
        <v>2568</v>
      </c>
      <c r="C757" s="1">
        <v>10.78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2459156.47181</v>
      </c>
      <c r="B758" s="1" t="s">
        <v>2569</v>
      </c>
      <c r="C758" s="1">
        <v>11.085000000000001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2459157.4719699998</v>
      </c>
      <c r="B759" s="1" t="s">
        <v>2570</v>
      </c>
      <c r="C759" s="1">
        <v>10.651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873" spans="1:2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D1810"/>
  <sheetViews>
    <sheetView topLeftCell="A1752" workbookViewId="0">
      <selection activeCell="E1760" sqref="E1760"/>
    </sheetView>
  </sheetViews>
  <sheetFormatPr baseColWidth="10" defaultRowHeight="14.25" customHeight="1" x14ac:dyDescent="0.25"/>
  <cols>
    <col min="1" max="1" width="13.5703125" bestFit="1" customWidth="1"/>
    <col min="2" max="2" width="12" bestFit="1" customWidth="1"/>
    <col min="3" max="3" width="12.5703125" bestFit="1" customWidth="1"/>
    <col min="4" max="4" width="8.5703125" bestFit="1" customWidth="1"/>
    <col min="7" max="7" width="3.140625" customWidth="1"/>
  </cols>
  <sheetData>
    <row r="1" spans="1:4" ht="14.25" customHeight="1" x14ac:dyDescent="0.25">
      <c r="A1" s="12">
        <v>2416644.7999999998</v>
      </c>
      <c r="B1" s="12" t="s">
        <v>790</v>
      </c>
      <c r="C1" s="12">
        <v>11.05</v>
      </c>
      <c r="D1" s="12"/>
    </row>
    <row r="2" spans="1:4" ht="14.25" customHeight="1" x14ac:dyDescent="0.25">
      <c r="A2" s="12">
        <v>2416756.3666699999</v>
      </c>
      <c r="B2" s="12" t="s">
        <v>791</v>
      </c>
      <c r="C2" s="12">
        <v>10.7</v>
      </c>
      <c r="D2" s="12"/>
    </row>
    <row r="3" spans="1:4" ht="14.25" customHeight="1" x14ac:dyDescent="0.25">
      <c r="A3" s="12">
        <v>2416778.7000000002</v>
      </c>
      <c r="B3" s="12" t="s">
        <v>792</v>
      </c>
      <c r="C3" s="12">
        <v>11</v>
      </c>
      <c r="D3" s="12"/>
    </row>
    <row r="4" spans="1:4" ht="14.25" customHeight="1" x14ac:dyDescent="0.25">
      <c r="A4" s="12">
        <v>2416966.7999999998</v>
      </c>
      <c r="B4" s="12" t="s">
        <v>793</v>
      </c>
      <c r="C4" s="12">
        <v>10.7</v>
      </c>
      <c r="D4" s="12"/>
    </row>
    <row r="5" spans="1:4" ht="14.25" customHeight="1" x14ac:dyDescent="0.25">
      <c r="A5" s="12">
        <v>2417006.6</v>
      </c>
      <c r="B5" s="12" t="s">
        <v>794</v>
      </c>
      <c r="C5" s="12">
        <v>11</v>
      </c>
      <c r="D5" s="12"/>
    </row>
    <row r="6" spans="1:4" ht="14.25" customHeight="1" x14ac:dyDescent="0.25">
      <c r="A6" s="12">
        <v>2417060.6</v>
      </c>
      <c r="B6" s="12" t="s">
        <v>795</v>
      </c>
      <c r="C6" s="12">
        <v>11</v>
      </c>
      <c r="D6" s="12"/>
    </row>
    <row r="7" spans="1:4" ht="14.25" customHeight="1" x14ac:dyDescent="0.25">
      <c r="A7" s="12">
        <v>2417082.9333299999</v>
      </c>
      <c r="B7" s="12" t="s">
        <v>796</v>
      </c>
      <c r="C7" s="12">
        <v>11.066667000000001</v>
      </c>
      <c r="D7" s="12"/>
    </row>
    <row r="8" spans="1:4" ht="14.25" customHeight="1" x14ac:dyDescent="0.25">
      <c r="A8" s="12">
        <v>2417301.7999999998</v>
      </c>
      <c r="B8" s="12" t="s">
        <v>797</v>
      </c>
      <c r="C8" s="12">
        <v>11.4</v>
      </c>
      <c r="D8" s="12"/>
    </row>
    <row r="9" spans="1:4" ht="14.25" customHeight="1" x14ac:dyDescent="0.25">
      <c r="A9" s="12">
        <v>2417332.6</v>
      </c>
      <c r="B9" s="12" t="s">
        <v>798</v>
      </c>
      <c r="C9" s="12">
        <v>11.2</v>
      </c>
      <c r="D9" s="12"/>
    </row>
    <row r="10" spans="1:4" ht="14.25" customHeight="1" x14ac:dyDescent="0.25">
      <c r="A10" s="12">
        <v>2417382.6</v>
      </c>
      <c r="B10" s="12" t="s">
        <v>799</v>
      </c>
      <c r="C10" s="12">
        <v>11.3</v>
      </c>
      <c r="D10" s="12"/>
    </row>
    <row r="11" spans="1:4" ht="14.25" customHeight="1" x14ac:dyDescent="0.25">
      <c r="A11" s="12">
        <v>2417408.6</v>
      </c>
      <c r="B11" s="12" t="s">
        <v>800</v>
      </c>
      <c r="C11" s="12">
        <v>12</v>
      </c>
      <c r="D11" s="12"/>
    </row>
    <row r="12" spans="1:4" ht="14.25" customHeight="1" x14ac:dyDescent="0.25">
      <c r="A12" s="12">
        <v>2417436.6</v>
      </c>
      <c r="B12" s="12" t="s">
        <v>801</v>
      </c>
      <c r="C12" s="12">
        <v>11.3</v>
      </c>
      <c r="D12" s="12"/>
    </row>
    <row r="13" spans="1:4" ht="14.25" customHeight="1" x14ac:dyDescent="0.25">
      <c r="A13" s="12">
        <v>2417460.6</v>
      </c>
      <c r="B13" s="12" t="s">
        <v>802</v>
      </c>
      <c r="C13" s="12">
        <v>11.7</v>
      </c>
      <c r="D13" s="12"/>
    </row>
    <row r="14" spans="1:4" ht="14.25" customHeight="1" x14ac:dyDescent="0.25">
      <c r="A14" s="12">
        <v>2417479.6</v>
      </c>
      <c r="B14" s="12" t="s">
        <v>803</v>
      </c>
      <c r="C14" s="12">
        <v>11.2</v>
      </c>
      <c r="D14" s="12"/>
    </row>
    <row r="15" spans="1:4" ht="14.25" customHeight="1" x14ac:dyDescent="0.25">
      <c r="A15" s="12">
        <v>2417755.7000000002</v>
      </c>
      <c r="B15" s="12" t="s">
        <v>804</v>
      </c>
      <c r="C15" s="12">
        <v>11.5</v>
      </c>
      <c r="D15" s="12"/>
    </row>
    <row r="16" spans="1:4" ht="14.25" customHeight="1" x14ac:dyDescent="0.25">
      <c r="A16" s="12">
        <v>2417772.6</v>
      </c>
      <c r="B16" s="12" t="s">
        <v>805</v>
      </c>
      <c r="C16" s="12">
        <v>11.2</v>
      </c>
      <c r="D16" s="12"/>
    </row>
    <row r="17" spans="1:4" ht="14.25" customHeight="1" x14ac:dyDescent="0.25">
      <c r="A17" s="12">
        <v>2417801.6</v>
      </c>
      <c r="B17" s="12" t="s">
        <v>806</v>
      </c>
      <c r="C17" s="12">
        <v>10.9</v>
      </c>
      <c r="D17" s="12"/>
    </row>
    <row r="18" spans="1:4" ht="14.25" customHeight="1" x14ac:dyDescent="0.25">
      <c r="A18" s="12">
        <v>2417826.6</v>
      </c>
      <c r="B18" s="12" t="s">
        <v>807</v>
      </c>
      <c r="C18" s="12">
        <v>11.2</v>
      </c>
      <c r="D18" s="12"/>
    </row>
    <row r="19" spans="1:4" ht="14.25" customHeight="1" x14ac:dyDescent="0.25">
      <c r="A19" s="12">
        <v>2417856.5</v>
      </c>
      <c r="B19" s="12" t="s">
        <v>808</v>
      </c>
      <c r="C19" s="12">
        <v>11.5</v>
      </c>
      <c r="D19" s="12"/>
    </row>
    <row r="20" spans="1:4" ht="14.25" customHeight="1" x14ac:dyDescent="0.25">
      <c r="A20" s="12">
        <v>2418010.9</v>
      </c>
      <c r="B20" s="12" t="s">
        <v>809</v>
      </c>
      <c r="C20" s="12">
        <v>11.2</v>
      </c>
      <c r="D20" s="12"/>
    </row>
    <row r="21" spans="1:4" ht="14.25" customHeight="1" x14ac:dyDescent="0.25">
      <c r="A21" s="12">
        <v>2418034.7999999998</v>
      </c>
      <c r="B21" s="12" t="s">
        <v>810</v>
      </c>
      <c r="C21" s="12">
        <v>11</v>
      </c>
      <c r="D21" s="12"/>
    </row>
    <row r="22" spans="1:4" ht="14.25" customHeight="1" x14ac:dyDescent="0.25">
      <c r="A22" s="12">
        <v>2418065.7000000002</v>
      </c>
      <c r="B22" s="12" t="s">
        <v>811</v>
      </c>
      <c r="C22" s="12">
        <v>11.2</v>
      </c>
      <c r="D22" s="12"/>
    </row>
    <row r="23" spans="1:4" ht="14.25" customHeight="1" x14ac:dyDescent="0.25">
      <c r="A23" s="12">
        <v>2418123.7000000002</v>
      </c>
      <c r="B23" s="12" t="s">
        <v>812</v>
      </c>
      <c r="C23" s="12">
        <v>11.4</v>
      </c>
      <c r="D23" s="12"/>
    </row>
    <row r="24" spans="1:4" ht="14.25" customHeight="1" x14ac:dyDescent="0.25">
      <c r="A24" s="12">
        <v>2418144.6</v>
      </c>
      <c r="B24" s="12" t="s">
        <v>813</v>
      </c>
      <c r="C24" s="12">
        <v>11.4</v>
      </c>
      <c r="D24" s="12"/>
    </row>
    <row r="25" spans="1:4" ht="14.25" customHeight="1" x14ac:dyDescent="0.25">
      <c r="A25" s="12">
        <v>2418172.7000000002</v>
      </c>
      <c r="B25" s="12" t="s">
        <v>814</v>
      </c>
      <c r="C25" s="12">
        <v>11.1</v>
      </c>
      <c r="D25" s="12"/>
    </row>
    <row r="26" spans="1:4" ht="14.25" customHeight="1" x14ac:dyDescent="0.25">
      <c r="A26" s="12">
        <v>2418214.5</v>
      </c>
      <c r="B26" s="12" t="s">
        <v>815</v>
      </c>
      <c r="C26" s="12">
        <v>11.4</v>
      </c>
      <c r="D26" s="12"/>
    </row>
    <row r="27" spans="1:4" ht="14.25" customHeight="1" x14ac:dyDescent="0.25">
      <c r="A27" s="12">
        <v>2418389.7999999998</v>
      </c>
      <c r="B27" s="12" t="s">
        <v>816</v>
      </c>
      <c r="C27" s="12">
        <v>11.9</v>
      </c>
      <c r="D27" s="12"/>
    </row>
    <row r="28" spans="1:4" ht="14.25" customHeight="1" x14ac:dyDescent="0.25">
      <c r="A28" s="12">
        <v>2418423.7000000002</v>
      </c>
      <c r="B28" s="12" t="s">
        <v>817</v>
      </c>
      <c r="C28" s="12">
        <v>11.3</v>
      </c>
      <c r="D28" s="12"/>
    </row>
    <row r="29" spans="1:4" ht="14.25" customHeight="1" x14ac:dyDescent="0.25">
      <c r="A29" s="12">
        <v>2418457.7000000002</v>
      </c>
      <c r="B29" s="12" t="s">
        <v>818</v>
      </c>
      <c r="C29" s="12">
        <v>11.4</v>
      </c>
      <c r="D29" s="12"/>
    </row>
    <row r="30" spans="1:4" ht="14.25" customHeight="1" x14ac:dyDescent="0.25">
      <c r="A30" s="12">
        <v>2418474.7000000002</v>
      </c>
      <c r="B30" s="12" t="s">
        <v>819</v>
      </c>
      <c r="C30" s="12">
        <v>11.7</v>
      </c>
      <c r="D30" s="12"/>
    </row>
    <row r="31" spans="1:4" ht="14.25" customHeight="1" x14ac:dyDescent="0.25">
      <c r="A31" s="12">
        <v>2418501.7000000002</v>
      </c>
      <c r="B31" s="12" t="s">
        <v>820</v>
      </c>
      <c r="C31" s="12">
        <v>11.6</v>
      </c>
      <c r="D31" s="12"/>
    </row>
    <row r="32" spans="1:4" ht="14.25" customHeight="1" x14ac:dyDescent="0.25">
      <c r="A32" s="12">
        <v>2418529.6</v>
      </c>
      <c r="B32" s="12" t="s">
        <v>821</v>
      </c>
      <c r="C32" s="12">
        <v>11.6</v>
      </c>
      <c r="D32" s="12"/>
    </row>
    <row r="33" spans="1:4" ht="14.25" customHeight="1" x14ac:dyDescent="0.25">
      <c r="A33" s="12">
        <v>2418552.6</v>
      </c>
      <c r="B33" s="12" t="s">
        <v>822</v>
      </c>
      <c r="C33" s="12">
        <v>11.7</v>
      </c>
      <c r="D33" s="12"/>
    </row>
    <row r="34" spans="1:4" ht="14.25" customHeight="1" x14ac:dyDescent="0.25">
      <c r="A34" s="12">
        <v>2418592.0499999998</v>
      </c>
      <c r="B34" s="12" t="s">
        <v>823</v>
      </c>
      <c r="C34" s="12">
        <v>11.55</v>
      </c>
      <c r="D34" s="12"/>
    </row>
    <row r="35" spans="1:4" ht="14.25" customHeight="1" x14ac:dyDescent="0.25">
      <c r="A35" s="12">
        <v>2418870.6</v>
      </c>
      <c r="B35" s="12" t="s">
        <v>824</v>
      </c>
      <c r="C35" s="12">
        <v>11.5</v>
      </c>
      <c r="D35" s="12"/>
    </row>
    <row r="36" spans="1:4" ht="14.25" customHeight="1" x14ac:dyDescent="0.25">
      <c r="A36" s="12">
        <v>2418910.6</v>
      </c>
      <c r="B36" s="12" t="s">
        <v>825</v>
      </c>
      <c r="C36" s="12">
        <v>11.8</v>
      </c>
      <c r="D36" s="12"/>
    </row>
    <row r="37" spans="1:4" ht="14.25" customHeight="1" x14ac:dyDescent="0.25">
      <c r="A37" s="12">
        <v>2418925.6</v>
      </c>
      <c r="B37" s="12" t="s">
        <v>826</v>
      </c>
      <c r="C37" s="12">
        <v>11.4</v>
      </c>
      <c r="D37" s="12"/>
    </row>
    <row r="38" spans="1:4" ht="14.25" customHeight="1" x14ac:dyDescent="0.25">
      <c r="A38" s="12">
        <v>2420299.7400000002</v>
      </c>
      <c r="B38" s="12" t="s">
        <v>827</v>
      </c>
      <c r="C38" s="12">
        <v>11</v>
      </c>
      <c r="D38" s="12"/>
    </row>
    <row r="39" spans="1:4" ht="14.25" customHeight="1" x14ac:dyDescent="0.25">
      <c r="A39" s="12">
        <v>2421799.6889999998</v>
      </c>
      <c r="B39" s="12" t="s">
        <v>828</v>
      </c>
      <c r="C39" s="12">
        <v>11.35</v>
      </c>
      <c r="D39" s="12"/>
    </row>
    <row r="40" spans="1:4" ht="14.25" customHeight="1" x14ac:dyDescent="0.25">
      <c r="A40" s="12">
        <v>2421820.9883300001</v>
      </c>
      <c r="B40" s="12" t="s">
        <v>829</v>
      </c>
      <c r="C40" s="12">
        <v>11.4</v>
      </c>
      <c r="D40" s="12"/>
    </row>
    <row r="41" spans="1:4" ht="14.25" customHeight="1" x14ac:dyDescent="0.25">
      <c r="A41" s="12">
        <v>2421884.622</v>
      </c>
      <c r="B41" s="12" t="s">
        <v>830</v>
      </c>
      <c r="C41" s="12">
        <v>11.2</v>
      </c>
      <c r="D41" s="12"/>
    </row>
    <row r="42" spans="1:4" ht="14.25" customHeight="1" x14ac:dyDescent="0.25">
      <c r="A42" s="12">
        <v>2422352.9</v>
      </c>
      <c r="B42" s="12" t="s">
        <v>831</v>
      </c>
      <c r="C42" s="12">
        <v>11.5</v>
      </c>
      <c r="D42" s="12"/>
    </row>
    <row r="43" spans="1:4" ht="14.25" customHeight="1" x14ac:dyDescent="0.25">
      <c r="A43" s="12">
        <v>2422737.9</v>
      </c>
      <c r="B43" s="12" t="s">
        <v>832</v>
      </c>
      <c r="C43" s="12">
        <v>10.4</v>
      </c>
      <c r="D43" s="12"/>
    </row>
    <row r="44" spans="1:4" ht="14.25" customHeight="1" x14ac:dyDescent="0.25">
      <c r="A44" s="12">
        <v>2422783.7999999998</v>
      </c>
      <c r="B44" s="12" t="s">
        <v>833</v>
      </c>
      <c r="C44" s="12">
        <v>11.2</v>
      </c>
      <c r="D44" s="12"/>
    </row>
    <row r="45" spans="1:4" ht="14.25" customHeight="1" x14ac:dyDescent="0.25">
      <c r="A45" s="12">
        <v>2422823.7000000002</v>
      </c>
      <c r="B45" s="12" t="s">
        <v>834</v>
      </c>
      <c r="C45" s="12">
        <v>11</v>
      </c>
      <c r="D45" s="12"/>
    </row>
    <row r="46" spans="1:4" ht="14.25" customHeight="1" x14ac:dyDescent="0.25">
      <c r="A46" s="12">
        <v>2422845.7000000002</v>
      </c>
      <c r="B46" s="12" t="s">
        <v>835</v>
      </c>
      <c r="C46" s="12">
        <v>11.3</v>
      </c>
      <c r="D46" s="12"/>
    </row>
    <row r="47" spans="1:4" ht="14.25" customHeight="1" x14ac:dyDescent="0.25">
      <c r="A47" s="12">
        <v>2422869.7000000002</v>
      </c>
      <c r="B47" s="12" t="s">
        <v>836</v>
      </c>
      <c r="C47" s="12">
        <v>11.4</v>
      </c>
      <c r="D47" s="12"/>
    </row>
    <row r="48" spans="1:4" ht="14.25" customHeight="1" x14ac:dyDescent="0.25">
      <c r="A48" s="12">
        <v>2422900.7000000002</v>
      </c>
      <c r="B48" s="12" t="s">
        <v>837</v>
      </c>
      <c r="C48" s="12">
        <v>10.4</v>
      </c>
      <c r="D48" s="12"/>
    </row>
    <row r="49" spans="1:4" ht="14.25" customHeight="1" x14ac:dyDescent="0.25">
      <c r="A49" s="12">
        <v>2422931.6</v>
      </c>
      <c r="B49" s="12" t="s">
        <v>838</v>
      </c>
      <c r="C49" s="12">
        <v>11.1</v>
      </c>
      <c r="D49" s="12"/>
    </row>
    <row r="50" spans="1:4" ht="14.25" customHeight="1" x14ac:dyDescent="0.25">
      <c r="A50" s="12">
        <v>2422955.6</v>
      </c>
      <c r="B50" s="12" t="s">
        <v>839</v>
      </c>
      <c r="C50" s="12">
        <v>10.6</v>
      </c>
      <c r="D50" s="12"/>
    </row>
    <row r="51" spans="1:4" ht="14.25" customHeight="1" x14ac:dyDescent="0.25">
      <c r="A51" s="12">
        <v>2422984.5</v>
      </c>
      <c r="B51" s="12" t="s">
        <v>840</v>
      </c>
      <c r="C51" s="12">
        <v>10.9</v>
      </c>
      <c r="D51" s="12"/>
    </row>
    <row r="52" spans="1:4" ht="14.25" customHeight="1" x14ac:dyDescent="0.25">
      <c r="A52" s="12">
        <v>2423116.7999999998</v>
      </c>
      <c r="B52" s="12" t="s">
        <v>841</v>
      </c>
      <c r="C52" s="12">
        <v>11.6</v>
      </c>
      <c r="D52" s="12"/>
    </row>
    <row r="53" spans="1:4" ht="14.25" customHeight="1" x14ac:dyDescent="0.25">
      <c r="A53" s="12">
        <v>2423169.75</v>
      </c>
      <c r="B53" s="12" t="s">
        <v>842</v>
      </c>
      <c r="C53" s="12">
        <v>11</v>
      </c>
      <c r="D53" s="12"/>
    </row>
    <row r="54" spans="1:4" ht="14.25" customHeight="1" x14ac:dyDescent="0.25">
      <c r="A54" s="12">
        <v>2423202.7000000002</v>
      </c>
      <c r="B54" s="12" t="s">
        <v>843</v>
      </c>
      <c r="C54" s="12">
        <v>11</v>
      </c>
      <c r="D54" s="12"/>
    </row>
    <row r="55" spans="1:4" ht="14.25" customHeight="1" x14ac:dyDescent="0.25">
      <c r="A55" s="12">
        <v>2423251.7000000002</v>
      </c>
      <c r="B55" s="12" t="s">
        <v>844</v>
      </c>
      <c r="C55" s="12">
        <v>11</v>
      </c>
      <c r="D55" s="12"/>
    </row>
    <row r="56" spans="1:4" ht="14.25" customHeight="1" x14ac:dyDescent="0.25">
      <c r="A56" s="12">
        <v>2423287.2000000002</v>
      </c>
      <c r="B56" s="12" t="s">
        <v>845</v>
      </c>
      <c r="C56" s="12">
        <v>11.1</v>
      </c>
      <c r="D56" s="12"/>
    </row>
    <row r="57" spans="1:4" ht="14.25" customHeight="1" x14ac:dyDescent="0.25">
      <c r="A57" s="12">
        <v>2423320.6</v>
      </c>
      <c r="B57" s="12" t="s">
        <v>846</v>
      </c>
      <c r="C57" s="12">
        <v>11</v>
      </c>
      <c r="D57" s="12"/>
    </row>
    <row r="58" spans="1:4" ht="14.25" customHeight="1" x14ac:dyDescent="0.25">
      <c r="A58" s="12">
        <v>2423365.5</v>
      </c>
      <c r="B58" s="12" t="s">
        <v>847</v>
      </c>
      <c r="C58" s="12">
        <v>11</v>
      </c>
      <c r="D58" s="12"/>
    </row>
    <row r="59" spans="1:4" ht="14.25" customHeight="1" x14ac:dyDescent="0.25">
      <c r="A59" s="12">
        <v>2423466.9</v>
      </c>
      <c r="B59" s="12" t="s">
        <v>848</v>
      </c>
      <c r="C59" s="12">
        <v>11</v>
      </c>
      <c r="D59" s="12"/>
    </row>
    <row r="60" spans="1:4" ht="14.25" customHeight="1" x14ac:dyDescent="0.25">
      <c r="A60" s="12">
        <v>2423496.7999999998</v>
      </c>
      <c r="B60" s="12" t="s">
        <v>849</v>
      </c>
      <c r="C60" s="12">
        <v>11.65</v>
      </c>
      <c r="D60" s="12"/>
    </row>
    <row r="61" spans="1:4" ht="14.25" customHeight="1" x14ac:dyDescent="0.25">
      <c r="A61" s="12">
        <v>2423546.7999999998</v>
      </c>
      <c r="B61" s="12" t="s">
        <v>850</v>
      </c>
      <c r="C61" s="12">
        <v>11.3</v>
      </c>
      <c r="D61" s="12"/>
    </row>
    <row r="62" spans="1:4" ht="14.25" customHeight="1" x14ac:dyDescent="0.25">
      <c r="A62" s="12">
        <v>2423579.6</v>
      </c>
      <c r="B62" s="12" t="s">
        <v>851</v>
      </c>
      <c r="C62" s="12">
        <v>10.9</v>
      </c>
      <c r="D62" s="12"/>
    </row>
    <row r="63" spans="1:4" ht="14.25" customHeight="1" x14ac:dyDescent="0.25">
      <c r="A63" s="12">
        <v>2423607.6</v>
      </c>
      <c r="B63" s="12" t="s">
        <v>852</v>
      </c>
      <c r="C63" s="12">
        <v>11.2</v>
      </c>
      <c r="D63" s="12"/>
    </row>
    <row r="64" spans="1:4" ht="14.25" customHeight="1" x14ac:dyDescent="0.25">
      <c r="A64" s="12">
        <v>2423638.7000000002</v>
      </c>
      <c r="B64" s="12" t="s">
        <v>853</v>
      </c>
      <c r="C64" s="12">
        <v>11</v>
      </c>
      <c r="D64" s="12"/>
    </row>
    <row r="65" spans="1:4" ht="14.25" customHeight="1" x14ac:dyDescent="0.25">
      <c r="A65" s="12">
        <v>2423669.7000000002</v>
      </c>
      <c r="B65" s="12" t="s">
        <v>854</v>
      </c>
      <c r="C65" s="12">
        <v>11.1</v>
      </c>
      <c r="D65" s="12"/>
    </row>
    <row r="66" spans="1:4" ht="14.25" customHeight="1" x14ac:dyDescent="0.25">
      <c r="A66" s="12">
        <v>2423693.6</v>
      </c>
      <c r="B66" s="12" t="s">
        <v>855</v>
      </c>
      <c r="C66" s="12">
        <v>11.2</v>
      </c>
      <c r="D66" s="12"/>
    </row>
    <row r="67" spans="1:4" ht="14.25" customHeight="1" x14ac:dyDescent="0.25">
      <c r="A67" s="12">
        <v>2423883.7999999998</v>
      </c>
      <c r="B67" s="12" t="s">
        <v>856</v>
      </c>
      <c r="C67" s="12">
        <v>11.1</v>
      </c>
      <c r="D67" s="12"/>
    </row>
    <row r="68" spans="1:4" ht="14.25" customHeight="1" x14ac:dyDescent="0.25">
      <c r="A68" s="12">
        <v>2423907.7999999998</v>
      </c>
      <c r="B68" s="12" t="s">
        <v>857</v>
      </c>
      <c r="C68" s="12">
        <v>11.1</v>
      </c>
      <c r="D68" s="12"/>
    </row>
    <row r="69" spans="1:4" ht="14.25" customHeight="1" x14ac:dyDescent="0.25">
      <c r="A69" s="12">
        <v>2423935.7000000002</v>
      </c>
      <c r="B69" s="12" t="s">
        <v>858</v>
      </c>
      <c r="C69" s="12">
        <v>11</v>
      </c>
      <c r="D69" s="12"/>
    </row>
    <row r="70" spans="1:4" ht="14.25" customHeight="1" x14ac:dyDescent="0.25">
      <c r="A70" s="12">
        <v>2423994.1</v>
      </c>
      <c r="B70" s="12" t="s">
        <v>859</v>
      </c>
      <c r="C70" s="12">
        <v>10.85</v>
      </c>
      <c r="D70" s="12"/>
    </row>
    <row r="71" spans="1:4" ht="14.25" customHeight="1" x14ac:dyDescent="0.25">
      <c r="A71" s="12">
        <v>2424023.6</v>
      </c>
      <c r="B71" s="12" t="s">
        <v>860</v>
      </c>
      <c r="C71" s="12">
        <v>11.2</v>
      </c>
      <c r="D71" s="12"/>
    </row>
    <row r="72" spans="1:4" ht="14.25" customHeight="1" x14ac:dyDescent="0.25">
      <c r="A72" s="12">
        <v>2424079.5</v>
      </c>
      <c r="B72" s="12" t="s">
        <v>861</v>
      </c>
      <c r="C72" s="12">
        <v>11</v>
      </c>
      <c r="D72" s="12"/>
    </row>
    <row r="73" spans="1:4" ht="14.25" customHeight="1" x14ac:dyDescent="0.25">
      <c r="A73" s="12">
        <v>2424109.5</v>
      </c>
      <c r="B73" s="12" t="s">
        <v>862</v>
      </c>
      <c r="C73" s="12">
        <v>11.1</v>
      </c>
      <c r="D73" s="12"/>
    </row>
    <row r="74" spans="1:4" ht="14.25" customHeight="1" x14ac:dyDescent="0.25">
      <c r="A74" s="12">
        <v>2424181.9</v>
      </c>
      <c r="B74" s="12" t="s">
        <v>863</v>
      </c>
      <c r="C74" s="12">
        <v>11.1</v>
      </c>
      <c r="D74" s="12"/>
    </row>
    <row r="75" spans="1:4" ht="14.25" customHeight="1" x14ac:dyDescent="0.25">
      <c r="A75" s="12">
        <v>2424209.9</v>
      </c>
      <c r="B75" s="12" t="s">
        <v>864</v>
      </c>
      <c r="C75" s="12">
        <v>11.3</v>
      </c>
      <c r="D75" s="12"/>
    </row>
    <row r="76" spans="1:4" ht="14.25" customHeight="1" x14ac:dyDescent="0.25">
      <c r="A76" s="12">
        <v>2424236.9</v>
      </c>
      <c r="B76" s="12" t="s">
        <v>865</v>
      </c>
      <c r="C76" s="12">
        <v>11.1</v>
      </c>
      <c r="D76" s="12"/>
    </row>
    <row r="77" spans="1:4" ht="14.25" customHeight="1" x14ac:dyDescent="0.25">
      <c r="A77" s="12">
        <v>2424289.65</v>
      </c>
      <c r="B77" s="12" t="s">
        <v>866</v>
      </c>
      <c r="C77" s="12">
        <v>11.15</v>
      </c>
      <c r="D77" s="12"/>
    </row>
    <row r="78" spans="1:4" ht="14.25" customHeight="1" x14ac:dyDescent="0.25">
      <c r="A78" s="12">
        <v>2424349.2000000002</v>
      </c>
      <c r="B78" s="12" t="s">
        <v>867</v>
      </c>
      <c r="C78" s="12">
        <v>11.05</v>
      </c>
      <c r="D78" s="12"/>
    </row>
    <row r="79" spans="1:4" ht="14.25" customHeight="1" x14ac:dyDescent="0.25">
      <c r="A79" s="12">
        <v>2424383.7000000002</v>
      </c>
      <c r="B79" s="12" t="s">
        <v>868</v>
      </c>
      <c r="C79" s="12">
        <v>11.1</v>
      </c>
      <c r="D79" s="12"/>
    </row>
    <row r="80" spans="1:4" ht="14.25" customHeight="1" x14ac:dyDescent="0.25">
      <c r="A80" s="12">
        <v>2424414.7000000002</v>
      </c>
      <c r="B80" s="12" t="s">
        <v>869</v>
      </c>
      <c r="C80" s="12">
        <v>11</v>
      </c>
      <c r="D80" s="12"/>
    </row>
    <row r="81" spans="1:4" ht="14.25" customHeight="1" x14ac:dyDescent="0.25">
      <c r="A81" s="12">
        <v>2424457.6</v>
      </c>
      <c r="B81" s="12" t="s">
        <v>870</v>
      </c>
      <c r="C81" s="12">
        <v>11.2</v>
      </c>
      <c r="D81" s="12"/>
    </row>
    <row r="82" spans="1:4" ht="14.25" customHeight="1" x14ac:dyDescent="0.25">
      <c r="A82" s="12">
        <v>2424562.9</v>
      </c>
      <c r="B82" s="12" t="s">
        <v>871</v>
      </c>
      <c r="C82" s="12">
        <v>11</v>
      </c>
      <c r="D82" s="12"/>
    </row>
    <row r="83" spans="1:4" ht="14.25" customHeight="1" x14ac:dyDescent="0.25">
      <c r="A83" s="12">
        <v>2424584.7999999998</v>
      </c>
      <c r="B83" s="12" t="s">
        <v>872</v>
      </c>
      <c r="C83" s="12">
        <v>11.1</v>
      </c>
      <c r="D83" s="12"/>
    </row>
    <row r="84" spans="1:4" ht="14.25" customHeight="1" x14ac:dyDescent="0.25">
      <c r="A84" s="12">
        <v>2424615.7999999998</v>
      </c>
      <c r="B84" s="12" t="s">
        <v>873</v>
      </c>
      <c r="C84" s="12">
        <v>11.2</v>
      </c>
      <c r="D84" s="12"/>
    </row>
    <row r="85" spans="1:4" ht="14.25" customHeight="1" x14ac:dyDescent="0.25">
      <c r="A85" s="12">
        <v>2424640.7000000002</v>
      </c>
      <c r="B85" s="12" t="s">
        <v>874</v>
      </c>
      <c r="C85" s="12">
        <v>11.2</v>
      </c>
      <c r="D85" s="12"/>
    </row>
    <row r="86" spans="1:4" ht="14.25" customHeight="1" x14ac:dyDescent="0.25">
      <c r="A86" s="12">
        <v>2424670.6</v>
      </c>
      <c r="B86" s="12" t="s">
        <v>875</v>
      </c>
      <c r="C86" s="12">
        <v>11</v>
      </c>
      <c r="D86" s="12"/>
    </row>
    <row r="87" spans="1:4" ht="14.25" customHeight="1" x14ac:dyDescent="0.25">
      <c r="A87" s="12">
        <v>2424697.7000000002</v>
      </c>
      <c r="B87" s="12" t="s">
        <v>876</v>
      </c>
      <c r="C87" s="12">
        <v>11.2</v>
      </c>
      <c r="D87" s="12"/>
    </row>
    <row r="88" spans="1:4" ht="14.25" customHeight="1" x14ac:dyDescent="0.25">
      <c r="A88" s="12">
        <v>2424732.7000000002</v>
      </c>
      <c r="B88" s="12" t="s">
        <v>877</v>
      </c>
      <c r="C88" s="12">
        <v>11</v>
      </c>
      <c r="D88" s="12"/>
    </row>
    <row r="89" spans="1:4" ht="14.25" customHeight="1" x14ac:dyDescent="0.25">
      <c r="A89" s="12">
        <v>2424755.7000000002</v>
      </c>
      <c r="B89" s="12" t="s">
        <v>878</v>
      </c>
      <c r="C89" s="12">
        <v>11.1</v>
      </c>
      <c r="D89" s="12"/>
    </row>
    <row r="90" spans="1:4" ht="14.25" customHeight="1" x14ac:dyDescent="0.25">
      <c r="A90" s="12">
        <v>2424791.6</v>
      </c>
      <c r="B90" s="12" t="s">
        <v>879</v>
      </c>
      <c r="C90" s="12">
        <v>11</v>
      </c>
      <c r="D90" s="12"/>
    </row>
    <row r="91" spans="1:4" ht="14.25" customHeight="1" x14ac:dyDescent="0.25">
      <c r="A91" s="12">
        <v>2424815.5</v>
      </c>
      <c r="B91" s="12" t="s">
        <v>880</v>
      </c>
      <c r="C91" s="12">
        <v>11.1</v>
      </c>
      <c r="D91" s="12"/>
    </row>
    <row r="92" spans="1:4" ht="14.25" customHeight="1" x14ac:dyDescent="0.25">
      <c r="A92" s="12">
        <v>2424943.9</v>
      </c>
      <c r="B92" s="12" t="s">
        <v>881</v>
      </c>
      <c r="C92" s="12">
        <v>11.1</v>
      </c>
      <c r="D92" s="12"/>
    </row>
    <row r="93" spans="1:4" ht="14.25" customHeight="1" x14ac:dyDescent="0.25">
      <c r="A93" s="12">
        <v>2424977.7999999998</v>
      </c>
      <c r="B93" s="12" t="s">
        <v>882</v>
      </c>
      <c r="C93" s="12">
        <v>11.2</v>
      </c>
      <c r="D93" s="12"/>
    </row>
    <row r="94" spans="1:4" ht="14.25" customHeight="1" x14ac:dyDescent="0.25">
      <c r="A94" s="12">
        <v>2425001.7000000002</v>
      </c>
      <c r="B94" s="12" t="s">
        <v>883</v>
      </c>
      <c r="C94" s="12">
        <v>11.1</v>
      </c>
      <c r="D94" s="12"/>
    </row>
    <row r="95" spans="1:4" ht="14.25" customHeight="1" x14ac:dyDescent="0.25">
      <c r="A95" s="12">
        <v>2425026.7000000002</v>
      </c>
      <c r="B95" s="12" t="s">
        <v>884</v>
      </c>
      <c r="C95" s="12">
        <v>11.1</v>
      </c>
      <c r="D95" s="12"/>
    </row>
    <row r="96" spans="1:4" ht="14.25" customHeight="1" x14ac:dyDescent="0.25">
      <c r="A96" s="12">
        <v>2425056.7999999998</v>
      </c>
      <c r="B96" s="12" t="s">
        <v>885</v>
      </c>
      <c r="C96" s="12">
        <v>11.1</v>
      </c>
      <c r="D96" s="12"/>
    </row>
    <row r="97" spans="1:4" ht="14.25" customHeight="1" x14ac:dyDescent="0.25">
      <c r="A97" s="12">
        <v>2425086.7000000002</v>
      </c>
      <c r="B97" s="12" t="s">
        <v>886</v>
      </c>
      <c r="C97" s="12">
        <v>11.1</v>
      </c>
      <c r="D97" s="12"/>
    </row>
    <row r="98" spans="1:4" ht="14.25" customHeight="1" x14ac:dyDescent="0.25">
      <c r="A98" s="12">
        <v>2425114.7000000002</v>
      </c>
      <c r="B98" s="12" t="s">
        <v>887</v>
      </c>
      <c r="C98" s="12">
        <v>11.1</v>
      </c>
      <c r="D98" s="12"/>
    </row>
    <row r="99" spans="1:4" ht="14.25" customHeight="1" x14ac:dyDescent="0.25">
      <c r="A99" s="12">
        <v>2425140.7000000002</v>
      </c>
      <c r="B99" s="12" t="s">
        <v>888</v>
      </c>
      <c r="C99" s="12">
        <v>11.1</v>
      </c>
      <c r="D99" s="12"/>
    </row>
    <row r="100" spans="1:4" ht="14.25" customHeight="1" x14ac:dyDescent="0.25">
      <c r="A100" s="12">
        <v>2425169.7000000002</v>
      </c>
      <c r="B100" s="12" t="s">
        <v>889</v>
      </c>
      <c r="C100" s="12">
        <v>11.2</v>
      </c>
      <c r="D100" s="12"/>
    </row>
    <row r="101" spans="1:4" ht="14.25" customHeight="1" x14ac:dyDescent="0.25">
      <c r="A101" s="12">
        <v>2425271.9</v>
      </c>
      <c r="B101" s="12" t="s">
        <v>890</v>
      </c>
      <c r="C101" s="12">
        <v>11.2</v>
      </c>
      <c r="D101" s="12"/>
    </row>
    <row r="102" spans="1:4" ht="14.25" customHeight="1" x14ac:dyDescent="0.25">
      <c r="A102" s="12">
        <v>2425302.9</v>
      </c>
      <c r="B102" s="12" t="s">
        <v>891</v>
      </c>
      <c r="C102" s="12">
        <v>11.1</v>
      </c>
      <c r="D102" s="12"/>
    </row>
    <row r="103" spans="1:4" ht="14.25" customHeight="1" x14ac:dyDescent="0.25">
      <c r="A103" s="12">
        <v>2425350.7000000002</v>
      </c>
      <c r="B103" s="12" t="s">
        <v>892</v>
      </c>
      <c r="C103" s="12">
        <v>11.2</v>
      </c>
      <c r="D103" s="12"/>
    </row>
    <row r="104" spans="1:4" ht="14.25" customHeight="1" x14ac:dyDescent="0.25">
      <c r="A104" s="12">
        <v>2425384.7000000002</v>
      </c>
      <c r="B104" s="12" t="s">
        <v>893</v>
      </c>
      <c r="C104" s="12">
        <v>11.1</v>
      </c>
      <c r="D104" s="12"/>
    </row>
    <row r="105" spans="1:4" ht="14.25" customHeight="1" x14ac:dyDescent="0.25">
      <c r="A105" s="12">
        <v>2425412.7000000002</v>
      </c>
      <c r="B105" s="12" t="s">
        <v>894</v>
      </c>
      <c r="C105" s="12">
        <v>11.1</v>
      </c>
      <c r="D105" s="12"/>
    </row>
    <row r="106" spans="1:4" ht="14.25" customHeight="1" x14ac:dyDescent="0.25">
      <c r="A106" s="12">
        <v>2425444.7000000002</v>
      </c>
      <c r="B106" s="12" t="s">
        <v>895</v>
      </c>
      <c r="C106" s="12">
        <v>11.1</v>
      </c>
      <c r="D106" s="12"/>
    </row>
    <row r="107" spans="1:4" ht="14.25" customHeight="1" x14ac:dyDescent="0.25">
      <c r="A107" s="12">
        <v>2425472.7000000002</v>
      </c>
      <c r="B107" s="12" t="s">
        <v>896</v>
      </c>
      <c r="C107" s="12">
        <v>11.1</v>
      </c>
      <c r="D107" s="12"/>
    </row>
    <row r="108" spans="1:4" ht="14.25" customHeight="1" x14ac:dyDescent="0.25">
      <c r="A108" s="12">
        <v>2425505.7000000002</v>
      </c>
      <c r="B108" s="12" t="s">
        <v>897</v>
      </c>
      <c r="C108" s="12">
        <v>11.2</v>
      </c>
      <c r="D108" s="12"/>
    </row>
    <row r="109" spans="1:4" ht="14.25" customHeight="1" x14ac:dyDescent="0.25">
      <c r="A109" s="12">
        <v>2425532.7000000002</v>
      </c>
      <c r="B109" s="12" t="s">
        <v>898</v>
      </c>
      <c r="C109" s="12">
        <v>11.1</v>
      </c>
      <c r="D109" s="12"/>
    </row>
    <row r="110" spans="1:4" ht="14.25" customHeight="1" x14ac:dyDescent="0.25">
      <c r="A110" s="12">
        <v>2425652.9</v>
      </c>
      <c r="B110" s="12" t="s">
        <v>899</v>
      </c>
      <c r="C110" s="12">
        <v>11.1</v>
      </c>
      <c r="D110" s="12"/>
    </row>
    <row r="111" spans="1:4" ht="14.25" customHeight="1" x14ac:dyDescent="0.25">
      <c r="A111" s="12">
        <v>2425684.4</v>
      </c>
      <c r="B111" s="12" t="s">
        <v>900</v>
      </c>
      <c r="C111" s="12">
        <v>11.1</v>
      </c>
      <c r="D111" s="12"/>
    </row>
    <row r="112" spans="1:4" ht="14.25" customHeight="1" x14ac:dyDescent="0.25">
      <c r="A112" s="12">
        <v>2425738.7000000002</v>
      </c>
      <c r="B112" s="12" t="s">
        <v>901</v>
      </c>
      <c r="C112" s="12">
        <v>11.1</v>
      </c>
      <c r="D112" s="12"/>
    </row>
    <row r="113" spans="1:4" ht="14.25" customHeight="1" x14ac:dyDescent="0.25">
      <c r="A113" s="12">
        <v>2425763.7000000002</v>
      </c>
      <c r="B113" s="12" t="s">
        <v>902</v>
      </c>
      <c r="C113" s="12">
        <v>11.1</v>
      </c>
      <c r="D113" s="12"/>
    </row>
    <row r="114" spans="1:4" ht="14.25" customHeight="1" x14ac:dyDescent="0.25">
      <c r="A114" s="12">
        <v>2425789.7000000002</v>
      </c>
      <c r="B114" s="12" t="s">
        <v>903</v>
      </c>
      <c r="C114" s="12">
        <v>11.1</v>
      </c>
      <c r="D114" s="12"/>
    </row>
    <row r="115" spans="1:4" ht="14.25" customHeight="1" x14ac:dyDescent="0.25">
      <c r="A115" s="12">
        <v>2425827.7999999998</v>
      </c>
      <c r="B115" s="12" t="s">
        <v>904</v>
      </c>
      <c r="C115" s="12">
        <v>11.1</v>
      </c>
      <c r="D115" s="12"/>
    </row>
    <row r="116" spans="1:4" ht="14.25" customHeight="1" x14ac:dyDescent="0.25">
      <c r="A116" s="12">
        <v>2425856.7000000002</v>
      </c>
      <c r="B116" s="12" t="s">
        <v>905</v>
      </c>
      <c r="C116" s="12">
        <v>11.2</v>
      </c>
      <c r="D116" s="12"/>
    </row>
    <row r="117" spans="1:4" ht="14.25" customHeight="1" x14ac:dyDescent="0.25">
      <c r="A117" s="12">
        <v>2425878.7000000002</v>
      </c>
      <c r="B117" s="12" t="s">
        <v>906</v>
      </c>
      <c r="C117" s="12">
        <v>11.1</v>
      </c>
      <c r="D117" s="12"/>
    </row>
    <row r="118" spans="1:4" ht="14.25" customHeight="1" x14ac:dyDescent="0.25">
      <c r="A118" s="12">
        <v>2425910.7000000002</v>
      </c>
      <c r="B118" s="12" t="s">
        <v>907</v>
      </c>
      <c r="C118" s="12">
        <v>11.1</v>
      </c>
      <c r="D118" s="12"/>
    </row>
    <row r="119" spans="1:4" ht="14.25" customHeight="1" x14ac:dyDescent="0.25">
      <c r="A119" s="12">
        <v>2426041.9</v>
      </c>
      <c r="B119" s="12" t="s">
        <v>908</v>
      </c>
      <c r="C119" s="12">
        <v>11.3</v>
      </c>
      <c r="D119" s="12"/>
    </row>
    <row r="120" spans="1:4" ht="14.25" customHeight="1" x14ac:dyDescent="0.25">
      <c r="A120" s="12">
        <v>2426099.9</v>
      </c>
      <c r="B120" s="12" t="s">
        <v>909</v>
      </c>
      <c r="C120" s="12">
        <v>11.1</v>
      </c>
      <c r="D120" s="12"/>
    </row>
    <row r="121" spans="1:4" ht="14.25" customHeight="1" x14ac:dyDescent="0.25">
      <c r="A121" s="12">
        <v>2426121.7999999998</v>
      </c>
      <c r="B121" s="12" t="s">
        <v>910</v>
      </c>
      <c r="C121" s="12">
        <v>11.1</v>
      </c>
      <c r="D121" s="12"/>
    </row>
    <row r="122" spans="1:4" ht="14.25" customHeight="1" x14ac:dyDescent="0.25">
      <c r="A122" s="12">
        <v>2426146.7000000002</v>
      </c>
      <c r="B122" s="12" t="s">
        <v>911</v>
      </c>
      <c r="C122" s="12">
        <v>11.2</v>
      </c>
      <c r="D122" s="12"/>
    </row>
    <row r="123" spans="1:4" ht="14.25" customHeight="1" x14ac:dyDescent="0.25">
      <c r="A123" s="12">
        <v>2426174.7000000002</v>
      </c>
      <c r="B123" s="12" t="s">
        <v>912</v>
      </c>
      <c r="C123" s="12">
        <v>11</v>
      </c>
      <c r="D123" s="12"/>
    </row>
    <row r="124" spans="1:4" ht="14.25" customHeight="1" x14ac:dyDescent="0.25">
      <c r="A124" s="12">
        <v>2426204.7000000002</v>
      </c>
      <c r="B124" s="12" t="s">
        <v>913</v>
      </c>
      <c r="C124" s="12">
        <v>11.1</v>
      </c>
      <c r="D124" s="12"/>
    </row>
    <row r="125" spans="1:4" ht="14.25" customHeight="1" x14ac:dyDescent="0.25">
      <c r="A125" s="12">
        <v>2426237.7000000002</v>
      </c>
      <c r="B125" s="12" t="s">
        <v>914</v>
      </c>
      <c r="C125" s="12">
        <v>11.1</v>
      </c>
      <c r="D125" s="12"/>
    </row>
    <row r="126" spans="1:4" ht="14.25" customHeight="1" x14ac:dyDescent="0.25">
      <c r="A126" s="12">
        <v>2426270.7000000002</v>
      </c>
      <c r="B126" s="12" t="s">
        <v>915</v>
      </c>
      <c r="C126" s="12">
        <v>11.1</v>
      </c>
      <c r="D126" s="12"/>
    </row>
    <row r="127" spans="1:4" ht="14.25" customHeight="1" x14ac:dyDescent="0.25">
      <c r="A127" s="12">
        <v>2426293.7000000002</v>
      </c>
      <c r="B127" s="12" t="s">
        <v>916</v>
      </c>
      <c r="C127" s="12">
        <v>11.2</v>
      </c>
      <c r="D127" s="12"/>
    </row>
    <row r="128" spans="1:4" ht="14.25" customHeight="1" x14ac:dyDescent="0.25">
      <c r="A128" s="12">
        <v>2426396.9</v>
      </c>
      <c r="B128" s="12" t="s">
        <v>917</v>
      </c>
      <c r="C128" s="12">
        <v>11.1</v>
      </c>
      <c r="D128" s="12"/>
    </row>
    <row r="129" spans="1:4" ht="14.25" customHeight="1" x14ac:dyDescent="0.25">
      <c r="A129" s="12">
        <v>2426440.9</v>
      </c>
      <c r="B129" s="12" t="s">
        <v>918</v>
      </c>
      <c r="C129" s="12">
        <v>11.1</v>
      </c>
      <c r="D129" s="12"/>
    </row>
    <row r="130" spans="1:4" ht="14.25" customHeight="1" x14ac:dyDescent="0.25">
      <c r="A130" s="12">
        <v>2426477.2000000002</v>
      </c>
      <c r="B130" s="12" t="s">
        <v>919</v>
      </c>
      <c r="C130" s="12">
        <v>11.1</v>
      </c>
      <c r="D130" s="12"/>
    </row>
    <row r="131" spans="1:4" ht="14.25" customHeight="1" x14ac:dyDescent="0.25">
      <c r="A131" s="12">
        <v>2426511.7000000002</v>
      </c>
      <c r="B131" s="12" t="s">
        <v>920</v>
      </c>
      <c r="C131" s="12">
        <v>11.1</v>
      </c>
      <c r="D131" s="12"/>
    </row>
    <row r="132" spans="1:4" ht="14.25" customHeight="1" x14ac:dyDescent="0.25">
      <c r="A132" s="12">
        <v>2426537.7000000002</v>
      </c>
      <c r="B132" s="12" t="s">
        <v>921</v>
      </c>
      <c r="C132" s="12">
        <v>11</v>
      </c>
      <c r="D132" s="12"/>
    </row>
    <row r="133" spans="1:4" ht="14.25" customHeight="1" x14ac:dyDescent="0.25">
      <c r="A133" s="12">
        <v>2426569.7000000002</v>
      </c>
      <c r="B133" s="12" t="s">
        <v>922</v>
      </c>
      <c r="C133" s="12">
        <v>11</v>
      </c>
      <c r="D133" s="12"/>
    </row>
    <row r="134" spans="1:4" ht="14.25" customHeight="1" x14ac:dyDescent="0.25">
      <c r="A134" s="12">
        <v>2426601.7000000002</v>
      </c>
      <c r="B134" s="12" t="s">
        <v>923</v>
      </c>
      <c r="C134" s="12">
        <v>11</v>
      </c>
      <c r="D134" s="12"/>
    </row>
    <row r="135" spans="1:4" ht="14.25" customHeight="1" x14ac:dyDescent="0.25">
      <c r="A135" s="12">
        <v>2426631.7000000002</v>
      </c>
      <c r="B135" s="12" t="s">
        <v>924</v>
      </c>
      <c r="C135" s="12">
        <v>11</v>
      </c>
      <c r="D135" s="12"/>
    </row>
    <row r="136" spans="1:4" ht="14.25" customHeight="1" x14ac:dyDescent="0.25">
      <c r="A136" s="12">
        <v>2426659.7000000002</v>
      </c>
      <c r="B136" s="12" t="s">
        <v>925</v>
      </c>
      <c r="C136" s="12">
        <v>11.1</v>
      </c>
      <c r="D136" s="12"/>
    </row>
    <row r="137" spans="1:4" ht="14.25" customHeight="1" x14ac:dyDescent="0.25">
      <c r="A137" s="12">
        <v>2426751.9</v>
      </c>
      <c r="B137" s="12" t="s">
        <v>926</v>
      </c>
      <c r="C137" s="12">
        <v>11</v>
      </c>
      <c r="D137" s="12"/>
    </row>
    <row r="138" spans="1:4" ht="14.25" customHeight="1" x14ac:dyDescent="0.25">
      <c r="A138" s="12">
        <v>2426856.6</v>
      </c>
      <c r="B138" s="12" t="s">
        <v>927</v>
      </c>
      <c r="C138" s="12">
        <v>11.1</v>
      </c>
      <c r="D138" s="12"/>
    </row>
    <row r="139" spans="1:4" ht="14.25" customHeight="1" x14ac:dyDescent="0.25">
      <c r="A139" s="12">
        <v>2426883.6</v>
      </c>
      <c r="B139" s="12" t="s">
        <v>928</v>
      </c>
      <c r="C139" s="12">
        <v>11</v>
      </c>
      <c r="D139" s="12"/>
    </row>
    <row r="140" spans="1:4" ht="14.25" customHeight="1" x14ac:dyDescent="0.25">
      <c r="A140" s="12">
        <v>2426924.6</v>
      </c>
      <c r="B140" s="12" t="s">
        <v>929</v>
      </c>
      <c r="C140" s="12">
        <v>11.1</v>
      </c>
      <c r="D140" s="12"/>
    </row>
    <row r="141" spans="1:4" ht="14.25" customHeight="1" x14ac:dyDescent="0.25">
      <c r="A141" s="12">
        <v>2426947.6</v>
      </c>
      <c r="B141" s="12" t="s">
        <v>930</v>
      </c>
      <c r="C141" s="12">
        <v>11.15</v>
      </c>
      <c r="D141" s="12"/>
    </row>
    <row r="142" spans="1:4" ht="14.25" customHeight="1" x14ac:dyDescent="0.25">
      <c r="A142" s="12">
        <v>2426979.6</v>
      </c>
      <c r="B142" s="12" t="s">
        <v>931</v>
      </c>
      <c r="C142" s="12">
        <v>11.1</v>
      </c>
      <c r="D142" s="12"/>
    </row>
    <row r="143" spans="1:4" ht="14.25" customHeight="1" x14ac:dyDescent="0.25">
      <c r="A143" s="12">
        <v>2427005.6</v>
      </c>
      <c r="B143" s="12" t="s">
        <v>932</v>
      </c>
      <c r="C143" s="12">
        <v>11</v>
      </c>
      <c r="D143" s="12"/>
    </row>
    <row r="144" spans="1:4" ht="14.25" customHeight="1" x14ac:dyDescent="0.25">
      <c r="A144" s="12">
        <v>2427034.6</v>
      </c>
      <c r="B144" s="12" t="s">
        <v>933</v>
      </c>
      <c r="C144" s="12">
        <v>11.1</v>
      </c>
      <c r="D144" s="12"/>
    </row>
    <row r="145" spans="1:4" ht="14.25" customHeight="1" x14ac:dyDescent="0.25">
      <c r="A145" s="12">
        <v>2427125.6</v>
      </c>
      <c r="B145" s="12" t="s">
        <v>934</v>
      </c>
      <c r="C145" s="12">
        <v>11</v>
      </c>
      <c r="D145" s="12"/>
    </row>
    <row r="146" spans="1:4" ht="14.25" customHeight="1" x14ac:dyDescent="0.25">
      <c r="A146" s="12">
        <v>2427159.6</v>
      </c>
      <c r="B146" s="12" t="s">
        <v>935</v>
      </c>
      <c r="C146" s="12">
        <v>11.2</v>
      </c>
      <c r="D146" s="12"/>
    </row>
    <row r="147" spans="1:4" ht="14.25" customHeight="1" x14ac:dyDescent="0.25">
      <c r="A147" s="12">
        <v>2427186.6</v>
      </c>
      <c r="B147" s="12" t="s">
        <v>936</v>
      </c>
      <c r="C147" s="12">
        <v>11</v>
      </c>
      <c r="D147" s="12"/>
    </row>
    <row r="148" spans="1:4" ht="14.25" customHeight="1" x14ac:dyDescent="0.25">
      <c r="A148" s="12">
        <v>2427222.6</v>
      </c>
      <c r="B148" s="12" t="s">
        <v>937</v>
      </c>
      <c r="C148" s="12">
        <v>11.1</v>
      </c>
      <c r="D148" s="12"/>
    </row>
    <row r="149" spans="1:4" ht="14.25" customHeight="1" x14ac:dyDescent="0.25">
      <c r="A149" s="12">
        <v>2427239.6</v>
      </c>
      <c r="B149" s="12" t="s">
        <v>938</v>
      </c>
      <c r="C149" s="12">
        <v>11.1</v>
      </c>
      <c r="D149" s="12"/>
    </row>
    <row r="150" spans="1:4" ht="14.25" customHeight="1" x14ac:dyDescent="0.25">
      <c r="A150" s="12">
        <v>2427271.6</v>
      </c>
      <c r="B150" s="12" t="s">
        <v>939</v>
      </c>
      <c r="C150" s="12">
        <v>11</v>
      </c>
      <c r="D150" s="12"/>
    </row>
    <row r="151" spans="1:4" ht="14.25" customHeight="1" x14ac:dyDescent="0.25">
      <c r="A151" s="12">
        <v>2427303.0137200002</v>
      </c>
      <c r="B151" s="12" t="s">
        <v>940</v>
      </c>
      <c r="C151" s="12">
        <v>6.5744189999999998</v>
      </c>
      <c r="D151" s="12"/>
    </row>
    <row r="152" spans="1:4" ht="14.25" customHeight="1" x14ac:dyDescent="0.25">
      <c r="A152" s="12">
        <v>2427314.1056400002</v>
      </c>
      <c r="B152" s="12" t="s">
        <v>941</v>
      </c>
      <c r="C152" s="12">
        <v>7.89</v>
      </c>
      <c r="D152" s="12"/>
    </row>
    <row r="153" spans="1:4" ht="14.25" customHeight="1" x14ac:dyDescent="0.25">
      <c r="A153" s="12">
        <v>2427329.1943999999</v>
      </c>
      <c r="B153" s="12" t="s">
        <v>942</v>
      </c>
      <c r="C153" s="12">
        <v>8.8460000000000001</v>
      </c>
      <c r="D153" s="12"/>
    </row>
    <row r="154" spans="1:4" ht="14.25" customHeight="1" x14ac:dyDescent="0.25">
      <c r="A154" s="12">
        <v>2427344.5701199998</v>
      </c>
      <c r="B154" s="12" t="s">
        <v>943</v>
      </c>
      <c r="C154" s="12">
        <v>9.5321429999999996</v>
      </c>
      <c r="D154" s="12"/>
    </row>
    <row r="155" spans="1:4" ht="14.25" customHeight="1" x14ac:dyDescent="0.25">
      <c r="A155" s="12">
        <v>2427359.4153300002</v>
      </c>
      <c r="B155" s="12" t="s">
        <v>944</v>
      </c>
      <c r="C155" s="12">
        <v>9.9069769999999995</v>
      </c>
      <c r="D155" s="12"/>
    </row>
    <row r="156" spans="1:4" ht="14.25" customHeight="1" x14ac:dyDescent="0.25">
      <c r="A156" s="12">
        <v>2427375.7666699998</v>
      </c>
      <c r="B156" s="12" t="s">
        <v>945</v>
      </c>
      <c r="C156" s="12">
        <v>10.312120999999999</v>
      </c>
      <c r="D156" s="12"/>
    </row>
    <row r="157" spans="1:4" ht="14.25" customHeight="1" x14ac:dyDescent="0.25">
      <c r="A157" s="12">
        <v>2427389.9166700002</v>
      </c>
      <c r="B157" s="12" t="s">
        <v>946</v>
      </c>
      <c r="C157" s="12">
        <v>11.183332999999999</v>
      </c>
      <c r="D157" s="12"/>
    </row>
    <row r="158" spans="1:4" ht="14.25" customHeight="1" x14ac:dyDescent="0.25">
      <c r="A158" s="12">
        <v>2427406.25</v>
      </c>
      <c r="B158" s="12" t="s">
        <v>947</v>
      </c>
      <c r="C158" s="12">
        <v>11.324999999999999</v>
      </c>
      <c r="D158" s="12"/>
    </row>
    <row r="159" spans="1:4" ht="14.25" customHeight="1" x14ac:dyDescent="0.25">
      <c r="A159" s="12">
        <v>2427461.25</v>
      </c>
      <c r="B159" s="12" t="s">
        <v>948</v>
      </c>
      <c r="C159" s="12">
        <v>11.8</v>
      </c>
      <c r="D159" s="12"/>
    </row>
    <row r="160" spans="1:4" ht="14.25" customHeight="1" x14ac:dyDescent="0.25">
      <c r="A160" s="12">
        <v>2427482.5249999999</v>
      </c>
      <c r="B160" s="12" t="s">
        <v>949</v>
      </c>
      <c r="C160" s="12">
        <v>11.9</v>
      </c>
      <c r="D160" s="12"/>
    </row>
    <row r="161" spans="1:4" ht="14.25" customHeight="1" x14ac:dyDescent="0.25">
      <c r="A161" s="12">
        <v>2427497.7666699998</v>
      </c>
      <c r="B161" s="12" t="s">
        <v>950</v>
      </c>
      <c r="C161" s="12">
        <v>12</v>
      </c>
      <c r="D161" s="12"/>
    </row>
    <row r="162" spans="1:4" ht="14.25" customHeight="1" x14ac:dyDescent="0.25">
      <c r="A162" s="12">
        <v>2427514.4500000002</v>
      </c>
      <c r="B162" s="12" t="s">
        <v>951</v>
      </c>
      <c r="C162" s="12">
        <v>12.2875</v>
      </c>
      <c r="D162" s="12"/>
    </row>
    <row r="163" spans="1:4" ht="14.25" customHeight="1" x14ac:dyDescent="0.25">
      <c r="A163" s="12">
        <v>2427531</v>
      </c>
      <c r="B163" s="12" t="s">
        <v>952</v>
      </c>
      <c r="C163" s="12">
        <v>12.04</v>
      </c>
      <c r="D163" s="12"/>
    </row>
    <row r="164" spans="1:4" ht="14.25" customHeight="1" x14ac:dyDescent="0.25">
      <c r="A164" s="12">
        <v>2427543.7890900001</v>
      </c>
      <c r="B164" s="12" t="s">
        <v>953</v>
      </c>
      <c r="C164" s="12">
        <v>11.863636</v>
      </c>
      <c r="D164" s="12"/>
    </row>
    <row r="165" spans="1:4" ht="14.25" customHeight="1" x14ac:dyDescent="0.25">
      <c r="A165" s="12">
        <v>2427560.2194599998</v>
      </c>
      <c r="B165" s="12" t="s">
        <v>954</v>
      </c>
      <c r="C165" s="12">
        <v>11.961537999999999</v>
      </c>
      <c r="D165" s="12"/>
    </row>
    <row r="166" spans="1:4" ht="14.25" customHeight="1" x14ac:dyDescent="0.25">
      <c r="A166" s="12">
        <v>2427575.875</v>
      </c>
      <c r="B166" s="12" t="s">
        <v>955</v>
      </c>
      <c r="C166" s="12">
        <v>11.9</v>
      </c>
      <c r="D166" s="12"/>
    </row>
    <row r="167" spans="1:4" ht="14.25" customHeight="1" x14ac:dyDescent="0.25">
      <c r="A167" s="12">
        <v>2427593.7060600002</v>
      </c>
      <c r="B167" s="12" t="s">
        <v>956</v>
      </c>
      <c r="C167" s="12">
        <v>11.760605999999999</v>
      </c>
      <c r="D167" s="12"/>
    </row>
    <row r="168" spans="1:4" ht="14.25" customHeight="1" x14ac:dyDescent="0.25">
      <c r="A168" s="12">
        <v>2427606.93457</v>
      </c>
      <c r="B168" s="12" t="s">
        <v>957</v>
      </c>
      <c r="C168" s="12">
        <v>11.76</v>
      </c>
      <c r="D168" s="12"/>
    </row>
    <row r="169" spans="1:4" ht="14.25" customHeight="1" x14ac:dyDescent="0.25">
      <c r="A169" s="12">
        <v>2427624.9090900002</v>
      </c>
      <c r="B169" s="12" t="s">
        <v>958</v>
      </c>
      <c r="C169" s="12">
        <v>11.751514999999999</v>
      </c>
      <c r="D169" s="12"/>
    </row>
    <row r="170" spans="1:4" ht="14.25" customHeight="1" x14ac:dyDescent="0.25">
      <c r="A170" s="12">
        <v>2427637.2828600002</v>
      </c>
      <c r="B170" s="12" t="s">
        <v>959</v>
      </c>
      <c r="C170" s="12">
        <v>11.742857000000001</v>
      </c>
      <c r="D170" s="12"/>
    </row>
    <row r="171" spans="1:4" ht="14.25" customHeight="1" x14ac:dyDescent="0.25">
      <c r="A171" s="12">
        <v>2427654.23514</v>
      </c>
      <c r="B171" s="12" t="s">
        <v>960</v>
      </c>
      <c r="C171" s="12">
        <v>11.689189000000001</v>
      </c>
      <c r="D171" s="12"/>
    </row>
    <row r="172" spans="1:4" ht="14.25" customHeight="1" x14ac:dyDescent="0.25">
      <c r="A172" s="12">
        <v>2427671.8692299998</v>
      </c>
      <c r="B172" s="12" t="s">
        <v>961</v>
      </c>
      <c r="C172" s="12">
        <v>11.530768999999999</v>
      </c>
      <c r="D172" s="12"/>
    </row>
    <row r="173" spans="1:4" ht="14.25" customHeight="1" x14ac:dyDescent="0.25">
      <c r="A173" s="12">
        <v>2427685.5725500002</v>
      </c>
      <c r="B173" s="12" t="s">
        <v>962</v>
      </c>
      <c r="C173" s="12">
        <v>11.564705999999999</v>
      </c>
      <c r="D173" s="12"/>
    </row>
    <row r="174" spans="1:4" ht="14.25" customHeight="1" x14ac:dyDescent="0.25">
      <c r="A174" s="12">
        <v>2427702.5071399999</v>
      </c>
      <c r="B174" s="12" t="s">
        <v>963</v>
      </c>
      <c r="C174" s="12">
        <v>11.621428999999999</v>
      </c>
      <c r="D174" s="12"/>
    </row>
    <row r="175" spans="1:4" ht="14.25" customHeight="1" x14ac:dyDescent="0.25">
      <c r="A175" s="12">
        <v>2427715.9756800001</v>
      </c>
      <c r="B175" s="12" t="s">
        <v>964</v>
      </c>
      <c r="C175" s="12">
        <v>11.454053999999999</v>
      </c>
      <c r="D175" s="12"/>
    </row>
    <row r="176" spans="1:4" ht="14.25" customHeight="1" x14ac:dyDescent="0.25">
      <c r="A176" s="12">
        <v>2427736.3285699999</v>
      </c>
      <c r="B176" s="12" t="s">
        <v>965</v>
      </c>
      <c r="C176" s="12">
        <v>11.228571000000001</v>
      </c>
      <c r="D176" s="12"/>
    </row>
    <row r="177" spans="1:4" ht="14.25" customHeight="1" x14ac:dyDescent="0.25">
      <c r="A177" s="12">
        <v>2427748.4</v>
      </c>
      <c r="B177" s="12" t="s">
        <v>966</v>
      </c>
      <c r="C177" s="12">
        <v>11.154545000000001</v>
      </c>
      <c r="D177" s="12"/>
    </row>
    <row r="178" spans="1:4" ht="14.25" customHeight="1" x14ac:dyDescent="0.25">
      <c r="A178" s="12">
        <v>2427841.46667</v>
      </c>
      <c r="B178" s="12" t="s">
        <v>967</v>
      </c>
      <c r="C178" s="12">
        <v>11.2</v>
      </c>
      <c r="D178" s="12"/>
    </row>
    <row r="179" spans="1:4" ht="14.25" customHeight="1" x14ac:dyDescent="0.25">
      <c r="A179" s="12">
        <v>2427868.1333300001</v>
      </c>
      <c r="B179" s="12" t="s">
        <v>968</v>
      </c>
      <c r="C179" s="12">
        <v>11.033333000000001</v>
      </c>
      <c r="D179" s="12"/>
    </row>
    <row r="180" spans="1:4" ht="14.25" customHeight="1" x14ac:dyDescent="0.25">
      <c r="A180" s="12">
        <v>2427894.30167</v>
      </c>
      <c r="B180" s="12" t="s">
        <v>969</v>
      </c>
      <c r="C180" s="12">
        <v>11.316667000000001</v>
      </c>
      <c r="D180" s="12"/>
    </row>
    <row r="181" spans="1:4" ht="14.25" customHeight="1" x14ac:dyDescent="0.25">
      <c r="A181" s="12">
        <v>2427915.03333</v>
      </c>
      <c r="B181" s="12" t="s">
        <v>970</v>
      </c>
      <c r="C181" s="12">
        <v>11.333333</v>
      </c>
      <c r="D181" s="12"/>
    </row>
    <row r="182" spans="1:4" ht="14.25" customHeight="1" x14ac:dyDescent="0.25">
      <c r="A182" s="12">
        <v>2427929.4833300002</v>
      </c>
      <c r="B182" s="12" t="s">
        <v>971</v>
      </c>
      <c r="C182" s="12">
        <v>11.4</v>
      </c>
      <c r="D182" s="12"/>
    </row>
    <row r="183" spans="1:4" ht="14.25" customHeight="1" x14ac:dyDescent="0.25">
      <c r="A183" s="12">
        <v>2427952.64</v>
      </c>
      <c r="B183" s="12" t="s">
        <v>972</v>
      </c>
      <c r="C183" s="12">
        <v>11.526667</v>
      </c>
      <c r="D183" s="12"/>
    </row>
    <row r="184" spans="1:4" ht="14.25" customHeight="1" x14ac:dyDescent="0.25">
      <c r="A184" s="12">
        <v>2427967.49333</v>
      </c>
      <c r="B184" s="12" t="s">
        <v>973</v>
      </c>
      <c r="C184" s="12">
        <v>11.533333000000001</v>
      </c>
      <c r="D184" s="12"/>
    </row>
    <row r="185" spans="1:4" ht="14.25" customHeight="1" x14ac:dyDescent="0.25">
      <c r="A185" s="12">
        <v>2427983.14286</v>
      </c>
      <c r="B185" s="12" t="s">
        <v>974</v>
      </c>
      <c r="C185" s="12">
        <v>11.248571</v>
      </c>
      <c r="D185" s="12"/>
    </row>
    <row r="186" spans="1:4" ht="14.25" customHeight="1" x14ac:dyDescent="0.25">
      <c r="A186" s="12">
        <v>2427999.7928599999</v>
      </c>
      <c r="B186" s="12" t="s">
        <v>975</v>
      </c>
      <c r="C186" s="12">
        <v>10.978571000000001</v>
      </c>
      <c r="D186" s="12"/>
    </row>
    <row r="187" spans="1:4" ht="14.25" customHeight="1" x14ac:dyDescent="0.25">
      <c r="A187" s="12">
        <v>2428014.6014800002</v>
      </c>
      <c r="B187" s="12" t="s">
        <v>976</v>
      </c>
      <c r="C187" s="12">
        <v>11.425926</v>
      </c>
      <c r="D187" s="12"/>
    </row>
    <row r="188" spans="1:4" ht="14.25" customHeight="1" x14ac:dyDescent="0.25">
      <c r="A188" s="12">
        <v>2428031.46111</v>
      </c>
      <c r="B188" s="12" t="s">
        <v>977</v>
      </c>
      <c r="C188" s="12">
        <v>10.638889000000001</v>
      </c>
      <c r="D188" s="12"/>
    </row>
    <row r="189" spans="1:4" ht="14.25" customHeight="1" x14ac:dyDescent="0.25">
      <c r="A189" s="12">
        <v>2428043.8752899999</v>
      </c>
      <c r="B189" s="12" t="s">
        <v>978</v>
      </c>
      <c r="C189" s="12">
        <v>10.847059</v>
      </c>
      <c r="D189" s="12"/>
    </row>
    <row r="190" spans="1:4" ht="14.25" customHeight="1" x14ac:dyDescent="0.25">
      <c r="A190" s="12">
        <v>2428063.2592600002</v>
      </c>
      <c r="B190" s="12" t="s">
        <v>979</v>
      </c>
      <c r="C190" s="12">
        <v>10.681481</v>
      </c>
      <c r="D190" s="12"/>
    </row>
    <row r="191" spans="1:4" ht="14.25" customHeight="1" x14ac:dyDescent="0.25">
      <c r="A191" s="12">
        <v>2428075.4322600001</v>
      </c>
      <c r="B191" s="12" t="s">
        <v>980</v>
      </c>
      <c r="C191" s="12">
        <v>10.767742</v>
      </c>
      <c r="D191" s="12"/>
    </row>
    <row r="192" spans="1:4" ht="14.25" customHeight="1" x14ac:dyDescent="0.25">
      <c r="A192" s="12">
        <v>2428092.1133300001</v>
      </c>
      <c r="B192" s="12" t="s">
        <v>981</v>
      </c>
      <c r="C192" s="12">
        <v>10.803333</v>
      </c>
      <c r="D192" s="12"/>
    </row>
    <row r="193" spans="1:4" ht="14.25" customHeight="1" x14ac:dyDescent="0.25">
      <c r="A193" s="12">
        <v>2428104.7428600001</v>
      </c>
      <c r="B193" s="12" t="s">
        <v>982</v>
      </c>
      <c r="C193" s="12">
        <v>10.657143</v>
      </c>
      <c r="D193" s="12"/>
    </row>
    <row r="194" spans="1:4" ht="14.25" customHeight="1" x14ac:dyDescent="0.25">
      <c r="A194" s="12">
        <v>2428129.15</v>
      </c>
      <c r="B194" s="12" t="s">
        <v>983</v>
      </c>
      <c r="C194" s="12">
        <v>11.15</v>
      </c>
      <c r="D194" s="12"/>
    </row>
    <row r="195" spans="1:4" ht="14.25" customHeight="1" x14ac:dyDescent="0.25">
      <c r="A195" s="12">
        <v>2428199.2000000002</v>
      </c>
      <c r="B195" s="12" t="s">
        <v>984</v>
      </c>
      <c r="C195" s="12">
        <v>11.3</v>
      </c>
      <c r="D195" s="12"/>
    </row>
    <row r="196" spans="1:4" ht="14.25" customHeight="1" x14ac:dyDescent="0.25">
      <c r="A196" s="12">
        <v>2428229.5</v>
      </c>
      <c r="B196" s="12" t="s">
        <v>985</v>
      </c>
      <c r="C196" s="12">
        <v>12</v>
      </c>
      <c r="D196" s="12"/>
    </row>
    <row r="197" spans="1:4" ht="14.25" customHeight="1" x14ac:dyDescent="0.25">
      <c r="A197" s="12">
        <v>2428254.88</v>
      </c>
      <c r="B197" s="12" t="s">
        <v>986</v>
      </c>
      <c r="C197" s="12">
        <v>11.6</v>
      </c>
      <c r="D197" s="12"/>
    </row>
    <row r="198" spans="1:4" ht="14.25" customHeight="1" x14ac:dyDescent="0.25">
      <c r="A198" s="12">
        <v>2428284.5428599999</v>
      </c>
      <c r="B198" s="12" t="s">
        <v>987</v>
      </c>
      <c r="C198" s="12">
        <v>10.957143</v>
      </c>
      <c r="D198" s="12"/>
    </row>
    <row r="199" spans="1:4" ht="14.25" customHeight="1" x14ac:dyDescent="0.25">
      <c r="A199" s="12">
        <v>2428306.3277799999</v>
      </c>
      <c r="B199" s="12" t="s">
        <v>988</v>
      </c>
      <c r="C199" s="12">
        <v>10.966666999999999</v>
      </c>
      <c r="D199" s="12"/>
    </row>
    <row r="200" spans="1:4" ht="14.25" customHeight="1" x14ac:dyDescent="0.25">
      <c r="A200" s="12">
        <v>2428316.9785699998</v>
      </c>
      <c r="B200" s="12" t="s">
        <v>989</v>
      </c>
      <c r="C200" s="12">
        <v>10.992857000000001</v>
      </c>
      <c r="D200" s="12"/>
    </row>
    <row r="201" spans="1:4" ht="14.25" customHeight="1" x14ac:dyDescent="0.25">
      <c r="A201" s="12">
        <v>2428334.3631600002</v>
      </c>
      <c r="B201" s="12" t="s">
        <v>990</v>
      </c>
      <c r="C201" s="12">
        <v>11.015789</v>
      </c>
      <c r="D201" s="12"/>
    </row>
    <row r="202" spans="1:4" ht="14.25" customHeight="1" x14ac:dyDescent="0.25">
      <c r="A202" s="12">
        <v>2428346.0478300001</v>
      </c>
      <c r="B202" s="12" t="s">
        <v>991</v>
      </c>
      <c r="C202" s="12">
        <v>10.86087</v>
      </c>
      <c r="D202" s="12"/>
    </row>
    <row r="203" spans="1:4" ht="14.25" customHeight="1" x14ac:dyDescent="0.25">
      <c r="A203" s="12">
        <v>2428364.5093800002</v>
      </c>
      <c r="B203" s="12" t="s">
        <v>992</v>
      </c>
      <c r="C203" s="12">
        <v>10.75</v>
      </c>
      <c r="D203" s="12"/>
    </row>
    <row r="204" spans="1:4" ht="14.25" customHeight="1" x14ac:dyDescent="0.25">
      <c r="A204" s="12">
        <v>2428377.0923100002</v>
      </c>
      <c r="B204" s="12" t="s">
        <v>993</v>
      </c>
      <c r="C204" s="12">
        <v>10.915385000000001</v>
      </c>
      <c r="D204" s="12"/>
    </row>
    <row r="205" spans="1:4" ht="14.25" customHeight="1" x14ac:dyDescent="0.25">
      <c r="A205" s="12">
        <v>2428394.5148100001</v>
      </c>
      <c r="B205" s="12" t="s">
        <v>994</v>
      </c>
      <c r="C205" s="12">
        <v>11.059259000000001</v>
      </c>
      <c r="D205" s="12"/>
    </row>
    <row r="206" spans="1:4" ht="14.25" customHeight="1" x14ac:dyDescent="0.25">
      <c r="A206" s="12">
        <v>2428408.3307699999</v>
      </c>
      <c r="B206" s="12" t="s">
        <v>995</v>
      </c>
      <c r="C206" s="12">
        <v>11.092307999999999</v>
      </c>
      <c r="D206" s="12"/>
    </row>
    <row r="207" spans="1:4" ht="14.25" customHeight="1" x14ac:dyDescent="0.25">
      <c r="A207" s="12">
        <v>2428425.2458299999</v>
      </c>
      <c r="B207" s="12" t="s">
        <v>996</v>
      </c>
      <c r="C207" s="12">
        <v>10.808332999999999</v>
      </c>
      <c r="D207" s="12"/>
    </row>
    <row r="208" spans="1:4" ht="14.25" customHeight="1" x14ac:dyDescent="0.25">
      <c r="A208" s="12">
        <v>2428440.3125</v>
      </c>
      <c r="B208" s="12" t="s">
        <v>997</v>
      </c>
      <c r="C208" s="12">
        <v>10.762499999999999</v>
      </c>
      <c r="D208" s="12"/>
    </row>
    <row r="209" spans="1:4" ht="14.25" customHeight="1" x14ac:dyDescent="0.25">
      <c r="A209" s="12">
        <v>2428454.8142900001</v>
      </c>
      <c r="B209" s="12" t="s">
        <v>998</v>
      </c>
      <c r="C209" s="12">
        <v>10.921429</v>
      </c>
      <c r="D209" s="12"/>
    </row>
    <row r="210" spans="1:4" ht="14.25" customHeight="1" x14ac:dyDescent="0.25">
      <c r="A210" s="12">
        <v>2428477.4</v>
      </c>
      <c r="B210" s="12" t="s">
        <v>999</v>
      </c>
      <c r="C210" s="12">
        <v>11</v>
      </c>
      <c r="D210" s="12"/>
    </row>
    <row r="211" spans="1:4" ht="14.25" customHeight="1" x14ac:dyDescent="0.25">
      <c r="A211" s="12">
        <v>2428611.0499999998</v>
      </c>
      <c r="B211" s="12" t="s">
        <v>1000</v>
      </c>
      <c r="C211" s="12">
        <v>11.55</v>
      </c>
      <c r="D211" s="12"/>
    </row>
    <row r="212" spans="1:4" ht="14.25" customHeight="1" x14ac:dyDescent="0.25">
      <c r="A212" s="12">
        <v>2428637.7000000002</v>
      </c>
      <c r="B212" s="12" t="s">
        <v>1001</v>
      </c>
      <c r="C212" s="12">
        <v>11.7</v>
      </c>
      <c r="D212" s="12"/>
    </row>
    <row r="213" spans="1:4" ht="14.25" customHeight="1" x14ac:dyDescent="0.25">
      <c r="A213" s="12">
        <v>2428646.7666699998</v>
      </c>
      <c r="B213" s="12" t="s">
        <v>1002</v>
      </c>
      <c r="C213" s="12">
        <v>11.633333</v>
      </c>
      <c r="D213" s="12"/>
    </row>
    <row r="214" spans="1:4" ht="14.25" customHeight="1" x14ac:dyDescent="0.25">
      <c r="A214" s="12">
        <v>2428661.6</v>
      </c>
      <c r="B214" s="12" t="s">
        <v>1003</v>
      </c>
      <c r="C214" s="12">
        <v>11.681818</v>
      </c>
      <c r="D214" s="12"/>
    </row>
    <row r="215" spans="1:4" ht="14.25" customHeight="1" x14ac:dyDescent="0.25">
      <c r="A215" s="12">
        <v>2428680.35714</v>
      </c>
      <c r="B215" s="12" t="s">
        <v>1004</v>
      </c>
      <c r="C215" s="12">
        <v>11.8</v>
      </c>
      <c r="D215" s="12"/>
    </row>
    <row r="216" spans="1:4" ht="14.25" customHeight="1" x14ac:dyDescent="0.25">
      <c r="A216" s="12">
        <v>2428694.1833299999</v>
      </c>
      <c r="B216" s="12" t="s">
        <v>1005</v>
      </c>
      <c r="C216" s="12">
        <v>11.733333</v>
      </c>
      <c r="D216" s="12"/>
    </row>
    <row r="217" spans="1:4" ht="14.25" customHeight="1" x14ac:dyDescent="0.25">
      <c r="A217" s="12">
        <v>2428716.6285700002</v>
      </c>
      <c r="B217" s="12" t="s">
        <v>1006</v>
      </c>
      <c r="C217" s="12">
        <v>11.671429</v>
      </c>
      <c r="D217" s="12"/>
    </row>
    <row r="218" spans="1:4" ht="14.25" customHeight="1" x14ac:dyDescent="0.25">
      <c r="A218" s="12">
        <v>2428726.1483300002</v>
      </c>
      <c r="B218" s="12" t="s">
        <v>1007</v>
      </c>
      <c r="C218" s="12">
        <v>11.793333000000001</v>
      </c>
      <c r="D218" s="12"/>
    </row>
    <row r="219" spans="1:4" ht="14.25" customHeight="1" x14ac:dyDescent="0.25">
      <c r="A219" s="12">
        <v>2428747.1652199998</v>
      </c>
      <c r="B219" s="12" t="s">
        <v>1008</v>
      </c>
      <c r="C219" s="12">
        <v>11.673913000000001</v>
      </c>
      <c r="D219" s="12"/>
    </row>
    <row r="220" spans="1:4" ht="14.25" customHeight="1" x14ac:dyDescent="0.25">
      <c r="A220" s="12">
        <v>2428764.9</v>
      </c>
      <c r="B220" s="12" t="s">
        <v>1009</v>
      </c>
      <c r="C220" s="12">
        <v>11.275</v>
      </c>
      <c r="D220" s="12"/>
    </row>
    <row r="221" spans="1:4" ht="14.25" customHeight="1" x14ac:dyDescent="0.25">
      <c r="A221" s="12">
        <v>2428781.1961500002</v>
      </c>
      <c r="B221" s="12" t="s">
        <v>1010</v>
      </c>
      <c r="C221" s="12">
        <v>11.45</v>
      </c>
      <c r="D221" s="12"/>
    </row>
    <row r="222" spans="1:4" ht="14.25" customHeight="1" x14ac:dyDescent="0.25">
      <c r="A222" s="12">
        <v>2428798.24444</v>
      </c>
      <c r="B222" s="12" t="s">
        <v>1011</v>
      </c>
      <c r="C222" s="12">
        <v>11.055555999999999</v>
      </c>
      <c r="D222" s="12"/>
    </row>
    <row r="223" spans="1:4" ht="14.25" customHeight="1" x14ac:dyDescent="0.25">
      <c r="A223" s="12">
        <v>2428810.46667</v>
      </c>
      <c r="B223" s="12" t="s">
        <v>1012</v>
      </c>
      <c r="C223" s="12">
        <v>11.094443999999999</v>
      </c>
      <c r="D223" s="12"/>
    </row>
    <row r="224" spans="1:4" ht="14.25" customHeight="1" x14ac:dyDescent="0.25">
      <c r="A224" s="12">
        <v>2428836.3636400001</v>
      </c>
      <c r="B224" s="12" t="s">
        <v>1013</v>
      </c>
      <c r="C224" s="12">
        <v>11.1</v>
      </c>
      <c r="D224" s="12"/>
    </row>
    <row r="225" spans="1:4" ht="14.25" customHeight="1" x14ac:dyDescent="0.25">
      <c r="A225" s="12">
        <v>2428855.15</v>
      </c>
      <c r="B225" s="12" t="s">
        <v>1014</v>
      </c>
      <c r="C225" s="12">
        <v>11</v>
      </c>
      <c r="D225" s="12"/>
    </row>
    <row r="226" spans="1:4" ht="14.25" customHeight="1" x14ac:dyDescent="0.25">
      <c r="A226" s="12">
        <v>2428987.1333300001</v>
      </c>
      <c r="B226" s="12" t="s">
        <v>1015</v>
      </c>
      <c r="C226" s="12">
        <v>10.8</v>
      </c>
      <c r="D226" s="12"/>
    </row>
    <row r="227" spans="1:4" ht="14.25" customHeight="1" x14ac:dyDescent="0.25">
      <c r="A227" s="12">
        <v>2429022.1166699999</v>
      </c>
      <c r="B227" s="12" t="s">
        <v>1016</v>
      </c>
      <c r="C227" s="12">
        <v>11.033333000000001</v>
      </c>
      <c r="D227" s="12"/>
    </row>
    <row r="228" spans="1:4" ht="14.25" customHeight="1" x14ac:dyDescent="0.25">
      <c r="A228" s="12">
        <v>2429033.8833300001</v>
      </c>
      <c r="B228" s="12" t="s">
        <v>1017</v>
      </c>
      <c r="C228" s="12">
        <v>10.916667</v>
      </c>
      <c r="D228" s="12"/>
    </row>
    <row r="229" spans="1:4" ht="14.25" customHeight="1" x14ac:dyDescent="0.25">
      <c r="A229" s="12">
        <v>2429049.105</v>
      </c>
      <c r="B229" s="12" t="s">
        <v>1018</v>
      </c>
      <c r="C229" s="12">
        <v>10.75</v>
      </c>
      <c r="D229" s="12"/>
    </row>
    <row r="230" spans="1:4" ht="14.25" customHeight="1" x14ac:dyDescent="0.25">
      <c r="A230" s="12">
        <v>2429067.8181799999</v>
      </c>
      <c r="B230" s="12" t="s">
        <v>1019</v>
      </c>
      <c r="C230" s="12">
        <v>10.909091</v>
      </c>
      <c r="D230" s="12"/>
    </row>
    <row r="231" spans="1:4" ht="14.25" customHeight="1" x14ac:dyDescent="0.25">
      <c r="A231" s="12">
        <v>2429080.70909</v>
      </c>
      <c r="B231" s="12" t="s">
        <v>1020</v>
      </c>
      <c r="C231" s="12">
        <v>10.631818000000001</v>
      </c>
      <c r="D231" s="12"/>
    </row>
    <row r="232" spans="1:4" ht="14.25" customHeight="1" x14ac:dyDescent="0.25">
      <c r="A232" s="12">
        <v>2429101.3250000002</v>
      </c>
      <c r="B232" s="12" t="s">
        <v>1021</v>
      </c>
      <c r="C232" s="12">
        <v>10.775</v>
      </c>
      <c r="D232" s="12"/>
    </row>
    <row r="233" spans="1:4" ht="14.25" customHeight="1" x14ac:dyDescent="0.25">
      <c r="A233" s="12">
        <v>2429112.3583300002</v>
      </c>
      <c r="B233" s="12" t="s">
        <v>1022</v>
      </c>
      <c r="C233" s="12">
        <v>10.925000000000001</v>
      </c>
      <c r="D233" s="12"/>
    </row>
    <row r="234" spans="1:4" ht="14.25" customHeight="1" x14ac:dyDescent="0.25">
      <c r="A234" s="12">
        <v>2429131.4160099998</v>
      </c>
      <c r="B234" s="12" t="s">
        <v>1023</v>
      </c>
      <c r="C234" s="12">
        <v>11.189474000000001</v>
      </c>
      <c r="D234" s="12"/>
    </row>
    <row r="235" spans="1:4" ht="14.25" customHeight="1" x14ac:dyDescent="0.25">
      <c r="A235" s="12">
        <v>2429143.4692299999</v>
      </c>
      <c r="B235" s="12" t="s">
        <v>1024</v>
      </c>
      <c r="C235" s="12">
        <v>11.253845999999999</v>
      </c>
      <c r="D235" s="12"/>
    </row>
    <row r="236" spans="1:4" ht="14.25" customHeight="1" x14ac:dyDescent="0.25">
      <c r="A236" s="12">
        <v>2429162.15</v>
      </c>
      <c r="B236" s="12" t="s">
        <v>1025</v>
      </c>
      <c r="C236" s="12">
        <v>11.08</v>
      </c>
      <c r="D236" s="12"/>
    </row>
    <row r="237" spans="1:4" ht="14.25" customHeight="1" x14ac:dyDescent="0.25">
      <c r="A237" s="12">
        <v>2429182.8777800002</v>
      </c>
      <c r="B237" s="12" t="s">
        <v>1026</v>
      </c>
      <c r="C237" s="12">
        <v>11.177778</v>
      </c>
      <c r="D237" s="12"/>
    </row>
    <row r="238" spans="1:4" ht="14.25" customHeight="1" x14ac:dyDescent="0.25">
      <c r="A238" s="12">
        <v>2429195.1388900001</v>
      </c>
      <c r="B238" s="12" t="s">
        <v>1027</v>
      </c>
      <c r="C238" s="12">
        <v>11.422222</v>
      </c>
      <c r="D238" s="12"/>
    </row>
    <row r="239" spans="1:4" ht="14.25" customHeight="1" x14ac:dyDescent="0.25">
      <c r="A239" s="12">
        <v>2429217.0499999998</v>
      </c>
      <c r="B239" s="12" t="s">
        <v>1028</v>
      </c>
      <c r="C239" s="12">
        <v>11.125</v>
      </c>
      <c r="D239" s="12"/>
    </row>
    <row r="240" spans="1:4" ht="14.25" customHeight="1" x14ac:dyDescent="0.25">
      <c r="A240" s="12">
        <v>2429309.6</v>
      </c>
      <c r="B240" s="12" t="s">
        <v>1029</v>
      </c>
      <c r="C240" s="12">
        <v>11.1</v>
      </c>
      <c r="D240" s="12"/>
    </row>
    <row r="241" spans="1:4" ht="14.25" customHeight="1" x14ac:dyDescent="0.25">
      <c r="A241" s="12">
        <v>2429334.5</v>
      </c>
      <c r="B241" s="12" t="s">
        <v>1030</v>
      </c>
      <c r="C241" s="12">
        <v>11.8</v>
      </c>
      <c r="D241" s="12"/>
    </row>
    <row r="242" spans="1:4" ht="14.25" customHeight="1" x14ac:dyDescent="0.25">
      <c r="A242" s="12">
        <v>2429348.2400000002</v>
      </c>
      <c r="B242" s="12" t="s">
        <v>1031</v>
      </c>
      <c r="C242" s="12">
        <v>11.16</v>
      </c>
      <c r="D242" s="12"/>
    </row>
    <row r="243" spans="1:4" ht="14.25" customHeight="1" x14ac:dyDescent="0.25">
      <c r="A243" s="12">
        <v>2429379.9500000002</v>
      </c>
      <c r="B243" s="12" t="s">
        <v>1032</v>
      </c>
      <c r="C243" s="12">
        <v>11.01</v>
      </c>
      <c r="D243" s="12"/>
    </row>
    <row r="244" spans="1:4" ht="14.25" customHeight="1" x14ac:dyDescent="0.25">
      <c r="A244" s="12">
        <v>2429402.1352900001</v>
      </c>
      <c r="B244" s="12" t="s">
        <v>1033</v>
      </c>
      <c r="C244" s="12">
        <v>11.023529</v>
      </c>
      <c r="D244" s="12"/>
    </row>
    <row r="245" spans="1:4" ht="14.25" customHeight="1" x14ac:dyDescent="0.25">
      <c r="A245" s="12">
        <v>2429417.7769200001</v>
      </c>
      <c r="B245" s="12" t="s">
        <v>1034</v>
      </c>
      <c r="C245" s="12">
        <v>10.776923</v>
      </c>
      <c r="D245" s="12"/>
    </row>
    <row r="246" spans="1:4" ht="14.25" customHeight="1" x14ac:dyDescent="0.25">
      <c r="A246" s="12">
        <v>2429432.5150000001</v>
      </c>
      <c r="B246" s="12" t="s">
        <v>1035</v>
      </c>
      <c r="C246" s="12">
        <v>10.73</v>
      </c>
      <c r="D246" s="12"/>
    </row>
    <row r="247" spans="1:4" ht="14.25" customHeight="1" x14ac:dyDescent="0.25">
      <c r="A247" s="12">
        <v>2429449.0959999999</v>
      </c>
      <c r="B247" s="12" t="s">
        <v>1036</v>
      </c>
      <c r="C247" s="12">
        <v>10.826667</v>
      </c>
      <c r="D247" s="12"/>
    </row>
    <row r="248" spans="1:4" ht="14.25" customHeight="1" x14ac:dyDescent="0.25">
      <c r="A248" s="12">
        <v>2429463.1178600001</v>
      </c>
      <c r="B248" s="12" t="s">
        <v>1037</v>
      </c>
      <c r="C248" s="12">
        <v>10.996428999999999</v>
      </c>
      <c r="D248" s="12"/>
    </row>
    <row r="249" spans="1:4" ht="14.25" customHeight="1" x14ac:dyDescent="0.25">
      <c r="A249" s="12">
        <v>2429482.2937500002</v>
      </c>
      <c r="B249" s="12" t="s">
        <v>1038</v>
      </c>
      <c r="C249" s="12">
        <v>10.68125</v>
      </c>
      <c r="D249" s="12"/>
    </row>
    <row r="250" spans="1:4" ht="14.25" customHeight="1" x14ac:dyDescent="0.25">
      <c r="A250" s="12">
        <v>2429493.9692299999</v>
      </c>
      <c r="B250" s="12" t="s">
        <v>1039</v>
      </c>
      <c r="C250" s="12">
        <v>10.769231</v>
      </c>
      <c r="D250" s="12"/>
    </row>
    <row r="251" spans="1:4" ht="14.25" customHeight="1" x14ac:dyDescent="0.25">
      <c r="A251" s="12">
        <v>2429511.4380999999</v>
      </c>
      <c r="B251" s="12" t="s">
        <v>1040</v>
      </c>
      <c r="C251" s="12">
        <v>11.047618999999999</v>
      </c>
      <c r="D251" s="12"/>
    </row>
    <row r="252" spans="1:4" ht="14.25" customHeight="1" x14ac:dyDescent="0.25">
      <c r="A252" s="12">
        <v>2429523.2146899998</v>
      </c>
      <c r="B252" s="12" t="s">
        <v>1041</v>
      </c>
      <c r="C252" s="12">
        <v>10.959375</v>
      </c>
      <c r="D252" s="12"/>
    </row>
    <row r="253" spans="1:4" ht="14.25" customHeight="1" x14ac:dyDescent="0.25">
      <c r="A253" s="12">
        <v>2429544.9047599998</v>
      </c>
      <c r="B253" s="12" t="s">
        <v>1042</v>
      </c>
      <c r="C253" s="12">
        <v>10.719048000000001</v>
      </c>
      <c r="D253" s="12"/>
    </row>
    <row r="254" spans="1:4" ht="14.25" customHeight="1" x14ac:dyDescent="0.25">
      <c r="A254" s="12">
        <v>2429556.5619000001</v>
      </c>
      <c r="B254" s="12" t="s">
        <v>1043</v>
      </c>
      <c r="C254" s="12">
        <v>10.890476</v>
      </c>
      <c r="D254" s="12"/>
    </row>
    <row r="255" spans="1:4" ht="14.25" customHeight="1" x14ac:dyDescent="0.25">
      <c r="A255" s="12">
        <v>2429574.5928600002</v>
      </c>
      <c r="B255" s="12" t="s">
        <v>1044</v>
      </c>
      <c r="C255" s="12">
        <v>11.114286</v>
      </c>
      <c r="D255" s="12"/>
    </row>
    <row r="256" spans="1:4" ht="14.25" customHeight="1" x14ac:dyDescent="0.25">
      <c r="A256" s="12">
        <v>2429663.1</v>
      </c>
      <c r="B256" s="12" t="s">
        <v>1045</v>
      </c>
      <c r="C256" s="12">
        <v>11.5</v>
      </c>
      <c r="D256" s="12"/>
    </row>
    <row r="257" spans="1:4" ht="14.25" customHeight="1" x14ac:dyDescent="0.25">
      <c r="A257" s="12">
        <v>2429675.86</v>
      </c>
      <c r="B257" s="12" t="s">
        <v>1046</v>
      </c>
      <c r="C257" s="12">
        <v>11.14</v>
      </c>
      <c r="D257" s="12"/>
    </row>
    <row r="258" spans="1:4" ht="14.25" customHeight="1" x14ac:dyDescent="0.25">
      <c r="A258" s="12">
        <v>2429700.4624999999</v>
      </c>
      <c r="B258" s="12" t="s">
        <v>1047</v>
      </c>
      <c r="C258" s="12">
        <v>11.6875</v>
      </c>
      <c r="D258" s="12"/>
    </row>
    <row r="259" spans="1:4" ht="14.25" customHeight="1" x14ac:dyDescent="0.25">
      <c r="A259" s="12">
        <v>2429728.4125000001</v>
      </c>
      <c r="B259" s="12" t="s">
        <v>1048</v>
      </c>
      <c r="C259" s="12">
        <v>11.887499999999999</v>
      </c>
      <c r="D259" s="12"/>
    </row>
    <row r="260" spans="1:4" ht="14.25" customHeight="1" x14ac:dyDescent="0.25">
      <c r="A260" s="12">
        <v>2429742.4333299999</v>
      </c>
      <c r="B260" s="12" t="s">
        <v>1049</v>
      </c>
      <c r="C260" s="12">
        <v>11.822222</v>
      </c>
      <c r="D260" s="12"/>
    </row>
    <row r="261" spans="1:4" ht="14.25" customHeight="1" x14ac:dyDescent="0.25">
      <c r="A261" s="12">
        <v>2429758.7000000002</v>
      </c>
      <c r="B261" s="12" t="s">
        <v>1050</v>
      </c>
      <c r="C261" s="12">
        <v>11.7</v>
      </c>
      <c r="D261" s="12"/>
    </row>
    <row r="262" spans="1:4" ht="14.25" customHeight="1" x14ac:dyDescent="0.25">
      <c r="A262" s="12">
        <v>2429777.3714299998</v>
      </c>
      <c r="B262" s="12" t="s">
        <v>1051</v>
      </c>
      <c r="C262" s="12">
        <v>11.685714000000001</v>
      </c>
      <c r="D262" s="12"/>
    </row>
    <row r="263" spans="1:4" ht="14.25" customHeight="1" x14ac:dyDescent="0.25">
      <c r="A263" s="12">
        <v>2429788.8846200001</v>
      </c>
      <c r="B263" s="12" t="s">
        <v>1052</v>
      </c>
      <c r="C263" s="12">
        <v>11.546154</v>
      </c>
      <c r="D263" s="12"/>
    </row>
    <row r="264" spans="1:4" ht="14.25" customHeight="1" x14ac:dyDescent="0.25">
      <c r="A264" s="12">
        <v>2429811.5263200002</v>
      </c>
      <c r="B264" s="12" t="s">
        <v>1053</v>
      </c>
      <c r="C264" s="12">
        <v>11.163157999999999</v>
      </c>
      <c r="D264" s="12"/>
    </row>
    <row r="265" spans="1:4" ht="14.25" customHeight="1" x14ac:dyDescent="0.25">
      <c r="A265" s="12">
        <v>2429822.09565</v>
      </c>
      <c r="B265" s="12" t="s">
        <v>1054</v>
      </c>
      <c r="C265" s="12">
        <v>11.252174</v>
      </c>
      <c r="D265" s="12"/>
    </row>
    <row r="266" spans="1:4" ht="14.25" customHeight="1" x14ac:dyDescent="0.25">
      <c r="A266" s="12">
        <v>2429842.11154</v>
      </c>
      <c r="B266" s="12" t="s">
        <v>1055</v>
      </c>
      <c r="C266" s="12">
        <v>11.526923</v>
      </c>
      <c r="D266" s="12"/>
    </row>
    <row r="267" spans="1:4" ht="14.25" customHeight="1" x14ac:dyDescent="0.25">
      <c r="A267" s="12">
        <v>2429854.2352900002</v>
      </c>
      <c r="B267" s="12" t="s">
        <v>1056</v>
      </c>
      <c r="C267" s="12">
        <v>11.535294</v>
      </c>
      <c r="D267" s="12"/>
    </row>
    <row r="268" spans="1:4" ht="14.25" customHeight="1" x14ac:dyDescent="0.25">
      <c r="A268" s="12">
        <v>2429872.5904799998</v>
      </c>
      <c r="B268" s="12" t="s">
        <v>1057</v>
      </c>
      <c r="C268" s="12">
        <v>11.695238</v>
      </c>
      <c r="D268" s="12"/>
    </row>
    <row r="269" spans="1:4" ht="14.25" customHeight="1" x14ac:dyDescent="0.25">
      <c r="A269" s="12">
        <v>2429888.9300000002</v>
      </c>
      <c r="B269" s="12" t="s">
        <v>1058</v>
      </c>
      <c r="C269" s="12">
        <v>11.775</v>
      </c>
      <c r="D269" s="12"/>
    </row>
    <row r="270" spans="1:4" ht="14.25" customHeight="1" x14ac:dyDescent="0.25">
      <c r="A270" s="12">
        <v>2429901.5307700001</v>
      </c>
      <c r="B270" s="12" t="s">
        <v>1059</v>
      </c>
      <c r="C270" s="12">
        <v>11.876923</v>
      </c>
      <c r="D270" s="12"/>
    </row>
    <row r="271" spans="1:4" ht="14.25" customHeight="1" x14ac:dyDescent="0.25">
      <c r="A271" s="12">
        <v>2429921.9333299999</v>
      </c>
      <c r="B271" s="12" t="s">
        <v>1060</v>
      </c>
      <c r="C271" s="12">
        <v>11.566667000000001</v>
      </c>
      <c r="D271" s="12"/>
    </row>
    <row r="272" spans="1:4" ht="14.25" customHeight="1" x14ac:dyDescent="0.25">
      <c r="A272" s="12">
        <v>2429933.7999999998</v>
      </c>
      <c r="B272" s="12" t="s">
        <v>1061</v>
      </c>
      <c r="C272" s="12">
        <v>11.775</v>
      </c>
      <c r="D272" s="12"/>
    </row>
    <row r="273" spans="1:4" ht="14.25" customHeight="1" x14ac:dyDescent="0.25">
      <c r="A273" s="12">
        <v>2430035.6</v>
      </c>
      <c r="B273" s="12" t="s">
        <v>1062</v>
      </c>
      <c r="C273" s="12">
        <v>11.6</v>
      </c>
      <c r="D273" s="12"/>
    </row>
    <row r="274" spans="1:4" ht="14.25" customHeight="1" x14ac:dyDescent="0.25">
      <c r="A274" s="12">
        <v>2430060.1333300001</v>
      </c>
      <c r="B274" s="12" t="s">
        <v>1063</v>
      </c>
      <c r="C274" s="12">
        <v>11.666667</v>
      </c>
      <c r="D274" s="12"/>
    </row>
    <row r="275" spans="1:4" ht="14.25" customHeight="1" x14ac:dyDescent="0.25">
      <c r="A275" s="12">
        <v>2430071.46667</v>
      </c>
      <c r="B275" s="12" t="s">
        <v>1064</v>
      </c>
      <c r="C275" s="12">
        <v>11.25</v>
      </c>
      <c r="D275" s="12"/>
    </row>
    <row r="276" spans="1:4" ht="14.25" customHeight="1" x14ac:dyDescent="0.25">
      <c r="A276" s="12">
        <v>2430085.7666699998</v>
      </c>
      <c r="B276" s="12" t="s">
        <v>1065</v>
      </c>
      <c r="C276" s="12">
        <v>11.666667</v>
      </c>
      <c r="D276" s="12"/>
    </row>
    <row r="277" spans="1:4" ht="14.25" customHeight="1" x14ac:dyDescent="0.25">
      <c r="A277" s="12">
        <v>2430112.6749999998</v>
      </c>
      <c r="B277" s="12" t="s">
        <v>1066</v>
      </c>
      <c r="C277" s="12">
        <v>11.65</v>
      </c>
      <c r="D277" s="12"/>
    </row>
    <row r="278" spans="1:4" ht="14.25" customHeight="1" x14ac:dyDescent="0.25">
      <c r="A278" s="12">
        <v>2430123.1</v>
      </c>
      <c r="B278" s="12" t="s">
        <v>1067</v>
      </c>
      <c r="C278" s="12">
        <v>11.4</v>
      </c>
      <c r="D278" s="12"/>
    </row>
    <row r="279" spans="1:4" ht="14.25" customHeight="1" x14ac:dyDescent="0.25">
      <c r="A279" s="12">
        <v>2430138.3294099998</v>
      </c>
      <c r="B279" s="12" t="s">
        <v>1068</v>
      </c>
      <c r="C279" s="12">
        <v>11.482353</v>
      </c>
      <c r="D279" s="12"/>
    </row>
    <row r="280" spans="1:4" ht="14.25" customHeight="1" x14ac:dyDescent="0.25">
      <c r="A280" s="12">
        <v>2430160.36</v>
      </c>
      <c r="B280" s="12" t="s">
        <v>1069</v>
      </c>
      <c r="C280" s="12">
        <v>11.48</v>
      </c>
      <c r="D280" s="12"/>
    </row>
    <row r="281" spans="1:4" ht="14.25" customHeight="1" x14ac:dyDescent="0.25">
      <c r="A281" s="12">
        <v>2430171.9700000002</v>
      </c>
      <c r="B281" s="12" t="s">
        <v>1070</v>
      </c>
      <c r="C281" s="12">
        <v>11.519048</v>
      </c>
      <c r="D281" s="12"/>
    </row>
    <row r="282" spans="1:4" ht="14.25" customHeight="1" x14ac:dyDescent="0.25">
      <c r="A282" s="12">
        <v>2430187.9916699999</v>
      </c>
      <c r="B282" s="12" t="s">
        <v>1071</v>
      </c>
      <c r="C282" s="12">
        <v>11.483333</v>
      </c>
      <c r="D282" s="12"/>
    </row>
    <row r="283" spans="1:4" ht="14.25" customHeight="1" x14ac:dyDescent="0.25">
      <c r="A283" s="12">
        <v>2430202.2400000002</v>
      </c>
      <c r="B283" s="12" t="s">
        <v>83</v>
      </c>
      <c r="C283" s="12">
        <v>11.86</v>
      </c>
      <c r="D283" s="12"/>
    </row>
    <row r="284" spans="1:4" ht="14.25" customHeight="1" x14ac:dyDescent="0.25">
      <c r="A284" s="12">
        <v>2430222.7666699998</v>
      </c>
      <c r="B284" s="12" t="s">
        <v>1072</v>
      </c>
      <c r="C284" s="12">
        <v>11.766667</v>
      </c>
      <c r="D284" s="12"/>
    </row>
    <row r="285" spans="1:4" ht="14.25" customHeight="1" x14ac:dyDescent="0.25">
      <c r="A285" s="12">
        <v>2430236.1</v>
      </c>
      <c r="B285" s="12" t="s">
        <v>1073</v>
      </c>
      <c r="C285" s="12">
        <v>11.80625</v>
      </c>
      <c r="D285" s="12"/>
    </row>
    <row r="286" spans="1:4" ht="14.25" customHeight="1" x14ac:dyDescent="0.25">
      <c r="A286" s="12">
        <v>2430253.7000000002</v>
      </c>
      <c r="B286" s="12" t="s">
        <v>84</v>
      </c>
      <c r="C286" s="12">
        <v>11.758621</v>
      </c>
      <c r="D286" s="12"/>
    </row>
    <row r="287" spans="1:4" ht="14.25" customHeight="1" x14ac:dyDescent="0.25">
      <c r="A287" s="12">
        <v>2430271.14</v>
      </c>
      <c r="B287" s="12" t="s">
        <v>1074</v>
      </c>
      <c r="C287" s="12">
        <v>11.52</v>
      </c>
      <c r="D287" s="12"/>
    </row>
    <row r="288" spans="1:4" ht="14.25" customHeight="1" x14ac:dyDescent="0.25">
      <c r="A288" s="12">
        <v>2430285.4166700002</v>
      </c>
      <c r="B288" s="12" t="s">
        <v>85</v>
      </c>
      <c r="C288" s="12">
        <v>11.472222</v>
      </c>
      <c r="D288" s="12"/>
    </row>
    <row r="289" spans="1:4" ht="14.25" customHeight="1" x14ac:dyDescent="0.25">
      <c r="A289" s="12">
        <v>2430312.5249999999</v>
      </c>
      <c r="B289" s="12" t="s">
        <v>1075</v>
      </c>
      <c r="C289" s="12">
        <v>11.574999999999999</v>
      </c>
      <c r="D289" s="12"/>
    </row>
    <row r="290" spans="1:4" ht="14.25" customHeight="1" x14ac:dyDescent="0.25">
      <c r="A290" s="12">
        <v>2430412.15</v>
      </c>
      <c r="B290" s="12" t="s">
        <v>1076</v>
      </c>
      <c r="C290" s="12">
        <v>11.475</v>
      </c>
      <c r="D290" s="12"/>
    </row>
    <row r="291" spans="1:4" ht="14.25" customHeight="1" x14ac:dyDescent="0.25">
      <c r="A291" s="12">
        <v>2430433.4249999998</v>
      </c>
      <c r="B291" s="12" t="s">
        <v>1077</v>
      </c>
      <c r="C291" s="12">
        <v>11.15</v>
      </c>
      <c r="D291" s="12"/>
    </row>
    <row r="292" spans="1:4" ht="14.25" customHeight="1" x14ac:dyDescent="0.25">
      <c r="A292" s="12">
        <v>2430450.7799999998</v>
      </c>
      <c r="B292" s="12" t="s">
        <v>1078</v>
      </c>
      <c r="C292" s="12">
        <v>11.06</v>
      </c>
      <c r="D292" s="12"/>
    </row>
    <row r="293" spans="1:4" ht="14.25" customHeight="1" x14ac:dyDescent="0.25">
      <c r="A293" s="12">
        <v>2430470.5857099998</v>
      </c>
      <c r="B293" s="12" t="s">
        <v>1079</v>
      </c>
      <c r="C293" s="12">
        <v>10.885714</v>
      </c>
      <c r="D293" s="12"/>
    </row>
    <row r="294" spans="1:4" ht="14.25" customHeight="1" x14ac:dyDescent="0.25">
      <c r="A294" s="12">
        <v>2430490.65</v>
      </c>
      <c r="B294" s="12" t="s">
        <v>1080</v>
      </c>
      <c r="C294" s="12">
        <v>11.05</v>
      </c>
      <c r="D294" s="12"/>
    </row>
    <row r="295" spans="1:4" ht="14.25" customHeight="1" x14ac:dyDescent="0.25">
      <c r="A295" s="12">
        <v>2430500.6749999998</v>
      </c>
      <c r="B295" s="12" t="s">
        <v>1081</v>
      </c>
      <c r="C295" s="12">
        <v>11.05</v>
      </c>
      <c r="D295" s="12"/>
    </row>
    <row r="296" spans="1:4" ht="14.25" customHeight="1" x14ac:dyDescent="0.25">
      <c r="A296" s="12">
        <v>2430521.2333300002</v>
      </c>
      <c r="B296" s="12" t="s">
        <v>1082</v>
      </c>
      <c r="C296" s="12">
        <v>11.283333000000001</v>
      </c>
      <c r="D296" s="12"/>
    </row>
    <row r="297" spans="1:4" ht="14.25" customHeight="1" x14ac:dyDescent="0.25">
      <c r="A297" s="12">
        <v>2430533.5625</v>
      </c>
      <c r="B297" s="12" t="s">
        <v>1083</v>
      </c>
      <c r="C297" s="12">
        <v>11.262499999999999</v>
      </c>
      <c r="D297" s="12"/>
    </row>
    <row r="298" spans="1:4" ht="14.25" customHeight="1" x14ac:dyDescent="0.25">
      <c r="A298" s="12">
        <v>2430552.8374999999</v>
      </c>
      <c r="B298" s="12" t="s">
        <v>1084</v>
      </c>
      <c r="C298" s="12">
        <v>11.3125</v>
      </c>
      <c r="D298" s="12"/>
    </row>
    <row r="299" spans="1:4" ht="14.25" customHeight="1" x14ac:dyDescent="0.25">
      <c r="A299" s="12">
        <v>2430569.1749999998</v>
      </c>
      <c r="B299" s="12" t="s">
        <v>1085</v>
      </c>
      <c r="C299" s="12">
        <v>11.2875</v>
      </c>
      <c r="D299" s="12"/>
    </row>
    <row r="300" spans="1:4" ht="14.25" customHeight="1" x14ac:dyDescent="0.25">
      <c r="A300" s="12">
        <v>2430580.0299999998</v>
      </c>
      <c r="B300" s="12" t="s">
        <v>1086</v>
      </c>
      <c r="C300" s="12">
        <v>11.16</v>
      </c>
      <c r="D300" s="12"/>
    </row>
    <row r="301" spans="1:4" ht="14.25" customHeight="1" x14ac:dyDescent="0.25">
      <c r="A301" s="12">
        <v>2430601.1083300002</v>
      </c>
      <c r="B301" s="12" t="s">
        <v>1087</v>
      </c>
      <c r="C301" s="12">
        <v>11.333333</v>
      </c>
      <c r="D301" s="12"/>
    </row>
    <row r="302" spans="1:4" ht="14.25" customHeight="1" x14ac:dyDescent="0.25">
      <c r="A302" s="12">
        <v>2430613.6133300001</v>
      </c>
      <c r="B302" s="12" t="s">
        <v>1088</v>
      </c>
      <c r="C302" s="12">
        <v>11.126666999999999</v>
      </c>
      <c r="D302" s="12"/>
    </row>
    <row r="303" spans="1:4" ht="14.25" customHeight="1" x14ac:dyDescent="0.25">
      <c r="A303" s="12">
        <v>2430633.2573299999</v>
      </c>
      <c r="B303" s="12" t="s">
        <v>1089</v>
      </c>
      <c r="C303" s="12">
        <v>11.026667</v>
      </c>
      <c r="D303" s="12"/>
    </row>
    <row r="304" spans="1:4" ht="14.25" customHeight="1" x14ac:dyDescent="0.25">
      <c r="A304" s="12">
        <v>2430645.1333300001</v>
      </c>
      <c r="B304" s="12" t="s">
        <v>1090</v>
      </c>
      <c r="C304" s="12">
        <v>11.3</v>
      </c>
      <c r="D304" s="12"/>
    </row>
    <row r="305" spans="1:4" ht="14.25" customHeight="1" x14ac:dyDescent="0.25">
      <c r="A305" s="12">
        <v>2430667.3777800002</v>
      </c>
      <c r="B305" s="12" t="s">
        <v>1091</v>
      </c>
      <c r="C305" s="12">
        <v>10.977778000000001</v>
      </c>
      <c r="D305" s="12"/>
    </row>
    <row r="306" spans="1:4" ht="14.25" customHeight="1" x14ac:dyDescent="0.25">
      <c r="A306" s="12">
        <v>2430739.9</v>
      </c>
      <c r="B306" s="12" t="s">
        <v>1092</v>
      </c>
      <c r="C306" s="12">
        <v>11.4</v>
      </c>
      <c r="D306" s="12"/>
    </row>
    <row r="307" spans="1:4" ht="14.25" customHeight="1" x14ac:dyDescent="0.25">
      <c r="A307" s="12">
        <v>2430771.6</v>
      </c>
      <c r="B307" s="12" t="s">
        <v>1093</v>
      </c>
      <c r="C307" s="12">
        <v>12</v>
      </c>
      <c r="D307" s="12"/>
    </row>
    <row r="308" spans="1:4" ht="14.25" customHeight="1" x14ac:dyDescent="0.25">
      <c r="A308" s="12">
        <v>2430795.3333299998</v>
      </c>
      <c r="B308" s="12" t="s">
        <v>1094</v>
      </c>
      <c r="C308" s="12">
        <v>11.733333</v>
      </c>
      <c r="D308" s="12"/>
    </row>
    <row r="309" spans="1:4" ht="14.25" customHeight="1" x14ac:dyDescent="0.25">
      <c r="A309" s="12">
        <v>2430824.7333300002</v>
      </c>
      <c r="B309" s="12" t="s">
        <v>1095</v>
      </c>
      <c r="C309" s="12">
        <v>11.6</v>
      </c>
      <c r="D309" s="12"/>
    </row>
    <row r="310" spans="1:4" ht="14.25" customHeight="1" x14ac:dyDescent="0.25">
      <c r="A310" s="12">
        <v>2430852.5666700001</v>
      </c>
      <c r="B310" s="12" t="s">
        <v>1096</v>
      </c>
      <c r="C310" s="12">
        <v>11.116667</v>
      </c>
      <c r="D310" s="12"/>
    </row>
    <row r="311" spans="1:4" ht="14.25" customHeight="1" x14ac:dyDescent="0.25">
      <c r="A311" s="12">
        <v>2430874.15</v>
      </c>
      <c r="B311" s="12" t="s">
        <v>1097</v>
      </c>
      <c r="C311" s="12">
        <v>11.13</v>
      </c>
      <c r="D311" s="12"/>
    </row>
    <row r="312" spans="1:4" ht="14.25" customHeight="1" x14ac:dyDescent="0.25">
      <c r="A312" s="12">
        <v>2430890.9333299999</v>
      </c>
      <c r="B312" s="12" t="s">
        <v>1098</v>
      </c>
      <c r="C312" s="12">
        <v>11.222222</v>
      </c>
      <c r="D312" s="12"/>
    </row>
    <row r="313" spans="1:4" ht="14.25" customHeight="1" x14ac:dyDescent="0.25">
      <c r="A313" s="12">
        <v>2430904.03333</v>
      </c>
      <c r="B313" s="12" t="s">
        <v>1099</v>
      </c>
      <c r="C313" s="12">
        <v>11.141667</v>
      </c>
      <c r="D313" s="12"/>
    </row>
    <row r="314" spans="1:4" ht="14.25" customHeight="1" x14ac:dyDescent="0.25">
      <c r="A314" s="12">
        <v>2430921.73</v>
      </c>
      <c r="B314" s="12" t="s">
        <v>1100</v>
      </c>
      <c r="C314" s="12">
        <v>11.51</v>
      </c>
      <c r="D314" s="12"/>
    </row>
    <row r="315" spans="1:4" ht="14.25" customHeight="1" x14ac:dyDescent="0.25">
      <c r="A315" s="12">
        <v>2430938.5785699999</v>
      </c>
      <c r="B315" s="12" t="s">
        <v>1101</v>
      </c>
      <c r="C315" s="12">
        <v>11.235714</v>
      </c>
      <c r="D315" s="12"/>
    </row>
    <row r="316" spans="1:4" ht="14.25" customHeight="1" x14ac:dyDescent="0.25">
      <c r="A316" s="12">
        <v>2430956.9818199999</v>
      </c>
      <c r="B316" s="12" t="s">
        <v>1102</v>
      </c>
      <c r="C316" s="12">
        <v>11.236364</v>
      </c>
      <c r="D316" s="12"/>
    </row>
    <row r="317" spans="1:4" ht="14.25" customHeight="1" x14ac:dyDescent="0.25">
      <c r="A317" s="12">
        <v>2430971.02</v>
      </c>
      <c r="B317" s="12" t="s">
        <v>1103</v>
      </c>
      <c r="C317" s="12">
        <v>11.01</v>
      </c>
      <c r="D317" s="12"/>
    </row>
    <row r="318" spans="1:4" ht="14.25" customHeight="1" x14ac:dyDescent="0.25">
      <c r="A318" s="12">
        <v>2430989.2258299999</v>
      </c>
      <c r="B318" s="12" t="s">
        <v>1104</v>
      </c>
      <c r="C318" s="12">
        <v>11.191667000000001</v>
      </c>
      <c r="D318" s="12"/>
    </row>
    <row r="319" spans="1:4" ht="14.25" customHeight="1" x14ac:dyDescent="0.25">
      <c r="A319" s="12">
        <v>2431003.54</v>
      </c>
      <c r="B319" s="12" t="s">
        <v>1105</v>
      </c>
      <c r="C319" s="12">
        <v>11.2</v>
      </c>
      <c r="D319" s="12"/>
    </row>
    <row r="320" spans="1:4" ht="14.25" customHeight="1" x14ac:dyDescent="0.25">
      <c r="A320" s="12">
        <v>2431022.8818199998</v>
      </c>
      <c r="B320" s="12" t="s">
        <v>1106</v>
      </c>
      <c r="C320" s="12">
        <v>10.990909</v>
      </c>
      <c r="D320" s="12"/>
    </row>
    <row r="321" spans="1:4" ht="14.25" customHeight="1" x14ac:dyDescent="0.25">
      <c r="A321" s="12">
        <v>2431041.03333</v>
      </c>
      <c r="B321" s="12" t="s">
        <v>1107</v>
      </c>
      <c r="C321" s="12">
        <v>11.1</v>
      </c>
      <c r="D321" s="12"/>
    </row>
    <row r="322" spans="1:4" ht="14.25" customHeight="1" x14ac:dyDescent="0.25">
      <c r="A322" s="12">
        <v>2431119.9</v>
      </c>
      <c r="B322" s="12" t="s">
        <v>1108</v>
      </c>
      <c r="C322" s="12">
        <v>10.4</v>
      </c>
      <c r="D322" s="12"/>
    </row>
    <row r="323" spans="1:4" ht="14.25" customHeight="1" x14ac:dyDescent="0.25">
      <c r="A323" s="12">
        <v>2431142.3250000002</v>
      </c>
      <c r="B323" s="12" t="s">
        <v>1109</v>
      </c>
      <c r="C323" s="12">
        <v>10.95</v>
      </c>
      <c r="D323" s="12"/>
    </row>
    <row r="324" spans="1:4" ht="14.25" customHeight="1" x14ac:dyDescent="0.25">
      <c r="A324" s="12">
        <v>2431181.0750000002</v>
      </c>
      <c r="B324" s="12" t="s">
        <v>1110</v>
      </c>
      <c r="C324" s="12">
        <v>10.6</v>
      </c>
      <c r="D324" s="12"/>
    </row>
    <row r="325" spans="1:4" ht="14.25" customHeight="1" x14ac:dyDescent="0.25">
      <c r="A325" s="12">
        <v>2431206.71667</v>
      </c>
      <c r="B325" s="12" t="s">
        <v>1111</v>
      </c>
      <c r="C325" s="12">
        <v>11.383333</v>
      </c>
      <c r="D325" s="12"/>
    </row>
    <row r="326" spans="1:4" ht="14.25" customHeight="1" x14ac:dyDescent="0.25">
      <c r="A326" s="12">
        <v>2431228.66</v>
      </c>
      <c r="B326" s="12" t="s">
        <v>1112</v>
      </c>
      <c r="C326" s="12">
        <v>11.54</v>
      </c>
      <c r="D326" s="12"/>
    </row>
    <row r="327" spans="1:4" ht="14.25" customHeight="1" x14ac:dyDescent="0.25">
      <c r="A327" s="12">
        <v>2431240.125</v>
      </c>
      <c r="B327" s="12" t="s">
        <v>1113</v>
      </c>
      <c r="C327" s="12">
        <v>11.237500000000001</v>
      </c>
      <c r="D327" s="12"/>
    </row>
    <row r="328" spans="1:4" ht="14.25" customHeight="1" x14ac:dyDescent="0.25">
      <c r="A328" s="12">
        <v>2431259.1272700001</v>
      </c>
      <c r="B328" s="12" t="s">
        <v>1114</v>
      </c>
      <c r="C328" s="12">
        <v>11.1</v>
      </c>
      <c r="D328" s="12"/>
    </row>
    <row r="329" spans="1:4" ht="14.25" customHeight="1" x14ac:dyDescent="0.25">
      <c r="A329" s="12">
        <v>2431275.3624999998</v>
      </c>
      <c r="B329" s="12" t="s">
        <v>1115</v>
      </c>
      <c r="C329" s="12">
        <v>11.45</v>
      </c>
      <c r="D329" s="12"/>
    </row>
    <row r="330" spans="1:4" ht="14.25" customHeight="1" x14ac:dyDescent="0.25">
      <c r="A330" s="12">
        <v>2431292.17692</v>
      </c>
      <c r="B330" s="12" t="s">
        <v>1116</v>
      </c>
      <c r="C330" s="12">
        <v>11.584614999999999</v>
      </c>
      <c r="D330" s="12"/>
    </row>
    <row r="331" spans="1:4" ht="14.25" customHeight="1" x14ac:dyDescent="0.25">
      <c r="A331" s="12">
        <v>2431309.5083300001</v>
      </c>
      <c r="B331" s="12" t="s">
        <v>1117</v>
      </c>
      <c r="C331" s="12">
        <v>11.875</v>
      </c>
      <c r="D331" s="12"/>
    </row>
    <row r="332" spans="1:4" ht="14.25" customHeight="1" x14ac:dyDescent="0.25">
      <c r="A332" s="12">
        <v>2431321.8269199999</v>
      </c>
      <c r="B332" s="12" t="s">
        <v>1118</v>
      </c>
      <c r="C332" s="12">
        <v>11.830769</v>
      </c>
      <c r="D332" s="12"/>
    </row>
    <row r="333" spans="1:4" ht="14.25" customHeight="1" x14ac:dyDescent="0.25">
      <c r="A333" s="12">
        <v>2431345.3631600002</v>
      </c>
      <c r="B333" s="12" t="s">
        <v>1119</v>
      </c>
      <c r="C333" s="12">
        <v>11.578946999999999</v>
      </c>
      <c r="D333" s="12"/>
    </row>
    <row r="334" spans="1:4" ht="14.25" customHeight="1" x14ac:dyDescent="0.25">
      <c r="A334" s="12">
        <v>2431362.36</v>
      </c>
      <c r="B334" s="12" t="s">
        <v>1120</v>
      </c>
      <c r="C334" s="12">
        <v>11.713333</v>
      </c>
      <c r="D334" s="12"/>
    </row>
    <row r="335" spans="1:4" ht="14.25" customHeight="1" x14ac:dyDescent="0.25">
      <c r="A335" s="12">
        <v>2431377.7428600001</v>
      </c>
      <c r="B335" s="12" t="s">
        <v>1121</v>
      </c>
      <c r="C335" s="12">
        <v>11.871428999999999</v>
      </c>
      <c r="D335" s="12"/>
    </row>
    <row r="336" spans="1:4" ht="14.25" customHeight="1" x14ac:dyDescent="0.25">
      <c r="A336" s="12">
        <v>2431392.7625000002</v>
      </c>
      <c r="B336" s="12" t="s">
        <v>1122</v>
      </c>
      <c r="C336" s="12">
        <v>11.862500000000001</v>
      </c>
      <c r="D336" s="12"/>
    </row>
    <row r="337" spans="1:4" ht="14.25" customHeight="1" x14ac:dyDescent="0.25">
      <c r="A337" s="12">
        <v>2431498.6</v>
      </c>
      <c r="B337" s="12" t="s">
        <v>1123</v>
      </c>
      <c r="C337" s="12">
        <v>12.1</v>
      </c>
      <c r="D337" s="12"/>
    </row>
    <row r="338" spans="1:4" ht="14.25" customHeight="1" x14ac:dyDescent="0.25">
      <c r="A338" s="12">
        <v>2431509.9333299999</v>
      </c>
      <c r="B338" s="12" t="s">
        <v>1124</v>
      </c>
      <c r="C338" s="12">
        <v>12.233333</v>
      </c>
      <c r="D338" s="12"/>
    </row>
    <row r="339" spans="1:4" ht="14.25" customHeight="1" x14ac:dyDescent="0.25">
      <c r="A339" s="12">
        <v>2431528.5833299998</v>
      </c>
      <c r="B339" s="12" t="s">
        <v>1125</v>
      </c>
      <c r="C339" s="12">
        <v>11.783333000000001</v>
      </c>
      <c r="D339" s="12"/>
    </row>
    <row r="340" spans="1:4" ht="14.25" customHeight="1" x14ac:dyDescent="0.25">
      <c r="A340" s="12">
        <v>2431546.2666699998</v>
      </c>
      <c r="B340" s="12" t="s">
        <v>1126</v>
      </c>
      <c r="C340" s="12">
        <v>12.233333</v>
      </c>
      <c r="D340" s="12"/>
    </row>
    <row r="341" spans="1:4" ht="14.25" customHeight="1" x14ac:dyDescent="0.25">
      <c r="A341" s="12">
        <v>2431560.2799999998</v>
      </c>
      <c r="B341" s="12" t="s">
        <v>1127</v>
      </c>
      <c r="C341" s="12">
        <v>11.6</v>
      </c>
      <c r="D341" s="12"/>
    </row>
    <row r="342" spans="1:4" ht="14.25" customHeight="1" x14ac:dyDescent="0.25">
      <c r="A342" s="12">
        <v>2431590.6</v>
      </c>
      <c r="B342" s="12" t="s">
        <v>1128</v>
      </c>
      <c r="C342" s="12">
        <v>11.2</v>
      </c>
      <c r="D342" s="12"/>
    </row>
    <row r="343" spans="1:4" ht="14.25" customHeight="1" x14ac:dyDescent="0.25">
      <c r="A343" s="12">
        <v>2431599.46667</v>
      </c>
      <c r="B343" s="12" t="s">
        <v>1129</v>
      </c>
      <c r="C343" s="12">
        <v>11.2</v>
      </c>
      <c r="D343" s="12"/>
    </row>
    <row r="344" spans="1:4" ht="14.25" customHeight="1" x14ac:dyDescent="0.25">
      <c r="A344" s="12">
        <v>2431616.9125000001</v>
      </c>
      <c r="B344" s="12" t="s">
        <v>1130</v>
      </c>
      <c r="C344" s="12">
        <v>11.525</v>
      </c>
      <c r="D344" s="12"/>
    </row>
    <row r="345" spans="1:4" ht="14.25" customHeight="1" x14ac:dyDescent="0.25">
      <c r="A345" s="12">
        <v>2431642.7374999998</v>
      </c>
      <c r="B345" s="12" t="s">
        <v>1131</v>
      </c>
      <c r="C345" s="12">
        <v>11.518750000000001</v>
      </c>
      <c r="D345" s="12"/>
    </row>
    <row r="346" spans="1:4" ht="14.25" customHeight="1" x14ac:dyDescent="0.25">
      <c r="A346" s="12">
        <v>2431658.44</v>
      </c>
      <c r="B346" s="12" t="s">
        <v>1132</v>
      </c>
      <c r="C346" s="12">
        <v>11.48</v>
      </c>
      <c r="D346" s="12"/>
    </row>
    <row r="347" spans="1:4" ht="14.25" customHeight="1" x14ac:dyDescent="0.25">
      <c r="A347" s="12">
        <v>2431674.0230800002</v>
      </c>
      <c r="B347" s="12" t="s">
        <v>1133</v>
      </c>
      <c r="C347" s="12">
        <v>11.1</v>
      </c>
      <c r="D347" s="12"/>
    </row>
    <row r="348" spans="1:4" ht="14.25" customHeight="1" x14ac:dyDescent="0.25">
      <c r="A348" s="12">
        <v>2431693.06</v>
      </c>
      <c r="B348" s="12" t="s">
        <v>1134</v>
      </c>
      <c r="C348" s="12">
        <v>11.21</v>
      </c>
      <c r="D348" s="12"/>
    </row>
    <row r="349" spans="1:4" ht="14.25" customHeight="1" x14ac:dyDescent="0.25">
      <c r="A349" s="12">
        <v>2431704.4714299999</v>
      </c>
      <c r="B349" s="12" t="s">
        <v>1135</v>
      </c>
      <c r="C349" s="12">
        <v>11.157143</v>
      </c>
      <c r="D349" s="12"/>
    </row>
    <row r="350" spans="1:4" ht="14.25" customHeight="1" x14ac:dyDescent="0.25">
      <c r="A350" s="12">
        <v>2431725.0812499998</v>
      </c>
      <c r="B350" s="12" t="s">
        <v>1136</v>
      </c>
      <c r="C350" s="12">
        <v>10.862500000000001</v>
      </c>
      <c r="D350" s="12"/>
    </row>
    <row r="351" spans="1:4" ht="14.25" customHeight="1" x14ac:dyDescent="0.25">
      <c r="A351" s="12">
        <v>2431738.9300000002</v>
      </c>
      <c r="B351" s="12" t="s">
        <v>1137</v>
      </c>
      <c r="C351" s="12">
        <v>11.15</v>
      </c>
      <c r="D351" s="12"/>
    </row>
    <row r="352" spans="1:4" ht="14.25" customHeight="1" x14ac:dyDescent="0.25">
      <c r="A352" s="12">
        <v>2431757.9444400002</v>
      </c>
      <c r="B352" s="12" t="s">
        <v>1138</v>
      </c>
      <c r="C352" s="12">
        <v>10.755556</v>
      </c>
      <c r="D352" s="12"/>
    </row>
    <row r="353" spans="1:4" ht="14.25" customHeight="1" x14ac:dyDescent="0.25">
      <c r="A353" s="12">
        <v>2431777.7000000002</v>
      </c>
      <c r="B353" s="12" t="s">
        <v>1139</v>
      </c>
      <c r="C353" s="12">
        <v>10.35</v>
      </c>
      <c r="D353" s="12"/>
    </row>
    <row r="354" spans="1:4" ht="14.25" customHeight="1" x14ac:dyDescent="0.25">
      <c r="A354" s="12">
        <v>2431853.9</v>
      </c>
      <c r="B354" s="12" t="s">
        <v>1140</v>
      </c>
      <c r="C354" s="12">
        <v>9.6</v>
      </c>
      <c r="D354" s="12"/>
    </row>
    <row r="355" spans="1:4" ht="14.25" customHeight="1" x14ac:dyDescent="0.25">
      <c r="A355" s="12">
        <v>2431865.15</v>
      </c>
      <c r="B355" s="12" t="s">
        <v>1141</v>
      </c>
      <c r="C355" s="12">
        <v>10.35</v>
      </c>
      <c r="D355" s="12"/>
    </row>
    <row r="356" spans="1:4" ht="14.25" customHeight="1" x14ac:dyDescent="0.25">
      <c r="A356" s="12">
        <v>2431883.3666699999</v>
      </c>
      <c r="B356" s="12" t="s">
        <v>1142</v>
      </c>
      <c r="C356" s="12">
        <v>11.5</v>
      </c>
      <c r="D356" s="12"/>
    </row>
    <row r="357" spans="1:4" ht="14.25" customHeight="1" x14ac:dyDescent="0.25">
      <c r="A357" s="12">
        <v>2431893.9249999998</v>
      </c>
      <c r="B357" s="12" t="s">
        <v>1143</v>
      </c>
      <c r="C357" s="12">
        <v>11.55</v>
      </c>
      <c r="D357" s="12"/>
    </row>
    <row r="358" spans="1:4" ht="14.25" customHeight="1" x14ac:dyDescent="0.25">
      <c r="A358" s="12">
        <v>2431914.2333300002</v>
      </c>
      <c r="B358" s="12" t="s">
        <v>1144</v>
      </c>
      <c r="C358" s="12">
        <v>12</v>
      </c>
      <c r="D358" s="12"/>
    </row>
    <row r="359" spans="1:4" ht="14.25" customHeight="1" x14ac:dyDescent="0.25">
      <c r="A359" s="12">
        <v>2431934.2666699998</v>
      </c>
      <c r="B359" s="12" t="s">
        <v>1145</v>
      </c>
      <c r="C359" s="12">
        <v>12.3</v>
      </c>
      <c r="D359" s="12"/>
    </row>
    <row r="360" spans="1:4" ht="14.25" customHeight="1" x14ac:dyDescent="0.25">
      <c r="A360" s="12">
        <v>2431952.5750000002</v>
      </c>
      <c r="B360" s="12" t="s">
        <v>1146</v>
      </c>
      <c r="C360" s="12">
        <v>12.175000000000001</v>
      </c>
      <c r="D360" s="12"/>
    </row>
    <row r="361" spans="1:4" ht="14.25" customHeight="1" x14ac:dyDescent="0.25">
      <c r="A361" s="12">
        <v>2431967.3727299999</v>
      </c>
      <c r="B361" s="12" t="s">
        <v>1147</v>
      </c>
      <c r="C361" s="12">
        <v>11.927273</v>
      </c>
      <c r="D361" s="12"/>
    </row>
    <row r="362" spans="1:4" ht="14.25" customHeight="1" x14ac:dyDescent="0.25">
      <c r="A362" s="12">
        <v>2431984.8666699999</v>
      </c>
      <c r="B362" s="12" t="s">
        <v>1148</v>
      </c>
      <c r="C362" s="12">
        <v>12.383333</v>
      </c>
      <c r="D362" s="12"/>
    </row>
    <row r="363" spans="1:4" ht="14.25" customHeight="1" x14ac:dyDescent="0.25">
      <c r="A363" s="12">
        <v>2431999.7000000002</v>
      </c>
      <c r="B363" s="12" t="s">
        <v>1149</v>
      </c>
      <c r="C363" s="12">
        <v>12.110345000000001</v>
      </c>
      <c r="D363" s="12"/>
    </row>
    <row r="364" spans="1:4" ht="14.25" customHeight="1" x14ac:dyDescent="0.25">
      <c r="A364" s="12">
        <v>2432017.105</v>
      </c>
      <c r="B364" s="12" t="s">
        <v>1150</v>
      </c>
      <c r="C364" s="12">
        <v>11.865</v>
      </c>
      <c r="D364" s="12"/>
    </row>
    <row r="365" spans="1:4" ht="14.25" customHeight="1" x14ac:dyDescent="0.25">
      <c r="A365" s="12">
        <v>2432031.3149999999</v>
      </c>
      <c r="B365" s="12" t="s">
        <v>1151</v>
      </c>
      <c r="C365" s="12">
        <v>11.685</v>
      </c>
      <c r="D365" s="12"/>
    </row>
    <row r="366" spans="1:4" ht="14.25" customHeight="1" x14ac:dyDescent="0.25">
      <c r="A366" s="12">
        <v>2432048.18462</v>
      </c>
      <c r="B366" s="12" t="s">
        <v>1152</v>
      </c>
      <c r="C366" s="12">
        <v>12.007692</v>
      </c>
      <c r="D366" s="12"/>
    </row>
    <row r="367" spans="1:4" ht="14.25" customHeight="1" x14ac:dyDescent="0.25">
      <c r="A367" s="12">
        <v>2432061.7400000002</v>
      </c>
      <c r="B367" s="12" t="s">
        <v>1153</v>
      </c>
      <c r="C367" s="12">
        <v>11.82</v>
      </c>
      <c r="D367" s="12"/>
    </row>
    <row r="368" spans="1:4" ht="14.25" customHeight="1" x14ac:dyDescent="0.25">
      <c r="A368" s="12">
        <v>2432079.5045500002</v>
      </c>
      <c r="B368" s="12" t="s">
        <v>1154</v>
      </c>
      <c r="C368" s="12">
        <v>11.745455</v>
      </c>
      <c r="D368" s="12"/>
    </row>
    <row r="369" spans="1:4" ht="14.25" customHeight="1" x14ac:dyDescent="0.25">
      <c r="A369" s="12">
        <v>2432092.8545499998</v>
      </c>
      <c r="B369" s="12" t="s">
        <v>1155</v>
      </c>
      <c r="C369" s="12">
        <v>11.868181999999999</v>
      </c>
      <c r="D369" s="12"/>
    </row>
    <row r="370" spans="1:4" ht="14.25" customHeight="1" x14ac:dyDescent="0.25">
      <c r="A370" s="12">
        <v>2432110.3583300002</v>
      </c>
      <c r="B370" s="12" t="s">
        <v>1156</v>
      </c>
      <c r="C370" s="12">
        <v>11.783333000000001</v>
      </c>
      <c r="D370" s="12"/>
    </row>
    <row r="371" spans="1:4" ht="14.25" customHeight="1" x14ac:dyDescent="0.25">
      <c r="A371" s="12">
        <v>2432122.9874999998</v>
      </c>
      <c r="B371" s="12" t="s">
        <v>1157</v>
      </c>
      <c r="C371" s="12">
        <v>11.5875</v>
      </c>
      <c r="D371" s="12"/>
    </row>
    <row r="372" spans="1:4" ht="14.25" customHeight="1" x14ac:dyDescent="0.25">
      <c r="A372" s="12">
        <v>2432144.1749999998</v>
      </c>
      <c r="B372" s="12" t="s">
        <v>1158</v>
      </c>
      <c r="C372" s="12">
        <v>11.5625</v>
      </c>
      <c r="D372" s="12"/>
    </row>
    <row r="373" spans="1:4" ht="14.25" customHeight="1" x14ac:dyDescent="0.25">
      <c r="A373" s="12">
        <v>2432208.9</v>
      </c>
      <c r="B373" s="12" t="s">
        <v>1159</v>
      </c>
      <c r="C373" s="12">
        <v>11</v>
      </c>
      <c r="D373" s="12"/>
    </row>
    <row r="374" spans="1:4" ht="14.25" customHeight="1" x14ac:dyDescent="0.25">
      <c r="A374" s="12">
        <v>2432232.9249999998</v>
      </c>
      <c r="B374" s="12" t="s">
        <v>1160</v>
      </c>
      <c r="C374" s="12">
        <v>10.975</v>
      </c>
      <c r="D374" s="12"/>
    </row>
    <row r="375" spans="1:4" ht="14.25" customHeight="1" x14ac:dyDescent="0.25">
      <c r="A375" s="12">
        <v>2432248.2666699998</v>
      </c>
      <c r="B375" s="12" t="s">
        <v>1161</v>
      </c>
      <c r="C375" s="12">
        <v>11.166667</v>
      </c>
      <c r="D375" s="12"/>
    </row>
    <row r="376" spans="1:4" ht="14.25" customHeight="1" x14ac:dyDescent="0.25">
      <c r="A376" s="12">
        <v>2432265.2666699998</v>
      </c>
      <c r="B376" s="12" t="s">
        <v>1162</v>
      </c>
      <c r="C376" s="12">
        <v>11.233333</v>
      </c>
      <c r="D376" s="12"/>
    </row>
    <row r="377" spans="1:4" ht="14.25" customHeight="1" x14ac:dyDescent="0.25">
      <c r="A377" s="12">
        <v>2432279.2799999998</v>
      </c>
      <c r="B377" s="12" t="s">
        <v>1163</v>
      </c>
      <c r="C377" s="12">
        <v>11.16</v>
      </c>
      <c r="D377" s="12"/>
    </row>
    <row r="378" spans="1:4" ht="14.25" customHeight="1" x14ac:dyDescent="0.25">
      <c r="A378" s="12">
        <v>2432297.3250000002</v>
      </c>
      <c r="B378" s="12" t="s">
        <v>1164</v>
      </c>
      <c r="C378" s="12">
        <v>11.15</v>
      </c>
      <c r="D378" s="12"/>
    </row>
    <row r="379" spans="1:4" ht="14.25" customHeight="1" x14ac:dyDescent="0.25">
      <c r="A379" s="12">
        <v>2432314.06</v>
      </c>
      <c r="B379" s="12" t="s">
        <v>1165</v>
      </c>
      <c r="C379" s="12">
        <v>10.96</v>
      </c>
      <c r="D379" s="12"/>
    </row>
    <row r="380" spans="1:4" ht="14.25" customHeight="1" x14ac:dyDescent="0.25">
      <c r="A380" s="12">
        <v>2432331.8363600001</v>
      </c>
      <c r="B380" s="12" t="s">
        <v>1166</v>
      </c>
      <c r="C380" s="12">
        <v>11.136364</v>
      </c>
      <c r="D380" s="12"/>
    </row>
    <row r="381" spans="1:4" ht="14.25" customHeight="1" x14ac:dyDescent="0.25">
      <c r="A381" s="12">
        <v>2432346.6666700002</v>
      </c>
      <c r="B381" s="12" t="s">
        <v>1167</v>
      </c>
      <c r="C381" s="12">
        <v>11.133333</v>
      </c>
      <c r="D381" s="12"/>
    </row>
    <row r="382" spans="1:4" ht="14.25" customHeight="1" x14ac:dyDescent="0.25">
      <c r="A382" s="12">
        <v>2432358.6666700002</v>
      </c>
      <c r="B382" s="12" t="s">
        <v>1168</v>
      </c>
      <c r="C382" s="12">
        <v>11.026667</v>
      </c>
      <c r="D382" s="12"/>
    </row>
    <row r="383" spans="1:4" ht="14.25" customHeight="1" x14ac:dyDescent="0.25">
      <c r="A383" s="12">
        <v>2432378.09</v>
      </c>
      <c r="B383" s="12" t="s">
        <v>1169</v>
      </c>
      <c r="C383" s="12">
        <v>11.2</v>
      </c>
      <c r="D383" s="12"/>
    </row>
    <row r="384" spans="1:4" ht="14.25" customHeight="1" x14ac:dyDescent="0.25">
      <c r="A384" s="12">
        <v>2432391.44545</v>
      </c>
      <c r="B384" s="12" t="s">
        <v>1170</v>
      </c>
      <c r="C384" s="12">
        <v>11.045455</v>
      </c>
      <c r="D384" s="12"/>
    </row>
    <row r="385" spans="1:4" ht="14.25" customHeight="1" x14ac:dyDescent="0.25">
      <c r="A385" s="12">
        <v>2432409.2269199998</v>
      </c>
      <c r="B385" s="12" t="s">
        <v>1171</v>
      </c>
      <c r="C385" s="12">
        <v>11.207692</v>
      </c>
      <c r="D385" s="12"/>
    </row>
    <row r="386" spans="1:4" ht="14.25" customHeight="1" x14ac:dyDescent="0.25">
      <c r="A386" s="12">
        <v>2432427.7850000001</v>
      </c>
      <c r="B386" s="12" t="s">
        <v>1172</v>
      </c>
      <c r="C386" s="12">
        <v>10.88</v>
      </c>
      <c r="D386" s="12"/>
    </row>
    <row r="387" spans="1:4" ht="14.25" customHeight="1" x14ac:dyDescent="0.25">
      <c r="A387" s="12">
        <v>2432442.5855899998</v>
      </c>
      <c r="B387" s="12" t="s">
        <v>1173</v>
      </c>
      <c r="C387" s="12">
        <v>10.188235000000001</v>
      </c>
      <c r="D387" s="12"/>
    </row>
    <row r="388" spans="1:4" ht="14.25" customHeight="1" x14ac:dyDescent="0.25">
      <c r="A388" s="12">
        <v>2432457.56538</v>
      </c>
      <c r="B388" s="12" t="s">
        <v>1174</v>
      </c>
      <c r="C388" s="12">
        <v>10.296154</v>
      </c>
      <c r="D388" s="12"/>
    </row>
    <row r="389" spans="1:4" ht="14.25" customHeight="1" x14ac:dyDescent="0.25">
      <c r="A389" s="12">
        <v>2432470.3912999998</v>
      </c>
      <c r="B389" s="12" t="s">
        <v>1175</v>
      </c>
      <c r="C389" s="12">
        <v>10.469564999999999</v>
      </c>
      <c r="D389" s="12"/>
    </row>
    <row r="390" spans="1:4" ht="14.25" customHeight="1" x14ac:dyDescent="0.25">
      <c r="A390" s="12">
        <v>2432488.1416699998</v>
      </c>
      <c r="B390" s="12" t="s">
        <v>1176</v>
      </c>
      <c r="C390" s="12">
        <v>10.283333000000001</v>
      </c>
      <c r="D390" s="12"/>
    </row>
    <row r="391" spans="1:4" ht="14.25" customHeight="1" x14ac:dyDescent="0.25">
      <c r="A391" s="12">
        <v>2432502.4416700001</v>
      </c>
      <c r="B391" s="12" t="s">
        <v>1177</v>
      </c>
      <c r="C391" s="12">
        <v>10.541667</v>
      </c>
      <c r="D391" s="12"/>
    </row>
    <row r="392" spans="1:4" ht="14.25" customHeight="1" x14ac:dyDescent="0.25">
      <c r="A392" s="12">
        <v>2432598.12</v>
      </c>
      <c r="B392" s="12" t="s">
        <v>1178</v>
      </c>
      <c r="C392" s="12">
        <v>10.7</v>
      </c>
      <c r="D392" s="12"/>
    </row>
    <row r="393" spans="1:4" ht="14.25" customHeight="1" x14ac:dyDescent="0.25">
      <c r="A393" s="12">
        <v>2432613.2666699998</v>
      </c>
      <c r="B393" s="12" t="s">
        <v>1179</v>
      </c>
      <c r="C393" s="12">
        <v>11</v>
      </c>
      <c r="D393" s="12"/>
    </row>
    <row r="394" spans="1:4" ht="14.25" customHeight="1" x14ac:dyDescent="0.25">
      <c r="A394" s="12">
        <v>2432629.4714299999</v>
      </c>
      <c r="B394" s="12" t="s">
        <v>1180</v>
      </c>
      <c r="C394" s="12">
        <v>10.742857000000001</v>
      </c>
      <c r="D394" s="12"/>
    </row>
    <row r="395" spans="1:4" ht="14.25" customHeight="1" x14ac:dyDescent="0.25">
      <c r="A395" s="12">
        <v>2432645.0666700001</v>
      </c>
      <c r="B395" s="12" t="s">
        <v>1181</v>
      </c>
      <c r="C395" s="12">
        <v>10.9</v>
      </c>
      <c r="D395" s="12"/>
    </row>
    <row r="396" spans="1:4" ht="14.25" customHeight="1" x14ac:dyDescent="0.25">
      <c r="A396" s="12">
        <v>2432659.48</v>
      </c>
      <c r="B396" s="12" t="s">
        <v>1182</v>
      </c>
      <c r="C396" s="12">
        <v>10.94</v>
      </c>
      <c r="D396" s="12"/>
    </row>
    <row r="397" spans="1:4" ht="14.25" customHeight="1" x14ac:dyDescent="0.25">
      <c r="A397" s="12">
        <v>2432677.35</v>
      </c>
      <c r="B397" s="12" t="s">
        <v>1183</v>
      </c>
      <c r="C397" s="12">
        <v>11.1</v>
      </c>
      <c r="D397" s="12"/>
    </row>
    <row r="398" spans="1:4" ht="14.25" customHeight="1" x14ac:dyDescent="0.25">
      <c r="A398" s="12">
        <v>2432695.3666699999</v>
      </c>
      <c r="B398" s="12" t="s">
        <v>1184</v>
      </c>
      <c r="C398" s="12">
        <v>10.955556</v>
      </c>
      <c r="D398" s="12"/>
    </row>
    <row r="399" spans="1:4" ht="14.25" customHeight="1" x14ac:dyDescent="0.25">
      <c r="A399" s="12">
        <v>2432709.27</v>
      </c>
      <c r="B399" s="12" t="s">
        <v>1185</v>
      </c>
      <c r="C399" s="12">
        <v>10.595000000000001</v>
      </c>
      <c r="D399" s="12"/>
    </row>
    <row r="400" spans="1:4" ht="14.25" customHeight="1" x14ac:dyDescent="0.25">
      <c r="A400" s="12">
        <v>2432728.1266700001</v>
      </c>
      <c r="B400" s="12" t="s">
        <v>1186</v>
      </c>
      <c r="C400" s="12">
        <v>11.013332999999999</v>
      </c>
      <c r="D400" s="12"/>
    </row>
    <row r="401" spans="1:4" ht="14.25" customHeight="1" x14ac:dyDescent="0.25">
      <c r="A401" s="12">
        <v>2432740.7915599998</v>
      </c>
      <c r="B401" s="12" t="s">
        <v>1187</v>
      </c>
      <c r="C401" s="12">
        <v>11.246874999999999</v>
      </c>
      <c r="D401" s="12"/>
    </row>
    <row r="402" spans="1:4" ht="14.25" customHeight="1" x14ac:dyDescent="0.25">
      <c r="A402" s="12">
        <v>2432759.84583</v>
      </c>
      <c r="B402" s="12" t="s">
        <v>1188</v>
      </c>
      <c r="C402" s="12">
        <v>10.983333</v>
      </c>
      <c r="D402" s="12"/>
    </row>
    <row r="403" spans="1:4" ht="14.25" customHeight="1" x14ac:dyDescent="0.25">
      <c r="A403" s="12">
        <v>2432773.15882</v>
      </c>
      <c r="B403" s="12" t="s">
        <v>1189</v>
      </c>
      <c r="C403" s="12">
        <v>11.3</v>
      </c>
      <c r="D403" s="12"/>
    </row>
    <row r="404" spans="1:4" ht="14.25" customHeight="1" x14ac:dyDescent="0.25">
      <c r="A404" s="12">
        <v>2432790.08788</v>
      </c>
      <c r="B404" s="12" t="s">
        <v>1190</v>
      </c>
      <c r="C404" s="12">
        <v>11.418182</v>
      </c>
      <c r="D404" s="12"/>
    </row>
    <row r="405" spans="1:4" ht="14.25" customHeight="1" x14ac:dyDescent="0.25">
      <c r="A405" s="12">
        <v>2432804.41481</v>
      </c>
      <c r="B405" s="12" t="s">
        <v>1191</v>
      </c>
      <c r="C405" s="12">
        <v>11.511111</v>
      </c>
      <c r="D405" s="12"/>
    </row>
    <row r="406" spans="1:4" ht="14.25" customHeight="1" x14ac:dyDescent="0.25">
      <c r="A406" s="12">
        <v>2432822.44074</v>
      </c>
      <c r="B406" s="12" t="s">
        <v>1192</v>
      </c>
      <c r="C406" s="12">
        <v>11.737037000000001</v>
      </c>
      <c r="D406" s="12"/>
    </row>
    <row r="407" spans="1:4" ht="14.25" customHeight="1" x14ac:dyDescent="0.25">
      <c r="A407" s="12">
        <v>2432834.4571400001</v>
      </c>
      <c r="B407" s="12" t="s">
        <v>1193</v>
      </c>
      <c r="C407" s="12">
        <v>11.778570999999999</v>
      </c>
      <c r="D407" s="12"/>
    </row>
    <row r="408" spans="1:4" ht="14.25" customHeight="1" x14ac:dyDescent="0.25">
      <c r="A408" s="12">
        <v>2432853.9750000001</v>
      </c>
      <c r="B408" s="12" t="s">
        <v>1194</v>
      </c>
      <c r="C408" s="12">
        <v>11.86875</v>
      </c>
      <c r="D408" s="12"/>
    </row>
    <row r="409" spans="1:4" ht="14.25" customHeight="1" x14ac:dyDescent="0.25">
      <c r="A409" s="12">
        <v>2432870.3857100001</v>
      </c>
      <c r="B409" s="12" t="s">
        <v>1195</v>
      </c>
      <c r="C409" s="12">
        <v>11.514286</v>
      </c>
      <c r="D409" s="12"/>
    </row>
    <row r="410" spans="1:4" ht="14.25" customHeight="1" x14ac:dyDescent="0.25">
      <c r="A410" s="12">
        <v>2432952.85</v>
      </c>
      <c r="B410" s="12" t="s">
        <v>1196</v>
      </c>
      <c r="C410" s="12">
        <v>11.216666999999999</v>
      </c>
      <c r="D410" s="12"/>
    </row>
    <row r="411" spans="1:4" ht="14.25" customHeight="1" x14ac:dyDescent="0.25">
      <c r="A411" s="12">
        <v>2432971.7000000002</v>
      </c>
      <c r="B411" s="12" t="s">
        <v>1197</v>
      </c>
      <c r="C411" s="12">
        <v>11.633333</v>
      </c>
      <c r="D411" s="12"/>
    </row>
    <row r="412" spans="1:4" ht="14.25" customHeight="1" x14ac:dyDescent="0.25">
      <c r="A412" s="12">
        <v>2432981.7428600001</v>
      </c>
      <c r="B412" s="12" t="s">
        <v>1198</v>
      </c>
      <c r="C412" s="12">
        <v>11.057143</v>
      </c>
      <c r="D412" s="12"/>
    </row>
    <row r="413" spans="1:4" ht="14.25" customHeight="1" x14ac:dyDescent="0.25">
      <c r="A413" s="12">
        <v>2433002.1857099999</v>
      </c>
      <c r="B413" s="12" t="s">
        <v>1199</v>
      </c>
      <c r="C413" s="12">
        <v>10.971429000000001</v>
      </c>
      <c r="D413" s="12"/>
    </row>
    <row r="414" spans="1:4" ht="14.25" customHeight="1" x14ac:dyDescent="0.25">
      <c r="A414" s="12">
        <v>2433015.9</v>
      </c>
      <c r="B414" s="12" t="s">
        <v>1200</v>
      </c>
      <c r="C414" s="12">
        <v>11.05</v>
      </c>
      <c r="D414" s="12"/>
    </row>
    <row r="415" spans="1:4" ht="14.25" customHeight="1" x14ac:dyDescent="0.25">
      <c r="A415" s="12">
        <v>2433038.1272700001</v>
      </c>
      <c r="B415" s="12" t="s">
        <v>1201</v>
      </c>
      <c r="C415" s="12">
        <v>10.945455000000001</v>
      </c>
      <c r="D415" s="12"/>
    </row>
    <row r="416" spans="1:4" ht="14.25" customHeight="1" x14ac:dyDescent="0.25">
      <c r="A416" s="12">
        <v>2433052.64286</v>
      </c>
      <c r="B416" s="12" t="s">
        <v>1202</v>
      </c>
      <c r="C416" s="12">
        <v>11.3</v>
      </c>
      <c r="D416" s="12"/>
    </row>
    <row r="417" spans="1:4" ht="14.25" customHeight="1" x14ac:dyDescent="0.25">
      <c r="A417" s="12">
        <v>2433067.00556</v>
      </c>
      <c r="B417" s="12" t="s">
        <v>1203</v>
      </c>
      <c r="C417" s="12">
        <v>11.111110999999999</v>
      </c>
      <c r="D417" s="12"/>
    </row>
    <row r="418" spans="1:4" ht="14.25" customHeight="1" x14ac:dyDescent="0.25">
      <c r="A418" s="12">
        <v>2433084.1</v>
      </c>
      <c r="B418" s="12" t="s">
        <v>1204</v>
      </c>
      <c r="C418" s="12">
        <v>10.875</v>
      </c>
      <c r="D418" s="12"/>
    </row>
    <row r="419" spans="1:4" ht="14.25" customHeight="1" x14ac:dyDescent="0.25">
      <c r="A419" s="12">
        <v>2433096.5214300002</v>
      </c>
      <c r="B419" s="12" t="s">
        <v>1205</v>
      </c>
      <c r="C419" s="12">
        <v>11.003571000000001</v>
      </c>
      <c r="D419" s="12"/>
    </row>
    <row r="420" spans="1:4" ht="14.25" customHeight="1" x14ac:dyDescent="0.25">
      <c r="A420" s="12">
        <v>2433114.1333300001</v>
      </c>
      <c r="B420" s="12" t="s">
        <v>1206</v>
      </c>
      <c r="C420" s="12">
        <v>11.077778</v>
      </c>
      <c r="D420" s="12"/>
    </row>
    <row r="421" spans="1:4" ht="14.25" customHeight="1" x14ac:dyDescent="0.25">
      <c r="A421" s="12">
        <v>2433126.5523799998</v>
      </c>
      <c r="B421" s="12" t="s">
        <v>1207</v>
      </c>
      <c r="C421" s="12">
        <v>11.014286</v>
      </c>
      <c r="D421" s="12"/>
    </row>
    <row r="422" spans="1:4" ht="14.25" customHeight="1" x14ac:dyDescent="0.25">
      <c r="A422" s="12">
        <v>2433145.1296299999</v>
      </c>
      <c r="B422" s="12" t="s">
        <v>1208</v>
      </c>
      <c r="C422" s="12">
        <v>11.118518999999999</v>
      </c>
      <c r="D422" s="12"/>
    </row>
    <row r="423" spans="1:4" ht="14.25" customHeight="1" x14ac:dyDescent="0.25">
      <c r="A423" s="12">
        <v>2433156.68462</v>
      </c>
      <c r="B423" s="12" t="s">
        <v>1209</v>
      </c>
      <c r="C423" s="12">
        <v>11.092307999999999</v>
      </c>
      <c r="D423" s="12"/>
    </row>
    <row r="424" spans="1:4" ht="14.25" customHeight="1" x14ac:dyDescent="0.25">
      <c r="A424" s="12">
        <v>2433175.4260900002</v>
      </c>
      <c r="B424" s="12" t="s">
        <v>1210</v>
      </c>
      <c r="C424" s="12">
        <v>11.2</v>
      </c>
      <c r="D424" s="12"/>
    </row>
    <row r="425" spans="1:4" ht="14.25" customHeight="1" x14ac:dyDescent="0.25">
      <c r="A425" s="12">
        <v>2433188.78333</v>
      </c>
      <c r="B425" s="12" t="s">
        <v>1211</v>
      </c>
      <c r="C425" s="12">
        <v>11.5</v>
      </c>
      <c r="D425" s="12"/>
    </row>
    <row r="426" spans="1:4" ht="14.25" customHeight="1" x14ac:dyDescent="0.25">
      <c r="A426" s="12">
        <v>2433206.15</v>
      </c>
      <c r="B426" s="12" t="s">
        <v>1212</v>
      </c>
      <c r="C426" s="12">
        <v>11.155556000000001</v>
      </c>
      <c r="D426" s="12"/>
    </row>
    <row r="427" spans="1:4" ht="14.25" customHeight="1" x14ac:dyDescent="0.25">
      <c r="A427" s="12">
        <v>2433219.5166699998</v>
      </c>
      <c r="B427" s="12" t="s">
        <v>1213</v>
      </c>
      <c r="C427" s="12">
        <v>11.2</v>
      </c>
      <c r="D427" s="12"/>
    </row>
    <row r="428" spans="1:4" ht="14.25" customHeight="1" x14ac:dyDescent="0.25">
      <c r="A428" s="12">
        <v>2433236.6</v>
      </c>
      <c r="B428" s="12" t="s">
        <v>1214</v>
      </c>
      <c r="C428" s="12">
        <v>11.255556</v>
      </c>
      <c r="D428" s="12"/>
    </row>
    <row r="429" spans="1:4" ht="14.25" customHeight="1" x14ac:dyDescent="0.25">
      <c r="A429" s="12">
        <v>2433309.9</v>
      </c>
      <c r="B429" s="12" t="s">
        <v>1215</v>
      </c>
      <c r="C429" s="12">
        <v>11</v>
      </c>
      <c r="D429" s="12"/>
    </row>
    <row r="430" spans="1:4" ht="14.25" customHeight="1" x14ac:dyDescent="0.25">
      <c r="A430" s="12">
        <v>2433335.7000000002</v>
      </c>
      <c r="B430" s="12" t="s">
        <v>1216</v>
      </c>
      <c r="C430" s="12">
        <v>11.766667</v>
      </c>
      <c r="D430" s="12"/>
    </row>
    <row r="431" spans="1:4" ht="14.25" customHeight="1" x14ac:dyDescent="0.25">
      <c r="A431" s="12">
        <v>2433356.4166700002</v>
      </c>
      <c r="B431" s="12" t="s">
        <v>1217</v>
      </c>
      <c r="C431" s="12">
        <v>11.45</v>
      </c>
      <c r="D431" s="12"/>
    </row>
    <row r="432" spans="1:4" ht="14.25" customHeight="1" x14ac:dyDescent="0.25">
      <c r="A432" s="12">
        <v>2433370.46667</v>
      </c>
      <c r="B432" s="12" t="s">
        <v>1218</v>
      </c>
      <c r="C432" s="12">
        <v>11.5</v>
      </c>
      <c r="D432" s="12"/>
    </row>
    <row r="433" spans="1:4" ht="14.25" customHeight="1" x14ac:dyDescent="0.25">
      <c r="A433" s="12">
        <v>2433390.75556</v>
      </c>
      <c r="B433" s="12" t="s">
        <v>1219</v>
      </c>
      <c r="C433" s="12">
        <v>11.477778000000001</v>
      </c>
      <c r="D433" s="12"/>
    </row>
    <row r="434" spans="1:4" ht="14.25" customHeight="1" x14ac:dyDescent="0.25">
      <c r="A434" s="12">
        <v>2433409.12</v>
      </c>
      <c r="B434" s="12" t="s">
        <v>1220</v>
      </c>
      <c r="C434" s="12">
        <v>11.46</v>
      </c>
      <c r="D434" s="12"/>
    </row>
    <row r="435" spans="1:4" ht="14.25" customHeight="1" x14ac:dyDescent="0.25">
      <c r="A435" s="12">
        <v>2433423.1</v>
      </c>
      <c r="B435" s="12" t="s">
        <v>1221</v>
      </c>
      <c r="C435" s="12">
        <v>11.25</v>
      </c>
      <c r="D435" s="12"/>
    </row>
    <row r="436" spans="1:4" ht="14.25" customHeight="1" x14ac:dyDescent="0.25">
      <c r="A436" s="12">
        <v>2433441.9136399999</v>
      </c>
      <c r="B436" s="12" t="s">
        <v>1222</v>
      </c>
      <c r="C436" s="12">
        <v>11.245455</v>
      </c>
      <c r="D436" s="12"/>
    </row>
    <row r="437" spans="1:4" ht="14.25" customHeight="1" x14ac:dyDescent="0.25">
      <c r="A437" s="12">
        <v>2433454.4562499998</v>
      </c>
      <c r="B437" s="12" t="s">
        <v>1223</v>
      </c>
      <c r="C437" s="12">
        <v>11.012499999999999</v>
      </c>
      <c r="D437" s="12"/>
    </row>
    <row r="438" spans="1:4" ht="14.25" customHeight="1" x14ac:dyDescent="0.25">
      <c r="A438" s="12">
        <v>2433471.5676500001</v>
      </c>
      <c r="B438" s="12" t="s">
        <v>1224</v>
      </c>
      <c r="C438" s="12">
        <v>11.152941</v>
      </c>
      <c r="D438" s="12"/>
    </row>
    <row r="439" spans="1:4" ht="14.25" customHeight="1" x14ac:dyDescent="0.25">
      <c r="A439" s="12">
        <v>2433484.8944399999</v>
      </c>
      <c r="B439" s="12" t="s">
        <v>1225</v>
      </c>
      <c r="C439" s="12">
        <v>11.316667000000001</v>
      </c>
      <c r="D439" s="12"/>
    </row>
    <row r="440" spans="1:4" ht="14.25" customHeight="1" x14ac:dyDescent="0.25">
      <c r="A440" s="12">
        <v>2433501.9846199998</v>
      </c>
      <c r="B440" s="12" t="s">
        <v>1226</v>
      </c>
      <c r="C440" s="12">
        <v>11.084614999999999</v>
      </c>
      <c r="D440" s="12"/>
    </row>
    <row r="441" spans="1:4" ht="14.25" customHeight="1" x14ac:dyDescent="0.25">
      <c r="A441" s="12">
        <v>2433515.5625</v>
      </c>
      <c r="B441" s="12" t="s">
        <v>1227</v>
      </c>
      <c r="C441" s="12">
        <v>10.875</v>
      </c>
      <c r="D441" s="12"/>
    </row>
    <row r="442" spans="1:4" ht="14.25" customHeight="1" x14ac:dyDescent="0.25">
      <c r="A442" s="12">
        <v>2433532.46667</v>
      </c>
      <c r="B442" s="12" t="s">
        <v>1228</v>
      </c>
      <c r="C442" s="12">
        <v>11.288888999999999</v>
      </c>
      <c r="D442" s="12"/>
    </row>
    <row r="443" spans="1:4" ht="14.25" customHeight="1" x14ac:dyDescent="0.25">
      <c r="A443" s="12">
        <v>2433545.4782599998</v>
      </c>
      <c r="B443" s="12" t="s">
        <v>1229</v>
      </c>
      <c r="C443" s="12">
        <v>11.117391</v>
      </c>
      <c r="D443" s="12"/>
    </row>
    <row r="444" spans="1:4" ht="14.25" customHeight="1" x14ac:dyDescent="0.25">
      <c r="A444" s="12">
        <v>2433562.1318199998</v>
      </c>
      <c r="B444" s="12" t="s">
        <v>1230</v>
      </c>
      <c r="C444" s="12">
        <v>11.390909000000001</v>
      </c>
      <c r="D444" s="12"/>
    </row>
    <row r="445" spans="1:4" ht="14.25" customHeight="1" x14ac:dyDescent="0.25">
      <c r="A445" s="12">
        <v>2433576.8090900001</v>
      </c>
      <c r="B445" s="12" t="s">
        <v>1231</v>
      </c>
      <c r="C445" s="12">
        <v>11.3</v>
      </c>
      <c r="D445" s="12"/>
    </row>
    <row r="446" spans="1:4" ht="14.25" customHeight="1" x14ac:dyDescent="0.25">
      <c r="A446" s="12">
        <v>2433592.1818200001</v>
      </c>
      <c r="B446" s="12" t="s">
        <v>1232</v>
      </c>
      <c r="C446" s="12">
        <v>11.481818000000001</v>
      </c>
      <c r="D446" s="12"/>
    </row>
    <row r="447" spans="1:4" ht="14.25" customHeight="1" x14ac:dyDescent="0.25">
      <c r="A447" s="12">
        <v>2433682.1</v>
      </c>
      <c r="B447" s="12" t="s">
        <v>1233</v>
      </c>
      <c r="C447" s="12">
        <v>11.15</v>
      </c>
      <c r="D447" s="12"/>
    </row>
    <row r="448" spans="1:4" ht="14.25" customHeight="1" x14ac:dyDescent="0.25">
      <c r="A448" s="12">
        <v>2433697.6</v>
      </c>
      <c r="B448" s="12" t="s">
        <v>1234</v>
      </c>
      <c r="C448" s="12">
        <v>11.433332999999999</v>
      </c>
      <c r="D448" s="12"/>
    </row>
    <row r="449" spans="1:4" ht="14.25" customHeight="1" x14ac:dyDescent="0.25">
      <c r="A449" s="12">
        <v>2433718.6444399999</v>
      </c>
      <c r="B449" s="12" t="s">
        <v>1235</v>
      </c>
      <c r="C449" s="12">
        <v>11.177778</v>
      </c>
      <c r="D449" s="12"/>
    </row>
    <row r="450" spans="1:4" ht="14.25" customHeight="1" x14ac:dyDescent="0.25">
      <c r="A450" s="12">
        <v>2433743.6666700002</v>
      </c>
      <c r="B450" s="12" t="s">
        <v>1236</v>
      </c>
      <c r="C450" s="12">
        <v>11.416667</v>
      </c>
      <c r="D450" s="12"/>
    </row>
    <row r="451" spans="1:4" ht="14.25" customHeight="1" x14ac:dyDescent="0.25">
      <c r="A451" s="12">
        <v>2433762.65</v>
      </c>
      <c r="B451" s="12" t="s">
        <v>1237</v>
      </c>
      <c r="C451" s="12">
        <v>11.35</v>
      </c>
      <c r="D451" s="12"/>
    </row>
    <row r="452" spans="1:4" ht="14.25" customHeight="1" x14ac:dyDescent="0.25">
      <c r="A452" s="12">
        <v>2433776.9437500001</v>
      </c>
      <c r="B452" s="12" t="s">
        <v>1238</v>
      </c>
      <c r="C452" s="12">
        <v>11.512499999999999</v>
      </c>
      <c r="D452" s="12"/>
    </row>
    <row r="453" spans="1:4" ht="14.25" customHeight="1" x14ac:dyDescent="0.25">
      <c r="A453" s="12">
        <v>2433796.0393300001</v>
      </c>
      <c r="B453" s="12" t="s">
        <v>1239</v>
      </c>
      <c r="C453" s="12">
        <v>11.386666999999999</v>
      </c>
      <c r="D453" s="12"/>
    </row>
    <row r="454" spans="1:4" ht="14.25" customHeight="1" x14ac:dyDescent="0.25">
      <c r="A454" s="12">
        <v>2433808.0469999998</v>
      </c>
      <c r="B454" s="12" t="s">
        <v>1240</v>
      </c>
      <c r="C454" s="12">
        <v>11.26</v>
      </c>
      <c r="D454" s="12"/>
    </row>
    <row r="455" spans="1:4" ht="14.25" customHeight="1" x14ac:dyDescent="0.25">
      <c r="A455" s="12">
        <v>2433827.3082099999</v>
      </c>
      <c r="B455" s="12" t="s">
        <v>1241</v>
      </c>
      <c r="C455" s="12">
        <v>11.164286000000001</v>
      </c>
      <c r="D455" s="12"/>
    </row>
    <row r="456" spans="1:4" ht="14.25" customHeight="1" x14ac:dyDescent="0.25">
      <c r="A456" s="12">
        <v>2433839.60714</v>
      </c>
      <c r="B456" s="12" t="s">
        <v>1242</v>
      </c>
      <c r="C456" s="12">
        <v>11.282143</v>
      </c>
      <c r="D456" s="12"/>
    </row>
    <row r="457" spans="1:4" ht="14.25" customHeight="1" x14ac:dyDescent="0.25">
      <c r="A457" s="12">
        <v>2433857.2485699998</v>
      </c>
      <c r="B457" s="12" t="s">
        <v>1243</v>
      </c>
      <c r="C457" s="12">
        <v>11.237143</v>
      </c>
      <c r="D457" s="12"/>
    </row>
    <row r="458" spans="1:4" ht="14.25" customHeight="1" x14ac:dyDescent="0.25">
      <c r="A458" s="12">
        <v>2433872.8849999998</v>
      </c>
      <c r="B458" s="12" t="s">
        <v>1244</v>
      </c>
      <c r="C458" s="12">
        <v>11.385</v>
      </c>
      <c r="D458" s="12"/>
    </row>
    <row r="459" spans="1:4" ht="14.25" customHeight="1" x14ac:dyDescent="0.25">
      <c r="A459" s="12">
        <v>2433887.42184</v>
      </c>
      <c r="B459" s="12" t="s">
        <v>1245</v>
      </c>
      <c r="C459" s="12">
        <v>11.581579</v>
      </c>
      <c r="D459" s="12"/>
    </row>
    <row r="460" spans="1:4" ht="14.25" customHeight="1" x14ac:dyDescent="0.25">
      <c r="A460" s="12">
        <v>2433903.0947400001</v>
      </c>
      <c r="B460" s="12" t="s">
        <v>1246</v>
      </c>
      <c r="C460" s="12">
        <v>11.342105</v>
      </c>
      <c r="D460" s="12"/>
    </row>
    <row r="461" spans="1:4" ht="14.25" customHeight="1" x14ac:dyDescent="0.25">
      <c r="A461" s="12">
        <v>2433916.4969199998</v>
      </c>
      <c r="B461" s="12" t="s">
        <v>1247</v>
      </c>
      <c r="C461" s="12">
        <v>11.434615000000001</v>
      </c>
      <c r="D461" s="12"/>
    </row>
    <row r="462" spans="1:4" ht="14.25" customHeight="1" x14ac:dyDescent="0.25">
      <c r="A462" s="12">
        <v>2433931.6633299999</v>
      </c>
      <c r="B462" s="12" t="s">
        <v>1248</v>
      </c>
      <c r="C462" s="12">
        <v>11.38</v>
      </c>
      <c r="D462" s="12"/>
    </row>
    <row r="463" spans="1:4" ht="14.25" customHeight="1" x14ac:dyDescent="0.25">
      <c r="A463" s="12">
        <v>2433945.7133300002</v>
      </c>
      <c r="B463" s="12" t="s">
        <v>1249</v>
      </c>
      <c r="C463" s="12">
        <v>11.513332999999999</v>
      </c>
      <c r="D463" s="12"/>
    </row>
    <row r="464" spans="1:4" ht="14.25" customHeight="1" x14ac:dyDescent="0.25">
      <c r="A464" s="12">
        <v>2433972.03333</v>
      </c>
      <c r="B464" s="12" t="s">
        <v>1250</v>
      </c>
      <c r="C464" s="12">
        <v>11.666667</v>
      </c>
      <c r="D464" s="12"/>
    </row>
    <row r="465" spans="1:4" ht="14.25" customHeight="1" x14ac:dyDescent="0.25">
      <c r="A465" s="12">
        <v>2434040.7000000002</v>
      </c>
      <c r="B465" s="12" t="s">
        <v>1251</v>
      </c>
      <c r="C465" s="12">
        <v>11.4</v>
      </c>
      <c r="D465" s="12"/>
    </row>
    <row r="466" spans="1:4" ht="14.25" customHeight="1" x14ac:dyDescent="0.25">
      <c r="A466" s="12">
        <v>2434054.375</v>
      </c>
      <c r="B466" s="12" t="s">
        <v>1252</v>
      </c>
      <c r="C466" s="12">
        <v>11.3</v>
      </c>
      <c r="D466" s="12"/>
    </row>
    <row r="467" spans="1:4" ht="14.25" customHeight="1" x14ac:dyDescent="0.25">
      <c r="A467" s="12">
        <v>2434071.3857100001</v>
      </c>
      <c r="B467" s="12" t="s">
        <v>1253</v>
      </c>
      <c r="C467" s="12">
        <v>11.1</v>
      </c>
      <c r="D467" s="12"/>
    </row>
    <row r="468" spans="1:4" ht="14.25" customHeight="1" x14ac:dyDescent="0.25">
      <c r="A468" s="12">
        <v>2434090.42</v>
      </c>
      <c r="B468" s="12" t="s">
        <v>1254</v>
      </c>
      <c r="C468" s="12">
        <v>11.14</v>
      </c>
      <c r="D468" s="12"/>
    </row>
    <row r="469" spans="1:4" ht="14.25" customHeight="1" x14ac:dyDescent="0.25">
      <c r="A469" s="12">
        <v>2434104.9714299999</v>
      </c>
      <c r="B469" s="12" t="s">
        <v>1255</v>
      </c>
      <c r="C469" s="12">
        <v>11.142856999999999</v>
      </c>
      <c r="D469" s="12"/>
    </row>
    <row r="470" spans="1:4" ht="14.25" customHeight="1" x14ac:dyDescent="0.25">
      <c r="A470" s="12">
        <v>2434125.4125000001</v>
      </c>
      <c r="B470" s="12" t="s">
        <v>1256</v>
      </c>
      <c r="C470" s="12">
        <v>10.9125</v>
      </c>
      <c r="D470" s="12"/>
    </row>
    <row r="471" spans="1:4" ht="14.25" customHeight="1" x14ac:dyDescent="0.25">
      <c r="A471" s="12">
        <v>2434136.8181799999</v>
      </c>
      <c r="B471" s="12" t="s">
        <v>1257</v>
      </c>
      <c r="C471" s="12">
        <v>10.772727</v>
      </c>
      <c r="D471" s="12"/>
    </row>
    <row r="472" spans="1:4" ht="14.25" customHeight="1" x14ac:dyDescent="0.25">
      <c r="A472" s="12">
        <v>2434157.7315799999</v>
      </c>
      <c r="B472" s="12" t="s">
        <v>1258</v>
      </c>
      <c r="C472" s="12">
        <v>10.573684</v>
      </c>
      <c r="D472" s="12"/>
    </row>
    <row r="473" spans="1:4" ht="14.25" customHeight="1" x14ac:dyDescent="0.25">
      <c r="A473" s="12">
        <v>2434173.82167</v>
      </c>
      <c r="B473" s="12" t="s">
        <v>1259</v>
      </c>
      <c r="C473" s="12">
        <v>10.9</v>
      </c>
      <c r="D473" s="12"/>
    </row>
    <row r="474" spans="1:4" ht="14.25" customHeight="1" x14ac:dyDescent="0.25">
      <c r="A474" s="12">
        <v>2434186.5225</v>
      </c>
      <c r="B474" s="12" t="s">
        <v>1260</v>
      </c>
      <c r="C474" s="12">
        <v>10.761364</v>
      </c>
      <c r="D474" s="12"/>
    </row>
    <row r="475" spans="1:4" ht="14.25" customHeight="1" x14ac:dyDescent="0.25">
      <c r="A475" s="12">
        <v>2434204.6656800001</v>
      </c>
      <c r="B475" s="12" t="s">
        <v>1261</v>
      </c>
      <c r="C475" s="12">
        <v>10.743243</v>
      </c>
      <c r="D475" s="12"/>
    </row>
    <row r="476" spans="1:4" ht="14.25" customHeight="1" x14ac:dyDescent="0.25">
      <c r="A476" s="12">
        <v>2434217.95579</v>
      </c>
      <c r="B476" s="12" t="s">
        <v>1262</v>
      </c>
      <c r="C476" s="12">
        <v>10.942105</v>
      </c>
      <c r="D476" s="12"/>
    </row>
    <row r="477" spans="1:4" ht="14.25" customHeight="1" x14ac:dyDescent="0.25">
      <c r="A477" s="12">
        <v>2434235.2774100001</v>
      </c>
      <c r="B477" s="12" t="s">
        <v>1263</v>
      </c>
      <c r="C477" s="12">
        <v>10.948148</v>
      </c>
      <c r="D477" s="12"/>
    </row>
    <row r="478" spans="1:4" ht="14.25" customHeight="1" x14ac:dyDescent="0.25">
      <c r="A478" s="12">
        <v>2434247.3259100001</v>
      </c>
      <c r="B478" s="12" t="s">
        <v>1264</v>
      </c>
      <c r="C478" s="12">
        <v>10.804544999999999</v>
      </c>
      <c r="D478" s="12"/>
    </row>
    <row r="479" spans="1:4" ht="14.25" customHeight="1" x14ac:dyDescent="0.25">
      <c r="A479" s="12">
        <v>2434264.7542400002</v>
      </c>
      <c r="B479" s="12" t="s">
        <v>1265</v>
      </c>
      <c r="C479" s="12">
        <v>10.909091</v>
      </c>
      <c r="D479" s="12"/>
    </row>
    <row r="480" spans="1:4" ht="14.25" customHeight="1" x14ac:dyDescent="0.25">
      <c r="A480" s="12">
        <v>2434278.8125900002</v>
      </c>
      <c r="B480" s="12" t="s">
        <v>1266</v>
      </c>
      <c r="C480" s="12">
        <v>10.951852000000001</v>
      </c>
      <c r="D480" s="12"/>
    </row>
    <row r="481" spans="1:4" ht="14.25" customHeight="1" x14ac:dyDescent="0.25">
      <c r="A481" s="12">
        <v>2434295.2702899999</v>
      </c>
      <c r="B481" s="12" t="s">
        <v>1267</v>
      </c>
      <c r="C481" s="12">
        <v>10.885714</v>
      </c>
      <c r="D481" s="12"/>
    </row>
    <row r="482" spans="1:4" ht="14.25" customHeight="1" x14ac:dyDescent="0.25">
      <c r="A482" s="12">
        <v>2434310.4500000002</v>
      </c>
      <c r="B482" s="12" t="s">
        <v>1268</v>
      </c>
      <c r="C482" s="12">
        <v>10.74</v>
      </c>
      <c r="D482" s="12"/>
    </row>
    <row r="483" spans="1:4" ht="14.25" customHeight="1" x14ac:dyDescent="0.25">
      <c r="A483" s="12">
        <v>2434327.5230800002</v>
      </c>
      <c r="B483" s="12" t="s">
        <v>1269</v>
      </c>
      <c r="C483" s="12">
        <v>10.9</v>
      </c>
      <c r="D483" s="12"/>
    </row>
    <row r="484" spans="1:4" ht="14.25" customHeight="1" x14ac:dyDescent="0.25">
      <c r="A484" s="12">
        <v>2434427.0625</v>
      </c>
      <c r="B484" s="12" t="s">
        <v>1270</v>
      </c>
      <c r="C484" s="12">
        <v>10.9625</v>
      </c>
      <c r="D484" s="12"/>
    </row>
    <row r="485" spans="1:4" ht="14.25" customHeight="1" x14ac:dyDescent="0.25">
      <c r="A485" s="12">
        <v>2434443.7200000002</v>
      </c>
      <c r="B485" s="12" t="s">
        <v>1271</v>
      </c>
      <c r="C485" s="12">
        <v>11.02</v>
      </c>
      <c r="D485" s="12"/>
    </row>
    <row r="486" spans="1:4" ht="14.25" customHeight="1" x14ac:dyDescent="0.25">
      <c r="A486" s="12">
        <v>2434459.46667</v>
      </c>
      <c r="B486" s="12" t="s">
        <v>1272</v>
      </c>
      <c r="C486" s="12">
        <v>11.133333</v>
      </c>
      <c r="D486" s="12"/>
    </row>
    <row r="487" spans="1:4" ht="14.25" customHeight="1" x14ac:dyDescent="0.25">
      <c r="A487" s="12">
        <v>2434482.7333300002</v>
      </c>
      <c r="B487" s="12" t="s">
        <v>1273</v>
      </c>
      <c r="C487" s="12">
        <v>11.166667</v>
      </c>
      <c r="D487" s="12"/>
    </row>
    <row r="488" spans="1:4" ht="14.25" customHeight="1" x14ac:dyDescent="0.25">
      <c r="A488" s="12">
        <v>2434493.1216699998</v>
      </c>
      <c r="B488" s="12" t="s">
        <v>1274</v>
      </c>
      <c r="C488" s="12">
        <v>11.05</v>
      </c>
      <c r="D488" s="12"/>
    </row>
    <row r="489" spans="1:4" ht="14.25" customHeight="1" x14ac:dyDescent="0.25">
      <c r="A489" s="12">
        <v>2434512.1388900001</v>
      </c>
      <c r="B489" s="12" t="s">
        <v>1275</v>
      </c>
      <c r="C489" s="12">
        <v>11.322222</v>
      </c>
      <c r="D489" s="12"/>
    </row>
    <row r="490" spans="1:4" ht="14.25" customHeight="1" x14ac:dyDescent="0.25">
      <c r="A490" s="12">
        <v>2434528.4428599998</v>
      </c>
      <c r="B490" s="12" t="s">
        <v>1276</v>
      </c>
      <c r="C490" s="12">
        <v>11.307143</v>
      </c>
      <c r="D490" s="12"/>
    </row>
    <row r="491" spans="1:4" ht="14.25" customHeight="1" x14ac:dyDescent="0.25">
      <c r="A491" s="12">
        <v>2434543.2012499999</v>
      </c>
      <c r="B491" s="12" t="s">
        <v>1277</v>
      </c>
      <c r="C491" s="12">
        <v>11.4625</v>
      </c>
      <c r="D491" s="12"/>
    </row>
    <row r="492" spans="1:4" ht="14.25" customHeight="1" x14ac:dyDescent="0.25">
      <c r="A492" s="12">
        <v>2434561.2200000002</v>
      </c>
      <c r="B492" s="12" t="s">
        <v>1278</v>
      </c>
      <c r="C492" s="12">
        <v>11.295</v>
      </c>
      <c r="D492" s="12"/>
    </row>
    <row r="493" spans="1:4" ht="14.25" customHeight="1" x14ac:dyDescent="0.25">
      <c r="A493" s="12">
        <v>2434572.1053599999</v>
      </c>
      <c r="B493" s="12" t="s">
        <v>1279</v>
      </c>
      <c r="C493" s="12">
        <v>11.203571</v>
      </c>
      <c r="D493" s="12"/>
    </row>
    <row r="494" spans="1:4" ht="14.25" customHeight="1" x14ac:dyDescent="0.25">
      <c r="A494" s="12">
        <v>2434591.0499999998</v>
      </c>
      <c r="B494" s="12" t="s">
        <v>1280</v>
      </c>
      <c r="C494" s="12">
        <v>11.476922999999999</v>
      </c>
      <c r="D494" s="12"/>
    </row>
    <row r="495" spans="1:4" ht="14.25" customHeight="1" x14ac:dyDescent="0.25">
      <c r="A495" s="12">
        <v>2434605.8894699998</v>
      </c>
      <c r="B495" s="12" t="s">
        <v>1281</v>
      </c>
      <c r="C495" s="12">
        <v>11.468420999999999</v>
      </c>
      <c r="D495" s="12"/>
    </row>
    <row r="496" spans="1:4" ht="14.25" customHeight="1" x14ac:dyDescent="0.25">
      <c r="A496" s="12">
        <v>2434622.3727299999</v>
      </c>
      <c r="B496" s="12" t="s">
        <v>1282</v>
      </c>
      <c r="C496" s="12">
        <v>11.486364</v>
      </c>
      <c r="D496" s="12"/>
    </row>
    <row r="497" spans="1:4" ht="14.25" customHeight="1" x14ac:dyDescent="0.25">
      <c r="A497" s="12">
        <v>2434634.28235</v>
      </c>
      <c r="B497" s="12" t="s">
        <v>1283</v>
      </c>
      <c r="C497" s="12">
        <v>11.482353</v>
      </c>
      <c r="D497" s="12"/>
    </row>
    <row r="498" spans="1:4" ht="14.25" customHeight="1" x14ac:dyDescent="0.25">
      <c r="A498" s="12">
        <v>2434650.7106699999</v>
      </c>
      <c r="B498" s="12" t="s">
        <v>1284</v>
      </c>
      <c r="C498" s="12">
        <v>11.32</v>
      </c>
      <c r="D498" s="12"/>
    </row>
    <row r="499" spans="1:4" ht="14.25" customHeight="1" x14ac:dyDescent="0.25">
      <c r="A499" s="12">
        <v>2434665.6214299998</v>
      </c>
      <c r="B499" s="12" t="s">
        <v>1285</v>
      </c>
      <c r="C499" s="12">
        <v>11.378571000000001</v>
      </c>
      <c r="D499" s="12"/>
    </row>
    <row r="500" spans="1:4" ht="14.25" customHeight="1" x14ac:dyDescent="0.25">
      <c r="A500" s="12">
        <v>2434682.6307700002</v>
      </c>
      <c r="B500" s="12" t="s">
        <v>1286</v>
      </c>
      <c r="C500" s="12">
        <v>11.469231000000001</v>
      </c>
      <c r="D500" s="12"/>
    </row>
    <row r="501" spans="1:4" ht="14.25" customHeight="1" x14ac:dyDescent="0.25">
      <c r="A501" s="12">
        <v>2434696.2999999998</v>
      </c>
      <c r="B501" s="12" t="s">
        <v>1287</v>
      </c>
      <c r="C501" s="12">
        <v>11.75</v>
      </c>
      <c r="D501" s="12"/>
    </row>
    <row r="502" spans="1:4" ht="14.25" customHeight="1" x14ac:dyDescent="0.25">
      <c r="A502" s="12">
        <v>2434783.7999999998</v>
      </c>
      <c r="B502" s="12" t="s">
        <v>1288</v>
      </c>
      <c r="C502" s="12">
        <v>11.133333</v>
      </c>
      <c r="D502" s="12"/>
    </row>
    <row r="503" spans="1:4" ht="14.25" customHeight="1" x14ac:dyDescent="0.25">
      <c r="A503" s="12">
        <v>2434807.0750000002</v>
      </c>
      <c r="B503" s="12" t="s">
        <v>1289</v>
      </c>
      <c r="C503" s="12">
        <v>11.15</v>
      </c>
      <c r="D503" s="12"/>
    </row>
    <row r="504" spans="1:4" ht="14.25" customHeight="1" x14ac:dyDescent="0.25">
      <c r="A504" s="12">
        <v>2434820.85</v>
      </c>
      <c r="B504" s="12" t="s">
        <v>1290</v>
      </c>
      <c r="C504" s="12">
        <v>11.275</v>
      </c>
      <c r="D504" s="12"/>
    </row>
    <row r="505" spans="1:4" ht="14.25" customHeight="1" x14ac:dyDescent="0.25">
      <c r="A505" s="12">
        <v>2434836.9</v>
      </c>
      <c r="B505" s="12" t="s">
        <v>1291</v>
      </c>
      <c r="C505" s="12">
        <v>11.48</v>
      </c>
      <c r="D505" s="12"/>
    </row>
    <row r="506" spans="1:4" ht="14.25" customHeight="1" x14ac:dyDescent="0.25">
      <c r="A506" s="12">
        <v>2434851.4</v>
      </c>
      <c r="B506" s="12" t="s">
        <v>1292</v>
      </c>
      <c r="C506" s="12">
        <v>11.38</v>
      </c>
      <c r="D506" s="12"/>
    </row>
    <row r="507" spans="1:4" ht="14.25" customHeight="1" x14ac:dyDescent="0.25">
      <c r="A507" s="12">
        <v>2434870.3285699999</v>
      </c>
      <c r="B507" s="12" t="s">
        <v>1293</v>
      </c>
      <c r="C507" s="12">
        <v>11.5</v>
      </c>
      <c r="D507" s="12"/>
    </row>
    <row r="508" spans="1:4" ht="14.25" customHeight="1" x14ac:dyDescent="0.25">
      <c r="A508" s="12">
        <v>2434884.1285700002</v>
      </c>
      <c r="B508" s="12" t="s">
        <v>1294</v>
      </c>
      <c r="C508" s="12">
        <v>11.485714</v>
      </c>
      <c r="D508" s="12"/>
    </row>
    <row r="509" spans="1:4" ht="14.25" customHeight="1" x14ac:dyDescent="0.25">
      <c r="A509" s="12">
        <v>2434897.8095200001</v>
      </c>
      <c r="B509" s="12" t="s">
        <v>1295</v>
      </c>
      <c r="C509" s="12">
        <v>11.571429</v>
      </c>
      <c r="D509" s="12"/>
    </row>
    <row r="510" spans="1:4" ht="14.25" customHeight="1" x14ac:dyDescent="0.25">
      <c r="A510" s="12">
        <v>2434919.7749999999</v>
      </c>
      <c r="B510" s="12" t="s">
        <v>1296</v>
      </c>
      <c r="C510" s="12">
        <v>11.483333</v>
      </c>
      <c r="D510" s="12"/>
    </row>
    <row r="511" spans="1:4" ht="14.25" customHeight="1" x14ac:dyDescent="0.25">
      <c r="A511" s="12">
        <v>2434931.8526300001</v>
      </c>
      <c r="B511" s="12" t="s">
        <v>1297</v>
      </c>
      <c r="C511" s="12">
        <v>11.3</v>
      </c>
      <c r="D511" s="12"/>
    </row>
    <row r="512" spans="1:4" ht="14.25" customHeight="1" x14ac:dyDescent="0.25">
      <c r="A512" s="12">
        <v>2434949.12812</v>
      </c>
      <c r="B512" s="12" t="s">
        <v>1298</v>
      </c>
      <c r="C512" s="12">
        <v>11.55</v>
      </c>
      <c r="D512" s="12"/>
    </row>
    <row r="513" spans="1:4" ht="14.25" customHeight="1" x14ac:dyDescent="0.25">
      <c r="A513" s="12">
        <v>2434963.3142900001</v>
      </c>
      <c r="B513" s="12" t="s">
        <v>1299</v>
      </c>
      <c r="C513" s="12">
        <v>11.742857000000001</v>
      </c>
      <c r="D513" s="12"/>
    </row>
    <row r="514" spans="1:4" ht="14.25" customHeight="1" x14ac:dyDescent="0.25">
      <c r="A514" s="12">
        <v>2434979.9408800001</v>
      </c>
      <c r="B514" s="12" t="s">
        <v>1300</v>
      </c>
      <c r="C514" s="12">
        <v>11.761765</v>
      </c>
      <c r="D514" s="12"/>
    </row>
    <row r="515" spans="1:4" ht="14.25" customHeight="1" x14ac:dyDescent="0.25">
      <c r="A515" s="12">
        <v>2434992.5375000001</v>
      </c>
      <c r="B515" s="12" t="s">
        <v>1301</v>
      </c>
      <c r="C515" s="12">
        <v>11.6625</v>
      </c>
      <c r="D515" s="12"/>
    </row>
    <row r="516" spans="1:4" ht="14.25" customHeight="1" x14ac:dyDescent="0.25">
      <c r="A516" s="12">
        <v>2435010.1590900002</v>
      </c>
      <c r="B516" s="12" t="s">
        <v>86</v>
      </c>
      <c r="C516" s="12">
        <v>11.518181999999999</v>
      </c>
      <c r="D516" s="12"/>
    </row>
    <row r="517" spans="1:4" ht="14.25" customHeight="1" x14ac:dyDescent="0.25">
      <c r="A517" s="12">
        <v>2435025.8787500001</v>
      </c>
      <c r="B517" s="12" t="s">
        <v>1302</v>
      </c>
      <c r="C517" s="12">
        <v>11.8</v>
      </c>
      <c r="D517" s="12"/>
    </row>
    <row r="518" spans="1:4" ht="14.25" customHeight="1" x14ac:dyDescent="0.25">
      <c r="A518" s="12">
        <v>2435039.3937499998</v>
      </c>
      <c r="B518" s="12" t="s">
        <v>1303</v>
      </c>
      <c r="C518" s="12">
        <v>11.637499999999999</v>
      </c>
      <c r="D518" s="12"/>
    </row>
    <row r="519" spans="1:4" ht="14.25" customHeight="1" x14ac:dyDescent="0.25">
      <c r="A519" s="12">
        <v>2435064.0750000002</v>
      </c>
      <c r="B519" s="12" t="s">
        <v>1304</v>
      </c>
      <c r="C519" s="12">
        <v>11.6</v>
      </c>
      <c r="D519" s="12"/>
    </row>
    <row r="520" spans="1:4" ht="14.25" customHeight="1" x14ac:dyDescent="0.25">
      <c r="A520" s="12">
        <v>2435157.1333300001</v>
      </c>
      <c r="B520" s="12" t="s">
        <v>1305</v>
      </c>
      <c r="C520" s="12">
        <v>11.7</v>
      </c>
      <c r="D520" s="12"/>
    </row>
    <row r="521" spans="1:4" ht="14.25" customHeight="1" x14ac:dyDescent="0.25">
      <c r="A521" s="12">
        <v>2435171.44</v>
      </c>
      <c r="B521" s="12" t="s">
        <v>1306</v>
      </c>
      <c r="C521" s="12">
        <v>11.6</v>
      </c>
      <c r="D521" s="12"/>
    </row>
    <row r="522" spans="1:4" ht="14.25" customHeight="1" x14ac:dyDescent="0.25">
      <c r="A522" s="12">
        <v>2435187.75</v>
      </c>
      <c r="B522" s="12" t="s">
        <v>1307</v>
      </c>
      <c r="C522" s="12">
        <v>11.2</v>
      </c>
      <c r="D522" s="12"/>
    </row>
    <row r="523" spans="1:4" ht="14.25" customHeight="1" x14ac:dyDescent="0.25">
      <c r="A523" s="12">
        <v>2435201.3142900001</v>
      </c>
      <c r="B523" s="12" t="s">
        <v>1308</v>
      </c>
      <c r="C523" s="12">
        <v>11.5</v>
      </c>
      <c r="D523" s="12"/>
    </row>
    <row r="524" spans="1:4" ht="14.25" customHeight="1" x14ac:dyDescent="0.25">
      <c r="A524" s="12">
        <v>2435224.02</v>
      </c>
      <c r="B524" s="12" t="s">
        <v>1309</v>
      </c>
      <c r="C524" s="12">
        <v>11.46</v>
      </c>
      <c r="D524" s="12"/>
    </row>
    <row r="525" spans="1:4" ht="14.25" customHeight="1" x14ac:dyDescent="0.25">
      <c r="A525" s="12">
        <v>2435245.34</v>
      </c>
      <c r="B525" s="12" t="s">
        <v>1310</v>
      </c>
      <c r="C525" s="12">
        <v>11.273332999999999</v>
      </c>
      <c r="D525" s="12"/>
    </row>
    <row r="526" spans="1:4" ht="14.25" customHeight="1" x14ac:dyDescent="0.25">
      <c r="A526" s="12">
        <v>2435262.125</v>
      </c>
      <c r="B526" s="12" t="s">
        <v>1311</v>
      </c>
      <c r="C526" s="12">
        <v>11.525</v>
      </c>
      <c r="D526" s="12"/>
    </row>
    <row r="527" spans="1:4" ht="14.25" customHeight="1" x14ac:dyDescent="0.25">
      <c r="A527" s="12">
        <v>2435279.0833299998</v>
      </c>
      <c r="B527" s="12" t="s">
        <v>1312</v>
      </c>
      <c r="C527" s="12">
        <v>11.080952</v>
      </c>
      <c r="D527" s="12"/>
    </row>
    <row r="528" spans="1:4" ht="14.25" customHeight="1" x14ac:dyDescent="0.25">
      <c r="A528" s="12">
        <v>2435298.3133299998</v>
      </c>
      <c r="B528" s="12" t="s">
        <v>1313</v>
      </c>
      <c r="C528" s="12">
        <v>11.3</v>
      </c>
      <c r="D528" s="12"/>
    </row>
    <row r="529" spans="1:4" ht="14.25" customHeight="1" x14ac:dyDescent="0.25">
      <c r="A529" s="12">
        <v>2435310.41818</v>
      </c>
      <c r="B529" s="12" t="s">
        <v>1314</v>
      </c>
      <c r="C529" s="12">
        <v>11.513636</v>
      </c>
      <c r="D529" s="12"/>
    </row>
    <row r="530" spans="1:4" ht="14.25" customHeight="1" x14ac:dyDescent="0.25">
      <c r="A530" s="12">
        <v>2435327.9433300002</v>
      </c>
      <c r="B530" s="12" t="s">
        <v>1315</v>
      </c>
      <c r="C530" s="12">
        <v>11.246667</v>
      </c>
      <c r="D530" s="12"/>
    </row>
    <row r="531" spans="1:4" ht="14.25" customHeight="1" x14ac:dyDescent="0.25">
      <c r="A531" s="12">
        <v>2435340.3130399999</v>
      </c>
      <c r="B531" s="12" t="s">
        <v>1316</v>
      </c>
      <c r="C531" s="12">
        <v>11.265217</v>
      </c>
      <c r="D531" s="12"/>
    </row>
    <row r="532" spans="1:4" ht="14.25" customHeight="1" x14ac:dyDescent="0.25">
      <c r="A532" s="12">
        <v>2435356.8875000002</v>
      </c>
      <c r="B532" s="12" t="s">
        <v>1317</v>
      </c>
      <c r="C532" s="12">
        <v>11.345833000000001</v>
      </c>
      <c r="D532" s="12"/>
    </row>
    <row r="533" spans="1:4" ht="14.25" customHeight="1" x14ac:dyDescent="0.25">
      <c r="A533" s="12">
        <v>2435370.2329199999</v>
      </c>
      <c r="B533" s="12" t="s">
        <v>1318</v>
      </c>
      <c r="C533" s="12">
        <v>11.375</v>
      </c>
      <c r="D533" s="12"/>
    </row>
    <row r="534" spans="1:4" ht="14.25" customHeight="1" x14ac:dyDescent="0.25">
      <c r="A534" s="12">
        <v>2435389.85</v>
      </c>
      <c r="B534" s="12" t="s">
        <v>1319</v>
      </c>
      <c r="C534" s="12">
        <v>11.44</v>
      </c>
      <c r="D534" s="12"/>
    </row>
    <row r="535" spans="1:4" ht="14.25" customHeight="1" x14ac:dyDescent="0.25">
      <c r="A535" s="12">
        <v>2435404.5</v>
      </c>
      <c r="B535" s="12" t="s">
        <v>1320</v>
      </c>
      <c r="C535" s="12">
        <v>11.4</v>
      </c>
      <c r="D535" s="12"/>
    </row>
    <row r="536" spans="1:4" ht="14.25" customHeight="1" x14ac:dyDescent="0.25">
      <c r="A536" s="12">
        <v>2435422.9</v>
      </c>
      <c r="B536" s="12" t="s">
        <v>1321</v>
      </c>
      <c r="C536" s="12">
        <v>11.666667</v>
      </c>
      <c r="D536" s="12"/>
    </row>
    <row r="537" spans="1:4" ht="14.25" customHeight="1" x14ac:dyDescent="0.25">
      <c r="A537" s="12">
        <v>2435522.7999999998</v>
      </c>
      <c r="B537" s="12" t="s">
        <v>1322</v>
      </c>
      <c r="C537" s="12">
        <v>11.333333</v>
      </c>
      <c r="D537" s="12"/>
    </row>
    <row r="538" spans="1:4" ht="14.25" customHeight="1" x14ac:dyDescent="0.25">
      <c r="A538" s="12">
        <v>2435535.6</v>
      </c>
      <c r="B538" s="12" t="s">
        <v>1323</v>
      </c>
      <c r="C538" s="12">
        <v>11.333333</v>
      </c>
      <c r="D538" s="12"/>
    </row>
    <row r="539" spans="1:4" ht="14.25" customHeight="1" x14ac:dyDescent="0.25">
      <c r="A539" s="12">
        <v>2435552.04</v>
      </c>
      <c r="B539" s="12" t="s">
        <v>1324</v>
      </c>
      <c r="C539" s="12">
        <v>11.24</v>
      </c>
      <c r="D539" s="12"/>
    </row>
    <row r="540" spans="1:4" ht="14.25" customHeight="1" x14ac:dyDescent="0.25">
      <c r="A540" s="12">
        <v>2435573.4500000002</v>
      </c>
      <c r="B540" s="12" t="s">
        <v>1325</v>
      </c>
      <c r="C540" s="12">
        <v>11.725</v>
      </c>
      <c r="D540" s="12"/>
    </row>
    <row r="541" spans="1:4" ht="14.25" customHeight="1" x14ac:dyDescent="0.25">
      <c r="A541" s="12">
        <v>2435590.1</v>
      </c>
      <c r="B541" s="12" t="s">
        <v>1326</v>
      </c>
      <c r="C541" s="12">
        <v>11.2</v>
      </c>
      <c r="D541" s="12"/>
    </row>
    <row r="542" spans="1:4" ht="14.25" customHeight="1" x14ac:dyDescent="0.25">
      <c r="A542" s="12">
        <v>2435608.1857099999</v>
      </c>
      <c r="B542" s="12" t="s">
        <v>1327</v>
      </c>
      <c r="C542" s="12">
        <v>11.342857</v>
      </c>
      <c r="D542" s="12"/>
    </row>
    <row r="543" spans="1:4" ht="14.25" customHeight="1" x14ac:dyDescent="0.25">
      <c r="A543" s="12">
        <v>2435630.5466700001</v>
      </c>
      <c r="B543" s="12" t="s">
        <v>1328</v>
      </c>
      <c r="C543" s="12">
        <v>11.22</v>
      </c>
      <c r="D543" s="12"/>
    </row>
    <row r="544" spans="1:4" ht="14.25" customHeight="1" x14ac:dyDescent="0.25">
      <c r="A544" s="12">
        <v>2435640.4692299999</v>
      </c>
      <c r="B544" s="12" t="s">
        <v>87</v>
      </c>
      <c r="C544" s="12">
        <v>11.423076999999999</v>
      </c>
      <c r="D544" s="12"/>
    </row>
    <row r="545" spans="1:4" ht="14.25" customHeight="1" x14ac:dyDescent="0.25">
      <c r="A545" s="12">
        <v>2435658.98636</v>
      </c>
      <c r="B545" s="12" t="s">
        <v>1329</v>
      </c>
      <c r="C545" s="12">
        <v>11.309091</v>
      </c>
      <c r="D545" s="12"/>
    </row>
    <row r="546" spans="1:4" ht="14.25" customHeight="1" x14ac:dyDescent="0.25">
      <c r="A546" s="12">
        <v>2435674.0857099998</v>
      </c>
      <c r="B546" s="12" t="s">
        <v>88</v>
      </c>
      <c r="C546" s="12">
        <v>11.421429</v>
      </c>
      <c r="D546" s="12"/>
    </row>
    <row r="547" spans="1:4" ht="14.25" customHeight="1" x14ac:dyDescent="0.25">
      <c r="A547" s="12">
        <v>2435689.4500000002</v>
      </c>
      <c r="B547" s="12" t="s">
        <v>89</v>
      </c>
      <c r="C547" s="12">
        <v>11.516667</v>
      </c>
      <c r="D547" s="12"/>
    </row>
    <row r="548" spans="1:4" ht="14.25" customHeight="1" x14ac:dyDescent="0.25">
      <c r="A548" s="12">
        <v>2435704.9538500002</v>
      </c>
      <c r="B548" s="12" t="s">
        <v>1330</v>
      </c>
      <c r="C548" s="12">
        <v>11.561538000000001</v>
      </c>
      <c r="D548" s="12"/>
    </row>
    <row r="549" spans="1:4" ht="14.25" customHeight="1" x14ac:dyDescent="0.25">
      <c r="A549" s="12">
        <v>2435720.52</v>
      </c>
      <c r="B549" s="12" t="s">
        <v>90</v>
      </c>
      <c r="C549" s="12">
        <v>11.465</v>
      </c>
      <c r="D549" s="12"/>
    </row>
    <row r="550" spans="1:4" ht="14.25" customHeight="1" x14ac:dyDescent="0.25">
      <c r="A550" s="12">
        <v>2435740.7799999998</v>
      </c>
      <c r="B550" s="12" t="s">
        <v>1331</v>
      </c>
      <c r="C550" s="12">
        <v>11.62</v>
      </c>
      <c r="D550" s="12"/>
    </row>
    <row r="551" spans="1:4" ht="14.25" customHeight="1" x14ac:dyDescent="0.25">
      <c r="A551" s="12">
        <v>2435752.6894700001</v>
      </c>
      <c r="B551" s="12" t="s">
        <v>1332</v>
      </c>
      <c r="C551" s="12">
        <v>11.7</v>
      </c>
      <c r="D551" s="12"/>
    </row>
    <row r="552" spans="1:4" ht="14.25" customHeight="1" x14ac:dyDescent="0.25">
      <c r="A552" s="12">
        <v>2435772.6</v>
      </c>
      <c r="B552" s="12" t="s">
        <v>1333</v>
      </c>
      <c r="C552" s="12">
        <v>11.564285999999999</v>
      </c>
      <c r="D552" s="12"/>
    </row>
    <row r="553" spans="1:4" ht="14.25" customHeight="1" x14ac:dyDescent="0.25">
      <c r="A553" s="12">
        <v>2435876.75</v>
      </c>
      <c r="B553" s="12" t="s">
        <v>1334</v>
      </c>
      <c r="C553" s="12">
        <v>11.35</v>
      </c>
      <c r="D553" s="12"/>
    </row>
    <row r="554" spans="1:4" ht="14.25" customHeight="1" x14ac:dyDescent="0.25">
      <c r="A554" s="12">
        <v>2435895.0750000002</v>
      </c>
      <c r="B554" s="12" t="s">
        <v>1335</v>
      </c>
      <c r="C554" s="12">
        <v>11.3</v>
      </c>
      <c r="D554" s="12"/>
    </row>
    <row r="555" spans="1:4" ht="14.25" customHeight="1" x14ac:dyDescent="0.25">
      <c r="A555" s="12">
        <v>2435912.2250000001</v>
      </c>
      <c r="B555" s="12" t="s">
        <v>1336</v>
      </c>
      <c r="C555" s="12">
        <v>11.3</v>
      </c>
      <c r="D555" s="12"/>
    </row>
    <row r="556" spans="1:4" ht="14.25" customHeight="1" x14ac:dyDescent="0.25">
      <c r="A556" s="12">
        <v>2435934.85</v>
      </c>
      <c r="B556" s="12" t="s">
        <v>1337</v>
      </c>
      <c r="C556" s="12">
        <v>11.5</v>
      </c>
      <c r="D556" s="12"/>
    </row>
    <row r="557" spans="1:4" ht="14.25" customHeight="1" x14ac:dyDescent="0.25">
      <c r="A557" s="12">
        <v>2435950.875</v>
      </c>
      <c r="B557" s="12" t="s">
        <v>1338</v>
      </c>
      <c r="C557" s="12">
        <v>11.324999999999999</v>
      </c>
      <c r="D557" s="12"/>
    </row>
    <row r="558" spans="1:4" ht="14.25" customHeight="1" x14ac:dyDescent="0.25">
      <c r="A558" s="12">
        <v>2435965.7999999998</v>
      </c>
      <c r="B558" s="12" t="s">
        <v>1339</v>
      </c>
      <c r="C558" s="12">
        <v>11.51</v>
      </c>
      <c r="D558" s="12"/>
    </row>
    <row r="559" spans="1:4" ht="14.25" customHeight="1" x14ac:dyDescent="0.25">
      <c r="A559" s="12">
        <v>2435985.9166700002</v>
      </c>
      <c r="B559" s="12" t="s">
        <v>1340</v>
      </c>
      <c r="C559" s="12">
        <v>11.583333</v>
      </c>
      <c r="D559" s="12"/>
    </row>
    <row r="560" spans="1:4" ht="14.25" customHeight="1" x14ac:dyDescent="0.25">
      <c r="A560" s="12">
        <v>2436001.1166699999</v>
      </c>
      <c r="B560" s="12" t="s">
        <v>1341</v>
      </c>
      <c r="C560" s="12">
        <v>11.483333</v>
      </c>
      <c r="D560" s="12"/>
    </row>
    <row r="561" spans="1:4" ht="14.25" customHeight="1" x14ac:dyDescent="0.25">
      <c r="A561" s="12">
        <v>2436015.088</v>
      </c>
      <c r="B561" s="12" t="s">
        <v>1342</v>
      </c>
      <c r="C561" s="12">
        <v>11.468</v>
      </c>
      <c r="D561" s="12"/>
    </row>
    <row r="562" spans="1:4" ht="14.25" customHeight="1" x14ac:dyDescent="0.25">
      <c r="A562" s="12">
        <v>2436031.8681800002</v>
      </c>
      <c r="B562" s="12" t="s">
        <v>1343</v>
      </c>
      <c r="C562" s="12">
        <v>11.404545000000001</v>
      </c>
      <c r="D562" s="12"/>
    </row>
    <row r="563" spans="1:4" ht="14.25" customHeight="1" x14ac:dyDescent="0.25">
      <c r="A563" s="12">
        <v>2436047.8565199999</v>
      </c>
      <c r="B563" s="12" t="s">
        <v>91</v>
      </c>
      <c r="C563" s="12">
        <v>11.634783000000001</v>
      </c>
      <c r="D563" s="12"/>
    </row>
    <row r="564" spans="1:4" ht="14.25" customHeight="1" x14ac:dyDescent="0.25">
      <c r="A564" s="12">
        <v>2436065.1</v>
      </c>
      <c r="B564" s="12" t="s">
        <v>1344</v>
      </c>
      <c r="C564" s="12">
        <v>11.735294</v>
      </c>
      <c r="D564" s="12"/>
    </row>
    <row r="565" spans="1:4" ht="14.25" customHeight="1" x14ac:dyDescent="0.25">
      <c r="A565" s="12">
        <v>2436076.63846</v>
      </c>
      <c r="B565" s="12" t="s">
        <v>1345</v>
      </c>
      <c r="C565" s="12">
        <v>11.542308</v>
      </c>
      <c r="D565" s="12"/>
    </row>
    <row r="566" spans="1:4" ht="14.25" customHeight="1" x14ac:dyDescent="0.25">
      <c r="A566" s="12">
        <v>2436097.2733300002</v>
      </c>
      <c r="B566" s="12" t="s">
        <v>1346</v>
      </c>
      <c r="C566" s="12">
        <v>11.513332999999999</v>
      </c>
      <c r="D566" s="12"/>
    </row>
    <row r="567" spans="1:4" ht="14.25" customHeight="1" x14ac:dyDescent="0.25">
      <c r="A567" s="12">
        <v>2436109.625</v>
      </c>
      <c r="B567" s="12" t="s">
        <v>1347</v>
      </c>
      <c r="C567" s="12">
        <v>11.475</v>
      </c>
      <c r="D567" s="12"/>
    </row>
    <row r="568" spans="1:4" ht="14.25" customHeight="1" x14ac:dyDescent="0.25">
      <c r="A568" s="12">
        <v>2436126.7937500002</v>
      </c>
      <c r="B568" s="12" t="s">
        <v>1348</v>
      </c>
      <c r="C568" s="12">
        <v>11.4</v>
      </c>
      <c r="D568" s="12"/>
    </row>
    <row r="569" spans="1:4" ht="14.25" customHeight="1" x14ac:dyDescent="0.25">
      <c r="A569" s="12">
        <v>2436147.9500000002</v>
      </c>
      <c r="B569" s="12" t="s">
        <v>1349</v>
      </c>
      <c r="C569" s="12">
        <v>11.4</v>
      </c>
      <c r="D569" s="12"/>
    </row>
    <row r="570" spans="1:4" ht="14.25" customHeight="1" x14ac:dyDescent="0.25">
      <c r="A570" s="12">
        <v>2436244.6</v>
      </c>
      <c r="B570" s="12" t="s">
        <v>1350</v>
      </c>
      <c r="C570" s="12">
        <v>11.7</v>
      </c>
      <c r="D570" s="12"/>
    </row>
    <row r="571" spans="1:4" ht="14.25" customHeight="1" x14ac:dyDescent="0.25">
      <c r="A571" s="12">
        <v>2436254.2666699998</v>
      </c>
      <c r="B571" s="12" t="s">
        <v>1351</v>
      </c>
      <c r="C571" s="12">
        <v>11.7</v>
      </c>
      <c r="D571" s="12"/>
    </row>
    <row r="572" spans="1:4" ht="14.25" customHeight="1" x14ac:dyDescent="0.25">
      <c r="A572" s="12">
        <v>2436269.5</v>
      </c>
      <c r="B572" s="12" t="s">
        <v>1352</v>
      </c>
      <c r="C572" s="12">
        <v>11.324999999999999</v>
      </c>
      <c r="D572" s="12"/>
    </row>
    <row r="573" spans="1:4" ht="14.25" customHeight="1" x14ac:dyDescent="0.25">
      <c r="A573" s="12">
        <v>2436289.3833300001</v>
      </c>
      <c r="B573" s="12" t="s">
        <v>1353</v>
      </c>
      <c r="C573" s="12">
        <v>11.6</v>
      </c>
      <c r="D573" s="12"/>
    </row>
    <row r="574" spans="1:4" ht="14.25" customHeight="1" x14ac:dyDescent="0.25">
      <c r="A574" s="12">
        <v>2436306.0249999999</v>
      </c>
      <c r="B574" s="12" t="s">
        <v>1354</v>
      </c>
      <c r="C574" s="12">
        <v>11.425000000000001</v>
      </c>
      <c r="D574" s="12"/>
    </row>
    <row r="575" spans="1:4" ht="14.25" customHeight="1" x14ac:dyDescent="0.25">
      <c r="A575" s="12">
        <v>2436326</v>
      </c>
      <c r="B575" s="12" t="s">
        <v>1355</v>
      </c>
      <c r="C575" s="12">
        <v>11.35</v>
      </c>
      <c r="D575" s="12"/>
    </row>
    <row r="576" spans="1:4" ht="14.25" customHeight="1" x14ac:dyDescent="0.25">
      <c r="A576" s="12">
        <v>2436344.7666699998</v>
      </c>
      <c r="B576" s="12" t="s">
        <v>1356</v>
      </c>
      <c r="C576" s="12">
        <v>11.822222</v>
      </c>
      <c r="D576" s="12"/>
    </row>
    <row r="577" spans="1:4" ht="14.25" customHeight="1" x14ac:dyDescent="0.25">
      <c r="A577" s="12">
        <v>2436359.4916699999</v>
      </c>
      <c r="B577" s="12" t="s">
        <v>1357</v>
      </c>
      <c r="C577" s="12">
        <v>11.491667</v>
      </c>
      <c r="D577" s="12"/>
    </row>
    <row r="578" spans="1:4" ht="14.25" customHeight="1" x14ac:dyDescent="0.25">
      <c r="A578" s="12">
        <v>2436374.2450000001</v>
      </c>
      <c r="B578" s="12" t="s">
        <v>1358</v>
      </c>
      <c r="C578" s="12">
        <v>11.46</v>
      </c>
      <c r="D578" s="12"/>
    </row>
    <row r="579" spans="1:4" ht="14.25" customHeight="1" x14ac:dyDescent="0.25">
      <c r="A579" s="12">
        <v>2436390.1290099998</v>
      </c>
      <c r="B579" s="12" t="s">
        <v>1359</v>
      </c>
      <c r="C579" s="12">
        <v>11.8</v>
      </c>
      <c r="D579" s="12"/>
    </row>
    <row r="580" spans="1:4" ht="14.25" customHeight="1" x14ac:dyDescent="0.25">
      <c r="A580" s="12">
        <v>2436403.9056000002</v>
      </c>
      <c r="B580" s="12" t="s">
        <v>783</v>
      </c>
      <c r="C580" s="12">
        <v>6.622414</v>
      </c>
      <c r="D580" s="12"/>
    </row>
    <row r="581" spans="1:4" ht="14.25" customHeight="1" x14ac:dyDescent="0.25">
      <c r="A581" s="12">
        <v>2436419.1029699999</v>
      </c>
      <c r="B581" s="12" t="s">
        <v>1360</v>
      </c>
      <c r="C581" s="12">
        <v>8.2483719999999998</v>
      </c>
      <c r="D581" s="12"/>
    </row>
    <row r="582" spans="1:4" ht="14.25" customHeight="1" x14ac:dyDescent="0.25">
      <c r="A582" s="12">
        <v>2436431.4089199998</v>
      </c>
      <c r="B582" s="12" t="s">
        <v>1361</v>
      </c>
      <c r="C582" s="12">
        <v>9.0984280000000002</v>
      </c>
      <c r="D582" s="12"/>
    </row>
    <row r="583" spans="1:4" ht="14.25" customHeight="1" x14ac:dyDescent="0.25">
      <c r="A583" s="12">
        <v>2436450.00508</v>
      </c>
      <c r="B583" s="12" t="s">
        <v>1362</v>
      </c>
      <c r="C583" s="12">
        <v>9.8407769999999992</v>
      </c>
      <c r="D583" s="12"/>
    </row>
    <row r="584" spans="1:4" ht="14.25" customHeight="1" x14ac:dyDescent="0.25">
      <c r="A584" s="12">
        <v>2436462.1971999998</v>
      </c>
      <c r="B584" s="12" t="s">
        <v>1363</v>
      </c>
      <c r="C584" s="12">
        <v>10.158333000000001</v>
      </c>
      <c r="D584" s="12"/>
    </row>
    <row r="585" spans="1:4" ht="14.25" customHeight="1" x14ac:dyDescent="0.25">
      <c r="A585" s="12">
        <v>2436478.6569599998</v>
      </c>
      <c r="B585" s="12" t="s">
        <v>1364</v>
      </c>
      <c r="C585" s="12">
        <v>10.484745999999999</v>
      </c>
      <c r="D585" s="12"/>
    </row>
    <row r="586" spans="1:4" ht="14.25" customHeight="1" x14ac:dyDescent="0.25">
      <c r="A586" s="12">
        <v>2436493.3488500002</v>
      </c>
      <c r="B586" s="12" t="s">
        <v>1365</v>
      </c>
      <c r="C586" s="12">
        <v>10.904878</v>
      </c>
      <c r="D586" s="12"/>
    </row>
    <row r="587" spans="1:4" ht="14.25" customHeight="1" x14ac:dyDescent="0.25">
      <c r="A587" s="12">
        <v>2436508.3692600001</v>
      </c>
      <c r="B587" s="12" t="s">
        <v>1366</v>
      </c>
      <c r="C587" s="12">
        <v>11.421053000000001</v>
      </c>
      <c r="D587" s="12"/>
    </row>
    <row r="588" spans="1:4" ht="14.25" customHeight="1" x14ac:dyDescent="0.25">
      <c r="A588" s="12">
        <v>2436607.2000000002</v>
      </c>
      <c r="B588" s="12" t="s">
        <v>1367</v>
      </c>
      <c r="C588" s="12">
        <v>12.3</v>
      </c>
      <c r="D588" s="12"/>
    </row>
    <row r="589" spans="1:4" ht="14.25" customHeight="1" x14ac:dyDescent="0.25">
      <c r="A589" s="12">
        <v>2436620.92</v>
      </c>
      <c r="B589" s="12" t="s">
        <v>1368</v>
      </c>
      <c r="C589" s="12">
        <v>12.18</v>
      </c>
      <c r="D589" s="12"/>
    </row>
    <row r="590" spans="1:4" ht="14.25" customHeight="1" x14ac:dyDescent="0.25">
      <c r="A590" s="12">
        <v>2436641.84</v>
      </c>
      <c r="B590" s="12" t="s">
        <v>1369</v>
      </c>
      <c r="C590" s="12">
        <v>12.06</v>
      </c>
      <c r="D590" s="12"/>
    </row>
    <row r="591" spans="1:4" ht="14.25" customHeight="1" x14ac:dyDescent="0.25">
      <c r="A591" s="12">
        <v>2436658.2999999998</v>
      </c>
      <c r="B591" s="12" t="s">
        <v>1370</v>
      </c>
      <c r="C591" s="12">
        <v>12.12</v>
      </c>
      <c r="D591" s="12"/>
    </row>
    <row r="592" spans="1:4" ht="14.25" customHeight="1" x14ac:dyDescent="0.25">
      <c r="A592" s="12">
        <v>2436675.3250000002</v>
      </c>
      <c r="B592" s="12" t="s">
        <v>1371</v>
      </c>
      <c r="C592" s="12">
        <v>11.475</v>
      </c>
      <c r="D592" s="12"/>
    </row>
    <row r="593" spans="1:4" ht="14.25" customHeight="1" x14ac:dyDescent="0.25">
      <c r="A593" s="12">
        <v>2436694.2666699998</v>
      </c>
      <c r="B593" s="12" t="s">
        <v>1372</v>
      </c>
      <c r="C593" s="12">
        <v>11.133333</v>
      </c>
      <c r="D593" s="12"/>
    </row>
    <row r="594" spans="1:4" ht="14.25" customHeight="1" x14ac:dyDescent="0.25">
      <c r="A594" s="12">
        <v>2436710.5928600002</v>
      </c>
      <c r="B594" s="12" t="s">
        <v>1373</v>
      </c>
      <c r="C594" s="12">
        <v>11.6</v>
      </c>
      <c r="D594" s="12"/>
    </row>
    <row r="595" spans="1:4" ht="14.25" customHeight="1" x14ac:dyDescent="0.25">
      <c r="A595" s="12">
        <v>2436725.2949999999</v>
      </c>
      <c r="B595" s="12" t="s">
        <v>1374</v>
      </c>
      <c r="C595" s="12">
        <v>11.295833</v>
      </c>
      <c r="D595" s="12"/>
    </row>
    <row r="596" spans="1:4" ht="14.25" customHeight="1" x14ac:dyDescent="0.25">
      <c r="A596" s="12">
        <v>2436743.8062499999</v>
      </c>
      <c r="B596" s="12" t="s">
        <v>1375</v>
      </c>
      <c r="C596" s="12">
        <v>11.40625</v>
      </c>
      <c r="D596" s="12"/>
    </row>
    <row r="597" spans="1:4" ht="14.25" customHeight="1" x14ac:dyDescent="0.25">
      <c r="A597" s="12">
        <v>2436756.3163100001</v>
      </c>
      <c r="B597" s="12" t="s">
        <v>1376</v>
      </c>
      <c r="C597" s="12">
        <v>11.320833</v>
      </c>
      <c r="D597" s="12"/>
    </row>
    <row r="598" spans="1:4" ht="14.25" customHeight="1" x14ac:dyDescent="0.25">
      <c r="A598" s="12">
        <v>2436775.08708</v>
      </c>
      <c r="B598" s="12" t="s">
        <v>1377</v>
      </c>
      <c r="C598" s="12">
        <v>11.392308</v>
      </c>
      <c r="D598" s="12"/>
    </row>
    <row r="599" spans="1:4" ht="14.25" customHeight="1" x14ac:dyDescent="0.25">
      <c r="A599" s="12">
        <v>2436786.5848300001</v>
      </c>
      <c r="B599" s="12" t="s">
        <v>1378</v>
      </c>
      <c r="C599" s="12">
        <v>11.424137999999999</v>
      </c>
      <c r="D599" s="12"/>
    </row>
    <row r="600" spans="1:4" ht="14.25" customHeight="1" x14ac:dyDescent="0.25">
      <c r="A600" s="12">
        <v>2436805.8462299998</v>
      </c>
      <c r="B600" s="12" t="s">
        <v>1379</v>
      </c>
      <c r="C600" s="12">
        <v>10.853332999999999</v>
      </c>
      <c r="D600" s="12"/>
    </row>
    <row r="601" spans="1:4" ht="14.25" customHeight="1" x14ac:dyDescent="0.25">
      <c r="A601" s="12">
        <v>2436818.42056</v>
      </c>
      <c r="B601" s="12" t="s">
        <v>1380</v>
      </c>
      <c r="C601" s="12">
        <v>10.855814000000001</v>
      </c>
      <c r="D601" s="12"/>
    </row>
    <row r="602" spans="1:4" ht="14.25" customHeight="1" x14ac:dyDescent="0.25">
      <c r="A602" s="12">
        <v>2436834.5456699999</v>
      </c>
      <c r="B602" s="12" t="s">
        <v>1381</v>
      </c>
      <c r="C602" s="12">
        <v>11.211111000000001</v>
      </c>
      <c r="D602" s="12"/>
    </row>
    <row r="603" spans="1:4" ht="14.25" customHeight="1" x14ac:dyDescent="0.25">
      <c r="A603" s="12">
        <v>2436848.4959999998</v>
      </c>
      <c r="B603" s="12" t="s">
        <v>1382</v>
      </c>
      <c r="C603" s="12">
        <v>10.966666999999999</v>
      </c>
      <c r="D603" s="12"/>
    </row>
    <row r="604" spans="1:4" ht="14.25" customHeight="1" x14ac:dyDescent="0.25">
      <c r="A604" s="12">
        <v>2436866.0517299999</v>
      </c>
      <c r="B604" s="12" t="s">
        <v>1383</v>
      </c>
      <c r="C604" s="12">
        <v>11.3</v>
      </c>
      <c r="D604" s="12"/>
    </row>
    <row r="605" spans="1:4" ht="14.25" customHeight="1" x14ac:dyDescent="0.25">
      <c r="A605" s="12">
        <v>2436880.1118000001</v>
      </c>
      <c r="B605" s="12" t="s">
        <v>1384</v>
      </c>
      <c r="C605" s="12">
        <v>11.166667</v>
      </c>
      <c r="D605" s="12"/>
    </row>
    <row r="606" spans="1:4" ht="14.25" customHeight="1" x14ac:dyDescent="0.25">
      <c r="A606" s="12">
        <v>2436971.6</v>
      </c>
      <c r="B606" s="12" t="s">
        <v>1385</v>
      </c>
      <c r="C606" s="12">
        <v>10.65</v>
      </c>
      <c r="D606" s="12"/>
    </row>
    <row r="607" spans="1:4" ht="14.25" customHeight="1" x14ac:dyDescent="0.25">
      <c r="A607" s="12">
        <v>2436986.6</v>
      </c>
      <c r="B607" s="12" t="s">
        <v>1386</v>
      </c>
      <c r="C607" s="12">
        <v>10.574999999999999</v>
      </c>
      <c r="D607" s="12"/>
    </row>
    <row r="608" spans="1:4" ht="14.25" customHeight="1" x14ac:dyDescent="0.25">
      <c r="A608" s="12">
        <v>2436998.98667</v>
      </c>
      <c r="B608" s="12" t="s">
        <v>1387</v>
      </c>
      <c r="C608" s="12">
        <v>10.566667000000001</v>
      </c>
      <c r="D608" s="12"/>
    </row>
    <row r="609" spans="1:4" ht="14.25" customHeight="1" x14ac:dyDescent="0.25">
      <c r="A609" s="12">
        <v>2437017.2384899999</v>
      </c>
      <c r="B609" s="12" t="s">
        <v>1388</v>
      </c>
      <c r="C609" s="12">
        <v>10.5</v>
      </c>
      <c r="D609" s="12"/>
    </row>
    <row r="610" spans="1:4" ht="14.25" customHeight="1" x14ac:dyDescent="0.25">
      <c r="A610" s="12">
        <v>2437031.3828599998</v>
      </c>
      <c r="B610" s="12" t="s">
        <v>1389</v>
      </c>
      <c r="C610" s="12">
        <v>10.471429000000001</v>
      </c>
      <c r="D610" s="12"/>
    </row>
    <row r="611" spans="1:4" ht="14.25" customHeight="1" x14ac:dyDescent="0.25">
      <c r="A611" s="12">
        <v>2437051.9845500002</v>
      </c>
      <c r="B611" s="12" t="s">
        <v>1390</v>
      </c>
      <c r="C611" s="12">
        <v>10.431053</v>
      </c>
      <c r="D611" s="12"/>
    </row>
    <row r="612" spans="1:4" ht="14.25" customHeight="1" x14ac:dyDescent="0.25">
      <c r="A612" s="12">
        <v>2437071.6166699999</v>
      </c>
      <c r="B612" s="12" t="s">
        <v>1391</v>
      </c>
      <c r="C612" s="12">
        <v>10.583333</v>
      </c>
      <c r="D612" s="12"/>
    </row>
    <row r="613" spans="1:4" ht="14.25" customHeight="1" x14ac:dyDescent="0.25">
      <c r="A613" s="12">
        <v>2437086.2856399999</v>
      </c>
      <c r="B613" s="12" t="s">
        <v>1392</v>
      </c>
      <c r="C613" s="12">
        <v>10.459167000000001</v>
      </c>
      <c r="D613" s="12"/>
    </row>
    <row r="614" spans="1:4" ht="14.25" customHeight="1" x14ac:dyDescent="0.25">
      <c r="A614" s="12">
        <v>2437103.3484</v>
      </c>
      <c r="B614" s="12" t="s">
        <v>1393</v>
      </c>
      <c r="C614" s="12">
        <v>10.442500000000001</v>
      </c>
      <c r="D614" s="12"/>
    </row>
    <row r="615" spans="1:4" ht="14.25" customHeight="1" x14ac:dyDescent="0.25">
      <c r="A615" s="12">
        <v>2437115.6878499999</v>
      </c>
      <c r="B615" s="12" t="s">
        <v>1394</v>
      </c>
      <c r="C615" s="12">
        <v>10.420857</v>
      </c>
      <c r="D615" s="12"/>
    </row>
    <row r="616" spans="1:4" ht="14.25" customHeight="1" x14ac:dyDescent="0.25">
      <c r="A616" s="12">
        <v>2437133.1870300001</v>
      </c>
      <c r="B616" s="12" t="s">
        <v>1395</v>
      </c>
      <c r="C616" s="12">
        <v>10.384418999999999</v>
      </c>
      <c r="D616" s="12"/>
    </row>
    <row r="617" spans="1:4" ht="14.25" customHeight="1" x14ac:dyDescent="0.25">
      <c r="A617" s="12">
        <v>2437145.1194000002</v>
      </c>
      <c r="B617" s="12" t="s">
        <v>1396</v>
      </c>
      <c r="C617" s="12">
        <v>10.418528999999999</v>
      </c>
      <c r="D617" s="12"/>
    </row>
    <row r="618" spans="1:4" ht="14.25" customHeight="1" x14ac:dyDescent="0.25">
      <c r="A618" s="12">
        <v>2437161.91824</v>
      </c>
      <c r="B618" s="12" t="s">
        <v>1397</v>
      </c>
      <c r="C618" s="12">
        <v>10.414332999999999</v>
      </c>
      <c r="D618" s="12"/>
    </row>
    <row r="619" spans="1:4" ht="14.25" customHeight="1" x14ac:dyDescent="0.25">
      <c r="A619" s="12">
        <v>2437175.4214900001</v>
      </c>
      <c r="B619" s="12" t="s">
        <v>1398</v>
      </c>
      <c r="C619" s="12">
        <v>10.415172</v>
      </c>
      <c r="D619" s="12"/>
    </row>
    <row r="620" spans="1:4" ht="14.25" customHeight="1" x14ac:dyDescent="0.25">
      <c r="A620" s="12">
        <v>2437192.11509</v>
      </c>
      <c r="B620" s="12" t="s">
        <v>1399</v>
      </c>
      <c r="C620" s="12">
        <v>10.46</v>
      </c>
      <c r="D620" s="12"/>
    </row>
    <row r="621" spans="1:4" ht="14.25" customHeight="1" x14ac:dyDescent="0.25">
      <c r="A621" s="12">
        <v>2437207.6643500002</v>
      </c>
      <c r="B621" s="12" t="s">
        <v>1400</v>
      </c>
      <c r="C621" s="12">
        <v>10.543478</v>
      </c>
      <c r="D621" s="12"/>
    </row>
    <row r="622" spans="1:4" ht="14.25" customHeight="1" x14ac:dyDescent="0.25">
      <c r="A622" s="12">
        <v>2437222.7344399998</v>
      </c>
      <c r="B622" s="12" t="s">
        <v>1401</v>
      </c>
      <c r="C622" s="12">
        <v>10.370369999999999</v>
      </c>
      <c r="D622" s="12"/>
    </row>
    <row r="623" spans="1:4" ht="14.25" customHeight="1" x14ac:dyDescent="0.25">
      <c r="A623" s="12">
        <v>2437237.4243600001</v>
      </c>
      <c r="B623" s="12" t="s">
        <v>1402</v>
      </c>
      <c r="C623" s="12">
        <v>10.272727</v>
      </c>
      <c r="D623" s="12"/>
    </row>
    <row r="624" spans="1:4" ht="14.25" customHeight="1" x14ac:dyDescent="0.25">
      <c r="A624" s="12">
        <v>2437253.1487099999</v>
      </c>
      <c r="B624" s="12" t="s">
        <v>1403</v>
      </c>
      <c r="C624" s="12">
        <v>10.371428999999999</v>
      </c>
      <c r="D624" s="12"/>
    </row>
    <row r="625" spans="1:4" ht="14.25" customHeight="1" x14ac:dyDescent="0.25">
      <c r="A625" s="12">
        <v>2437339.1</v>
      </c>
      <c r="B625" s="12" t="s">
        <v>1404</v>
      </c>
      <c r="C625" s="12">
        <v>11.75</v>
      </c>
      <c r="D625" s="12"/>
    </row>
    <row r="626" spans="1:4" ht="14.25" customHeight="1" x14ac:dyDescent="0.25">
      <c r="A626" s="12">
        <v>2437352.7999999998</v>
      </c>
      <c r="B626" s="12" t="s">
        <v>1405</v>
      </c>
      <c r="C626" s="12">
        <v>11.166667</v>
      </c>
      <c r="D626" s="12"/>
    </row>
    <row r="627" spans="1:4" ht="14.25" customHeight="1" x14ac:dyDescent="0.25">
      <c r="A627" s="12">
        <v>2437373.7000000002</v>
      </c>
      <c r="B627" s="12" t="s">
        <v>1406</v>
      </c>
      <c r="C627" s="12">
        <v>11.2</v>
      </c>
      <c r="D627" s="12"/>
    </row>
    <row r="628" spans="1:4" ht="14.25" customHeight="1" x14ac:dyDescent="0.25">
      <c r="A628" s="12">
        <v>2437386.42</v>
      </c>
      <c r="B628" s="12" t="s">
        <v>1407</v>
      </c>
      <c r="C628" s="12">
        <v>11.32</v>
      </c>
      <c r="D628" s="12"/>
    </row>
    <row r="629" spans="1:4" ht="14.25" customHeight="1" x14ac:dyDescent="0.25">
      <c r="A629" s="12">
        <v>2437408.5</v>
      </c>
      <c r="B629" s="12" t="s">
        <v>1408</v>
      </c>
      <c r="C629" s="12">
        <v>10.990909</v>
      </c>
      <c r="D629" s="12"/>
    </row>
    <row r="630" spans="1:4" ht="14.25" customHeight="1" x14ac:dyDescent="0.25">
      <c r="A630" s="12">
        <v>2437434.1966400002</v>
      </c>
      <c r="B630" s="12" t="s">
        <v>1409</v>
      </c>
      <c r="C630" s="12">
        <v>10.875714</v>
      </c>
      <c r="D630" s="12"/>
    </row>
    <row r="631" spans="1:4" ht="14.25" customHeight="1" x14ac:dyDescent="0.25">
      <c r="A631" s="12">
        <v>2437452.8480000002</v>
      </c>
      <c r="B631" s="12" t="s">
        <v>1410</v>
      </c>
      <c r="C631" s="12">
        <v>10.68</v>
      </c>
      <c r="D631" s="12"/>
    </row>
    <row r="632" spans="1:4" ht="14.25" customHeight="1" x14ac:dyDescent="0.25">
      <c r="A632" s="12">
        <v>2437466.4692500001</v>
      </c>
      <c r="B632" s="12" t="s">
        <v>1411</v>
      </c>
      <c r="C632" s="12">
        <v>10.8828</v>
      </c>
      <c r="D632" s="12"/>
    </row>
    <row r="633" spans="1:4" ht="14.25" customHeight="1" x14ac:dyDescent="0.25">
      <c r="A633" s="12">
        <v>2437481.6792600001</v>
      </c>
      <c r="B633" s="12" t="s">
        <v>1412</v>
      </c>
      <c r="C633" s="12">
        <v>10.896296</v>
      </c>
      <c r="D633" s="12"/>
    </row>
    <row r="634" spans="1:4" ht="14.25" customHeight="1" x14ac:dyDescent="0.25">
      <c r="A634" s="12">
        <v>2437494.21</v>
      </c>
      <c r="B634" s="12" t="s">
        <v>1413</v>
      </c>
      <c r="C634" s="12">
        <v>10.86087</v>
      </c>
      <c r="D634" s="12"/>
    </row>
    <row r="635" spans="1:4" ht="14.25" customHeight="1" x14ac:dyDescent="0.25">
      <c r="A635" s="12">
        <v>2437514.4051899998</v>
      </c>
      <c r="B635" s="12" t="s">
        <v>1414</v>
      </c>
      <c r="C635" s="12">
        <v>10.98</v>
      </c>
      <c r="D635" s="12"/>
    </row>
    <row r="636" spans="1:4" ht="14.25" customHeight="1" x14ac:dyDescent="0.25">
      <c r="A636" s="12">
        <v>2437527.1842100001</v>
      </c>
      <c r="B636" s="12" t="s">
        <v>1415</v>
      </c>
      <c r="C636" s="12">
        <v>11.189444</v>
      </c>
      <c r="D636" s="12"/>
    </row>
    <row r="637" spans="1:4" ht="14.25" customHeight="1" x14ac:dyDescent="0.25">
      <c r="A637" s="12">
        <v>2437545.5841999999</v>
      </c>
      <c r="B637" s="12" t="s">
        <v>1416</v>
      </c>
      <c r="C637" s="12">
        <v>11.257419000000001</v>
      </c>
      <c r="D637" s="12"/>
    </row>
    <row r="638" spans="1:4" ht="14.25" customHeight="1" x14ac:dyDescent="0.25">
      <c r="A638" s="12">
        <v>2437558.9046999998</v>
      </c>
      <c r="B638" s="12" t="s">
        <v>1417</v>
      </c>
      <c r="C638" s="12">
        <v>11.422222</v>
      </c>
      <c r="D638" s="12"/>
    </row>
    <row r="639" spans="1:4" ht="14.25" customHeight="1" x14ac:dyDescent="0.25">
      <c r="A639" s="12">
        <v>2437575.0513900002</v>
      </c>
      <c r="B639" s="12" t="s">
        <v>1418</v>
      </c>
      <c r="C639" s="12">
        <v>11.418182</v>
      </c>
      <c r="D639" s="12"/>
    </row>
    <row r="640" spans="1:4" ht="14.25" customHeight="1" x14ac:dyDescent="0.25">
      <c r="A640" s="12">
        <v>2437590.1405600002</v>
      </c>
      <c r="B640" s="12" t="s">
        <v>1419</v>
      </c>
      <c r="C640" s="12">
        <v>11.418749999999999</v>
      </c>
      <c r="D640" s="12"/>
    </row>
    <row r="641" spans="1:4" ht="14.25" customHeight="1" x14ac:dyDescent="0.25">
      <c r="A641" s="12">
        <v>2437605.4312499999</v>
      </c>
      <c r="B641" s="12" t="s">
        <v>1420</v>
      </c>
      <c r="C641" s="12">
        <v>11.5625</v>
      </c>
      <c r="D641" s="12"/>
    </row>
    <row r="642" spans="1:4" ht="14.25" customHeight="1" x14ac:dyDescent="0.25">
      <c r="A642" s="12">
        <v>2437711.96667</v>
      </c>
      <c r="B642" s="12" t="s">
        <v>1421</v>
      </c>
      <c r="C642" s="12">
        <v>11.566667000000001</v>
      </c>
      <c r="D642" s="12"/>
    </row>
    <row r="643" spans="1:4" ht="14.25" customHeight="1" x14ac:dyDescent="0.25">
      <c r="A643" s="12">
        <v>2437728.9857100002</v>
      </c>
      <c r="B643" s="12" t="s">
        <v>1422</v>
      </c>
      <c r="C643" s="12">
        <v>11.857143000000001</v>
      </c>
      <c r="D643" s="12"/>
    </row>
    <row r="644" spans="1:4" ht="14.25" customHeight="1" x14ac:dyDescent="0.25">
      <c r="A644" s="12">
        <v>2437744.7200000002</v>
      </c>
      <c r="B644" s="12" t="s">
        <v>1423</v>
      </c>
      <c r="C644" s="12">
        <v>11.98</v>
      </c>
      <c r="D644" s="12"/>
    </row>
    <row r="645" spans="1:4" ht="14.25" customHeight="1" x14ac:dyDescent="0.25">
      <c r="A645" s="12">
        <v>2437765.2666699998</v>
      </c>
      <c r="B645" s="12" t="s">
        <v>1424</v>
      </c>
      <c r="C645" s="12">
        <v>11.95</v>
      </c>
      <c r="D645" s="12"/>
    </row>
    <row r="646" spans="1:4" ht="14.25" customHeight="1" x14ac:dyDescent="0.25">
      <c r="A646" s="12">
        <v>2437791.44545</v>
      </c>
      <c r="B646" s="12" t="s">
        <v>1425</v>
      </c>
      <c r="C646" s="12">
        <v>12.072727</v>
      </c>
      <c r="D646" s="12"/>
    </row>
    <row r="647" spans="1:4" ht="14.25" customHeight="1" x14ac:dyDescent="0.25">
      <c r="A647" s="12">
        <v>2437808.5833299998</v>
      </c>
      <c r="B647" s="12" t="s">
        <v>1426</v>
      </c>
      <c r="C647" s="12">
        <v>12.05</v>
      </c>
      <c r="D647" s="12"/>
    </row>
    <row r="648" spans="1:4" ht="14.25" customHeight="1" x14ac:dyDescent="0.25">
      <c r="A648" s="12">
        <v>2437820.6547400001</v>
      </c>
      <c r="B648" s="12" t="s">
        <v>1427</v>
      </c>
      <c r="C648" s="12">
        <v>12.010968</v>
      </c>
      <c r="D648" s="12"/>
    </row>
    <row r="649" spans="1:4" ht="14.25" customHeight="1" x14ac:dyDescent="0.25">
      <c r="A649" s="12">
        <v>2437839.84137</v>
      </c>
      <c r="B649" s="12" t="s">
        <v>1428</v>
      </c>
      <c r="C649" s="12">
        <v>11.975237999999999</v>
      </c>
      <c r="D649" s="12"/>
    </row>
    <row r="650" spans="1:4" ht="14.25" customHeight="1" x14ac:dyDescent="0.25">
      <c r="A650" s="12">
        <v>2437852.1251599998</v>
      </c>
      <c r="B650" s="12" t="s">
        <v>93</v>
      </c>
      <c r="C650" s="12">
        <v>12.025333</v>
      </c>
      <c r="D650" s="12"/>
    </row>
    <row r="651" spans="1:4" ht="14.25" customHeight="1" x14ac:dyDescent="0.25">
      <c r="A651" s="12">
        <v>2437870.7168899998</v>
      </c>
      <c r="B651" s="12" t="s">
        <v>1429</v>
      </c>
      <c r="C651" s="12">
        <v>11.748125</v>
      </c>
      <c r="D651" s="12"/>
    </row>
    <row r="652" spans="1:4" ht="14.25" customHeight="1" x14ac:dyDescent="0.25">
      <c r="A652" s="12">
        <v>2437884.8274400001</v>
      </c>
      <c r="B652" s="12" t="s">
        <v>1430</v>
      </c>
      <c r="C652" s="12">
        <v>11.656409999999999</v>
      </c>
      <c r="D652" s="12"/>
    </row>
    <row r="653" spans="1:4" ht="14.25" customHeight="1" x14ac:dyDescent="0.25">
      <c r="A653" s="12">
        <v>2437900.6652899999</v>
      </c>
      <c r="B653" s="12" t="s">
        <v>1431</v>
      </c>
      <c r="C653" s="12">
        <v>11.812115</v>
      </c>
      <c r="D653" s="12"/>
    </row>
    <row r="654" spans="1:4" ht="14.25" customHeight="1" x14ac:dyDescent="0.25">
      <c r="A654" s="12">
        <v>2437915.6666700002</v>
      </c>
      <c r="B654" s="12" t="s">
        <v>1432</v>
      </c>
      <c r="C654" s="12">
        <v>11.678788000000001</v>
      </c>
      <c r="D654" s="12"/>
    </row>
    <row r="655" spans="1:4" ht="14.25" customHeight="1" x14ac:dyDescent="0.25">
      <c r="A655" s="12">
        <v>2437929.8228600002</v>
      </c>
      <c r="B655" s="12" t="s">
        <v>1433</v>
      </c>
      <c r="C655" s="12">
        <v>11.62</v>
      </c>
      <c r="D655" s="12"/>
    </row>
    <row r="656" spans="1:4" ht="14.25" customHeight="1" x14ac:dyDescent="0.25">
      <c r="A656" s="12">
        <v>2437946.1</v>
      </c>
      <c r="B656" s="12" t="s">
        <v>1434</v>
      </c>
      <c r="C656" s="12">
        <v>11.888889000000001</v>
      </c>
      <c r="D656" s="12"/>
    </row>
    <row r="657" spans="1:4" ht="14.25" customHeight="1" x14ac:dyDescent="0.25">
      <c r="A657" s="12">
        <v>2437961.1647100002</v>
      </c>
      <c r="B657" s="12" t="s">
        <v>1435</v>
      </c>
      <c r="C657" s="12">
        <v>11.735294</v>
      </c>
      <c r="D657" s="12"/>
    </row>
    <row r="658" spans="1:4" ht="14.25" customHeight="1" x14ac:dyDescent="0.25">
      <c r="A658" s="12">
        <v>2437987.6</v>
      </c>
      <c r="B658" s="12" t="s">
        <v>1436</v>
      </c>
      <c r="C658" s="12">
        <v>11.566667000000001</v>
      </c>
      <c r="D658" s="12"/>
    </row>
    <row r="659" spans="1:4" ht="14.25" customHeight="1" x14ac:dyDescent="0.25">
      <c r="A659" s="12">
        <v>2438066.4500000002</v>
      </c>
      <c r="B659" s="12" t="s">
        <v>1437</v>
      </c>
      <c r="C659" s="12">
        <v>11.25</v>
      </c>
      <c r="D659" s="12"/>
    </row>
    <row r="660" spans="1:4" ht="14.25" customHeight="1" x14ac:dyDescent="0.25">
      <c r="A660" s="12">
        <v>2438080.75</v>
      </c>
      <c r="B660" s="12" t="s">
        <v>1438</v>
      </c>
      <c r="C660" s="12">
        <v>11.85</v>
      </c>
      <c r="D660" s="12"/>
    </row>
    <row r="661" spans="1:4" ht="14.25" customHeight="1" x14ac:dyDescent="0.25">
      <c r="A661" s="12">
        <v>2438089.6313999998</v>
      </c>
      <c r="B661" s="12" t="s">
        <v>1439</v>
      </c>
      <c r="C661" s="12">
        <v>11.657500000000001</v>
      </c>
      <c r="D661" s="12"/>
    </row>
    <row r="662" spans="1:4" ht="14.25" customHeight="1" x14ac:dyDescent="0.25">
      <c r="A662" s="12">
        <v>2438113.4166700002</v>
      </c>
      <c r="B662" s="12" t="s">
        <v>1440</v>
      </c>
      <c r="C662" s="12">
        <v>11.25</v>
      </c>
      <c r="D662" s="12"/>
    </row>
    <row r="663" spans="1:4" ht="14.25" customHeight="1" x14ac:dyDescent="0.25">
      <c r="A663" s="12">
        <v>2438126.6</v>
      </c>
      <c r="B663" s="12" t="s">
        <v>1441</v>
      </c>
      <c r="C663" s="12">
        <v>11.2</v>
      </c>
      <c r="D663" s="12"/>
    </row>
    <row r="664" spans="1:4" ht="14.25" customHeight="1" x14ac:dyDescent="0.25">
      <c r="A664" s="12">
        <v>2438143.7684599999</v>
      </c>
      <c r="B664" s="12" t="s">
        <v>1442</v>
      </c>
      <c r="C664" s="12">
        <v>11.077500000000001</v>
      </c>
      <c r="D664" s="12"/>
    </row>
    <row r="665" spans="1:4" ht="14.25" customHeight="1" x14ac:dyDescent="0.25">
      <c r="A665" s="12">
        <v>2438157.1800000002</v>
      </c>
      <c r="B665" s="12" t="s">
        <v>1443</v>
      </c>
      <c r="C665" s="12">
        <v>11.2</v>
      </c>
      <c r="D665" s="12"/>
    </row>
    <row r="666" spans="1:4" ht="14.25" customHeight="1" x14ac:dyDescent="0.25">
      <c r="A666" s="12">
        <v>2438172.6724299998</v>
      </c>
      <c r="B666" s="12" t="s">
        <v>1444</v>
      </c>
      <c r="C666" s="12">
        <v>11.791154000000001</v>
      </c>
      <c r="D666" s="12"/>
    </row>
    <row r="667" spans="1:4" ht="14.25" customHeight="1" x14ac:dyDescent="0.25">
      <c r="A667" s="12">
        <v>2438188.7228600001</v>
      </c>
      <c r="B667" s="12" t="s">
        <v>1445</v>
      </c>
      <c r="C667" s="12">
        <v>11.811429</v>
      </c>
      <c r="D667" s="12"/>
    </row>
    <row r="668" spans="1:4" ht="14.25" customHeight="1" x14ac:dyDescent="0.25">
      <c r="A668" s="12">
        <v>2438203.1932600001</v>
      </c>
      <c r="B668" s="12" t="s">
        <v>1446</v>
      </c>
      <c r="C668" s="12">
        <v>11.728636</v>
      </c>
      <c r="D668" s="12"/>
    </row>
    <row r="669" spans="1:4" ht="14.25" customHeight="1" x14ac:dyDescent="0.25">
      <c r="A669" s="12">
        <v>2438223.65233</v>
      </c>
      <c r="B669" s="12" t="s">
        <v>1447</v>
      </c>
      <c r="C669" s="12">
        <v>11.762083000000001</v>
      </c>
      <c r="D669" s="12"/>
    </row>
    <row r="670" spans="1:4" ht="14.25" customHeight="1" x14ac:dyDescent="0.25">
      <c r="A670" s="12">
        <v>2438236.4679200002</v>
      </c>
      <c r="B670" s="12" t="s">
        <v>1448</v>
      </c>
      <c r="C670" s="12">
        <v>11.664884000000001</v>
      </c>
      <c r="D670" s="12"/>
    </row>
    <row r="671" spans="1:4" ht="14.25" customHeight="1" x14ac:dyDescent="0.25">
      <c r="A671" s="12">
        <v>2438253.7296199999</v>
      </c>
      <c r="B671" s="12" t="s">
        <v>1449</v>
      </c>
      <c r="C671" s="12">
        <v>11.685946</v>
      </c>
      <c r="D671" s="12"/>
    </row>
    <row r="672" spans="1:4" ht="14.25" customHeight="1" x14ac:dyDescent="0.25">
      <c r="A672" s="12">
        <v>2438265.8002800001</v>
      </c>
      <c r="B672" s="12" t="s">
        <v>1450</v>
      </c>
      <c r="C672" s="12">
        <v>11.715417</v>
      </c>
      <c r="D672" s="12"/>
    </row>
    <row r="673" spans="1:4" ht="14.25" customHeight="1" x14ac:dyDescent="0.25">
      <c r="A673" s="12">
        <v>2438283.8062900002</v>
      </c>
      <c r="B673" s="12" t="s">
        <v>1451</v>
      </c>
      <c r="C673" s="12">
        <v>11.419309999999999</v>
      </c>
      <c r="D673" s="12"/>
    </row>
    <row r="674" spans="1:4" ht="14.25" customHeight="1" x14ac:dyDescent="0.25">
      <c r="A674" s="12">
        <v>2438296.0526700001</v>
      </c>
      <c r="B674" s="12" t="s">
        <v>1452</v>
      </c>
      <c r="C674" s="12">
        <v>11.355</v>
      </c>
      <c r="D674" s="12"/>
    </row>
    <row r="675" spans="1:4" ht="14.25" customHeight="1" x14ac:dyDescent="0.25">
      <c r="A675" s="12">
        <v>2438313.0381900002</v>
      </c>
      <c r="B675" s="12" t="s">
        <v>1453</v>
      </c>
      <c r="C675" s="12">
        <v>11.078125</v>
      </c>
      <c r="D675" s="12"/>
    </row>
    <row r="676" spans="1:4" ht="14.25" customHeight="1" x14ac:dyDescent="0.25">
      <c r="A676" s="12">
        <v>2438326.9971500002</v>
      </c>
      <c r="B676" s="12" t="s">
        <v>1454</v>
      </c>
      <c r="C676" s="12">
        <v>11.244</v>
      </c>
      <c r="D676" s="12"/>
    </row>
    <row r="677" spans="1:4" ht="14.25" customHeight="1" x14ac:dyDescent="0.25">
      <c r="A677" s="12">
        <v>2438344.26364</v>
      </c>
      <c r="B677" s="12" t="s">
        <v>1455</v>
      </c>
      <c r="C677" s="12">
        <v>11.581818</v>
      </c>
      <c r="D677" s="12"/>
    </row>
    <row r="678" spans="1:4" ht="14.25" customHeight="1" x14ac:dyDescent="0.25">
      <c r="A678" s="12">
        <v>2438420.2666699998</v>
      </c>
      <c r="B678" s="12" t="s">
        <v>1456</v>
      </c>
      <c r="C678" s="12">
        <v>11.433332999999999</v>
      </c>
      <c r="D678" s="12"/>
    </row>
    <row r="679" spans="1:4" ht="14.25" customHeight="1" x14ac:dyDescent="0.25">
      <c r="A679" s="12">
        <v>2438442</v>
      </c>
      <c r="B679" s="12" t="s">
        <v>1457</v>
      </c>
      <c r="C679" s="12">
        <v>11.488889</v>
      </c>
      <c r="D679" s="12"/>
    </row>
    <row r="680" spans="1:4" ht="14.25" customHeight="1" x14ac:dyDescent="0.25">
      <c r="A680" s="12">
        <v>2438474.1375000002</v>
      </c>
      <c r="B680" s="12" t="s">
        <v>1458</v>
      </c>
      <c r="C680" s="12">
        <v>11.262499999999999</v>
      </c>
      <c r="D680" s="12"/>
    </row>
    <row r="681" spans="1:4" ht="14.25" customHeight="1" x14ac:dyDescent="0.25">
      <c r="A681" s="12">
        <v>2438496.6477800002</v>
      </c>
      <c r="B681" s="12" t="s">
        <v>1459</v>
      </c>
      <c r="C681" s="12">
        <v>11.533333000000001</v>
      </c>
      <c r="D681" s="12"/>
    </row>
    <row r="682" spans="1:4" ht="14.25" customHeight="1" x14ac:dyDescent="0.25">
      <c r="A682" s="12">
        <v>2438510.0255399998</v>
      </c>
      <c r="B682" s="12" t="s">
        <v>1460</v>
      </c>
      <c r="C682" s="12">
        <v>11.244</v>
      </c>
      <c r="D682" s="12"/>
    </row>
    <row r="683" spans="1:4" ht="14.25" customHeight="1" x14ac:dyDescent="0.25">
      <c r="A683" s="12">
        <v>2438528.2838400002</v>
      </c>
      <c r="B683" s="12" t="s">
        <v>1461</v>
      </c>
      <c r="C683" s="12">
        <v>11.133158</v>
      </c>
      <c r="D683" s="12"/>
    </row>
    <row r="684" spans="1:4" ht="14.25" customHeight="1" x14ac:dyDescent="0.25">
      <c r="A684" s="12">
        <v>2438543.7089999998</v>
      </c>
      <c r="B684" s="12" t="s">
        <v>1462</v>
      </c>
      <c r="C684" s="12">
        <v>10.73</v>
      </c>
      <c r="D684" s="12"/>
    </row>
    <row r="685" spans="1:4" ht="14.25" customHeight="1" x14ac:dyDescent="0.25">
      <c r="A685" s="12">
        <v>2438557.0552500002</v>
      </c>
      <c r="B685" s="12" t="s">
        <v>1463</v>
      </c>
      <c r="C685" s="12">
        <v>10.987</v>
      </c>
      <c r="D685" s="12"/>
    </row>
    <row r="686" spans="1:4" ht="14.25" customHeight="1" x14ac:dyDescent="0.25">
      <c r="A686" s="12">
        <v>2438576.82925</v>
      </c>
      <c r="B686" s="12" t="s">
        <v>1464</v>
      </c>
      <c r="C686" s="12">
        <v>10.763659000000001</v>
      </c>
      <c r="D686" s="12"/>
    </row>
    <row r="687" spans="1:4" ht="14.25" customHeight="1" x14ac:dyDescent="0.25">
      <c r="A687" s="12">
        <v>2438588.5133500001</v>
      </c>
      <c r="B687" s="12" t="s">
        <v>1465</v>
      </c>
      <c r="C687" s="12">
        <v>10.853273</v>
      </c>
      <c r="D687" s="12"/>
    </row>
    <row r="688" spans="1:4" ht="14.25" customHeight="1" x14ac:dyDescent="0.25">
      <c r="A688" s="12">
        <v>2438606.7226200001</v>
      </c>
      <c r="B688" s="12" t="s">
        <v>1466</v>
      </c>
      <c r="C688" s="12">
        <v>10.54875</v>
      </c>
      <c r="D688" s="12"/>
    </row>
    <row r="689" spans="1:4" ht="14.25" customHeight="1" x14ac:dyDescent="0.25">
      <c r="A689" s="12">
        <v>2438618.3430900001</v>
      </c>
      <c r="B689" s="12" t="s">
        <v>1467</v>
      </c>
      <c r="C689" s="12">
        <v>10.248478</v>
      </c>
      <c r="D689" s="12"/>
    </row>
    <row r="690" spans="1:4" ht="14.25" customHeight="1" x14ac:dyDescent="0.25">
      <c r="A690" s="12">
        <v>2438637.2819599998</v>
      </c>
      <c r="B690" s="12" t="s">
        <v>1468</v>
      </c>
      <c r="C690" s="12">
        <v>10.187635999999999</v>
      </c>
      <c r="D690" s="12"/>
    </row>
    <row r="691" spans="1:4" ht="14.25" customHeight="1" x14ac:dyDescent="0.25">
      <c r="A691" s="12">
        <v>2438649.39903</v>
      </c>
      <c r="B691" s="12" t="s">
        <v>1469</v>
      </c>
      <c r="C691" s="12">
        <v>10.138056000000001</v>
      </c>
      <c r="D691" s="12"/>
    </row>
    <row r="692" spans="1:4" ht="14.25" customHeight="1" x14ac:dyDescent="0.25">
      <c r="A692" s="12">
        <v>2438667.6180799999</v>
      </c>
      <c r="B692" s="12" t="s">
        <v>1470</v>
      </c>
      <c r="C692" s="12">
        <v>10.492927</v>
      </c>
      <c r="D692" s="12"/>
    </row>
    <row r="693" spans="1:4" ht="14.25" customHeight="1" x14ac:dyDescent="0.25">
      <c r="A693" s="12">
        <v>2438681.1409100001</v>
      </c>
      <c r="B693" s="12" t="s">
        <v>1471</v>
      </c>
      <c r="C693" s="12">
        <v>10.354545</v>
      </c>
      <c r="D693" s="12"/>
    </row>
    <row r="694" spans="1:4" ht="14.25" customHeight="1" x14ac:dyDescent="0.25">
      <c r="A694" s="12">
        <v>2438699.2021499998</v>
      </c>
      <c r="B694" s="12" t="s">
        <v>1472</v>
      </c>
      <c r="C694" s="12">
        <v>10.481818000000001</v>
      </c>
      <c r="D694" s="12"/>
    </row>
    <row r="695" spans="1:4" ht="14.25" customHeight="1" x14ac:dyDescent="0.25">
      <c r="A695" s="12">
        <v>2438717</v>
      </c>
      <c r="B695" s="12" t="s">
        <v>1473</v>
      </c>
      <c r="C695" s="12">
        <v>10.35</v>
      </c>
      <c r="D695" s="12"/>
    </row>
    <row r="696" spans="1:4" ht="14.25" customHeight="1" x14ac:dyDescent="0.25">
      <c r="A696" s="12">
        <v>2438794.6</v>
      </c>
      <c r="B696" s="12" t="s">
        <v>1474</v>
      </c>
      <c r="C696" s="12">
        <v>10.199999999999999</v>
      </c>
      <c r="D696" s="12"/>
    </row>
    <row r="697" spans="1:4" ht="14.25" customHeight="1" x14ac:dyDescent="0.25">
      <c r="A697" s="12">
        <v>2438807.03333</v>
      </c>
      <c r="B697" s="12" t="s">
        <v>1475</v>
      </c>
      <c r="C697" s="12">
        <v>10.199999999999999</v>
      </c>
      <c r="D697" s="12"/>
    </row>
    <row r="698" spans="1:4" ht="14.25" customHeight="1" x14ac:dyDescent="0.25">
      <c r="A698" s="12">
        <v>2438820.75</v>
      </c>
      <c r="B698" s="12" t="s">
        <v>1476</v>
      </c>
      <c r="C698" s="12">
        <v>10</v>
      </c>
      <c r="D698" s="12"/>
    </row>
    <row r="699" spans="1:4" ht="14.25" customHeight="1" x14ac:dyDescent="0.25">
      <c r="A699" s="12">
        <v>2438845.7545500002</v>
      </c>
      <c r="B699" s="12" t="s">
        <v>1477</v>
      </c>
      <c r="C699" s="12">
        <v>9.9545449999999995</v>
      </c>
      <c r="D699" s="12"/>
    </row>
    <row r="700" spans="1:4" ht="14.25" customHeight="1" x14ac:dyDescent="0.25">
      <c r="A700" s="12">
        <v>2438854.5715399999</v>
      </c>
      <c r="B700" s="12" t="s">
        <v>1478</v>
      </c>
      <c r="C700" s="12">
        <v>10.199999999999999</v>
      </c>
      <c r="D700" s="12"/>
    </row>
    <row r="701" spans="1:4" ht="14.25" customHeight="1" x14ac:dyDescent="0.25">
      <c r="A701" s="12">
        <v>2438881.6875</v>
      </c>
      <c r="B701" s="12" t="s">
        <v>1479</v>
      </c>
      <c r="C701" s="12">
        <v>10.074999999999999</v>
      </c>
      <c r="D701" s="12"/>
    </row>
    <row r="702" spans="1:4" ht="14.25" customHeight="1" x14ac:dyDescent="0.25">
      <c r="A702" s="12">
        <v>2438894.0898799999</v>
      </c>
      <c r="B702" s="12" t="s">
        <v>1480</v>
      </c>
      <c r="C702" s="12">
        <v>10.188235000000001</v>
      </c>
      <c r="D702" s="12"/>
    </row>
    <row r="703" spans="1:4" ht="14.25" customHeight="1" x14ac:dyDescent="0.25">
      <c r="A703" s="12">
        <v>2438910.45052</v>
      </c>
      <c r="B703" s="12" t="s">
        <v>1481</v>
      </c>
      <c r="C703" s="12">
        <v>10.215999999999999</v>
      </c>
      <c r="D703" s="12"/>
    </row>
    <row r="704" spans="1:4" ht="14.25" customHeight="1" x14ac:dyDescent="0.25">
      <c r="A704" s="12">
        <v>2438925.23789</v>
      </c>
      <c r="B704" s="12" t="s">
        <v>1482</v>
      </c>
      <c r="C704" s="12">
        <v>10.331429</v>
      </c>
      <c r="D704" s="12"/>
    </row>
    <row r="705" spans="1:4" ht="14.25" customHeight="1" x14ac:dyDescent="0.25">
      <c r="A705" s="12">
        <v>2438939.7094000001</v>
      </c>
      <c r="B705" s="12" t="s">
        <v>1483</v>
      </c>
      <c r="C705" s="12">
        <v>10.269458999999999</v>
      </c>
      <c r="D705" s="12"/>
    </row>
    <row r="706" spans="1:4" ht="14.25" customHeight="1" x14ac:dyDescent="0.25">
      <c r="A706" s="12">
        <v>2438954.5539799999</v>
      </c>
      <c r="B706" s="12" t="s">
        <v>1484</v>
      </c>
      <c r="C706" s="12">
        <v>10.156326999999999</v>
      </c>
      <c r="D706" s="12"/>
    </row>
    <row r="707" spans="1:4" ht="14.25" customHeight="1" x14ac:dyDescent="0.25">
      <c r="A707" s="12">
        <v>2438969.2104600002</v>
      </c>
      <c r="B707" s="12" t="s">
        <v>1485</v>
      </c>
      <c r="C707" s="12">
        <v>10.17375</v>
      </c>
      <c r="D707" s="12"/>
    </row>
    <row r="708" spans="1:4" ht="14.25" customHeight="1" x14ac:dyDescent="0.25">
      <c r="A708" s="12">
        <v>2438984.8256899999</v>
      </c>
      <c r="B708" s="12" t="s">
        <v>1486</v>
      </c>
      <c r="C708" s="12">
        <v>10.216957000000001</v>
      </c>
      <c r="D708" s="12"/>
    </row>
    <row r="709" spans="1:4" ht="14.25" customHeight="1" x14ac:dyDescent="0.25">
      <c r="A709" s="12">
        <v>2438999.4587099999</v>
      </c>
      <c r="B709" s="12" t="s">
        <v>1487</v>
      </c>
      <c r="C709" s="12">
        <v>10.173506</v>
      </c>
      <c r="D709" s="12"/>
    </row>
    <row r="710" spans="1:4" ht="14.25" customHeight="1" x14ac:dyDescent="0.25">
      <c r="A710" s="12">
        <v>2439016.03223</v>
      </c>
      <c r="B710" s="12" t="s">
        <v>1488</v>
      </c>
      <c r="C710" s="12">
        <v>10.317646999999999</v>
      </c>
      <c r="D710" s="12"/>
    </row>
    <row r="711" spans="1:4" ht="14.25" customHeight="1" x14ac:dyDescent="0.25">
      <c r="A711" s="12">
        <v>2439028.58519</v>
      </c>
      <c r="B711" s="12" t="s">
        <v>1489</v>
      </c>
      <c r="C711" s="12">
        <v>10.438181999999999</v>
      </c>
      <c r="D711" s="12"/>
    </row>
    <row r="712" spans="1:4" ht="14.25" customHeight="1" x14ac:dyDescent="0.25">
      <c r="A712" s="12">
        <v>2439048.18175</v>
      </c>
      <c r="B712" s="12" t="s">
        <v>1490</v>
      </c>
      <c r="C712" s="12">
        <v>10.24</v>
      </c>
      <c r="D712" s="12"/>
    </row>
    <row r="713" spans="1:4" ht="14.25" customHeight="1" x14ac:dyDescent="0.25">
      <c r="A713" s="12">
        <v>2439061.5556100002</v>
      </c>
      <c r="B713" s="12" t="s">
        <v>1491</v>
      </c>
      <c r="C713" s="12">
        <v>10.389231000000001</v>
      </c>
      <c r="D713" s="12"/>
    </row>
    <row r="714" spans="1:4" ht="14.25" customHeight="1" x14ac:dyDescent="0.25">
      <c r="A714" s="12">
        <v>2439080.6800000002</v>
      </c>
      <c r="B714" s="12" t="s">
        <v>1492</v>
      </c>
      <c r="C714" s="12">
        <v>10.66</v>
      </c>
      <c r="D714" s="12"/>
    </row>
    <row r="715" spans="1:4" ht="14.25" customHeight="1" x14ac:dyDescent="0.25">
      <c r="A715" s="12">
        <v>2439165.6</v>
      </c>
      <c r="B715" s="12" t="s">
        <v>1493</v>
      </c>
      <c r="C715" s="12">
        <v>10.833333</v>
      </c>
      <c r="D715" s="12"/>
    </row>
    <row r="716" spans="1:4" ht="14.25" customHeight="1" x14ac:dyDescent="0.25">
      <c r="A716" s="12">
        <v>2439183.1</v>
      </c>
      <c r="B716" s="12" t="s">
        <v>1494</v>
      </c>
      <c r="C716" s="12">
        <v>10.988889</v>
      </c>
      <c r="D716" s="12"/>
    </row>
    <row r="717" spans="1:4" ht="14.25" customHeight="1" x14ac:dyDescent="0.25">
      <c r="A717" s="12">
        <v>2439199.7999999998</v>
      </c>
      <c r="B717" s="12" t="s">
        <v>1495</v>
      </c>
      <c r="C717" s="12">
        <v>11</v>
      </c>
      <c r="D717" s="12"/>
    </row>
    <row r="718" spans="1:4" ht="14.25" customHeight="1" x14ac:dyDescent="0.25">
      <c r="A718" s="12">
        <v>2439214.87</v>
      </c>
      <c r="B718" s="12" t="s">
        <v>1496</v>
      </c>
      <c r="C718" s="12">
        <v>11.18</v>
      </c>
      <c r="D718" s="12"/>
    </row>
    <row r="719" spans="1:4" ht="14.25" customHeight="1" x14ac:dyDescent="0.25">
      <c r="A719" s="12">
        <v>2439236.6950900001</v>
      </c>
      <c r="B719" s="12" t="s">
        <v>1497</v>
      </c>
      <c r="C719" s="12">
        <v>10.993570999999999</v>
      </c>
      <c r="D719" s="12"/>
    </row>
    <row r="720" spans="1:4" ht="14.25" customHeight="1" x14ac:dyDescent="0.25">
      <c r="A720" s="12">
        <v>2439252.4713400002</v>
      </c>
      <c r="B720" s="12" t="s">
        <v>1498</v>
      </c>
      <c r="C720" s="12">
        <v>11.102308000000001</v>
      </c>
      <c r="D720" s="12"/>
    </row>
    <row r="721" spans="1:4" ht="14.25" customHeight="1" x14ac:dyDescent="0.25">
      <c r="A721" s="12">
        <v>2439266.2599399998</v>
      </c>
      <c r="B721" s="12" t="s">
        <v>1499</v>
      </c>
      <c r="C721" s="12">
        <v>11.073529000000001</v>
      </c>
      <c r="D721" s="12"/>
    </row>
    <row r="722" spans="1:4" ht="14.25" customHeight="1" x14ac:dyDescent="0.25">
      <c r="A722" s="12">
        <v>2439279.7692300002</v>
      </c>
      <c r="B722" s="12" t="s">
        <v>1500</v>
      </c>
      <c r="C722" s="12">
        <v>11.220689999999999</v>
      </c>
      <c r="D722" s="12"/>
    </row>
    <row r="723" spans="1:4" ht="14.25" customHeight="1" x14ac:dyDescent="0.25">
      <c r="A723" s="12">
        <v>2439294.91665</v>
      </c>
      <c r="B723" s="12" t="s">
        <v>1501</v>
      </c>
      <c r="C723" s="12">
        <v>11.580469000000001</v>
      </c>
      <c r="D723" s="12"/>
    </row>
    <row r="724" spans="1:4" ht="14.25" customHeight="1" x14ac:dyDescent="0.25">
      <c r="A724" s="12">
        <v>2439313.3803900001</v>
      </c>
      <c r="B724" s="12" t="s">
        <v>1502</v>
      </c>
      <c r="C724" s="12">
        <v>11.546578999999999</v>
      </c>
      <c r="D724" s="12"/>
    </row>
    <row r="725" spans="1:4" ht="14.25" customHeight="1" x14ac:dyDescent="0.25">
      <c r="A725" s="12">
        <v>2439324.7705399999</v>
      </c>
      <c r="B725" s="12" t="s">
        <v>1503</v>
      </c>
      <c r="C725" s="12">
        <v>11.553547999999999</v>
      </c>
      <c r="D725" s="12"/>
    </row>
    <row r="726" spans="1:4" ht="14.25" customHeight="1" x14ac:dyDescent="0.25">
      <c r="A726" s="12">
        <v>2439342.9531999999</v>
      </c>
      <c r="B726" s="12" t="s">
        <v>1504</v>
      </c>
      <c r="C726" s="12">
        <v>11.464</v>
      </c>
      <c r="D726" s="12"/>
    </row>
    <row r="727" spans="1:4" ht="14.25" customHeight="1" x14ac:dyDescent="0.25">
      <c r="A727" s="12">
        <v>2439356.2715799999</v>
      </c>
      <c r="B727" s="12" t="s">
        <v>1505</v>
      </c>
      <c r="C727" s="12">
        <v>11.597333000000001</v>
      </c>
      <c r="D727" s="12"/>
    </row>
    <row r="728" spans="1:4" ht="14.25" customHeight="1" x14ac:dyDescent="0.25">
      <c r="A728" s="12">
        <v>2439375.3558299998</v>
      </c>
      <c r="B728" s="12" t="s">
        <v>1506</v>
      </c>
      <c r="C728" s="12">
        <v>11.445714000000001</v>
      </c>
      <c r="D728" s="12"/>
    </row>
    <row r="729" spans="1:4" ht="14.25" customHeight="1" x14ac:dyDescent="0.25">
      <c r="A729" s="12">
        <v>2439387.1925599999</v>
      </c>
      <c r="B729" s="12" t="s">
        <v>1507</v>
      </c>
      <c r="C729" s="12">
        <v>11.414999999999999</v>
      </c>
      <c r="D729" s="12"/>
    </row>
    <row r="730" spans="1:4" ht="14.25" customHeight="1" x14ac:dyDescent="0.25">
      <c r="A730" s="12">
        <v>2439404.5381</v>
      </c>
      <c r="B730" s="12" t="s">
        <v>1508</v>
      </c>
      <c r="C730" s="12">
        <v>11.232258</v>
      </c>
      <c r="D730" s="12"/>
    </row>
    <row r="731" spans="1:4" ht="14.25" customHeight="1" x14ac:dyDescent="0.25">
      <c r="A731" s="12">
        <v>2439419.8459600001</v>
      </c>
      <c r="B731" s="12" t="s">
        <v>1509</v>
      </c>
      <c r="C731" s="12">
        <v>11.145</v>
      </c>
      <c r="D731" s="12"/>
    </row>
    <row r="732" spans="1:4" ht="14.25" customHeight="1" x14ac:dyDescent="0.25">
      <c r="A732" s="12">
        <v>2439439.335</v>
      </c>
      <c r="B732" s="12" t="s">
        <v>1510</v>
      </c>
      <c r="C732" s="12">
        <v>11.17</v>
      </c>
      <c r="D732" s="12"/>
    </row>
    <row r="733" spans="1:4" ht="14.25" customHeight="1" x14ac:dyDescent="0.25">
      <c r="A733" s="12">
        <v>2439507.1</v>
      </c>
      <c r="B733" s="12" t="s">
        <v>1511</v>
      </c>
      <c r="C733" s="12">
        <v>11.4</v>
      </c>
      <c r="D733" s="12"/>
    </row>
    <row r="734" spans="1:4" ht="14.25" customHeight="1" x14ac:dyDescent="0.25">
      <c r="A734" s="12">
        <v>2439539.3333299998</v>
      </c>
      <c r="B734" s="12" t="s">
        <v>1512</v>
      </c>
      <c r="C734" s="12">
        <v>11.316667000000001</v>
      </c>
      <c r="D734" s="12"/>
    </row>
    <row r="735" spans="1:4" ht="14.25" customHeight="1" x14ac:dyDescent="0.25">
      <c r="A735" s="12">
        <v>2439556.89212</v>
      </c>
      <c r="B735" s="12" t="s">
        <v>1513</v>
      </c>
      <c r="C735" s="12">
        <v>11.25</v>
      </c>
      <c r="D735" s="12"/>
    </row>
    <row r="736" spans="1:4" ht="14.25" customHeight="1" x14ac:dyDescent="0.25">
      <c r="A736" s="12">
        <v>2439570.62121</v>
      </c>
      <c r="B736" s="12" t="s">
        <v>1514</v>
      </c>
      <c r="C736" s="12">
        <v>11.127777999999999</v>
      </c>
      <c r="D736" s="12"/>
    </row>
    <row r="737" spans="1:4" ht="14.25" customHeight="1" x14ac:dyDescent="0.25">
      <c r="A737" s="12">
        <v>2439589.0493299998</v>
      </c>
      <c r="B737" s="12" t="s">
        <v>1515</v>
      </c>
      <c r="C737" s="12">
        <v>10.833333</v>
      </c>
      <c r="D737" s="12"/>
    </row>
    <row r="738" spans="1:4" ht="14.25" customHeight="1" x14ac:dyDescent="0.25">
      <c r="A738" s="12">
        <v>2439601.5010000002</v>
      </c>
      <c r="B738" s="12" t="s">
        <v>1516</v>
      </c>
      <c r="C738" s="12">
        <v>10.581818</v>
      </c>
      <c r="D738" s="12"/>
    </row>
    <row r="739" spans="1:4" ht="14.25" customHeight="1" x14ac:dyDescent="0.25">
      <c r="A739" s="12">
        <v>2439617.6630899999</v>
      </c>
      <c r="B739" s="12" t="s">
        <v>1517</v>
      </c>
      <c r="C739" s="12">
        <v>10.601667000000001</v>
      </c>
      <c r="D739" s="12"/>
    </row>
    <row r="740" spans="1:4" ht="14.25" customHeight="1" x14ac:dyDescent="0.25">
      <c r="A740" s="12">
        <v>2439632.5745799998</v>
      </c>
      <c r="B740" s="12" t="s">
        <v>1518</v>
      </c>
      <c r="C740" s="12">
        <v>10.601667000000001</v>
      </c>
      <c r="D740" s="12"/>
    </row>
    <row r="741" spans="1:4" ht="14.25" customHeight="1" x14ac:dyDescent="0.25">
      <c r="A741" s="12">
        <v>2439648.4141899999</v>
      </c>
      <c r="B741" s="12" t="s">
        <v>1519</v>
      </c>
      <c r="C741" s="12">
        <v>10.538542</v>
      </c>
      <c r="D741" s="12"/>
    </row>
    <row r="742" spans="1:4" ht="14.25" customHeight="1" x14ac:dyDescent="0.25">
      <c r="A742" s="12">
        <v>2439664.8905000002</v>
      </c>
      <c r="B742" s="12" t="s">
        <v>1520</v>
      </c>
      <c r="C742" s="12">
        <v>10.862368</v>
      </c>
      <c r="D742" s="12"/>
    </row>
    <row r="743" spans="1:4" ht="14.25" customHeight="1" x14ac:dyDescent="0.25">
      <c r="A743" s="12">
        <v>2439678.18982</v>
      </c>
      <c r="B743" s="12" t="s">
        <v>1521</v>
      </c>
      <c r="C743" s="12">
        <v>10.989545</v>
      </c>
      <c r="D743" s="12"/>
    </row>
    <row r="744" spans="1:4" ht="14.25" customHeight="1" x14ac:dyDescent="0.25">
      <c r="A744" s="12">
        <v>2439696.0841799998</v>
      </c>
      <c r="B744" s="12" t="s">
        <v>1522</v>
      </c>
      <c r="C744" s="12">
        <v>10.817105</v>
      </c>
      <c r="D744" s="12"/>
    </row>
    <row r="745" spans="1:4" ht="14.25" customHeight="1" x14ac:dyDescent="0.25">
      <c r="A745" s="12">
        <v>2439709.2158300001</v>
      </c>
      <c r="B745" s="12" t="s">
        <v>1523</v>
      </c>
      <c r="C745" s="12">
        <v>10.692202999999999</v>
      </c>
      <c r="D745" s="12"/>
    </row>
    <row r="746" spans="1:4" ht="14.25" customHeight="1" x14ac:dyDescent="0.25">
      <c r="A746" s="12">
        <v>2439723.9548999998</v>
      </c>
      <c r="B746" s="12" t="s">
        <v>1524</v>
      </c>
      <c r="C746" s="12">
        <v>10.782222000000001</v>
      </c>
      <c r="D746" s="12"/>
    </row>
    <row r="747" spans="1:4" ht="14.25" customHeight="1" x14ac:dyDescent="0.25">
      <c r="A747" s="12">
        <v>2439739.5405999999</v>
      </c>
      <c r="B747" s="12" t="s">
        <v>1525</v>
      </c>
      <c r="C747" s="12">
        <v>10.740625</v>
      </c>
      <c r="D747" s="12"/>
    </row>
    <row r="748" spans="1:4" ht="14.25" customHeight="1" x14ac:dyDescent="0.25">
      <c r="A748" s="12">
        <v>2439755.2480100002</v>
      </c>
      <c r="B748" s="12" t="s">
        <v>1526</v>
      </c>
      <c r="C748" s="12">
        <v>10.90931</v>
      </c>
      <c r="D748" s="12"/>
    </row>
    <row r="749" spans="1:4" ht="14.25" customHeight="1" x14ac:dyDescent="0.25">
      <c r="A749" s="12">
        <v>2439768.3843100001</v>
      </c>
      <c r="B749" s="12" t="s">
        <v>1527</v>
      </c>
      <c r="C749" s="12">
        <v>10.744828</v>
      </c>
      <c r="D749" s="12"/>
    </row>
    <row r="750" spans="1:4" ht="14.25" customHeight="1" x14ac:dyDescent="0.25">
      <c r="A750" s="12">
        <v>2439790.9111899999</v>
      </c>
      <c r="B750" s="12" t="s">
        <v>1528</v>
      </c>
      <c r="C750" s="12">
        <v>6.828462</v>
      </c>
      <c r="D750" s="12"/>
    </row>
    <row r="751" spans="1:4" ht="14.25" customHeight="1" x14ac:dyDescent="0.25">
      <c r="A751" s="12">
        <v>2439801.2435400002</v>
      </c>
      <c r="B751" s="12" t="s">
        <v>1529</v>
      </c>
      <c r="C751" s="12">
        <v>7.3004759999999997</v>
      </c>
      <c r="D751" s="12"/>
    </row>
    <row r="752" spans="1:4" ht="14.25" customHeight="1" x14ac:dyDescent="0.25">
      <c r="A752" s="12">
        <v>2439816.9626600002</v>
      </c>
      <c r="B752" s="12" t="s">
        <v>94</v>
      </c>
      <c r="C752" s="12">
        <v>8.5857139999999994</v>
      </c>
      <c r="D752" s="12"/>
    </row>
    <row r="753" spans="1:4" ht="14.25" customHeight="1" x14ac:dyDescent="0.25">
      <c r="A753" s="12">
        <v>2439875.96</v>
      </c>
      <c r="B753" s="12" t="s">
        <v>1530</v>
      </c>
      <c r="C753" s="12">
        <v>10.26</v>
      </c>
      <c r="D753" s="12"/>
    </row>
    <row r="754" spans="1:4" ht="14.25" customHeight="1" x14ac:dyDescent="0.25">
      <c r="A754" s="12">
        <v>2439889.9555600001</v>
      </c>
      <c r="B754" s="12" t="s">
        <v>1531</v>
      </c>
      <c r="C754" s="12">
        <v>10.788888999999999</v>
      </c>
      <c r="D754" s="12"/>
    </row>
    <row r="755" spans="1:4" ht="14.25" customHeight="1" x14ac:dyDescent="0.25">
      <c r="A755" s="12">
        <v>2439911.1</v>
      </c>
      <c r="B755" s="12" t="s">
        <v>1532</v>
      </c>
      <c r="C755" s="12">
        <v>11.65</v>
      </c>
      <c r="D755" s="12"/>
    </row>
    <row r="756" spans="1:4" ht="14.25" customHeight="1" x14ac:dyDescent="0.25">
      <c r="A756" s="12">
        <v>2439924.2764699999</v>
      </c>
      <c r="B756" s="12" t="s">
        <v>1533</v>
      </c>
      <c r="C756" s="12">
        <v>11.947058999999999</v>
      </c>
      <c r="D756" s="12"/>
    </row>
    <row r="757" spans="1:4" ht="14.25" customHeight="1" x14ac:dyDescent="0.25">
      <c r="A757" s="12">
        <v>2439943.1473699999</v>
      </c>
      <c r="B757" s="12" t="s">
        <v>1534</v>
      </c>
      <c r="C757" s="12">
        <v>12.205263</v>
      </c>
      <c r="D757" s="12"/>
    </row>
    <row r="758" spans="1:4" ht="14.25" customHeight="1" x14ac:dyDescent="0.25">
      <c r="A758" s="12">
        <v>2439954.1225899998</v>
      </c>
      <c r="B758" s="12" t="s">
        <v>1535</v>
      </c>
      <c r="C758" s="12">
        <v>11.967646999999999</v>
      </c>
      <c r="D758" s="12"/>
    </row>
    <row r="759" spans="1:4" ht="14.25" customHeight="1" x14ac:dyDescent="0.25">
      <c r="A759" s="12">
        <v>2439973.0705800001</v>
      </c>
      <c r="B759" s="12" t="s">
        <v>1536</v>
      </c>
      <c r="C759" s="12">
        <v>12.482727000000001</v>
      </c>
      <c r="D759" s="12"/>
    </row>
    <row r="760" spans="1:4" ht="14.25" customHeight="1" x14ac:dyDescent="0.25">
      <c r="A760" s="12">
        <v>2439990.8959499998</v>
      </c>
      <c r="B760" s="12" t="s">
        <v>1537</v>
      </c>
      <c r="C760" s="12">
        <v>12.358181999999999</v>
      </c>
      <c r="D760" s="12"/>
    </row>
    <row r="761" spans="1:4" ht="14.25" customHeight="1" x14ac:dyDescent="0.25">
      <c r="A761" s="12">
        <v>2440003.3693300001</v>
      </c>
      <c r="B761" s="12" t="s">
        <v>1538</v>
      </c>
      <c r="C761" s="12">
        <v>12.201935000000001</v>
      </c>
      <c r="D761" s="12"/>
    </row>
    <row r="762" spans="1:4" ht="14.25" customHeight="1" x14ac:dyDescent="0.25">
      <c r="A762" s="12">
        <v>2440018.3699099999</v>
      </c>
      <c r="B762" s="12" t="s">
        <v>1539</v>
      </c>
      <c r="C762" s="12">
        <v>12.531579000000001</v>
      </c>
      <c r="D762" s="12"/>
    </row>
    <row r="763" spans="1:4" ht="14.25" customHeight="1" x14ac:dyDescent="0.25">
      <c r="A763" s="12">
        <v>2440034.3528399998</v>
      </c>
      <c r="B763" s="12" t="s">
        <v>1540</v>
      </c>
      <c r="C763" s="12">
        <v>12.434901999999999</v>
      </c>
      <c r="D763" s="12"/>
    </row>
    <row r="764" spans="1:4" ht="14.25" customHeight="1" x14ac:dyDescent="0.25">
      <c r="A764" s="12">
        <v>2440049.5530900001</v>
      </c>
      <c r="B764" s="12" t="s">
        <v>1541</v>
      </c>
      <c r="C764" s="12">
        <v>12.562856999999999</v>
      </c>
      <c r="D764" s="12"/>
    </row>
    <row r="765" spans="1:4" ht="14.25" customHeight="1" x14ac:dyDescent="0.25">
      <c r="A765" s="12">
        <v>2440063.7613599999</v>
      </c>
      <c r="B765" s="12" t="s">
        <v>1542</v>
      </c>
      <c r="C765" s="12">
        <v>12.847458</v>
      </c>
      <c r="D765" s="12"/>
    </row>
    <row r="766" spans="1:4" ht="14.25" customHeight="1" x14ac:dyDescent="0.25">
      <c r="A766" s="12">
        <v>2440083.4849899998</v>
      </c>
      <c r="B766" s="12" t="s">
        <v>1543</v>
      </c>
      <c r="C766" s="12">
        <v>12.418214000000001</v>
      </c>
      <c r="D766" s="12"/>
    </row>
    <row r="767" spans="1:4" ht="14.25" customHeight="1" x14ac:dyDescent="0.25">
      <c r="A767" s="12">
        <v>2440094.4648000002</v>
      </c>
      <c r="B767" s="12" t="s">
        <v>1544</v>
      </c>
      <c r="C767" s="12">
        <v>12.576000000000001</v>
      </c>
      <c r="D767" s="12"/>
    </row>
    <row r="768" spans="1:4" ht="14.25" customHeight="1" x14ac:dyDescent="0.25">
      <c r="A768" s="12">
        <v>2440114.7635900001</v>
      </c>
      <c r="B768" s="12" t="s">
        <v>1545</v>
      </c>
      <c r="C768" s="12">
        <v>12.5105</v>
      </c>
      <c r="D768" s="12"/>
    </row>
    <row r="769" spans="1:4" ht="14.25" customHeight="1" x14ac:dyDescent="0.25">
      <c r="A769" s="12">
        <v>2440126.9684700002</v>
      </c>
      <c r="B769" s="12" t="s">
        <v>1546</v>
      </c>
      <c r="C769" s="12">
        <v>12.313235000000001</v>
      </c>
      <c r="D769" s="12"/>
    </row>
    <row r="770" spans="1:4" ht="14.25" customHeight="1" x14ac:dyDescent="0.25">
      <c r="A770" s="12">
        <v>2440145.58507</v>
      </c>
      <c r="B770" s="12" t="s">
        <v>1547</v>
      </c>
      <c r="C770" s="12">
        <v>11.997037000000001</v>
      </c>
      <c r="D770" s="12"/>
    </row>
    <row r="771" spans="1:4" ht="14.25" customHeight="1" x14ac:dyDescent="0.25">
      <c r="A771" s="12">
        <v>2440159.4</v>
      </c>
      <c r="B771" s="12" t="s">
        <v>1548</v>
      </c>
      <c r="C771" s="12">
        <v>12.16</v>
      </c>
      <c r="D771" s="12"/>
    </row>
    <row r="772" spans="1:4" ht="14.25" customHeight="1" x14ac:dyDescent="0.25">
      <c r="A772" s="12">
        <v>2440184.5099999998</v>
      </c>
      <c r="B772" s="12" t="s">
        <v>1549</v>
      </c>
      <c r="C772" s="12">
        <v>11.5</v>
      </c>
      <c r="D772" s="12"/>
    </row>
    <row r="773" spans="1:4" ht="14.25" customHeight="1" x14ac:dyDescent="0.25">
      <c r="A773" s="12">
        <v>2440236.35</v>
      </c>
      <c r="B773" s="12" t="s">
        <v>1550</v>
      </c>
      <c r="C773" s="12">
        <v>12</v>
      </c>
      <c r="D773" s="12"/>
    </row>
    <row r="774" spans="1:4" ht="14.25" customHeight="1" x14ac:dyDescent="0.25">
      <c r="A774" s="12">
        <v>2440251.2000000002</v>
      </c>
      <c r="B774" s="12" t="s">
        <v>1551</v>
      </c>
      <c r="C774" s="12">
        <v>11.9</v>
      </c>
      <c r="D774" s="12"/>
    </row>
    <row r="775" spans="1:4" ht="14.25" customHeight="1" x14ac:dyDescent="0.25">
      <c r="A775" s="12">
        <v>2440272.2999999998</v>
      </c>
      <c r="B775" s="12" t="s">
        <v>1552</v>
      </c>
      <c r="C775" s="12">
        <v>11.314285999999999</v>
      </c>
      <c r="D775" s="12"/>
    </row>
    <row r="776" spans="1:4" ht="14.25" customHeight="1" x14ac:dyDescent="0.25">
      <c r="A776" s="12">
        <v>2440288.8333299998</v>
      </c>
      <c r="B776" s="12" t="s">
        <v>1553</v>
      </c>
      <c r="C776" s="12">
        <v>11.2</v>
      </c>
      <c r="D776" s="12"/>
    </row>
    <row r="777" spans="1:4" ht="14.25" customHeight="1" x14ac:dyDescent="0.25">
      <c r="A777" s="12">
        <v>2440302.21111</v>
      </c>
      <c r="B777" s="12" t="s">
        <v>1554</v>
      </c>
      <c r="C777" s="12">
        <v>11.377777999999999</v>
      </c>
      <c r="D777" s="12"/>
    </row>
    <row r="778" spans="1:4" ht="14.25" customHeight="1" x14ac:dyDescent="0.25">
      <c r="A778" s="12">
        <v>2440319.04666</v>
      </c>
      <c r="B778" s="12" t="s">
        <v>1555</v>
      </c>
      <c r="C778" s="12">
        <v>11.404999999999999</v>
      </c>
      <c r="D778" s="12"/>
    </row>
    <row r="779" spans="1:4" ht="14.25" customHeight="1" x14ac:dyDescent="0.25">
      <c r="A779" s="12">
        <v>2440335.6212900002</v>
      </c>
      <c r="B779" s="12" t="s">
        <v>1556</v>
      </c>
      <c r="C779" s="12">
        <v>11.214286</v>
      </c>
      <c r="D779" s="12"/>
    </row>
    <row r="780" spans="1:4" ht="14.25" customHeight="1" x14ac:dyDescent="0.25">
      <c r="A780" s="12">
        <v>2440352.8870999999</v>
      </c>
      <c r="B780" s="12" t="s">
        <v>1557</v>
      </c>
      <c r="C780" s="12">
        <v>11.256522</v>
      </c>
      <c r="D780" s="12"/>
    </row>
    <row r="781" spans="1:4" ht="14.25" customHeight="1" x14ac:dyDescent="0.25">
      <c r="A781" s="12">
        <v>2440365.4847499998</v>
      </c>
      <c r="B781" s="12" t="s">
        <v>1558</v>
      </c>
      <c r="C781" s="12">
        <v>11.352857</v>
      </c>
      <c r="D781" s="12"/>
    </row>
    <row r="782" spans="1:4" ht="14.25" customHeight="1" x14ac:dyDescent="0.25">
      <c r="A782" s="12">
        <v>2440381.9542299998</v>
      </c>
      <c r="B782" s="12" t="s">
        <v>1559</v>
      </c>
      <c r="C782" s="12">
        <v>11.318333000000001</v>
      </c>
      <c r="D782" s="12"/>
    </row>
    <row r="783" spans="1:4" ht="14.25" customHeight="1" x14ac:dyDescent="0.25">
      <c r="A783" s="12">
        <v>2440394.8216800001</v>
      </c>
      <c r="B783" s="12" t="s">
        <v>1560</v>
      </c>
      <c r="C783" s="12">
        <v>11.34</v>
      </c>
      <c r="D783" s="12"/>
    </row>
    <row r="784" spans="1:4" ht="14.25" customHeight="1" x14ac:dyDescent="0.25">
      <c r="A784" s="12">
        <v>2440411.1864700001</v>
      </c>
      <c r="B784" s="12" t="s">
        <v>1561</v>
      </c>
      <c r="C784" s="12">
        <v>11.399317999999999</v>
      </c>
      <c r="D784" s="12"/>
    </row>
    <row r="785" spans="1:4" ht="14.25" customHeight="1" x14ac:dyDescent="0.25">
      <c r="A785" s="12">
        <v>2440424.5985500002</v>
      </c>
      <c r="B785" s="12" t="s">
        <v>1562</v>
      </c>
      <c r="C785" s="12">
        <v>11.36</v>
      </c>
      <c r="D785" s="12"/>
    </row>
    <row r="786" spans="1:4" ht="14.25" customHeight="1" x14ac:dyDescent="0.25">
      <c r="A786" s="12">
        <v>2440441.30858</v>
      </c>
      <c r="B786" s="12" t="s">
        <v>1563</v>
      </c>
      <c r="C786" s="12">
        <v>11.217931</v>
      </c>
      <c r="D786" s="12"/>
    </row>
    <row r="787" spans="1:4" ht="14.25" customHeight="1" x14ac:dyDescent="0.25">
      <c r="A787" s="12">
        <v>2440455.4634400001</v>
      </c>
      <c r="B787" s="12" t="s">
        <v>1564</v>
      </c>
      <c r="C787" s="12">
        <v>11.265625</v>
      </c>
      <c r="D787" s="12"/>
    </row>
    <row r="788" spans="1:4" ht="14.25" customHeight="1" x14ac:dyDescent="0.25">
      <c r="A788" s="12">
        <v>2440472.5323000001</v>
      </c>
      <c r="B788" s="12" t="s">
        <v>1565</v>
      </c>
      <c r="C788" s="12">
        <v>11.212821</v>
      </c>
      <c r="D788" s="12"/>
    </row>
    <row r="789" spans="1:4" ht="14.25" customHeight="1" x14ac:dyDescent="0.25">
      <c r="A789" s="12">
        <v>2440488.4858499998</v>
      </c>
      <c r="B789" s="12" t="s">
        <v>1566</v>
      </c>
      <c r="C789" s="12">
        <v>11.271713999999999</v>
      </c>
      <c r="D789" s="12"/>
    </row>
    <row r="790" spans="1:4" ht="14.25" customHeight="1" x14ac:dyDescent="0.25">
      <c r="A790" s="12">
        <v>2440502.74407</v>
      </c>
      <c r="B790" s="12" t="s">
        <v>1567</v>
      </c>
      <c r="C790" s="12">
        <v>11.1</v>
      </c>
      <c r="D790" s="12"/>
    </row>
    <row r="791" spans="1:4" ht="14.25" customHeight="1" x14ac:dyDescent="0.25">
      <c r="A791" s="12">
        <v>2440519.6831700001</v>
      </c>
      <c r="B791" s="12" t="s">
        <v>1568</v>
      </c>
      <c r="C791" s="12">
        <v>11.076923000000001</v>
      </c>
      <c r="D791" s="12"/>
    </row>
    <row r="792" spans="1:4" ht="14.25" customHeight="1" x14ac:dyDescent="0.25">
      <c r="A792" s="12">
        <v>2440534.7831299999</v>
      </c>
      <c r="B792" s="12" t="s">
        <v>1569</v>
      </c>
      <c r="C792" s="12">
        <v>11.178571</v>
      </c>
      <c r="D792" s="12"/>
    </row>
    <row r="793" spans="1:4" ht="14.25" customHeight="1" x14ac:dyDescent="0.25">
      <c r="A793" s="12">
        <v>2440549.35</v>
      </c>
      <c r="B793" s="12" t="s">
        <v>1570</v>
      </c>
      <c r="C793" s="12">
        <v>10.8</v>
      </c>
      <c r="D793" s="12"/>
    </row>
    <row r="794" spans="1:4" ht="14.25" customHeight="1" x14ac:dyDescent="0.25">
      <c r="A794" s="12">
        <v>2440604.7000000002</v>
      </c>
      <c r="B794" s="12" t="s">
        <v>1571</v>
      </c>
      <c r="C794" s="12">
        <v>11.1</v>
      </c>
      <c r="D794" s="12"/>
    </row>
    <row r="795" spans="1:4" ht="14.25" customHeight="1" x14ac:dyDescent="0.25">
      <c r="A795" s="12">
        <v>2440624.9</v>
      </c>
      <c r="B795" s="12" t="s">
        <v>1572</v>
      </c>
      <c r="C795" s="12">
        <v>11.3</v>
      </c>
      <c r="D795" s="12"/>
    </row>
    <row r="796" spans="1:4" ht="14.25" customHeight="1" x14ac:dyDescent="0.25">
      <c r="A796" s="12">
        <v>2440639.0099999998</v>
      </c>
      <c r="B796" s="12" t="s">
        <v>1573</v>
      </c>
      <c r="C796" s="12">
        <v>10.283333000000001</v>
      </c>
      <c r="D796" s="12"/>
    </row>
    <row r="797" spans="1:4" ht="14.25" customHeight="1" x14ac:dyDescent="0.25">
      <c r="A797" s="12">
        <v>2440659.6641699998</v>
      </c>
      <c r="B797" s="12" t="s">
        <v>1574</v>
      </c>
      <c r="C797" s="12">
        <v>10.65</v>
      </c>
      <c r="D797" s="12"/>
    </row>
    <row r="798" spans="1:4" ht="14.25" customHeight="1" x14ac:dyDescent="0.25">
      <c r="A798" s="12">
        <v>2440682.7794400002</v>
      </c>
      <c r="B798" s="12" t="s">
        <v>1575</v>
      </c>
      <c r="C798" s="12">
        <v>10.8</v>
      </c>
      <c r="D798" s="12"/>
    </row>
    <row r="799" spans="1:4" ht="14.25" customHeight="1" x14ac:dyDescent="0.25">
      <c r="A799" s="12">
        <v>2440698.2347499998</v>
      </c>
      <c r="B799" s="12" t="s">
        <v>1576</v>
      </c>
      <c r="C799" s="12">
        <v>10.58</v>
      </c>
      <c r="D799" s="12"/>
    </row>
    <row r="800" spans="1:4" ht="14.25" customHeight="1" x14ac:dyDescent="0.25">
      <c r="A800" s="12">
        <v>2440714.25245</v>
      </c>
      <c r="B800" s="12" t="s">
        <v>1577</v>
      </c>
      <c r="C800" s="12">
        <v>10.856249999999999</v>
      </c>
      <c r="D800" s="12"/>
    </row>
    <row r="801" spans="1:4" ht="14.25" customHeight="1" x14ac:dyDescent="0.25">
      <c r="A801" s="12">
        <v>2440732.3500999999</v>
      </c>
      <c r="B801" s="12" t="s">
        <v>1578</v>
      </c>
      <c r="C801" s="12">
        <v>10.473684</v>
      </c>
      <c r="D801" s="12"/>
    </row>
    <row r="802" spans="1:4" ht="14.25" customHeight="1" x14ac:dyDescent="0.25">
      <c r="A802" s="12">
        <v>2440744.24437</v>
      </c>
      <c r="B802" s="12" t="s">
        <v>1579</v>
      </c>
      <c r="C802" s="12">
        <v>10.697288</v>
      </c>
      <c r="D802" s="12"/>
    </row>
    <row r="803" spans="1:4" ht="14.25" customHeight="1" x14ac:dyDescent="0.25">
      <c r="A803" s="12">
        <v>2440763.2021499998</v>
      </c>
      <c r="B803" s="12" t="s">
        <v>1580</v>
      </c>
      <c r="C803" s="12">
        <v>10.692157</v>
      </c>
      <c r="D803" s="12"/>
    </row>
    <row r="804" spans="1:4" ht="14.25" customHeight="1" x14ac:dyDescent="0.25">
      <c r="A804" s="12">
        <v>2440776.2052199999</v>
      </c>
      <c r="B804" s="12" t="s">
        <v>1581</v>
      </c>
      <c r="C804" s="12">
        <v>10.588148</v>
      </c>
      <c r="D804" s="12"/>
    </row>
    <row r="805" spans="1:4" ht="14.25" customHeight="1" x14ac:dyDescent="0.25">
      <c r="A805" s="12">
        <v>2440792.7257500002</v>
      </c>
      <c r="B805" s="12" t="s">
        <v>1582</v>
      </c>
      <c r="C805" s="12">
        <v>10.593023000000001</v>
      </c>
      <c r="D805" s="12"/>
    </row>
    <row r="806" spans="1:4" ht="14.25" customHeight="1" x14ac:dyDescent="0.25">
      <c r="A806" s="12">
        <v>2440805.8493400002</v>
      </c>
      <c r="B806" s="12" t="s">
        <v>95</v>
      </c>
      <c r="C806" s="12">
        <v>10.621333</v>
      </c>
      <c r="D806" s="12"/>
    </row>
    <row r="807" spans="1:4" ht="14.25" customHeight="1" x14ac:dyDescent="0.25">
      <c r="A807" s="12">
        <v>2440823.2621900002</v>
      </c>
      <c r="B807" s="12" t="s">
        <v>96</v>
      </c>
      <c r="C807" s="12">
        <v>10.683607</v>
      </c>
      <c r="D807" s="12"/>
    </row>
    <row r="808" spans="1:4" ht="14.25" customHeight="1" x14ac:dyDescent="0.25">
      <c r="A808" s="12">
        <v>2440835.7066899999</v>
      </c>
      <c r="B808" s="12" t="s">
        <v>1583</v>
      </c>
      <c r="C808" s="12">
        <v>10.802941000000001</v>
      </c>
      <c r="D808" s="12"/>
    </row>
    <row r="809" spans="1:4" ht="14.25" customHeight="1" x14ac:dyDescent="0.25">
      <c r="A809" s="12">
        <v>2440852.68725</v>
      </c>
      <c r="B809" s="12" t="s">
        <v>1584</v>
      </c>
      <c r="C809" s="12">
        <v>10.918604999999999</v>
      </c>
      <c r="D809" s="12"/>
    </row>
    <row r="810" spans="1:4" ht="14.25" customHeight="1" x14ac:dyDescent="0.25">
      <c r="A810" s="12">
        <v>2440867.5863999999</v>
      </c>
      <c r="B810" s="12" t="s">
        <v>97</v>
      </c>
      <c r="C810" s="12">
        <v>10.744</v>
      </c>
      <c r="D810" s="12"/>
    </row>
    <row r="811" spans="1:4" ht="14.25" customHeight="1" x14ac:dyDescent="0.25">
      <c r="A811" s="12">
        <v>2440882.0578800002</v>
      </c>
      <c r="B811" s="12" t="s">
        <v>1585</v>
      </c>
      <c r="C811" s="12">
        <v>10.675000000000001</v>
      </c>
      <c r="D811" s="12"/>
    </row>
    <row r="812" spans="1:4" ht="14.25" customHeight="1" x14ac:dyDescent="0.25">
      <c r="A812" s="12">
        <v>2440898.5325799999</v>
      </c>
      <c r="B812" s="12" t="s">
        <v>1586</v>
      </c>
      <c r="C812" s="12">
        <v>10.811111</v>
      </c>
      <c r="D812" s="12"/>
    </row>
    <row r="813" spans="1:4" ht="14.25" customHeight="1" x14ac:dyDescent="0.25">
      <c r="A813" s="12">
        <v>2440912.6610400002</v>
      </c>
      <c r="B813" s="12" t="s">
        <v>1587</v>
      </c>
      <c r="C813" s="12">
        <v>10.785714</v>
      </c>
      <c r="D813" s="12"/>
    </row>
    <row r="814" spans="1:4" ht="14.25" customHeight="1" x14ac:dyDescent="0.25">
      <c r="A814" s="12">
        <v>2440980.7999999998</v>
      </c>
      <c r="B814" s="12" t="s">
        <v>1588</v>
      </c>
      <c r="C814" s="12">
        <v>11.55</v>
      </c>
      <c r="D814" s="12"/>
    </row>
    <row r="815" spans="1:4" ht="14.25" customHeight="1" x14ac:dyDescent="0.25">
      <c r="A815" s="12">
        <v>2440987.07333</v>
      </c>
      <c r="B815" s="12" t="s">
        <v>1589</v>
      </c>
      <c r="C815" s="12">
        <v>11.216666999999999</v>
      </c>
      <c r="D815" s="12"/>
    </row>
    <row r="816" spans="1:4" ht="14.25" customHeight="1" x14ac:dyDescent="0.25">
      <c r="A816" s="12">
        <v>2441010.0931199999</v>
      </c>
      <c r="B816" s="12" t="s">
        <v>1590</v>
      </c>
      <c r="C816" s="12">
        <v>11.00625</v>
      </c>
      <c r="D816" s="12"/>
    </row>
    <row r="817" spans="1:4" ht="14.25" customHeight="1" x14ac:dyDescent="0.25">
      <c r="A817" s="12">
        <v>2441026.7000000002</v>
      </c>
      <c r="B817" s="12" t="s">
        <v>1591</v>
      </c>
      <c r="C817" s="12">
        <v>11.5</v>
      </c>
      <c r="D817" s="12"/>
    </row>
    <row r="818" spans="1:4" ht="14.25" customHeight="1" x14ac:dyDescent="0.25">
      <c r="A818" s="12">
        <v>2441042.1766499998</v>
      </c>
      <c r="B818" s="12" t="s">
        <v>1592</v>
      </c>
      <c r="C818" s="12">
        <v>11.217646999999999</v>
      </c>
      <c r="D818" s="12"/>
    </row>
    <row r="819" spans="1:4" ht="14.25" customHeight="1" x14ac:dyDescent="0.25">
      <c r="A819" s="12">
        <v>2441058.8223000001</v>
      </c>
      <c r="B819" s="12" t="s">
        <v>1593</v>
      </c>
      <c r="C819" s="12">
        <v>11.136666999999999</v>
      </c>
      <c r="D819" s="12"/>
    </row>
    <row r="820" spans="1:4" ht="14.25" customHeight="1" x14ac:dyDescent="0.25">
      <c r="A820" s="12">
        <v>2441069.9990400001</v>
      </c>
      <c r="B820" s="12" t="s">
        <v>1594</v>
      </c>
      <c r="C820" s="12">
        <v>11.227368</v>
      </c>
      <c r="D820" s="12"/>
    </row>
    <row r="821" spans="1:4" ht="14.25" customHeight="1" x14ac:dyDescent="0.25">
      <c r="A821" s="12">
        <v>2441091.08458</v>
      </c>
      <c r="B821" s="12" t="s">
        <v>1595</v>
      </c>
      <c r="C821" s="12">
        <v>10.991818</v>
      </c>
      <c r="D821" s="12"/>
    </row>
    <row r="822" spans="1:4" ht="14.25" customHeight="1" x14ac:dyDescent="0.25">
      <c r="A822" s="12">
        <v>2441103.01406</v>
      </c>
      <c r="B822" s="12" t="s">
        <v>1596</v>
      </c>
      <c r="C822" s="12">
        <v>11.078462</v>
      </c>
      <c r="D822" s="12"/>
    </row>
    <row r="823" spans="1:4" ht="14.25" customHeight="1" x14ac:dyDescent="0.25">
      <c r="A823" s="12">
        <v>2441118.8303100001</v>
      </c>
      <c r="B823" s="12" t="s">
        <v>1597</v>
      </c>
      <c r="C823" s="12">
        <v>11.125556</v>
      </c>
      <c r="D823" s="12"/>
    </row>
    <row r="824" spans="1:4" ht="14.25" customHeight="1" x14ac:dyDescent="0.25">
      <c r="A824" s="12">
        <v>2441133.1645599999</v>
      </c>
      <c r="B824" s="12" t="s">
        <v>1598</v>
      </c>
      <c r="C824" s="12">
        <v>11.279455</v>
      </c>
      <c r="D824" s="12"/>
    </row>
    <row r="825" spans="1:4" ht="14.25" customHeight="1" x14ac:dyDescent="0.25">
      <c r="A825" s="12">
        <v>2441149.3744399999</v>
      </c>
      <c r="B825" s="12" t="s">
        <v>1599</v>
      </c>
      <c r="C825" s="12">
        <v>11.251029000000001</v>
      </c>
      <c r="D825" s="12"/>
    </row>
    <row r="826" spans="1:4" ht="14.25" customHeight="1" x14ac:dyDescent="0.25">
      <c r="A826" s="12">
        <v>2441162.9865600001</v>
      </c>
      <c r="B826" s="12" t="s">
        <v>1600</v>
      </c>
      <c r="C826" s="12">
        <v>11.227</v>
      </c>
      <c r="D826" s="12"/>
    </row>
    <row r="827" spans="1:4" ht="14.25" customHeight="1" x14ac:dyDescent="0.25">
      <c r="A827" s="12">
        <v>2441179.05235</v>
      </c>
      <c r="B827" s="12" t="s">
        <v>98</v>
      </c>
      <c r="C827" s="12">
        <v>11.18717</v>
      </c>
      <c r="D827" s="12"/>
    </row>
    <row r="828" spans="1:4" ht="14.25" customHeight="1" x14ac:dyDescent="0.25">
      <c r="A828" s="12">
        <v>2441193.03033</v>
      </c>
      <c r="B828" s="12" t="s">
        <v>1601</v>
      </c>
      <c r="C828" s="12">
        <v>11.25</v>
      </c>
      <c r="D828" s="12"/>
    </row>
    <row r="829" spans="1:4" ht="14.25" customHeight="1" x14ac:dyDescent="0.25">
      <c r="A829" s="12">
        <v>2441209.0527900001</v>
      </c>
      <c r="B829" s="12" t="s">
        <v>1602</v>
      </c>
      <c r="C829" s="12">
        <v>11.241702</v>
      </c>
      <c r="D829" s="12"/>
    </row>
    <row r="830" spans="1:4" ht="14.25" customHeight="1" x14ac:dyDescent="0.25">
      <c r="A830" s="12">
        <v>2441223.8159099999</v>
      </c>
      <c r="B830" s="12" t="s">
        <v>1603</v>
      </c>
      <c r="C830" s="12">
        <v>11.406571</v>
      </c>
      <c r="D830" s="12"/>
    </row>
    <row r="831" spans="1:4" ht="14.25" customHeight="1" x14ac:dyDescent="0.25">
      <c r="A831" s="12">
        <v>2441238.9994299999</v>
      </c>
      <c r="B831" s="12" t="s">
        <v>1604</v>
      </c>
      <c r="C831" s="12">
        <v>11.187917000000001</v>
      </c>
      <c r="D831" s="12"/>
    </row>
    <row r="832" spans="1:4" ht="14.25" customHeight="1" x14ac:dyDescent="0.25">
      <c r="A832" s="12">
        <v>2441256.52165</v>
      </c>
      <c r="B832" s="12" t="s">
        <v>1605</v>
      </c>
      <c r="C832" s="12">
        <v>11.309615000000001</v>
      </c>
      <c r="D832" s="12"/>
    </row>
    <row r="833" spans="1:4" ht="14.25" customHeight="1" x14ac:dyDescent="0.25">
      <c r="A833" s="12">
        <v>2441267.8258500001</v>
      </c>
      <c r="B833" s="12" t="s">
        <v>1606</v>
      </c>
      <c r="C833" s="12">
        <v>11.297273000000001</v>
      </c>
      <c r="D833" s="12"/>
    </row>
    <row r="834" spans="1:4" ht="14.25" customHeight="1" x14ac:dyDescent="0.25">
      <c r="A834" s="12">
        <v>2441334.2999999998</v>
      </c>
      <c r="B834" s="12" t="s">
        <v>1607</v>
      </c>
      <c r="C834" s="12">
        <v>11.2</v>
      </c>
      <c r="D834" s="12"/>
    </row>
    <row r="835" spans="1:4" ht="14.25" customHeight="1" x14ac:dyDescent="0.25">
      <c r="A835" s="12">
        <v>2441353.1</v>
      </c>
      <c r="B835" s="12" t="s">
        <v>1608</v>
      </c>
      <c r="C835" s="12">
        <v>11.25</v>
      </c>
      <c r="D835" s="12"/>
    </row>
    <row r="836" spans="1:4" ht="14.25" customHeight="1" x14ac:dyDescent="0.25">
      <c r="A836" s="12">
        <v>2441371.3333299998</v>
      </c>
      <c r="B836" s="12" t="s">
        <v>1609</v>
      </c>
      <c r="C836" s="12">
        <v>11.366667</v>
      </c>
      <c r="D836" s="12"/>
    </row>
    <row r="837" spans="1:4" ht="14.25" customHeight="1" x14ac:dyDescent="0.25">
      <c r="A837" s="12">
        <v>2441395.1363599999</v>
      </c>
      <c r="B837" s="12" t="s">
        <v>1610</v>
      </c>
      <c r="C837" s="12">
        <v>11.468182000000001</v>
      </c>
      <c r="D837" s="12"/>
    </row>
    <row r="838" spans="1:4" ht="14.25" customHeight="1" x14ac:dyDescent="0.25">
      <c r="A838" s="12">
        <v>2441411.5994000002</v>
      </c>
      <c r="B838" s="12" t="s">
        <v>1611</v>
      </c>
      <c r="C838" s="12">
        <v>11.212353</v>
      </c>
      <c r="D838" s="12"/>
    </row>
    <row r="839" spans="1:4" ht="14.25" customHeight="1" x14ac:dyDescent="0.25">
      <c r="A839" s="12">
        <v>2441429.5423499998</v>
      </c>
      <c r="B839" s="12" t="s">
        <v>1612</v>
      </c>
      <c r="C839" s="12">
        <v>11.341176000000001</v>
      </c>
      <c r="D839" s="12"/>
    </row>
    <row r="840" spans="1:4" ht="14.25" customHeight="1" x14ac:dyDescent="0.25">
      <c r="A840" s="12">
        <v>2441446.6317599998</v>
      </c>
      <c r="B840" s="12" t="s">
        <v>1613</v>
      </c>
      <c r="C840" s="12">
        <v>11.476471</v>
      </c>
      <c r="D840" s="12"/>
    </row>
    <row r="841" spans="1:4" ht="14.25" customHeight="1" x14ac:dyDescent="0.25">
      <c r="A841" s="12">
        <v>2441460.3582100002</v>
      </c>
      <c r="B841" s="12" t="s">
        <v>1614</v>
      </c>
      <c r="C841" s="12">
        <v>11.431818</v>
      </c>
      <c r="D841" s="12"/>
    </row>
    <row r="842" spans="1:4" ht="14.25" customHeight="1" x14ac:dyDescent="0.25">
      <c r="A842" s="12">
        <v>2441476.2762600002</v>
      </c>
      <c r="B842" s="12" t="s">
        <v>1615</v>
      </c>
      <c r="C842" s="12">
        <v>11.596</v>
      </c>
      <c r="D842" s="12"/>
    </row>
    <row r="843" spans="1:4" ht="14.25" customHeight="1" x14ac:dyDescent="0.25">
      <c r="A843" s="12">
        <v>2441490.3299400001</v>
      </c>
      <c r="B843" s="12" t="s">
        <v>1616</v>
      </c>
      <c r="C843" s="12">
        <v>11.387333</v>
      </c>
      <c r="D843" s="12"/>
    </row>
    <row r="844" spans="1:4" ht="14.25" customHeight="1" x14ac:dyDescent="0.25">
      <c r="A844" s="12">
        <v>2441506.1063399999</v>
      </c>
      <c r="B844" s="12" t="s">
        <v>1617</v>
      </c>
      <c r="C844" s="12">
        <v>11.455489999999999</v>
      </c>
      <c r="D844" s="12"/>
    </row>
    <row r="845" spans="1:4" ht="14.25" customHeight="1" x14ac:dyDescent="0.25">
      <c r="A845" s="12">
        <v>2441521.2892900002</v>
      </c>
      <c r="B845" s="12" t="s">
        <v>99</v>
      </c>
      <c r="C845" s="12">
        <v>11.544053999999999</v>
      </c>
      <c r="D845" s="12"/>
    </row>
    <row r="846" spans="1:4" ht="14.25" customHeight="1" x14ac:dyDescent="0.25">
      <c r="A846" s="12">
        <v>2441537.25605</v>
      </c>
      <c r="B846" s="12" t="s">
        <v>1618</v>
      </c>
      <c r="C846" s="12">
        <v>11.720124999999999</v>
      </c>
      <c r="D846" s="12"/>
    </row>
    <row r="847" spans="1:4" ht="14.25" customHeight="1" x14ac:dyDescent="0.25">
      <c r="A847" s="12">
        <v>2441550.4859799999</v>
      </c>
      <c r="B847" s="12" t="s">
        <v>1619</v>
      </c>
      <c r="C847" s="12">
        <v>11.63</v>
      </c>
      <c r="D847" s="12"/>
    </row>
    <row r="848" spans="1:4" ht="14.25" customHeight="1" x14ac:dyDescent="0.25">
      <c r="A848" s="12">
        <v>2441565.7686899998</v>
      </c>
      <c r="B848" s="12" t="s">
        <v>100</v>
      </c>
      <c r="C848" s="12">
        <v>11.603437</v>
      </c>
      <c r="D848" s="12"/>
    </row>
    <row r="849" spans="1:4" ht="14.25" customHeight="1" x14ac:dyDescent="0.25">
      <c r="A849" s="12">
        <v>2441579.9637500001</v>
      </c>
      <c r="B849" s="12" t="s">
        <v>1620</v>
      </c>
      <c r="C849" s="12">
        <v>11.6272</v>
      </c>
      <c r="D849" s="12"/>
    </row>
    <row r="850" spans="1:4" ht="14.25" customHeight="1" x14ac:dyDescent="0.25">
      <c r="A850" s="12">
        <v>2441596.4768300001</v>
      </c>
      <c r="B850" s="12" t="s">
        <v>101</v>
      </c>
      <c r="C850" s="12">
        <v>11.674464</v>
      </c>
      <c r="D850" s="12"/>
    </row>
    <row r="851" spans="1:4" ht="14.25" customHeight="1" x14ac:dyDescent="0.25">
      <c r="A851" s="12">
        <v>2441611.7822400001</v>
      </c>
      <c r="B851" s="12" t="s">
        <v>1621</v>
      </c>
      <c r="C851" s="12">
        <v>11.635217000000001</v>
      </c>
      <c r="D851" s="12"/>
    </row>
    <row r="852" spans="1:4" ht="14.25" customHeight="1" x14ac:dyDescent="0.25">
      <c r="A852" s="12">
        <v>2441627.5040500001</v>
      </c>
      <c r="B852" s="12" t="s">
        <v>1622</v>
      </c>
      <c r="C852" s="12">
        <v>11.664999999999999</v>
      </c>
      <c r="D852" s="12"/>
    </row>
    <row r="853" spans="1:4" ht="14.25" customHeight="1" x14ac:dyDescent="0.25">
      <c r="A853" s="12">
        <v>2441642.3275299999</v>
      </c>
      <c r="B853" s="12" t="s">
        <v>1623</v>
      </c>
      <c r="C853" s="12">
        <v>11.696667</v>
      </c>
      <c r="D853" s="12"/>
    </row>
    <row r="854" spans="1:4" ht="14.25" customHeight="1" x14ac:dyDescent="0.25">
      <c r="A854" s="12">
        <v>2441689.5</v>
      </c>
      <c r="B854" s="12" t="s">
        <v>1624</v>
      </c>
      <c r="C854" s="12">
        <v>11.37</v>
      </c>
      <c r="D854" s="12"/>
    </row>
    <row r="855" spans="1:4" ht="14.25" customHeight="1" x14ac:dyDescent="0.25">
      <c r="A855" s="12">
        <v>2441709.5499999998</v>
      </c>
      <c r="B855" s="12" t="s">
        <v>1625</v>
      </c>
      <c r="C855" s="12">
        <v>11.625</v>
      </c>
      <c r="D855" s="12"/>
    </row>
    <row r="856" spans="1:4" ht="14.25" customHeight="1" x14ac:dyDescent="0.25">
      <c r="A856" s="12">
        <v>2441726.16714</v>
      </c>
      <c r="B856" s="12" t="s">
        <v>1626</v>
      </c>
      <c r="C856" s="12">
        <v>11.728571000000001</v>
      </c>
      <c r="D856" s="12"/>
    </row>
    <row r="857" spans="1:4" ht="14.25" customHeight="1" x14ac:dyDescent="0.25">
      <c r="A857" s="12">
        <v>2441746.3228600002</v>
      </c>
      <c r="B857" s="12" t="s">
        <v>1627</v>
      </c>
      <c r="C857" s="12">
        <v>11.828571</v>
      </c>
      <c r="D857" s="12"/>
    </row>
    <row r="858" spans="1:4" ht="14.25" customHeight="1" x14ac:dyDescent="0.25">
      <c r="A858" s="12">
        <v>2441765.8073999998</v>
      </c>
      <c r="B858" s="12" t="s">
        <v>1628</v>
      </c>
      <c r="C858" s="12">
        <v>11.966666999999999</v>
      </c>
      <c r="D858" s="12"/>
    </row>
    <row r="859" spans="1:4" ht="14.25" customHeight="1" x14ac:dyDescent="0.25">
      <c r="A859" s="12">
        <v>2441781.6052700002</v>
      </c>
      <c r="B859" s="12" t="s">
        <v>102</v>
      </c>
      <c r="C859" s="12">
        <v>11.66</v>
      </c>
      <c r="D859" s="12"/>
    </row>
    <row r="860" spans="1:4" ht="14.25" customHeight="1" x14ac:dyDescent="0.25">
      <c r="A860" s="12">
        <v>2441805.5531700002</v>
      </c>
      <c r="B860" s="12" t="s">
        <v>1629</v>
      </c>
      <c r="C860" s="12">
        <v>11.832727</v>
      </c>
      <c r="D860" s="12"/>
    </row>
    <row r="861" spans="1:4" ht="14.25" customHeight="1" x14ac:dyDescent="0.25">
      <c r="A861" s="12">
        <v>2441819.7562500001</v>
      </c>
      <c r="B861" s="12" t="s">
        <v>1630</v>
      </c>
      <c r="C861" s="12">
        <v>11.837273</v>
      </c>
      <c r="D861" s="12"/>
    </row>
    <row r="862" spans="1:4" ht="14.25" customHeight="1" x14ac:dyDescent="0.25">
      <c r="A862" s="12">
        <v>2441836.5467300001</v>
      </c>
      <c r="B862" s="12" t="s">
        <v>1631</v>
      </c>
      <c r="C862" s="12">
        <v>11.577321</v>
      </c>
      <c r="D862" s="12"/>
    </row>
    <row r="863" spans="1:4" ht="14.25" customHeight="1" x14ac:dyDescent="0.25">
      <c r="A863" s="12">
        <v>2441851.3781900001</v>
      </c>
      <c r="B863" s="12" t="s">
        <v>1632</v>
      </c>
      <c r="C863" s="12">
        <v>11.899091</v>
      </c>
      <c r="D863" s="12"/>
    </row>
    <row r="864" spans="1:4" ht="14.25" customHeight="1" x14ac:dyDescent="0.25">
      <c r="A864" s="12">
        <v>2441866.7005799999</v>
      </c>
      <c r="B864" s="12" t="s">
        <v>1633</v>
      </c>
      <c r="C864" s="12">
        <v>11.835556</v>
      </c>
      <c r="D864" s="12"/>
    </row>
    <row r="865" spans="1:4" ht="14.25" customHeight="1" x14ac:dyDescent="0.25">
      <c r="A865" s="12">
        <v>2441881.9049499999</v>
      </c>
      <c r="B865" s="12" t="s">
        <v>1634</v>
      </c>
      <c r="C865" s="12">
        <v>11.695429000000001</v>
      </c>
      <c r="D865" s="12"/>
    </row>
    <row r="866" spans="1:4" ht="14.25" customHeight="1" x14ac:dyDescent="0.25">
      <c r="A866" s="12">
        <v>2441897.4098</v>
      </c>
      <c r="B866" s="12" t="s">
        <v>1635</v>
      </c>
      <c r="C866" s="12">
        <v>11.768611</v>
      </c>
      <c r="D866" s="12"/>
    </row>
    <row r="867" spans="1:4" ht="14.25" customHeight="1" x14ac:dyDescent="0.25">
      <c r="A867" s="12">
        <v>2441914.8983499999</v>
      </c>
      <c r="B867" s="12" t="s">
        <v>1636</v>
      </c>
      <c r="C867" s="12">
        <v>11.857837999999999</v>
      </c>
      <c r="D867" s="12"/>
    </row>
    <row r="868" spans="1:4" ht="14.25" customHeight="1" x14ac:dyDescent="0.25">
      <c r="A868" s="12">
        <v>2441927.4944500001</v>
      </c>
      <c r="B868" s="12" t="s">
        <v>1637</v>
      </c>
      <c r="C868" s="12">
        <v>11.79</v>
      </c>
      <c r="D868" s="12"/>
    </row>
    <row r="869" spans="1:4" ht="14.25" customHeight="1" x14ac:dyDescent="0.25">
      <c r="A869" s="12">
        <v>2441944.2217100002</v>
      </c>
      <c r="B869" s="12" t="s">
        <v>1638</v>
      </c>
      <c r="C869" s="12">
        <v>11.709766999999999</v>
      </c>
      <c r="D869" s="12"/>
    </row>
    <row r="870" spans="1:4" ht="14.25" customHeight="1" x14ac:dyDescent="0.25">
      <c r="A870" s="12">
        <v>2441957.84724</v>
      </c>
      <c r="B870" s="12" t="s">
        <v>1639</v>
      </c>
      <c r="C870" s="12">
        <v>11.518333</v>
      </c>
      <c r="D870" s="12"/>
    </row>
    <row r="871" spans="1:4" ht="14.25" customHeight="1" x14ac:dyDescent="0.25">
      <c r="A871" s="12">
        <v>2441973.4782799999</v>
      </c>
      <c r="B871" s="12" t="s">
        <v>1640</v>
      </c>
      <c r="C871" s="12">
        <v>11.659592</v>
      </c>
      <c r="D871" s="12"/>
    </row>
    <row r="872" spans="1:4" ht="14.25" customHeight="1" x14ac:dyDescent="0.25">
      <c r="A872" s="12">
        <v>2441986.45242</v>
      </c>
      <c r="B872" s="12" t="s">
        <v>1641</v>
      </c>
      <c r="C872" s="12">
        <v>11.601599999999999</v>
      </c>
      <c r="D872" s="12"/>
    </row>
    <row r="873" spans="1:4" ht="14.25" customHeight="1" x14ac:dyDescent="0.25">
      <c r="A873" s="12">
        <v>2442002.7266299999</v>
      </c>
      <c r="B873" s="12" t="s">
        <v>1642</v>
      </c>
      <c r="C873" s="12">
        <v>11.49</v>
      </c>
      <c r="D873" s="12"/>
    </row>
    <row r="874" spans="1:4" ht="14.25" customHeight="1" x14ac:dyDescent="0.25">
      <c r="A874" s="12">
        <v>2442071.56507</v>
      </c>
      <c r="B874" s="12" t="s">
        <v>103</v>
      </c>
      <c r="C874" s="12">
        <v>11.245714</v>
      </c>
      <c r="D874" s="12"/>
    </row>
    <row r="875" spans="1:4" ht="14.25" customHeight="1" x14ac:dyDescent="0.25">
      <c r="A875" s="12">
        <v>2442083.3666699999</v>
      </c>
      <c r="B875" s="12" t="s">
        <v>1643</v>
      </c>
      <c r="C875" s="12">
        <v>11.45</v>
      </c>
      <c r="D875" s="12"/>
    </row>
    <row r="876" spans="1:4" ht="14.25" customHeight="1" x14ac:dyDescent="0.25">
      <c r="A876" s="12">
        <v>2442101.3776500002</v>
      </c>
      <c r="B876" s="12" t="s">
        <v>1644</v>
      </c>
      <c r="C876" s="12">
        <v>11.478332999999999</v>
      </c>
      <c r="D876" s="12"/>
    </row>
    <row r="877" spans="1:4" ht="14.25" customHeight="1" x14ac:dyDescent="0.25">
      <c r="A877" s="12">
        <v>2442120.7233199999</v>
      </c>
      <c r="B877" s="12" t="s">
        <v>1645</v>
      </c>
      <c r="C877" s="12">
        <v>11.472</v>
      </c>
      <c r="D877" s="12"/>
    </row>
    <row r="878" spans="1:4" ht="14.25" customHeight="1" x14ac:dyDescent="0.25">
      <c r="A878" s="12">
        <v>2442132.4040100002</v>
      </c>
      <c r="B878" s="12" t="s">
        <v>1646</v>
      </c>
      <c r="C878" s="12">
        <v>11.5</v>
      </c>
      <c r="D878" s="12"/>
    </row>
    <row r="879" spans="1:4" ht="14.25" customHeight="1" x14ac:dyDescent="0.25">
      <c r="A879" s="12">
        <v>2442150.6144900001</v>
      </c>
      <c r="B879" s="12" t="s">
        <v>1647</v>
      </c>
      <c r="C879" s="12">
        <v>11.7675</v>
      </c>
      <c r="D879" s="12"/>
    </row>
    <row r="880" spans="1:4" ht="14.25" customHeight="1" x14ac:dyDescent="0.25">
      <c r="A880" s="12">
        <v>2442163.1379999998</v>
      </c>
      <c r="B880" s="12" t="s">
        <v>104</v>
      </c>
      <c r="C880" s="12">
        <v>11.64</v>
      </c>
      <c r="D880" s="12"/>
    </row>
    <row r="881" spans="1:4" ht="14.25" customHeight="1" x14ac:dyDescent="0.25">
      <c r="A881" s="12">
        <v>2442179.9561700001</v>
      </c>
      <c r="B881" s="12" t="s">
        <v>1648</v>
      </c>
      <c r="C881" s="12">
        <v>11.672647</v>
      </c>
      <c r="D881" s="12"/>
    </row>
    <row r="882" spans="1:4" ht="14.25" customHeight="1" x14ac:dyDescent="0.25">
      <c r="A882" s="12">
        <v>2442192.9516199999</v>
      </c>
      <c r="B882" s="12" t="s">
        <v>1649</v>
      </c>
      <c r="C882" s="12">
        <v>11.809016</v>
      </c>
      <c r="D882" s="12"/>
    </row>
    <row r="883" spans="1:4" ht="14.25" customHeight="1" x14ac:dyDescent="0.25">
      <c r="A883" s="12">
        <v>2442210.8836699999</v>
      </c>
      <c r="B883" s="12" t="s">
        <v>1650</v>
      </c>
      <c r="C883" s="12">
        <v>11.762857</v>
      </c>
      <c r="D883" s="12"/>
    </row>
    <row r="884" spans="1:4" ht="14.25" customHeight="1" x14ac:dyDescent="0.25">
      <c r="A884" s="12">
        <v>2442222.21404</v>
      </c>
      <c r="B884" s="12" t="s">
        <v>1651</v>
      </c>
      <c r="C884" s="12">
        <v>11.7675</v>
      </c>
      <c r="D884" s="12"/>
    </row>
    <row r="885" spans="1:4" ht="14.25" customHeight="1" x14ac:dyDescent="0.25">
      <c r="A885" s="12">
        <v>2442242.0850999998</v>
      </c>
      <c r="B885" s="12" t="s">
        <v>1652</v>
      </c>
      <c r="C885" s="12">
        <v>12.077143</v>
      </c>
      <c r="D885" s="12"/>
    </row>
    <row r="886" spans="1:4" ht="14.25" customHeight="1" x14ac:dyDescent="0.25">
      <c r="A886" s="12">
        <v>2442253.9996699998</v>
      </c>
      <c r="B886" s="12" t="s">
        <v>1653</v>
      </c>
      <c r="C886" s="12">
        <v>11.891728000000001</v>
      </c>
      <c r="D886" s="12"/>
    </row>
    <row r="887" spans="1:4" ht="14.25" customHeight="1" x14ac:dyDescent="0.25">
      <c r="A887" s="12">
        <v>2442272.1666999999</v>
      </c>
      <c r="B887" s="12" t="s">
        <v>1654</v>
      </c>
      <c r="C887" s="12">
        <v>11.707058999999999</v>
      </c>
      <c r="D887" s="12"/>
    </row>
    <row r="888" spans="1:4" ht="14.25" customHeight="1" x14ac:dyDescent="0.25">
      <c r="A888" s="12">
        <v>2442283.3171999999</v>
      </c>
      <c r="B888" s="12" t="s">
        <v>1655</v>
      </c>
      <c r="C888" s="12">
        <v>11.927872000000001</v>
      </c>
      <c r="D888" s="12"/>
    </row>
    <row r="889" spans="1:4" ht="14.25" customHeight="1" x14ac:dyDescent="0.25">
      <c r="A889" s="12">
        <v>2442301.9205</v>
      </c>
      <c r="B889" s="12" t="s">
        <v>1656</v>
      </c>
      <c r="C889" s="12">
        <v>11.797229</v>
      </c>
      <c r="D889" s="12"/>
    </row>
    <row r="890" spans="1:4" ht="14.25" customHeight="1" x14ac:dyDescent="0.25">
      <c r="A890" s="12">
        <v>2442315.6589500001</v>
      </c>
      <c r="B890" s="12" t="s">
        <v>1657</v>
      </c>
      <c r="C890" s="12">
        <v>11.705588000000001</v>
      </c>
      <c r="D890" s="12"/>
    </row>
    <row r="891" spans="1:4" ht="14.25" customHeight="1" x14ac:dyDescent="0.25">
      <c r="A891" s="12">
        <v>2442331.3066099999</v>
      </c>
      <c r="B891" s="12" t="s">
        <v>1658</v>
      </c>
      <c r="C891" s="12">
        <v>11.707636000000001</v>
      </c>
      <c r="D891" s="12"/>
    </row>
    <row r="892" spans="1:4" ht="14.25" customHeight="1" x14ac:dyDescent="0.25">
      <c r="A892" s="12">
        <v>2442345.92</v>
      </c>
      <c r="B892" s="12" t="s">
        <v>1659</v>
      </c>
      <c r="C892" s="12">
        <v>11.645455</v>
      </c>
      <c r="D892" s="12"/>
    </row>
    <row r="893" spans="1:4" ht="14.25" customHeight="1" x14ac:dyDescent="0.25">
      <c r="A893" s="12">
        <v>2442362.5978600001</v>
      </c>
      <c r="B893" s="12" t="s">
        <v>1660</v>
      </c>
      <c r="C893" s="12">
        <v>10.98</v>
      </c>
      <c r="D893" s="12"/>
    </row>
    <row r="894" spans="1:4" ht="14.25" customHeight="1" x14ac:dyDescent="0.25">
      <c r="A894" s="12">
        <v>2442428.7847000002</v>
      </c>
      <c r="B894" s="12" t="s">
        <v>1661</v>
      </c>
      <c r="C894" s="12">
        <v>11.22</v>
      </c>
      <c r="D894" s="12"/>
    </row>
    <row r="895" spans="1:4" ht="14.25" customHeight="1" x14ac:dyDescent="0.25">
      <c r="A895" s="12">
        <v>2442440.8250000002</v>
      </c>
      <c r="B895" s="12" t="s">
        <v>1662</v>
      </c>
      <c r="C895" s="12">
        <v>11.025</v>
      </c>
      <c r="D895" s="12"/>
    </row>
    <row r="896" spans="1:4" ht="14.25" customHeight="1" x14ac:dyDescent="0.25">
      <c r="A896" s="12">
        <v>2442456.1576</v>
      </c>
      <c r="B896" s="12" t="s">
        <v>1663</v>
      </c>
      <c r="C896" s="12">
        <v>10.86</v>
      </c>
      <c r="D896" s="12"/>
    </row>
    <row r="897" spans="1:4" ht="14.25" customHeight="1" x14ac:dyDescent="0.25">
      <c r="A897" s="12">
        <v>2442470.0536000002</v>
      </c>
      <c r="B897" s="12" t="s">
        <v>1664</v>
      </c>
      <c r="C897" s="12">
        <v>10.994286000000001</v>
      </c>
      <c r="D897" s="12"/>
    </row>
    <row r="898" spans="1:4" ht="14.25" customHeight="1" x14ac:dyDescent="0.25">
      <c r="A898" s="12">
        <v>2442487.7639600001</v>
      </c>
      <c r="B898" s="12" t="s">
        <v>1665</v>
      </c>
      <c r="C898" s="12">
        <v>11.19619</v>
      </c>
      <c r="D898" s="12"/>
    </row>
    <row r="899" spans="1:4" ht="14.25" customHeight="1" x14ac:dyDescent="0.25">
      <c r="A899" s="12">
        <v>2442502.9169700001</v>
      </c>
      <c r="B899" s="12" t="s">
        <v>1666</v>
      </c>
      <c r="C899" s="12">
        <v>11.205625</v>
      </c>
      <c r="D899" s="12"/>
    </row>
    <row r="900" spans="1:4" ht="14.25" customHeight="1" x14ac:dyDescent="0.25">
      <c r="A900" s="12">
        <v>2442516.9746599998</v>
      </c>
      <c r="B900" s="12" t="s">
        <v>1667</v>
      </c>
      <c r="C900" s="12">
        <v>11.507</v>
      </c>
      <c r="D900" s="12"/>
    </row>
    <row r="901" spans="1:4" ht="14.25" customHeight="1" x14ac:dyDescent="0.25">
      <c r="A901" s="12">
        <v>2442537.3917200002</v>
      </c>
      <c r="B901" s="12" t="s">
        <v>1668</v>
      </c>
      <c r="C901" s="12">
        <v>11.303333</v>
      </c>
      <c r="D901" s="12"/>
    </row>
    <row r="902" spans="1:4" ht="14.25" customHeight="1" x14ac:dyDescent="0.25">
      <c r="A902" s="12">
        <v>2442549.42821</v>
      </c>
      <c r="B902" s="12" t="s">
        <v>1669</v>
      </c>
      <c r="C902" s="12">
        <v>11.161111</v>
      </c>
      <c r="D902" s="12"/>
    </row>
    <row r="903" spans="1:4" ht="14.25" customHeight="1" x14ac:dyDescent="0.25">
      <c r="A903" s="12">
        <v>2442568.04207</v>
      </c>
      <c r="B903" s="12" t="s">
        <v>1670</v>
      </c>
      <c r="C903" s="12">
        <v>11.106828999999999</v>
      </c>
      <c r="D903" s="12"/>
    </row>
    <row r="904" spans="1:4" ht="14.25" customHeight="1" x14ac:dyDescent="0.25">
      <c r="A904" s="12">
        <v>2442579.0689300001</v>
      </c>
      <c r="B904" s="12" t="s">
        <v>1671</v>
      </c>
      <c r="C904" s="12">
        <v>11.226922999999999</v>
      </c>
      <c r="D904" s="12"/>
    </row>
    <row r="905" spans="1:4" ht="14.25" customHeight="1" x14ac:dyDescent="0.25">
      <c r="A905" s="12">
        <v>2442596.2321100002</v>
      </c>
      <c r="B905" s="12" t="s">
        <v>1672</v>
      </c>
      <c r="C905" s="12">
        <v>11.180173999999999</v>
      </c>
      <c r="D905" s="12"/>
    </row>
    <row r="906" spans="1:4" ht="14.25" customHeight="1" x14ac:dyDescent="0.25">
      <c r="A906" s="12">
        <v>2442609.9569199998</v>
      </c>
      <c r="B906" s="12" t="s">
        <v>1673</v>
      </c>
      <c r="C906" s="12">
        <v>11.031385</v>
      </c>
      <c r="D906" s="12"/>
    </row>
    <row r="907" spans="1:4" ht="14.25" customHeight="1" x14ac:dyDescent="0.25">
      <c r="A907" s="12">
        <v>2442626.7728200001</v>
      </c>
      <c r="B907" s="12" t="s">
        <v>1674</v>
      </c>
      <c r="C907" s="12">
        <v>10.990938999999999</v>
      </c>
      <c r="D907" s="12"/>
    </row>
    <row r="908" spans="1:4" ht="14.25" customHeight="1" x14ac:dyDescent="0.25">
      <c r="A908" s="12">
        <v>2442640.1533900001</v>
      </c>
      <c r="B908" s="12" t="s">
        <v>1675</v>
      </c>
      <c r="C908" s="12">
        <v>10.925796999999999</v>
      </c>
      <c r="D908" s="12"/>
    </row>
    <row r="909" spans="1:4" ht="14.25" customHeight="1" x14ac:dyDescent="0.25">
      <c r="A909" s="12">
        <v>2442657.0608299999</v>
      </c>
      <c r="B909" s="12" t="s">
        <v>1676</v>
      </c>
      <c r="C909" s="12">
        <v>10.727293</v>
      </c>
      <c r="D909" s="12"/>
    </row>
    <row r="910" spans="1:4" ht="14.25" customHeight="1" x14ac:dyDescent="0.25">
      <c r="A910" s="12">
        <v>2442669.3851999999</v>
      </c>
      <c r="B910" s="12" t="s">
        <v>1677</v>
      </c>
      <c r="C910" s="12">
        <v>10.623635999999999</v>
      </c>
      <c r="D910" s="12"/>
    </row>
    <row r="911" spans="1:4" ht="14.25" customHeight="1" x14ac:dyDescent="0.25">
      <c r="A911" s="12">
        <v>2442687.7048999998</v>
      </c>
      <c r="B911" s="12" t="s">
        <v>1678</v>
      </c>
      <c r="C911" s="12">
        <v>10.810211000000001</v>
      </c>
      <c r="D911" s="12"/>
    </row>
    <row r="912" spans="1:4" ht="14.25" customHeight="1" x14ac:dyDescent="0.25">
      <c r="A912" s="12">
        <v>2442702.3256100002</v>
      </c>
      <c r="B912" s="12" t="s">
        <v>1679</v>
      </c>
      <c r="C912" s="12">
        <v>10.905263</v>
      </c>
      <c r="D912" s="12"/>
    </row>
    <row r="913" spans="1:4" ht="14.25" customHeight="1" x14ac:dyDescent="0.25">
      <c r="A913" s="12">
        <v>2442716.5898099998</v>
      </c>
      <c r="B913" s="12" t="s">
        <v>1680</v>
      </c>
      <c r="C913" s="12">
        <v>10.910952</v>
      </c>
      <c r="D913" s="12"/>
    </row>
    <row r="914" spans="1:4" ht="14.25" customHeight="1" x14ac:dyDescent="0.25">
      <c r="A914" s="12">
        <v>2442733.1843300001</v>
      </c>
      <c r="B914" s="12" t="s">
        <v>1681</v>
      </c>
      <c r="C914" s="12">
        <v>10.379167000000001</v>
      </c>
      <c r="D914" s="12"/>
    </row>
    <row r="915" spans="1:4" ht="14.25" customHeight="1" x14ac:dyDescent="0.25">
      <c r="A915" s="12">
        <v>2442785</v>
      </c>
      <c r="B915" s="12" t="s">
        <v>1682</v>
      </c>
      <c r="C915" s="12">
        <v>10.1</v>
      </c>
      <c r="D915" s="12"/>
    </row>
    <row r="916" spans="1:4" ht="14.25" customHeight="1" x14ac:dyDescent="0.25">
      <c r="A916" s="12">
        <v>2442814.0687899999</v>
      </c>
      <c r="B916" s="12" t="s">
        <v>1683</v>
      </c>
      <c r="C916" s="12">
        <v>10.928750000000001</v>
      </c>
      <c r="D916" s="12"/>
    </row>
    <row r="917" spans="1:4" ht="14.25" customHeight="1" x14ac:dyDescent="0.25">
      <c r="A917" s="12">
        <v>2442827.2237900002</v>
      </c>
      <c r="B917" s="12" t="s">
        <v>1684</v>
      </c>
      <c r="C917" s="12">
        <v>11.006154</v>
      </c>
      <c r="D917" s="12"/>
    </row>
    <row r="918" spans="1:4" ht="14.25" customHeight="1" x14ac:dyDescent="0.25">
      <c r="A918" s="12">
        <v>2442842.1534699998</v>
      </c>
      <c r="B918" s="12" t="s">
        <v>1685</v>
      </c>
      <c r="C918" s="12">
        <v>11.400952</v>
      </c>
      <c r="D918" s="12"/>
    </row>
    <row r="919" spans="1:4" ht="14.25" customHeight="1" x14ac:dyDescent="0.25">
      <c r="A919" s="12">
        <v>2442868.2411600002</v>
      </c>
      <c r="B919" s="12" t="s">
        <v>1686</v>
      </c>
      <c r="C919" s="12">
        <v>11.2448</v>
      </c>
      <c r="D919" s="12"/>
    </row>
    <row r="920" spans="1:4" ht="14.25" customHeight="1" x14ac:dyDescent="0.25">
      <c r="A920" s="12">
        <v>2442877.9029700002</v>
      </c>
      <c r="B920" s="12" t="s">
        <v>1687</v>
      </c>
      <c r="C920" s="12">
        <v>11.201905</v>
      </c>
      <c r="D920" s="12"/>
    </row>
    <row r="921" spans="1:4" ht="14.25" customHeight="1" x14ac:dyDescent="0.25">
      <c r="A921" s="12">
        <v>2442895.3852200001</v>
      </c>
      <c r="B921" s="12" t="s">
        <v>1688</v>
      </c>
      <c r="C921" s="12">
        <v>11.278888999999999</v>
      </c>
      <c r="D921" s="12"/>
    </row>
    <row r="922" spans="1:4" ht="14.25" customHeight="1" x14ac:dyDescent="0.25">
      <c r="A922" s="12">
        <v>2442910.30113</v>
      </c>
      <c r="B922" s="12" t="s">
        <v>1689</v>
      </c>
      <c r="C922" s="12">
        <v>11.303421</v>
      </c>
      <c r="D922" s="12"/>
    </row>
    <row r="923" spans="1:4" ht="14.25" customHeight="1" x14ac:dyDescent="0.25">
      <c r="A923" s="12">
        <v>2442927.1528099999</v>
      </c>
      <c r="B923" s="12" t="s">
        <v>1690</v>
      </c>
      <c r="C923" s="12">
        <v>11.2378</v>
      </c>
      <c r="D923" s="12"/>
    </row>
    <row r="924" spans="1:4" ht="14.25" customHeight="1" x14ac:dyDescent="0.25">
      <c r="A924" s="12">
        <v>2442940.0244300002</v>
      </c>
      <c r="B924" s="12" t="s">
        <v>1691</v>
      </c>
      <c r="C924" s="12">
        <v>11.202059</v>
      </c>
      <c r="D924" s="12"/>
    </row>
    <row r="925" spans="1:4" ht="14.25" customHeight="1" x14ac:dyDescent="0.25">
      <c r="A925" s="12">
        <v>2442957.8788999999</v>
      </c>
      <c r="B925" s="12" t="s">
        <v>105</v>
      </c>
      <c r="C925" s="12">
        <v>10.939524</v>
      </c>
      <c r="D925" s="12"/>
    </row>
    <row r="926" spans="1:4" ht="14.25" customHeight="1" x14ac:dyDescent="0.25">
      <c r="A926" s="12">
        <v>2442972.8537099999</v>
      </c>
      <c r="B926" s="12" t="s">
        <v>1692</v>
      </c>
      <c r="C926" s="12">
        <v>10.773605</v>
      </c>
      <c r="D926" s="12"/>
    </row>
    <row r="927" spans="1:4" ht="14.25" customHeight="1" x14ac:dyDescent="0.25">
      <c r="A927" s="12">
        <v>2442988.2866699998</v>
      </c>
      <c r="B927" s="12" t="s">
        <v>106</v>
      </c>
      <c r="C927" s="12">
        <v>10.422523</v>
      </c>
      <c r="D927" s="12"/>
    </row>
    <row r="928" spans="1:4" ht="14.25" customHeight="1" x14ac:dyDescent="0.25">
      <c r="A928" s="12">
        <v>2443003.27783</v>
      </c>
      <c r="B928" s="12" t="s">
        <v>1693</v>
      </c>
      <c r="C928" s="12">
        <v>10.841474</v>
      </c>
      <c r="D928" s="12"/>
    </row>
    <row r="929" spans="1:4" ht="14.25" customHeight="1" x14ac:dyDescent="0.25">
      <c r="A929" s="12">
        <v>2443016.0445099999</v>
      </c>
      <c r="B929" s="12" t="s">
        <v>1694</v>
      </c>
      <c r="C929" s="12">
        <v>10.922344000000001</v>
      </c>
      <c r="D929" s="12"/>
    </row>
    <row r="930" spans="1:4" ht="14.25" customHeight="1" x14ac:dyDescent="0.25">
      <c r="A930" s="12">
        <v>2443030.7877500001</v>
      </c>
      <c r="B930" s="12" t="s">
        <v>1695</v>
      </c>
      <c r="C930" s="12">
        <v>10.932459</v>
      </c>
      <c r="D930" s="12"/>
    </row>
    <row r="931" spans="1:4" ht="14.25" customHeight="1" x14ac:dyDescent="0.25">
      <c r="A931" s="12">
        <v>2443046.2173600001</v>
      </c>
      <c r="B931" s="12" t="s">
        <v>1696</v>
      </c>
      <c r="C931" s="12">
        <v>10.912373000000001</v>
      </c>
      <c r="D931" s="12"/>
    </row>
    <row r="932" spans="1:4" ht="14.25" customHeight="1" x14ac:dyDescent="0.25">
      <c r="A932" s="12">
        <v>2443064.3555600001</v>
      </c>
      <c r="B932" s="12" t="s">
        <v>1697</v>
      </c>
      <c r="C932" s="12">
        <v>10.856596</v>
      </c>
      <c r="D932" s="12"/>
    </row>
    <row r="933" spans="1:4" ht="14.25" customHeight="1" x14ac:dyDescent="0.25">
      <c r="A933" s="12">
        <v>2443078.8492200002</v>
      </c>
      <c r="B933" s="12" t="s">
        <v>1698</v>
      </c>
      <c r="C933" s="12">
        <v>10.937586</v>
      </c>
      <c r="D933" s="12"/>
    </row>
    <row r="934" spans="1:4" ht="14.25" customHeight="1" x14ac:dyDescent="0.25">
      <c r="A934" s="12">
        <v>2443095.9465200002</v>
      </c>
      <c r="B934" s="12" t="s">
        <v>1699</v>
      </c>
      <c r="C934" s="12">
        <v>11.012499999999999</v>
      </c>
      <c r="D934" s="12"/>
    </row>
    <row r="935" spans="1:4" ht="14.25" customHeight="1" x14ac:dyDescent="0.25">
      <c r="A935" s="12">
        <v>2443168.46</v>
      </c>
      <c r="B935" s="12" t="s">
        <v>1700</v>
      </c>
      <c r="C935" s="12">
        <v>11.3</v>
      </c>
      <c r="D935" s="12"/>
    </row>
    <row r="936" spans="1:4" ht="14.25" customHeight="1" x14ac:dyDescent="0.25">
      <c r="A936" s="12">
        <v>2443180.8659999999</v>
      </c>
      <c r="B936" s="12" t="s">
        <v>1701</v>
      </c>
      <c r="C936" s="12">
        <v>11.4</v>
      </c>
      <c r="D936" s="12"/>
    </row>
    <row r="937" spans="1:4" ht="14.25" customHeight="1" x14ac:dyDescent="0.25">
      <c r="A937" s="12">
        <v>2443196.8050000002</v>
      </c>
      <c r="B937" s="12" t="s">
        <v>1702</v>
      </c>
      <c r="C937" s="12">
        <v>11.625</v>
      </c>
      <c r="D937" s="12"/>
    </row>
    <row r="938" spans="1:4" ht="14.25" customHeight="1" x14ac:dyDescent="0.25">
      <c r="A938" s="12">
        <v>2443221.4971400001</v>
      </c>
      <c r="B938" s="12" t="s">
        <v>1703</v>
      </c>
      <c r="C938" s="12">
        <v>11.5</v>
      </c>
      <c r="D938" s="12"/>
    </row>
    <row r="939" spans="1:4" ht="14.25" customHeight="1" x14ac:dyDescent="0.25">
      <c r="A939" s="12">
        <v>2443232.639</v>
      </c>
      <c r="B939" s="12" t="s">
        <v>1704</v>
      </c>
      <c r="C939" s="12">
        <v>11.74</v>
      </c>
      <c r="D939" s="12"/>
    </row>
    <row r="940" spans="1:4" ht="14.25" customHeight="1" x14ac:dyDescent="0.25">
      <c r="A940" s="12">
        <v>2443251.85573</v>
      </c>
      <c r="B940" s="12" t="s">
        <v>1705</v>
      </c>
      <c r="C940" s="12">
        <v>12.17</v>
      </c>
      <c r="D940" s="12"/>
    </row>
    <row r="941" spans="1:4" ht="14.25" customHeight="1" x14ac:dyDescent="0.25">
      <c r="A941" s="12">
        <v>2443267.6133300001</v>
      </c>
      <c r="B941" s="12" t="s">
        <v>1706</v>
      </c>
      <c r="C941" s="12">
        <v>12.133333</v>
      </c>
      <c r="D941" s="12"/>
    </row>
    <row r="942" spans="1:4" ht="14.25" customHeight="1" x14ac:dyDescent="0.25">
      <c r="A942" s="12">
        <v>2443284.68958</v>
      </c>
      <c r="B942" s="12" t="s">
        <v>1707</v>
      </c>
      <c r="C942" s="12">
        <v>11.834667</v>
      </c>
      <c r="D942" s="12"/>
    </row>
    <row r="943" spans="1:4" ht="14.25" customHeight="1" x14ac:dyDescent="0.25">
      <c r="A943" s="12">
        <v>2443298.2702500001</v>
      </c>
      <c r="B943" s="12" t="s">
        <v>1708</v>
      </c>
      <c r="C943" s="12">
        <v>11.995111</v>
      </c>
      <c r="D943" s="12"/>
    </row>
    <row r="944" spans="1:4" ht="14.25" customHeight="1" x14ac:dyDescent="0.25">
      <c r="A944" s="12">
        <v>2443315.13008</v>
      </c>
      <c r="B944" s="12" t="s">
        <v>1709</v>
      </c>
      <c r="C944" s="12">
        <v>11.953488</v>
      </c>
      <c r="D944" s="12"/>
    </row>
    <row r="945" spans="1:4" ht="14.25" customHeight="1" x14ac:dyDescent="0.25">
      <c r="A945" s="12">
        <v>2443333.2881399998</v>
      </c>
      <c r="B945" s="12" t="s">
        <v>1710</v>
      </c>
      <c r="C945" s="12">
        <v>11.489710000000001</v>
      </c>
      <c r="D945" s="12"/>
    </row>
    <row r="946" spans="1:4" ht="14.25" customHeight="1" x14ac:dyDescent="0.25">
      <c r="A946" s="12">
        <v>2443345.4336999999</v>
      </c>
      <c r="B946" s="12" t="s">
        <v>1711</v>
      </c>
      <c r="C946" s="12">
        <v>11.565659999999999</v>
      </c>
      <c r="D946" s="12"/>
    </row>
    <row r="947" spans="1:4" ht="14.25" customHeight="1" x14ac:dyDescent="0.25">
      <c r="A947" s="12">
        <v>2443363.5392700001</v>
      </c>
      <c r="B947" s="12" t="s">
        <v>1712</v>
      </c>
      <c r="C947" s="12">
        <v>11.482449000000001</v>
      </c>
      <c r="D947" s="12"/>
    </row>
    <row r="948" spans="1:4" ht="14.25" customHeight="1" x14ac:dyDescent="0.25">
      <c r="A948" s="12">
        <v>2443376.8747299998</v>
      </c>
      <c r="B948" s="12" t="s">
        <v>1713</v>
      </c>
      <c r="C948" s="12">
        <v>11.512</v>
      </c>
      <c r="D948" s="12"/>
    </row>
    <row r="949" spans="1:4" ht="14.25" customHeight="1" x14ac:dyDescent="0.25">
      <c r="A949" s="12">
        <v>2443394.6595000001</v>
      </c>
      <c r="B949" s="12" t="s">
        <v>1714</v>
      </c>
      <c r="C949" s="12">
        <v>11.418824000000001</v>
      </c>
      <c r="D949" s="12"/>
    </row>
    <row r="950" spans="1:4" ht="14.25" customHeight="1" x14ac:dyDescent="0.25">
      <c r="A950" s="12">
        <v>2443409.2835900001</v>
      </c>
      <c r="B950" s="12" t="s">
        <v>1715</v>
      </c>
      <c r="C950" s="12">
        <v>11.526471000000001</v>
      </c>
      <c r="D950" s="12"/>
    </row>
    <row r="951" spans="1:4" ht="14.25" customHeight="1" x14ac:dyDescent="0.25">
      <c r="A951" s="12">
        <v>2443424.6323199999</v>
      </c>
      <c r="B951" s="12" t="s">
        <v>1716</v>
      </c>
      <c r="C951" s="12">
        <v>11.514545</v>
      </c>
      <c r="D951" s="12"/>
    </row>
    <row r="952" spans="1:4" ht="14.25" customHeight="1" x14ac:dyDescent="0.25">
      <c r="A952" s="12">
        <v>2443442.0590900001</v>
      </c>
      <c r="B952" s="12" t="s">
        <v>107</v>
      </c>
      <c r="C952" s="12">
        <v>11.454545</v>
      </c>
      <c r="D952" s="12"/>
    </row>
    <row r="953" spans="1:4" ht="14.25" customHeight="1" x14ac:dyDescent="0.25">
      <c r="A953" s="12">
        <v>2443458.67</v>
      </c>
      <c r="B953" s="12" t="s">
        <v>1717</v>
      </c>
      <c r="C953" s="12">
        <v>11.737500000000001</v>
      </c>
      <c r="D953" s="12"/>
    </row>
    <row r="954" spans="1:4" ht="14.25" customHeight="1" x14ac:dyDescent="0.25">
      <c r="A954" s="12">
        <v>2443558.2000000002</v>
      </c>
      <c r="B954" s="12" t="s">
        <v>1718</v>
      </c>
      <c r="C954" s="12">
        <v>11.7</v>
      </c>
      <c r="D954" s="12"/>
    </row>
    <row r="955" spans="1:4" ht="14.25" customHeight="1" x14ac:dyDescent="0.25">
      <c r="A955" s="12">
        <v>2443579.0318300002</v>
      </c>
      <c r="B955" s="12" t="s">
        <v>1719</v>
      </c>
      <c r="C955" s="12">
        <v>11.65</v>
      </c>
      <c r="D955" s="12"/>
    </row>
    <row r="956" spans="1:4" ht="14.25" customHeight="1" x14ac:dyDescent="0.25">
      <c r="A956" s="12">
        <v>2443589.5500500002</v>
      </c>
      <c r="B956" s="12" t="s">
        <v>1720</v>
      </c>
      <c r="C956" s="12">
        <v>11.82381</v>
      </c>
      <c r="D956" s="12"/>
    </row>
    <row r="957" spans="1:4" ht="14.25" customHeight="1" x14ac:dyDescent="0.25">
      <c r="A957" s="12">
        <v>2443608.105</v>
      </c>
      <c r="B957" s="12" t="s">
        <v>1721</v>
      </c>
      <c r="C957" s="12">
        <v>11.528570999999999</v>
      </c>
      <c r="D957" s="12"/>
    </row>
    <row r="958" spans="1:4" ht="14.25" customHeight="1" x14ac:dyDescent="0.25">
      <c r="A958" s="12">
        <v>2443623.6916999999</v>
      </c>
      <c r="B958" s="12" t="s">
        <v>1722</v>
      </c>
      <c r="C958" s="12">
        <v>11.516667</v>
      </c>
      <c r="D958" s="12"/>
    </row>
    <row r="959" spans="1:4" ht="14.25" customHeight="1" x14ac:dyDescent="0.25">
      <c r="A959" s="12">
        <v>2443640.5019800002</v>
      </c>
      <c r="B959" s="12" t="s">
        <v>1723</v>
      </c>
      <c r="C959" s="12">
        <v>11.775789</v>
      </c>
      <c r="D959" s="12"/>
    </row>
    <row r="960" spans="1:4" ht="14.25" customHeight="1" x14ac:dyDescent="0.25">
      <c r="A960" s="12">
        <v>2443657.0883800001</v>
      </c>
      <c r="B960" s="12" t="s">
        <v>1724</v>
      </c>
      <c r="C960" s="12">
        <v>11.772221999999999</v>
      </c>
      <c r="D960" s="12"/>
    </row>
    <row r="961" spans="1:4" ht="14.25" customHeight="1" x14ac:dyDescent="0.25">
      <c r="A961" s="12">
        <v>2443669.0162399998</v>
      </c>
      <c r="B961" s="12" t="s">
        <v>1725</v>
      </c>
      <c r="C961" s="12">
        <v>11.842041</v>
      </c>
      <c r="D961" s="12"/>
    </row>
    <row r="962" spans="1:4" ht="14.25" customHeight="1" x14ac:dyDescent="0.25">
      <c r="A962" s="12">
        <v>2443686.6536900001</v>
      </c>
      <c r="B962" s="12" t="s">
        <v>1726</v>
      </c>
      <c r="C962" s="12">
        <v>11.834667</v>
      </c>
      <c r="D962" s="12"/>
    </row>
    <row r="963" spans="1:4" ht="14.25" customHeight="1" x14ac:dyDescent="0.25">
      <c r="A963" s="12">
        <v>2443699.2525399998</v>
      </c>
      <c r="B963" s="12" t="s">
        <v>1727</v>
      </c>
      <c r="C963" s="12">
        <v>11.784286</v>
      </c>
      <c r="D963" s="12"/>
    </row>
    <row r="964" spans="1:4" ht="14.25" customHeight="1" x14ac:dyDescent="0.25">
      <c r="A964" s="12">
        <v>2443719.4145</v>
      </c>
      <c r="B964" s="12" t="s">
        <v>1728</v>
      </c>
      <c r="C964" s="12">
        <v>11.902174</v>
      </c>
      <c r="D964" s="12"/>
    </row>
    <row r="965" spans="1:4" ht="14.25" customHeight="1" x14ac:dyDescent="0.25">
      <c r="A965" s="12">
        <v>2443733.05375</v>
      </c>
      <c r="B965" s="12" t="s">
        <v>1729</v>
      </c>
      <c r="C965" s="12">
        <v>11.916667</v>
      </c>
      <c r="D965" s="12"/>
    </row>
    <row r="966" spans="1:4" ht="14.25" customHeight="1" x14ac:dyDescent="0.25">
      <c r="A966" s="12">
        <v>2443748.5613000002</v>
      </c>
      <c r="B966" s="12" t="s">
        <v>1730</v>
      </c>
      <c r="C966" s="12">
        <v>11.971667</v>
      </c>
      <c r="D966" s="12"/>
    </row>
    <row r="967" spans="1:4" ht="14.25" customHeight="1" x14ac:dyDescent="0.25">
      <c r="A967" s="12">
        <v>2443759.9733600002</v>
      </c>
      <c r="B967" s="12" t="s">
        <v>1731</v>
      </c>
      <c r="C967" s="12">
        <v>11.998094999999999</v>
      </c>
      <c r="D967" s="12"/>
    </row>
    <row r="968" spans="1:4" ht="14.25" customHeight="1" x14ac:dyDescent="0.25">
      <c r="A968" s="12">
        <v>2443778.3836599998</v>
      </c>
      <c r="B968" s="12" t="s">
        <v>108</v>
      </c>
      <c r="C968" s="12">
        <v>12.217143</v>
      </c>
      <c r="D968" s="12"/>
    </row>
    <row r="969" spans="1:4" ht="14.25" customHeight="1" x14ac:dyDescent="0.25">
      <c r="A969" s="12">
        <v>2443793.0715700001</v>
      </c>
      <c r="B969" s="12" t="s">
        <v>1732</v>
      </c>
      <c r="C969" s="12">
        <v>12.227143</v>
      </c>
      <c r="D969" s="12"/>
    </row>
    <row r="970" spans="1:4" ht="14.25" customHeight="1" x14ac:dyDescent="0.25">
      <c r="A970" s="12">
        <v>2443810.3081800002</v>
      </c>
      <c r="B970" s="12" t="s">
        <v>109</v>
      </c>
      <c r="C970" s="12">
        <v>12.087308</v>
      </c>
      <c r="D970" s="12"/>
    </row>
    <row r="971" spans="1:4" ht="14.25" customHeight="1" x14ac:dyDescent="0.25">
      <c r="A971" s="12">
        <v>2443826.9433300002</v>
      </c>
      <c r="B971" s="12" t="s">
        <v>1733</v>
      </c>
      <c r="C971" s="12">
        <v>11.966666999999999</v>
      </c>
      <c r="D971" s="12"/>
    </row>
    <row r="972" spans="1:4" ht="14.25" customHeight="1" x14ac:dyDescent="0.25">
      <c r="A972" s="12">
        <v>2443899.7000000002</v>
      </c>
      <c r="B972" s="12" t="s">
        <v>1734</v>
      </c>
      <c r="C972" s="12">
        <v>11.8</v>
      </c>
      <c r="D972" s="12"/>
    </row>
    <row r="973" spans="1:4" ht="14.25" customHeight="1" x14ac:dyDescent="0.25">
      <c r="A973" s="12">
        <v>2443916.1409499999</v>
      </c>
      <c r="B973" s="12" t="s">
        <v>1735</v>
      </c>
      <c r="C973" s="12">
        <v>11.695</v>
      </c>
      <c r="D973" s="12"/>
    </row>
    <row r="974" spans="1:4" ht="14.25" customHeight="1" x14ac:dyDescent="0.25">
      <c r="A974" s="12">
        <v>2443933.2733</v>
      </c>
      <c r="B974" s="12" t="s">
        <v>110</v>
      </c>
      <c r="C974" s="12">
        <v>11.918571</v>
      </c>
      <c r="D974" s="12"/>
    </row>
    <row r="975" spans="1:4" ht="14.25" customHeight="1" x14ac:dyDescent="0.25">
      <c r="A975" s="12">
        <v>2443958.4</v>
      </c>
      <c r="B975" s="12" t="s">
        <v>1736</v>
      </c>
      <c r="C975" s="12">
        <v>11.666667</v>
      </c>
      <c r="D975" s="12"/>
    </row>
    <row r="976" spans="1:4" ht="14.25" customHeight="1" x14ac:dyDescent="0.25">
      <c r="A976" s="12">
        <v>2443969.9794700001</v>
      </c>
      <c r="B976" s="12" t="s">
        <v>1737</v>
      </c>
      <c r="C976" s="12">
        <v>11.382857</v>
      </c>
      <c r="D976" s="12"/>
    </row>
    <row r="977" spans="1:4" ht="14.25" customHeight="1" x14ac:dyDescent="0.25">
      <c r="A977" s="12">
        <v>2443991.12115</v>
      </c>
      <c r="B977" s="12" t="s">
        <v>1738</v>
      </c>
      <c r="C977" s="12">
        <v>11.877777999999999</v>
      </c>
      <c r="D977" s="12"/>
    </row>
    <row r="978" spans="1:4" ht="14.25" customHeight="1" x14ac:dyDescent="0.25">
      <c r="A978" s="12">
        <v>2444006.9840699998</v>
      </c>
      <c r="B978" s="12" t="s">
        <v>1739</v>
      </c>
      <c r="C978" s="12">
        <v>11.774167</v>
      </c>
      <c r="D978" s="12"/>
    </row>
    <row r="979" spans="1:4" ht="14.25" customHeight="1" x14ac:dyDescent="0.25">
      <c r="A979" s="12">
        <v>2444021.7954899999</v>
      </c>
      <c r="B979" s="12" t="s">
        <v>1740</v>
      </c>
      <c r="C979" s="12">
        <v>11.845946</v>
      </c>
      <c r="D979" s="12"/>
    </row>
    <row r="980" spans="1:4" ht="14.25" customHeight="1" x14ac:dyDescent="0.25">
      <c r="A980" s="12">
        <v>2444038.06122</v>
      </c>
      <c r="B980" s="12" t="s">
        <v>1741</v>
      </c>
      <c r="C980" s="12">
        <v>11.721622</v>
      </c>
      <c r="D980" s="12"/>
    </row>
    <row r="981" spans="1:4" ht="14.25" customHeight="1" x14ac:dyDescent="0.25">
      <c r="A981" s="12">
        <v>2444050.4110400002</v>
      </c>
      <c r="B981" s="12" t="s">
        <v>1742</v>
      </c>
      <c r="C981" s="12">
        <v>11.497332999999999</v>
      </c>
      <c r="D981" s="12"/>
    </row>
    <row r="982" spans="1:4" ht="14.25" customHeight="1" x14ac:dyDescent="0.25">
      <c r="A982" s="12">
        <v>2444067.4428699999</v>
      </c>
      <c r="B982" s="12" t="s">
        <v>111</v>
      </c>
      <c r="C982" s="12">
        <v>11.668571</v>
      </c>
      <c r="D982" s="12"/>
    </row>
    <row r="983" spans="1:4" ht="14.25" customHeight="1" x14ac:dyDescent="0.25">
      <c r="A983" s="12">
        <v>2444080.6526100002</v>
      </c>
      <c r="B983" s="12" t="s">
        <v>1743</v>
      </c>
      <c r="C983" s="12">
        <v>11.852308000000001</v>
      </c>
      <c r="D983" s="12"/>
    </row>
    <row r="984" spans="1:4" ht="14.25" customHeight="1" x14ac:dyDescent="0.25">
      <c r="A984" s="12">
        <v>2444098.7392099998</v>
      </c>
      <c r="B984" s="12" t="s">
        <v>1744</v>
      </c>
      <c r="C984" s="12">
        <v>11.52093</v>
      </c>
      <c r="D984" s="12"/>
    </row>
    <row r="985" spans="1:4" ht="14.25" customHeight="1" x14ac:dyDescent="0.25">
      <c r="A985" s="12">
        <v>2444110.8666300001</v>
      </c>
      <c r="B985" s="12" t="s">
        <v>1745</v>
      </c>
      <c r="C985" s="12">
        <v>11.48475</v>
      </c>
      <c r="D985" s="12"/>
    </row>
    <row r="986" spans="1:4" ht="14.25" customHeight="1" x14ac:dyDescent="0.25">
      <c r="A986" s="12">
        <v>2444129.3737499998</v>
      </c>
      <c r="B986" s="12" t="s">
        <v>1746</v>
      </c>
      <c r="C986" s="12">
        <v>11.824</v>
      </c>
      <c r="D986" s="12"/>
    </row>
    <row r="987" spans="1:4" ht="14.25" customHeight="1" x14ac:dyDescent="0.25">
      <c r="A987" s="12">
        <v>2444140.9984200001</v>
      </c>
      <c r="B987" s="12" t="s">
        <v>112</v>
      </c>
      <c r="C987" s="12">
        <v>11.635286000000001</v>
      </c>
      <c r="D987" s="12"/>
    </row>
    <row r="988" spans="1:4" ht="14.25" customHeight="1" x14ac:dyDescent="0.25">
      <c r="A988" s="12">
        <v>2444159.13423</v>
      </c>
      <c r="B988" s="12" t="s">
        <v>1747</v>
      </c>
      <c r="C988" s="12">
        <v>11.728</v>
      </c>
      <c r="D988" s="12"/>
    </row>
    <row r="989" spans="1:4" ht="14.25" customHeight="1" x14ac:dyDescent="0.25">
      <c r="A989" s="12">
        <v>2444170.4312</v>
      </c>
      <c r="B989" s="12" t="s">
        <v>1748</v>
      </c>
      <c r="C989" s="12">
        <v>11.899048000000001</v>
      </c>
      <c r="D989" s="12"/>
    </row>
    <row r="990" spans="1:4" ht="14.25" customHeight="1" x14ac:dyDescent="0.25">
      <c r="A990" s="12">
        <v>2444191.4803300002</v>
      </c>
      <c r="B990" s="12" t="s">
        <v>113</v>
      </c>
      <c r="C990" s="12">
        <v>11.802222</v>
      </c>
      <c r="D990" s="12"/>
    </row>
    <row r="991" spans="1:4" ht="14.25" customHeight="1" x14ac:dyDescent="0.25">
      <c r="A991" s="12">
        <v>2444262.7708000001</v>
      </c>
      <c r="B991" s="12" t="s">
        <v>1749</v>
      </c>
      <c r="C991" s="12">
        <v>11.32</v>
      </c>
      <c r="D991" s="12"/>
    </row>
    <row r="992" spans="1:4" ht="14.25" customHeight="1" x14ac:dyDescent="0.25">
      <c r="A992" s="12">
        <v>2444279.7541</v>
      </c>
      <c r="B992" s="12" t="s">
        <v>1750</v>
      </c>
      <c r="C992" s="12">
        <v>11.28</v>
      </c>
      <c r="D992" s="12"/>
    </row>
    <row r="993" spans="1:4" ht="14.25" customHeight="1" x14ac:dyDescent="0.25">
      <c r="A993" s="12">
        <v>2444293.3566700001</v>
      </c>
      <c r="B993" s="12" t="s">
        <v>1751</v>
      </c>
      <c r="C993" s="12">
        <v>11.7</v>
      </c>
      <c r="D993" s="12"/>
    </row>
    <row r="994" spans="1:4" ht="14.25" customHeight="1" x14ac:dyDescent="0.25">
      <c r="A994" s="12">
        <v>2444315.8933999999</v>
      </c>
      <c r="B994" s="12" t="s">
        <v>1752</v>
      </c>
      <c r="C994" s="12">
        <v>11.645</v>
      </c>
      <c r="D994" s="12"/>
    </row>
    <row r="995" spans="1:4" ht="14.25" customHeight="1" x14ac:dyDescent="0.25">
      <c r="A995" s="12">
        <v>2444333.3719899999</v>
      </c>
      <c r="B995" s="12" t="s">
        <v>1753</v>
      </c>
      <c r="C995" s="12">
        <v>11.528570999999999</v>
      </c>
      <c r="D995" s="12"/>
    </row>
    <row r="996" spans="1:4" ht="14.25" customHeight="1" x14ac:dyDescent="0.25">
      <c r="A996" s="12">
        <v>2444349.9458400002</v>
      </c>
      <c r="B996" s="12" t="s">
        <v>1754</v>
      </c>
      <c r="C996" s="12">
        <v>11.561429</v>
      </c>
      <c r="D996" s="12"/>
    </row>
    <row r="997" spans="1:4" ht="14.25" customHeight="1" x14ac:dyDescent="0.25">
      <c r="A997" s="12">
        <v>2444369.60036</v>
      </c>
      <c r="B997" s="12" t="s">
        <v>1755</v>
      </c>
      <c r="C997" s="12">
        <v>11.48625</v>
      </c>
      <c r="D997" s="12"/>
    </row>
    <row r="998" spans="1:4" ht="14.25" customHeight="1" x14ac:dyDescent="0.25">
      <c r="A998" s="12">
        <v>2444377.5593900001</v>
      </c>
      <c r="B998" s="12" t="s">
        <v>1756</v>
      </c>
      <c r="C998" s="12">
        <v>11.484999999999999</v>
      </c>
      <c r="D998" s="12"/>
    </row>
    <row r="999" spans="1:4" ht="14.25" customHeight="1" x14ac:dyDescent="0.25">
      <c r="A999" s="12">
        <v>2444396.4310300001</v>
      </c>
      <c r="B999" s="12" t="s">
        <v>1757</v>
      </c>
      <c r="C999" s="12">
        <v>11.543182</v>
      </c>
      <c r="D999" s="12"/>
    </row>
    <row r="1000" spans="1:4" ht="14.25" customHeight="1" x14ac:dyDescent="0.25">
      <c r="A1000" s="12">
        <v>2444407.9698399999</v>
      </c>
      <c r="B1000" s="12" t="s">
        <v>1758</v>
      </c>
      <c r="C1000" s="12">
        <v>11.688461999999999</v>
      </c>
      <c r="D1000" s="12"/>
    </row>
    <row r="1001" spans="1:4" ht="14.25" customHeight="1" x14ac:dyDescent="0.25">
      <c r="A1001" s="12">
        <v>2444427.5532800001</v>
      </c>
      <c r="B1001" s="12" t="s">
        <v>1759</v>
      </c>
      <c r="C1001" s="12">
        <v>11.800345</v>
      </c>
      <c r="D1001" s="12"/>
    </row>
    <row r="1002" spans="1:4" ht="14.25" customHeight="1" x14ac:dyDescent="0.25">
      <c r="A1002" s="12">
        <v>2444440.4139100001</v>
      </c>
      <c r="B1002" s="12" t="s">
        <v>1760</v>
      </c>
      <c r="C1002" s="12">
        <v>11.924614999999999</v>
      </c>
      <c r="D1002" s="12"/>
    </row>
    <row r="1003" spans="1:4" ht="14.25" customHeight="1" x14ac:dyDescent="0.25">
      <c r="A1003" s="12">
        <v>2444457.9337800001</v>
      </c>
      <c r="B1003" s="12" t="s">
        <v>1761</v>
      </c>
      <c r="C1003" s="12">
        <v>11.884</v>
      </c>
      <c r="D1003" s="12"/>
    </row>
    <row r="1004" spans="1:4" ht="14.25" customHeight="1" x14ac:dyDescent="0.25">
      <c r="A1004" s="12">
        <v>2444471.2146000001</v>
      </c>
      <c r="B1004" s="12" t="s">
        <v>1762</v>
      </c>
      <c r="C1004" s="12">
        <v>11.911795</v>
      </c>
      <c r="D1004" s="12"/>
    </row>
    <row r="1005" spans="1:4" ht="14.25" customHeight="1" x14ac:dyDescent="0.25">
      <c r="A1005" s="12">
        <v>2444487.7077600001</v>
      </c>
      <c r="B1005" s="12" t="s">
        <v>1763</v>
      </c>
      <c r="C1005" s="12">
        <v>12.106804</v>
      </c>
      <c r="D1005" s="12"/>
    </row>
    <row r="1006" spans="1:4" ht="14.25" customHeight="1" x14ac:dyDescent="0.25">
      <c r="A1006" s="12">
        <v>2444503.0092699998</v>
      </c>
      <c r="B1006" s="12" t="s">
        <v>1764</v>
      </c>
      <c r="C1006" s="12">
        <v>11.923488000000001</v>
      </c>
      <c r="D1006" s="12"/>
    </row>
    <row r="1007" spans="1:4" ht="14.25" customHeight="1" x14ac:dyDescent="0.25">
      <c r="A1007" s="12">
        <v>2444518.9718800001</v>
      </c>
      <c r="B1007" s="12" t="s">
        <v>1765</v>
      </c>
      <c r="C1007" s="12">
        <v>12.109394</v>
      </c>
      <c r="D1007" s="12"/>
    </row>
    <row r="1008" spans="1:4" ht="14.25" customHeight="1" x14ac:dyDescent="0.25">
      <c r="A1008" s="12">
        <v>2444532.2680899999</v>
      </c>
      <c r="B1008" s="12" t="s">
        <v>1766</v>
      </c>
      <c r="C1008" s="12">
        <v>12.0975</v>
      </c>
      <c r="D1008" s="12"/>
    </row>
    <row r="1009" spans="1:4" ht="14.25" customHeight="1" x14ac:dyDescent="0.25">
      <c r="A1009" s="12">
        <v>2444548.0043500001</v>
      </c>
      <c r="B1009" s="12" t="s">
        <v>1767</v>
      </c>
      <c r="C1009" s="12">
        <v>12.118421</v>
      </c>
      <c r="D1009" s="12"/>
    </row>
    <row r="1010" spans="1:4" ht="14.25" customHeight="1" x14ac:dyDescent="0.25">
      <c r="A1010" s="12">
        <v>2444644.2516800002</v>
      </c>
      <c r="B1010" s="12" t="s">
        <v>1768</v>
      </c>
      <c r="C1010" s="12">
        <v>11.793333000000001</v>
      </c>
      <c r="D1010" s="12"/>
    </row>
    <row r="1011" spans="1:4" ht="14.25" customHeight="1" x14ac:dyDescent="0.25">
      <c r="A1011" s="12">
        <v>2444653.3575400002</v>
      </c>
      <c r="B1011" s="12" t="s">
        <v>1769</v>
      </c>
      <c r="C1011" s="12">
        <v>11.675000000000001</v>
      </c>
      <c r="D1011" s="12"/>
    </row>
    <row r="1012" spans="1:4" ht="14.25" customHeight="1" x14ac:dyDescent="0.25">
      <c r="A1012" s="12">
        <v>2444675.6598</v>
      </c>
      <c r="B1012" s="12" t="s">
        <v>1770</v>
      </c>
      <c r="C1012" s="12">
        <v>11.512857</v>
      </c>
      <c r="D1012" s="12"/>
    </row>
    <row r="1013" spans="1:4" ht="14.25" customHeight="1" x14ac:dyDescent="0.25">
      <c r="A1013" s="12">
        <v>2444695.1397899999</v>
      </c>
      <c r="B1013" s="12" t="s">
        <v>1771</v>
      </c>
      <c r="C1013" s="12">
        <v>11.995832999999999</v>
      </c>
      <c r="D1013" s="12"/>
    </row>
    <row r="1014" spans="1:4" ht="14.25" customHeight="1" x14ac:dyDescent="0.25">
      <c r="A1014" s="12">
        <v>2444708.5784999998</v>
      </c>
      <c r="B1014" s="12" t="s">
        <v>1772</v>
      </c>
      <c r="C1014" s="12">
        <v>11.891667</v>
      </c>
      <c r="D1014" s="12"/>
    </row>
    <row r="1015" spans="1:4" ht="14.25" customHeight="1" x14ac:dyDescent="0.25">
      <c r="A1015" s="12">
        <v>2444727.5433999998</v>
      </c>
      <c r="B1015" s="12" t="s">
        <v>1773</v>
      </c>
      <c r="C1015" s="12">
        <v>11.839643000000001</v>
      </c>
      <c r="D1015" s="12"/>
    </row>
    <row r="1016" spans="1:4" ht="14.25" customHeight="1" x14ac:dyDescent="0.25">
      <c r="A1016" s="12">
        <v>2444740.2696699998</v>
      </c>
      <c r="B1016" s="12" t="s">
        <v>1774</v>
      </c>
      <c r="C1016" s="12">
        <v>11.880713999999999</v>
      </c>
      <c r="D1016" s="12"/>
    </row>
    <row r="1017" spans="1:4" ht="14.25" customHeight="1" x14ac:dyDescent="0.25">
      <c r="A1017" s="12">
        <v>2444758.5986600001</v>
      </c>
      <c r="B1017" s="12" t="s">
        <v>1775</v>
      </c>
      <c r="C1017" s="12">
        <v>11.914118</v>
      </c>
      <c r="D1017" s="12"/>
    </row>
    <row r="1018" spans="1:4" ht="14.25" customHeight="1" x14ac:dyDescent="0.25">
      <c r="A1018" s="12">
        <v>2444773.3604899999</v>
      </c>
      <c r="B1018" s="12" t="s">
        <v>1776</v>
      </c>
      <c r="C1018" s="12">
        <v>11.857105000000001</v>
      </c>
      <c r="D1018" s="12"/>
    </row>
    <row r="1019" spans="1:4" ht="14.25" customHeight="1" x14ac:dyDescent="0.25">
      <c r="A1019" s="12">
        <v>2444788.1647800002</v>
      </c>
      <c r="B1019" s="12" t="s">
        <v>1777</v>
      </c>
      <c r="C1019" s="12">
        <v>12.215195</v>
      </c>
      <c r="D1019" s="12"/>
    </row>
    <row r="1020" spans="1:4" ht="14.25" customHeight="1" x14ac:dyDescent="0.25">
      <c r="A1020" s="12">
        <v>2444804.0211999998</v>
      </c>
      <c r="B1020" s="12" t="s">
        <v>1778</v>
      </c>
      <c r="C1020" s="12">
        <v>12.099411999999999</v>
      </c>
      <c r="D1020" s="12"/>
    </row>
    <row r="1021" spans="1:4" ht="14.25" customHeight="1" x14ac:dyDescent="0.25">
      <c r="A1021" s="12">
        <v>2444817.3233699999</v>
      </c>
      <c r="B1021" s="12" t="s">
        <v>1779</v>
      </c>
      <c r="C1021" s="12">
        <v>11.876696000000001</v>
      </c>
      <c r="D1021" s="12"/>
    </row>
    <row r="1022" spans="1:4" ht="14.25" customHeight="1" x14ac:dyDescent="0.25">
      <c r="A1022" s="12">
        <v>2444835.3682200001</v>
      </c>
      <c r="B1022" s="12" t="s">
        <v>114</v>
      </c>
      <c r="C1022" s="12">
        <v>12.080399999999999</v>
      </c>
      <c r="D1022" s="12"/>
    </row>
    <row r="1023" spans="1:4" ht="14.25" customHeight="1" x14ac:dyDescent="0.25">
      <c r="A1023" s="12">
        <v>2444847.0562999998</v>
      </c>
      <c r="B1023" s="12" t="s">
        <v>1780</v>
      </c>
      <c r="C1023" s="12">
        <v>11.983214</v>
      </c>
      <c r="D1023" s="12"/>
    </row>
    <row r="1024" spans="1:4" ht="14.25" customHeight="1" x14ac:dyDescent="0.25">
      <c r="A1024" s="12">
        <v>2444865.2708299998</v>
      </c>
      <c r="B1024" s="12" t="s">
        <v>1781</v>
      </c>
      <c r="C1024" s="12">
        <v>11.948333</v>
      </c>
      <c r="D1024" s="12"/>
    </row>
    <row r="1025" spans="1:4" ht="14.25" customHeight="1" x14ac:dyDescent="0.25">
      <c r="A1025" s="12">
        <v>2444878.5214</v>
      </c>
      <c r="B1025" s="12" t="s">
        <v>1782</v>
      </c>
      <c r="C1025" s="12">
        <v>12.205741</v>
      </c>
      <c r="D1025" s="12"/>
    </row>
    <row r="1026" spans="1:4" ht="14.25" customHeight="1" x14ac:dyDescent="0.25">
      <c r="A1026" s="12">
        <v>2444895.6596400002</v>
      </c>
      <c r="B1026" s="12" t="s">
        <v>1783</v>
      </c>
      <c r="C1026" s="12">
        <v>11.964473999999999</v>
      </c>
      <c r="D1026" s="12"/>
    </row>
    <row r="1027" spans="1:4" ht="14.25" customHeight="1" x14ac:dyDescent="0.25">
      <c r="A1027" s="12">
        <v>2444909.6005099998</v>
      </c>
      <c r="B1027" s="12" t="s">
        <v>1784</v>
      </c>
      <c r="C1027" s="12">
        <v>11.782</v>
      </c>
      <c r="D1027" s="12"/>
    </row>
    <row r="1028" spans="1:4" ht="14.25" customHeight="1" x14ac:dyDescent="0.25">
      <c r="A1028" s="12">
        <v>2444926.16603</v>
      </c>
      <c r="B1028" s="12" t="s">
        <v>1785</v>
      </c>
      <c r="C1028" s="12">
        <v>11.86</v>
      </c>
      <c r="D1028" s="12"/>
    </row>
    <row r="1029" spans="1:4" ht="14.25" customHeight="1" x14ac:dyDescent="0.25">
      <c r="A1029" s="12">
        <v>2445000.4175</v>
      </c>
      <c r="B1029" s="12" t="s">
        <v>1786</v>
      </c>
      <c r="C1029" s="12">
        <v>11.875</v>
      </c>
      <c r="D1029" s="12"/>
    </row>
    <row r="1030" spans="1:4" ht="14.25" customHeight="1" x14ac:dyDescent="0.25">
      <c r="A1030" s="12">
        <v>2445028.6910000001</v>
      </c>
      <c r="B1030" s="12" t="s">
        <v>1787</v>
      </c>
      <c r="C1030" s="12">
        <v>11.875</v>
      </c>
      <c r="D1030" s="12"/>
    </row>
    <row r="1031" spans="1:4" ht="14.25" customHeight="1" x14ac:dyDescent="0.25">
      <c r="A1031" s="12">
        <v>2445042.1384399999</v>
      </c>
      <c r="B1031" s="12" t="s">
        <v>1788</v>
      </c>
      <c r="C1031" s="12">
        <v>11.722222</v>
      </c>
      <c r="D1031" s="12"/>
    </row>
    <row r="1032" spans="1:4" ht="14.25" customHeight="1" x14ac:dyDescent="0.25">
      <c r="A1032" s="12">
        <v>2445056.6814600001</v>
      </c>
      <c r="B1032" s="12" t="s">
        <v>1789</v>
      </c>
      <c r="C1032" s="12">
        <v>11.625</v>
      </c>
      <c r="D1032" s="12"/>
    </row>
    <row r="1033" spans="1:4" ht="14.25" customHeight="1" x14ac:dyDescent="0.25">
      <c r="A1033" s="12">
        <v>2445076.361</v>
      </c>
      <c r="B1033" s="12" t="s">
        <v>1790</v>
      </c>
      <c r="C1033" s="12">
        <v>11.28125</v>
      </c>
      <c r="D1033" s="12"/>
    </row>
    <row r="1034" spans="1:4" ht="14.25" customHeight="1" x14ac:dyDescent="0.25">
      <c r="A1034" s="12">
        <v>2445088.2561900001</v>
      </c>
      <c r="B1034" s="12" t="s">
        <v>1791</v>
      </c>
      <c r="C1034" s="12">
        <v>11.338094999999999</v>
      </c>
      <c r="D1034" s="12"/>
    </row>
    <row r="1035" spans="1:4" ht="14.25" customHeight="1" x14ac:dyDescent="0.25">
      <c r="A1035" s="12">
        <v>2445108.4306700001</v>
      </c>
      <c r="B1035" s="12" t="s">
        <v>1792</v>
      </c>
      <c r="C1035" s="12">
        <v>11.461765</v>
      </c>
      <c r="D1035" s="12"/>
    </row>
    <row r="1036" spans="1:4" ht="14.25" customHeight="1" x14ac:dyDescent="0.25">
      <c r="A1036" s="12">
        <v>2445120.7918400001</v>
      </c>
      <c r="B1036" s="12" t="s">
        <v>1793</v>
      </c>
      <c r="C1036" s="12">
        <v>10.973684</v>
      </c>
      <c r="D1036" s="12"/>
    </row>
    <row r="1037" spans="1:4" ht="14.25" customHeight="1" x14ac:dyDescent="0.25">
      <c r="A1037" s="12">
        <v>2445138.54538</v>
      </c>
      <c r="B1037" s="12" t="s">
        <v>1794</v>
      </c>
      <c r="C1037" s="12">
        <v>11.284848</v>
      </c>
      <c r="D1037" s="12"/>
    </row>
    <row r="1038" spans="1:4" ht="14.25" customHeight="1" x14ac:dyDescent="0.25">
      <c r="A1038" s="12">
        <v>2445153.1997500001</v>
      </c>
      <c r="B1038" s="12" t="s">
        <v>1795</v>
      </c>
      <c r="C1038" s="12">
        <v>10.598596000000001</v>
      </c>
      <c r="D1038" s="12"/>
    </row>
    <row r="1039" spans="1:4" ht="14.25" customHeight="1" x14ac:dyDescent="0.25">
      <c r="A1039" s="12">
        <v>2445168.8421800002</v>
      </c>
      <c r="B1039" s="12" t="s">
        <v>1796</v>
      </c>
      <c r="C1039" s="12">
        <v>10.248276000000001</v>
      </c>
      <c r="D1039" s="12"/>
    </row>
    <row r="1040" spans="1:4" ht="14.25" customHeight="1" x14ac:dyDescent="0.25">
      <c r="A1040" s="12">
        <v>2445181.9876899999</v>
      </c>
      <c r="B1040" s="12" t="s">
        <v>1797</v>
      </c>
      <c r="C1040" s="12">
        <v>10.401724</v>
      </c>
      <c r="D1040" s="12"/>
    </row>
    <row r="1041" spans="1:4" ht="14.25" customHeight="1" x14ac:dyDescent="0.25">
      <c r="A1041" s="12">
        <v>2445197.7211600002</v>
      </c>
      <c r="B1041" s="12" t="s">
        <v>1798</v>
      </c>
      <c r="C1041" s="12">
        <v>10.780625000000001</v>
      </c>
      <c r="D1041" s="12"/>
    </row>
    <row r="1042" spans="1:4" ht="14.25" customHeight="1" x14ac:dyDescent="0.25">
      <c r="A1042" s="12">
        <v>2445213.8611300001</v>
      </c>
      <c r="B1042" s="12" t="s">
        <v>1799</v>
      </c>
      <c r="C1042" s="12">
        <v>10.556962</v>
      </c>
      <c r="D1042" s="12"/>
    </row>
    <row r="1043" spans="1:4" ht="14.25" customHeight="1" x14ac:dyDescent="0.25">
      <c r="A1043" s="12">
        <v>2445228.06427</v>
      </c>
      <c r="B1043" s="12" t="s">
        <v>1800</v>
      </c>
      <c r="C1043" s="12">
        <v>10.459258999999999</v>
      </c>
      <c r="D1043" s="12"/>
    </row>
    <row r="1044" spans="1:4" ht="14.25" customHeight="1" x14ac:dyDescent="0.25">
      <c r="A1044" s="12">
        <v>2445244.2632599999</v>
      </c>
      <c r="B1044" s="12" t="s">
        <v>1801</v>
      </c>
      <c r="C1044" s="12">
        <v>10.548387</v>
      </c>
      <c r="D1044" s="12"/>
    </row>
    <row r="1045" spans="1:4" ht="14.25" customHeight="1" x14ac:dyDescent="0.25">
      <c r="A1045" s="12">
        <v>2445259.9276000001</v>
      </c>
      <c r="B1045" s="12" t="s">
        <v>1802</v>
      </c>
      <c r="C1045" s="12">
        <v>10.360377</v>
      </c>
      <c r="D1045" s="12"/>
    </row>
    <row r="1046" spans="1:4" ht="14.25" customHeight="1" x14ac:dyDescent="0.25">
      <c r="A1046" s="12">
        <v>2445275.5448500002</v>
      </c>
      <c r="B1046" s="12" t="s">
        <v>1803</v>
      </c>
      <c r="C1046" s="12">
        <v>10.365385</v>
      </c>
      <c r="D1046" s="12"/>
    </row>
    <row r="1047" spans="1:4" ht="14.25" customHeight="1" x14ac:dyDescent="0.25">
      <c r="A1047" s="12">
        <v>2445289.3871499998</v>
      </c>
      <c r="B1047" s="12" t="s">
        <v>1804</v>
      </c>
      <c r="C1047" s="12">
        <v>10.446154</v>
      </c>
      <c r="D1047" s="12"/>
    </row>
    <row r="1048" spans="1:4" ht="14.25" customHeight="1" x14ac:dyDescent="0.25">
      <c r="A1048" s="12">
        <v>2445355.82333</v>
      </c>
      <c r="B1048" s="12" t="s">
        <v>1805</v>
      </c>
      <c r="C1048" s="12">
        <v>11.136666999999999</v>
      </c>
      <c r="D1048" s="12"/>
    </row>
    <row r="1049" spans="1:4" ht="14.25" customHeight="1" x14ac:dyDescent="0.25">
      <c r="A1049" s="12">
        <v>2445373.1071700002</v>
      </c>
      <c r="B1049" s="12" t="s">
        <v>1806</v>
      </c>
      <c r="C1049" s="12">
        <v>11.318333000000001</v>
      </c>
      <c r="D1049" s="12"/>
    </row>
    <row r="1050" spans="1:4" ht="14.25" customHeight="1" x14ac:dyDescent="0.25">
      <c r="A1050" s="12">
        <v>2445388.3991200002</v>
      </c>
      <c r="B1050" s="12" t="s">
        <v>1807</v>
      </c>
      <c r="C1050" s="12">
        <v>11.27875</v>
      </c>
      <c r="D1050" s="12"/>
    </row>
    <row r="1051" spans="1:4" ht="14.25" customHeight="1" x14ac:dyDescent="0.25">
      <c r="A1051" s="12">
        <v>2445404.5794099998</v>
      </c>
      <c r="B1051" s="12" t="s">
        <v>1808</v>
      </c>
      <c r="C1051" s="12">
        <v>10.883528999999999</v>
      </c>
      <c r="D1051" s="12"/>
    </row>
    <row r="1052" spans="1:4" ht="14.25" customHeight="1" x14ac:dyDescent="0.25">
      <c r="A1052" s="12">
        <v>2445419.165</v>
      </c>
      <c r="B1052" s="12" t="s">
        <v>1809</v>
      </c>
      <c r="C1052" s="12">
        <v>11.092727</v>
      </c>
      <c r="D1052" s="12"/>
    </row>
    <row r="1053" spans="1:4" ht="14.25" customHeight="1" x14ac:dyDescent="0.25">
      <c r="A1053" s="12">
        <v>2445438.1074299999</v>
      </c>
      <c r="B1053" s="12" t="s">
        <v>1810</v>
      </c>
      <c r="C1053" s="12">
        <v>10.900435</v>
      </c>
      <c r="D1053" s="12"/>
    </row>
    <row r="1054" spans="1:4" ht="14.25" customHeight="1" x14ac:dyDescent="0.25">
      <c r="A1054" s="12">
        <v>2445451.872</v>
      </c>
      <c r="B1054" s="12" t="s">
        <v>1811</v>
      </c>
      <c r="C1054" s="12">
        <v>11.063333</v>
      </c>
      <c r="D1054" s="12"/>
    </row>
    <row r="1055" spans="1:4" ht="14.25" customHeight="1" x14ac:dyDescent="0.25">
      <c r="A1055" s="12">
        <v>2445468.5395999998</v>
      </c>
      <c r="B1055" s="12" t="s">
        <v>115</v>
      </c>
      <c r="C1055" s="12">
        <v>11.166285999999999</v>
      </c>
      <c r="D1055" s="12"/>
    </row>
    <row r="1056" spans="1:4" ht="14.25" customHeight="1" x14ac:dyDescent="0.25">
      <c r="A1056" s="12">
        <v>2445487.55052</v>
      </c>
      <c r="B1056" s="12" t="s">
        <v>1812</v>
      </c>
      <c r="C1056" s="12">
        <v>11.155200000000001</v>
      </c>
      <c r="D1056" s="12"/>
    </row>
    <row r="1057" spans="1:4" ht="14.25" customHeight="1" x14ac:dyDescent="0.25">
      <c r="A1057" s="12">
        <v>2445498.6439700001</v>
      </c>
      <c r="B1057" s="12" t="s">
        <v>1813</v>
      </c>
      <c r="C1057" s="12">
        <v>11.239523999999999</v>
      </c>
      <c r="D1057" s="12"/>
    </row>
    <row r="1058" spans="1:4" ht="14.25" customHeight="1" x14ac:dyDescent="0.25">
      <c r="A1058" s="12">
        <v>2445519.4707399998</v>
      </c>
      <c r="B1058" s="12" t="s">
        <v>1814</v>
      </c>
      <c r="C1058" s="12">
        <v>11.554914999999999</v>
      </c>
      <c r="D1058" s="12"/>
    </row>
    <row r="1059" spans="1:4" ht="14.25" customHeight="1" x14ac:dyDescent="0.25">
      <c r="A1059" s="12">
        <v>2445529.9232600001</v>
      </c>
      <c r="B1059" s="12" t="s">
        <v>1815</v>
      </c>
      <c r="C1059" s="12">
        <v>11.674531</v>
      </c>
      <c r="D1059" s="12"/>
    </row>
    <row r="1060" spans="1:4" ht="14.25" customHeight="1" x14ac:dyDescent="0.25">
      <c r="A1060" s="12">
        <v>2445549.3491000002</v>
      </c>
      <c r="B1060" s="12" t="s">
        <v>1816</v>
      </c>
      <c r="C1060" s="12">
        <v>11.711868000000001</v>
      </c>
      <c r="D1060" s="12"/>
    </row>
    <row r="1061" spans="1:4" ht="14.25" customHeight="1" x14ac:dyDescent="0.25">
      <c r="A1061" s="12">
        <v>2445560.2308200002</v>
      </c>
      <c r="B1061" s="12" t="s">
        <v>1817</v>
      </c>
      <c r="C1061" s="12">
        <v>11.67225</v>
      </c>
      <c r="D1061" s="12"/>
    </row>
    <row r="1062" spans="1:4" ht="14.25" customHeight="1" x14ac:dyDescent="0.25">
      <c r="A1062" s="12">
        <v>2445579.87421</v>
      </c>
      <c r="B1062" s="12" t="s">
        <v>1818</v>
      </c>
      <c r="C1062" s="12">
        <v>11.371636000000001</v>
      </c>
      <c r="D1062" s="12"/>
    </row>
    <row r="1063" spans="1:4" ht="14.25" customHeight="1" x14ac:dyDescent="0.25">
      <c r="A1063" s="12">
        <v>2445593.1036200002</v>
      </c>
      <c r="B1063" s="12" t="s">
        <v>1819</v>
      </c>
      <c r="C1063" s="12">
        <v>11.247230999999999</v>
      </c>
      <c r="D1063" s="12"/>
    </row>
    <row r="1064" spans="1:4" ht="14.25" customHeight="1" x14ac:dyDescent="0.25">
      <c r="A1064" s="12">
        <v>2445608.65913</v>
      </c>
      <c r="B1064" s="12" t="s">
        <v>1820</v>
      </c>
      <c r="C1064" s="12">
        <v>11.369199999999999</v>
      </c>
      <c r="D1064" s="12"/>
    </row>
    <row r="1065" spans="1:4" ht="14.25" customHeight="1" x14ac:dyDescent="0.25">
      <c r="A1065" s="12">
        <v>2445621.78565</v>
      </c>
      <c r="B1065" s="12" t="s">
        <v>1821</v>
      </c>
      <c r="C1065" s="12">
        <v>11.201304</v>
      </c>
      <c r="D1065" s="12"/>
    </row>
    <row r="1066" spans="1:4" ht="14.25" customHeight="1" x14ac:dyDescent="0.25">
      <c r="A1066" s="12">
        <v>2445638.8251299998</v>
      </c>
      <c r="B1066" s="12" t="s">
        <v>1822</v>
      </c>
      <c r="C1066" s="12">
        <v>11.04913</v>
      </c>
      <c r="D1066" s="12"/>
    </row>
    <row r="1067" spans="1:4" ht="14.25" customHeight="1" x14ac:dyDescent="0.25">
      <c r="A1067" s="12">
        <v>2445654.9722199999</v>
      </c>
      <c r="B1067" s="12" t="s">
        <v>1823</v>
      </c>
      <c r="C1067" s="12">
        <v>10.958888999999999</v>
      </c>
      <c r="D1067" s="12"/>
    </row>
    <row r="1068" spans="1:4" ht="14.25" customHeight="1" x14ac:dyDescent="0.25">
      <c r="A1068" s="12">
        <v>2445724.59</v>
      </c>
      <c r="B1068" s="12" t="s">
        <v>1824</v>
      </c>
      <c r="C1068" s="12">
        <v>10.936667</v>
      </c>
      <c r="D1068" s="12"/>
    </row>
    <row r="1069" spans="1:4" ht="14.25" customHeight="1" x14ac:dyDescent="0.25">
      <c r="A1069" s="12">
        <v>2445743.8558899998</v>
      </c>
      <c r="B1069" s="12" t="s">
        <v>1825</v>
      </c>
      <c r="C1069" s="12">
        <v>10.987778</v>
      </c>
      <c r="D1069" s="12"/>
    </row>
    <row r="1070" spans="1:4" ht="14.25" customHeight="1" x14ac:dyDescent="0.25">
      <c r="A1070" s="12">
        <v>2445760.29458</v>
      </c>
      <c r="B1070" s="12" t="s">
        <v>1826</v>
      </c>
      <c r="C1070" s="12">
        <v>10.92</v>
      </c>
      <c r="D1070" s="12"/>
    </row>
    <row r="1071" spans="1:4" ht="14.25" customHeight="1" x14ac:dyDescent="0.25">
      <c r="A1071" s="12">
        <v>2445779.8424999998</v>
      </c>
      <c r="B1071" s="12" t="s">
        <v>1827</v>
      </c>
      <c r="C1071" s="12">
        <v>11.125</v>
      </c>
      <c r="D1071" s="12"/>
    </row>
    <row r="1072" spans="1:4" ht="14.25" customHeight="1" x14ac:dyDescent="0.25">
      <c r="A1072" s="12">
        <v>2445792.5158000002</v>
      </c>
      <c r="B1072" s="12" t="s">
        <v>116</v>
      </c>
      <c r="C1072" s="12">
        <v>11.0655</v>
      </c>
      <c r="D1072" s="12"/>
    </row>
    <row r="1073" spans="1:4" ht="14.25" customHeight="1" x14ac:dyDescent="0.25">
      <c r="A1073" s="12">
        <v>2445810.1751899999</v>
      </c>
      <c r="B1073" s="12" t="s">
        <v>1828</v>
      </c>
      <c r="C1073" s="12">
        <v>10.959375</v>
      </c>
      <c r="D1073" s="12"/>
    </row>
    <row r="1074" spans="1:4" ht="14.25" customHeight="1" x14ac:dyDescent="0.25">
      <c r="A1074" s="12">
        <v>2445823.0191500001</v>
      </c>
      <c r="B1074" s="12" t="s">
        <v>1829</v>
      </c>
      <c r="C1074" s="12">
        <v>11.015675999999999</v>
      </c>
      <c r="D1074" s="12"/>
    </row>
    <row r="1075" spans="1:4" ht="14.25" customHeight="1" x14ac:dyDescent="0.25">
      <c r="A1075" s="12">
        <v>2445842.4289799999</v>
      </c>
      <c r="B1075" s="12" t="s">
        <v>1830</v>
      </c>
      <c r="C1075" s="12">
        <v>11.094583</v>
      </c>
      <c r="D1075" s="12"/>
    </row>
    <row r="1076" spans="1:4" ht="14.25" customHeight="1" x14ac:dyDescent="0.25">
      <c r="A1076" s="12">
        <v>2445854.3225199999</v>
      </c>
      <c r="B1076" s="12" t="s">
        <v>1831</v>
      </c>
      <c r="C1076" s="12">
        <v>11.069767000000001</v>
      </c>
      <c r="D1076" s="12"/>
    </row>
    <row r="1077" spans="1:4" ht="14.25" customHeight="1" x14ac:dyDescent="0.25">
      <c r="A1077" s="12">
        <v>2445872.1333300001</v>
      </c>
      <c r="B1077" s="12" t="s">
        <v>1832</v>
      </c>
      <c r="C1077" s="12">
        <v>11.761429</v>
      </c>
      <c r="D1077" s="12"/>
    </row>
    <row r="1078" spans="1:4" ht="14.25" customHeight="1" x14ac:dyDescent="0.25">
      <c r="A1078" s="12">
        <v>2445883.7330399998</v>
      </c>
      <c r="B1078" s="12" t="s">
        <v>1833</v>
      </c>
      <c r="C1078" s="12">
        <v>11.730240999999999</v>
      </c>
      <c r="D1078" s="12"/>
    </row>
    <row r="1079" spans="1:4" ht="14.25" customHeight="1" x14ac:dyDescent="0.25">
      <c r="A1079" s="12">
        <v>2445901.1519999998</v>
      </c>
      <c r="B1079" s="12" t="s">
        <v>1834</v>
      </c>
      <c r="C1079" s="12">
        <v>11.148059999999999</v>
      </c>
      <c r="D1079" s="12"/>
    </row>
    <row r="1080" spans="1:4" ht="14.25" customHeight="1" x14ac:dyDescent="0.25">
      <c r="A1080" s="12">
        <v>2445913.9731800002</v>
      </c>
      <c r="B1080" s="12" t="s">
        <v>1835</v>
      </c>
      <c r="C1080" s="12">
        <v>10.980563</v>
      </c>
      <c r="D1080" s="12"/>
    </row>
    <row r="1081" spans="1:4" ht="14.25" customHeight="1" x14ac:dyDescent="0.25">
      <c r="A1081" s="12">
        <v>2445932.02251</v>
      </c>
      <c r="B1081" s="12" t="s">
        <v>1836</v>
      </c>
      <c r="C1081" s="12">
        <v>11.0688</v>
      </c>
      <c r="D1081" s="12"/>
    </row>
    <row r="1082" spans="1:4" ht="14.25" customHeight="1" x14ac:dyDescent="0.25">
      <c r="A1082" s="12">
        <v>2445944.55278</v>
      </c>
      <c r="B1082" s="12" t="s">
        <v>1837</v>
      </c>
      <c r="C1082" s="12">
        <v>11.11875</v>
      </c>
      <c r="D1082" s="12"/>
    </row>
    <row r="1083" spans="1:4" ht="14.25" customHeight="1" x14ac:dyDescent="0.25">
      <c r="A1083" s="12">
        <v>2445961.7066899999</v>
      </c>
      <c r="B1083" s="12" t="s">
        <v>1838</v>
      </c>
      <c r="C1083" s="12">
        <v>11.064375</v>
      </c>
      <c r="D1083" s="12"/>
    </row>
    <row r="1084" spans="1:4" ht="14.25" customHeight="1" x14ac:dyDescent="0.25">
      <c r="A1084" s="12">
        <v>2445976.16022</v>
      </c>
      <c r="B1084" s="12" t="s">
        <v>1839</v>
      </c>
      <c r="C1084" s="12">
        <v>11.106389</v>
      </c>
      <c r="D1084" s="12"/>
    </row>
    <row r="1085" spans="1:4" ht="14.25" customHeight="1" x14ac:dyDescent="0.25">
      <c r="A1085" s="12">
        <v>2445991.7496000002</v>
      </c>
      <c r="B1085" s="12" t="s">
        <v>1840</v>
      </c>
      <c r="C1085" s="12">
        <v>11.120799999999999</v>
      </c>
      <c r="D1085" s="12"/>
    </row>
    <row r="1086" spans="1:4" ht="14.25" customHeight="1" x14ac:dyDescent="0.25">
      <c r="A1086" s="12">
        <v>2446006.21875</v>
      </c>
      <c r="B1086" s="12" t="s">
        <v>1841</v>
      </c>
      <c r="C1086" s="12">
        <v>10.2325</v>
      </c>
      <c r="D1086" s="12"/>
    </row>
    <row r="1087" spans="1:4" ht="14.25" customHeight="1" x14ac:dyDescent="0.25">
      <c r="A1087" s="12">
        <v>2446022.9713300001</v>
      </c>
      <c r="B1087" s="12" t="s">
        <v>1842</v>
      </c>
      <c r="C1087" s="12">
        <v>10.424666999999999</v>
      </c>
      <c r="D1087" s="12"/>
    </row>
    <row r="1088" spans="1:4" ht="14.25" customHeight="1" x14ac:dyDescent="0.25">
      <c r="A1088" s="12">
        <v>2446095.9723800002</v>
      </c>
      <c r="B1088" s="12" t="s">
        <v>1843</v>
      </c>
      <c r="C1088" s="12">
        <v>6.4834290000000001</v>
      </c>
      <c r="D1088" s="12"/>
    </row>
    <row r="1089" spans="1:4" ht="14.25" customHeight="1" x14ac:dyDescent="0.25">
      <c r="A1089" s="12">
        <v>2446107.8893400002</v>
      </c>
      <c r="B1089" s="12" t="s">
        <v>1844</v>
      </c>
      <c r="C1089" s="12">
        <v>7.6681150000000002</v>
      </c>
      <c r="D1089" s="12"/>
    </row>
    <row r="1090" spans="1:4" ht="14.25" customHeight="1" x14ac:dyDescent="0.25">
      <c r="A1090" s="12">
        <v>2446121.3222400001</v>
      </c>
      <c r="B1090" s="12" t="s">
        <v>1845</v>
      </c>
      <c r="C1090" s="12">
        <v>8.5958819999999996</v>
      </c>
      <c r="D1090" s="12"/>
    </row>
    <row r="1091" spans="1:4" ht="14.25" customHeight="1" x14ac:dyDescent="0.25">
      <c r="A1091" s="12">
        <v>2446139.24584</v>
      </c>
      <c r="B1091" s="12" t="s">
        <v>1846</v>
      </c>
      <c r="C1091" s="12">
        <v>9.3772859999999998</v>
      </c>
      <c r="D1091" s="12"/>
    </row>
    <row r="1092" spans="1:4" ht="14.25" customHeight="1" x14ac:dyDescent="0.25">
      <c r="A1092" s="12">
        <v>2446151.1248400002</v>
      </c>
      <c r="B1092" s="12" t="s">
        <v>1847</v>
      </c>
      <c r="C1092" s="12">
        <v>9.6456250000000008</v>
      </c>
      <c r="D1092" s="12"/>
    </row>
    <row r="1093" spans="1:4" ht="14.25" customHeight="1" x14ac:dyDescent="0.25">
      <c r="A1093" s="12">
        <v>2446170.1630299999</v>
      </c>
      <c r="B1093" s="12" t="s">
        <v>1848</v>
      </c>
      <c r="C1093" s="12">
        <v>10.315536</v>
      </c>
      <c r="D1093" s="12"/>
    </row>
    <row r="1094" spans="1:4" ht="14.25" customHeight="1" x14ac:dyDescent="0.25">
      <c r="A1094" s="12">
        <v>2446181.3146799998</v>
      </c>
      <c r="B1094" s="12" t="s">
        <v>1849</v>
      </c>
      <c r="C1094" s="12">
        <v>10.91</v>
      </c>
      <c r="D1094" s="12"/>
    </row>
    <row r="1095" spans="1:4" ht="14.25" customHeight="1" x14ac:dyDescent="0.25">
      <c r="A1095" s="12">
        <v>2446199.4489799999</v>
      </c>
      <c r="B1095" s="12" t="s">
        <v>1850</v>
      </c>
      <c r="C1095" s="12">
        <v>11.625686</v>
      </c>
      <c r="D1095" s="12"/>
    </row>
    <row r="1096" spans="1:4" ht="14.25" customHeight="1" x14ac:dyDescent="0.25">
      <c r="A1096" s="12">
        <v>2446212.8470000001</v>
      </c>
      <c r="B1096" s="12" t="s">
        <v>1851</v>
      </c>
      <c r="C1096" s="12">
        <v>11.840857</v>
      </c>
      <c r="D1096" s="12"/>
    </row>
    <row r="1097" spans="1:4" ht="14.25" customHeight="1" x14ac:dyDescent="0.25">
      <c r="A1097" s="12">
        <v>2446228.3813999998</v>
      </c>
      <c r="B1097" s="12" t="s">
        <v>1852</v>
      </c>
      <c r="C1097" s="12">
        <v>11.983599999999999</v>
      </c>
      <c r="D1097" s="12"/>
    </row>
    <row r="1098" spans="1:4" ht="14.25" customHeight="1" x14ac:dyDescent="0.25">
      <c r="A1098" s="12">
        <v>2446241.81531</v>
      </c>
      <c r="B1098" s="12" t="s">
        <v>1853</v>
      </c>
      <c r="C1098" s="12">
        <v>12.000185</v>
      </c>
      <c r="D1098" s="12"/>
    </row>
    <row r="1099" spans="1:4" ht="14.25" customHeight="1" x14ac:dyDescent="0.25">
      <c r="A1099" s="12">
        <v>2446258.5529200002</v>
      </c>
      <c r="B1099" s="12" t="s">
        <v>1854</v>
      </c>
      <c r="C1099" s="12">
        <v>11.986262</v>
      </c>
      <c r="D1099" s="12"/>
    </row>
    <row r="1100" spans="1:4" ht="14.25" customHeight="1" x14ac:dyDescent="0.25">
      <c r="A1100" s="12">
        <v>2446272.44301</v>
      </c>
      <c r="B1100" s="12" t="s">
        <v>1855</v>
      </c>
      <c r="C1100" s="12">
        <v>12.018696</v>
      </c>
      <c r="D1100" s="12"/>
    </row>
    <row r="1101" spans="1:4" ht="14.25" customHeight="1" x14ac:dyDescent="0.25">
      <c r="A1101" s="12">
        <v>2446288.74615</v>
      </c>
      <c r="B1101" s="12" t="s">
        <v>1856</v>
      </c>
      <c r="C1101" s="12">
        <v>12.151628000000001</v>
      </c>
      <c r="D1101" s="12"/>
    </row>
    <row r="1102" spans="1:4" ht="14.25" customHeight="1" x14ac:dyDescent="0.25">
      <c r="A1102" s="12">
        <v>2446302.3130999999</v>
      </c>
      <c r="B1102" s="12" t="s">
        <v>1857</v>
      </c>
      <c r="C1102" s="12">
        <v>12.092608999999999</v>
      </c>
      <c r="D1102" s="12"/>
    </row>
    <row r="1103" spans="1:4" ht="14.25" customHeight="1" x14ac:dyDescent="0.25">
      <c r="A1103" s="12">
        <v>2446319.4744799999</v>
      </c>
      <c r="B1103" s="12" t="s">
        <v>1858</v>
      </c>
      <c r="C1103" s="12">
        <v>12.032857</v>
      </c>
      <c r="D1103" s="12"/>
    </row>
    <row r="1104" spans="1:4" ht="14.25" customHeight="1" x14ac:dyDescent="0.25">
      <c r="A1104" s="12">
        <v>2446334.5169199998</v>
      </c>
      <c r="B1104" s="12" t="s">
        <v>1859</v>
      </c>
      <c r="C1104" s="12">
        <v>12.073468999999999</v>
      </c>
      <c r="D1104" s="12"/>
    </row>
    <row r="1105" spans="1:4" ht="14.25" customHeight="1" x14ac:dyDescent="0.25">
      <c r="A1105" s="12">
        <v>2446349.18676</v>
      </c>
      <c r="B1105" s="12" t="s">
        <v>1860</v>
      </c>
      <c r="C1105" s="12">
        <v>12.063000000000001</v>
      </c>
      <c r="D1105" s="12"/>
    </row>
    <row r="1106" spans="1:4" ht="14.25" customHeight="1" x14ac:dyDescent="0.25">
      <c r="A1106" s="12">
        <v>2446364.1590900002</v>
      </c>
      <c r="B1106" s="12" t="s">
        <v>1861</v>
      </c>
      <c r="C1106" s="12">
        <v>11.985818</v>
      </c>
      <c r="D1106" s="12"/>
    </row>
    <row r="1107" spans="1:4" ht="14.25" customHeight="1" x14ac:dyDescent="0.25">
      <c r="A1107" s="12">
        <v>2446378.2603699998</v>
      </c>
      <c r="B1107" s="12" t="s">
        <v>1862</v>
      </c>
      <c r="C1107" s="12">
        <v>11.975555999999999</v>
      </c>
      <c r="D1107" s="12"/>
    </row>
    <row r="1108" spans="1:4" ht="14.25" customHeight="1" x14ac:dyDescent="0.25">
      <c r="A1108" s="12">
        <v>2446442.8466699999</v>
      </c>
      <c r="B1108" s="12" t="s">
        <v>117</v>
      </c>
      <c r="C1108" s="12">
        <v>11.57</v>
      </c>
      <c r="D1108" s="12"/>
    </row>
    <row r="1109" spans="1:4" ht="14.25" customHeight="1" x14ac:dyDescent="0.25">
      <c r="A1109" s="12">
        <v>2446452.8875000002</v>
      </c>
      <c r="B1109" s="12" t="s">
        <v>1863</v>
      </c>
      <c r="C1109" s="12">
        <v>11.6075</v>
      </c>
      <c r="D1109" s="12"/>
    </row>
    <row r="1110" spans="1:4" ht="14.25" customHeight="1" x14ac:dyDescent="0.25">
      <c r="A1110" s="12">
        <v>2446471.5509600001</v>
      </c>
      <c r="B1110" s="12" t="s">
        <v>1864</v>
      </c>
      <c r="C1110" s="12">
        <v>11.263</v>
      </c>
      <c r="D1110" s="12"/>
    </row>
    <row r="1111" spans="1:4" ht="14.25" customHeight="1" x14ac:dyDescent="0.25">
      <c r="A1111" s="12">
        <v>2446487.0350000001</v>
      </c>
      <c r="B1111" s="12" t="s">
        <v>1865</v>
      </c>
      <c r="C1111" s="12">
        <v>11.273</v>
      </c>
      <c r="D1111" s="12"/>
    </row>
    <row r="1112" spans="1:4" ht="14.25" customHeight="1" x14ac:dyDescent="0.25">
      <c r="A1112" s="12">
        <v>2446503.0513800001</v>
      </c>
      <c r="B1112" s="12" t="s">
        <v>1866</v>
      </c>
      <c r="C1112" s="12">
        <v>11.462381000000001</v>
      </c>
      <c r="D1112" s="12"/>
    </row>
    <row r="1113" spans="1:4" ht="14.25" customHeight="1" x14ac:dyDescent="0.25">
      <c r="A1113" s="12">
        <v>2446517.5323299998</v>
      </c>
      <c r="B1113" s="12" t="s">
        <v>1867</v>
      </c>
      <c r="C1113" s="12">
        <v>11.236667000000001</v>
      </c>
      <c r="D1113" s="12"/>
    </row>
    <row r="1114" spans="1:4" ht="14.25" customHeight="1" x14ac:dyDescent="0.25">
      <c r="A1114" s="12">
        <v>2446531.6698599998</v>
      </c>
      <c r="B1114" s="12" t="s">
        <v>1868</v>
      </c>
      <c r="C1114" s="12">
        <v>11.012857</v>
      </c>
      <c r="D1114" s="12"/>
    </row>
    <row r="1115" spans="1:4" ht="14.25" customHeight="1" x14ac:dyDescent="0.25">
      <c r="A1115" s="12">
        <v>2446551.7184199998</v>
      </c>
      <c r="B1115" s="12" t="s">
        <v>1869</v>
      </c>
      <c r="C1115" s="12">
        <v>11.023421000000001</v>
      </c>
      <c r="D1115" s="12"/>
    </row>
    <row r="1116" spans="1:4" ht="14.25" customHeight="1" x14ac:dyDescent="0.25">
      <c r="A1116" s="12">
        <v>2446564.1987000001</v>
      </c>
      <c r="B1116" s="12" t="s">
        <v>1870</v>
      </c>
      <c r="C1116" s="12">
        <v>11.103902</v>
      </c>
      <c r="D1116" s="12"/>
    </row>
    <row r="1117" spans="1:4" ht="14.25" customHeight="1" x14ac:dyDescent="0.25">
      <c r="A1117" s="12">
        <v>2446580.9007100002</v>
      </c>
      <c r="B1117" s="12" t="s">
        <v>1871</v>
      </c>
      <c r="C1117" s="12">
        <v>10.908431</v>
      </c>
      <c r="D1117" s="12"/>
    </row>
    <row r="1118" spans="1:4" ht="14.25" customHeight="1" x14ac:dyDescent="0.25">
      <c r="A1118" s="12">
        <v>2446593.7040800001</v>
      </c>
      <c r="B1118" s="12" t="s">
        <v>1872</v>
      </c>
      <c r="C1118" s="12">
        <v>10.692978999999999</v>
      </c>
      <c r="D1118" s="12"/>
    </row>
    <row r="1119" spans="1:4" ht="14.25" customHeight="1" x14ac:dyDescent="0.25">
      <c r="A1119" s="12">
        <v>2446611.9276899998</v>
      </c>
      <c r="B1119" s="12" t="s">
        <v>1873</v>
      </c>
      <c r="C1119" s="12">
        <v>11.032111</v>
      </c>
      <c r="D1119" s="12"/>
    </row>
    <row r="1120" spans="1:4" ht="14.25" customHeight="1" x14ac:dyDescent="0.25">
      <c r="A1120" s="12">
        <v>2446625.3120900001</v>
      </c>
      <c r="B1120" s="12" t="s">
        <v>1874</v>
      </c>
      <c r="C1120" s="12">
        <v>11.044776000000001</v>
      </c>
      <c r="D1120" s="12"/>
    </row>
    <row r="1121" spans="1:4" ht="14.25" customHeight="1" x14ac:dyDescent="0.25">
      <c r="A1121" s="12">
        <v>2446641.95334</v>
      </c>
      <c r="B1121" s="12" t="s">
        <v>1875</v>
      </c>
      <c r="C1121" s="12">
        <v>11.107217</v>
      </c>
      <c r="D1121" s="12"/>
    </row>
    <row r="1122" spans="1:4" ht="14.25" customHeight="1" x14ac:dyDescent="0.25">
      <c r="A1122" s="12">
        <v>2446655.1228700001</v>
      </c>
      <c r="B1122" s="12" t="s">
        <v>1876</v>
      </c>
      <c r="C1122" s="12">
        <v>11.123552999999999</v>
      </c>
      <c r="D1122" s="12"/>
    </row>
    <row r="1123" spans="1:4" ht="14.25" customHeight="1" x14ac:dyDescent="0.25">
      <c r="A1123" s="12">
        <v>2446673.04984</v>
      </c>
      <c r="B1123" s="12" t="s">
        <v>1877</v>
      </c>
      <c r="C1123" s="12">
        <v>11.223333</v>
      </c>
      <c r="D1123" s="12"/>
    </row>
    <row r="1124" spans="1:4" ht="14.25" customHeight="1" x14ac:dyDescent="0.25">
      <c r="A1124" s="12">
        <v>2446684.9297199999</v>
      </c>
      <c r="B1124" s="12" t="s">
        <v>1878</v>
      </c>
      <c r="C1124" s="12">
        <v>11.150581000000001</v>
      </c>
      <c r="D1124" s="12"/>
    </row>
    <row r="1125" spans="1:4" ht="14.25" customHeight="1" x14ac:dyDescent="0.25">
      <c r="A1125" s="12">
        <v>2446701.7155900002</v>
      </c>
      <c r="B1125" s="12" t="s">
        <v>1879</v>
      </c>
      <c r="C1125" s="12">
        <v>11.064412000000001</v>
      </c>
      <c r="D1125" s="12"/>
    </row>
    <row r="1126" spans="1:4" ht="14.25" customHeight="1" x14ac:dyDescent="0.25">
      <c r="A1126" s="12">
        <v>2446716.4986299998</v>
      </c>
      <c r="B1126" s="12" t="s">
        <v>1880</v>
      </c>
      <c r="C1126" s="12">
        <v>11.237059</v>
      </c>
      <c r="D1126" s="12"/>
    </row>
    <row r="1127" spans="1:4" ht="14.25" customHeight="1" x14ac:dyDescent="0.25">
      <c r="A1127" s="12">
        <v>2446732.7538999999</v>
      </c>
      <c r="B1127" s="12" t="s">
        <v>1881</v>
      </c>
      <c r="C1127" s="12">
        <v>11.195366</v>
      </c>
      <c r="D1127" s="12"/>
    </row>
    <row r="1128" spans="1:4" ht="14.25" customHeight="1" x14ac:dyDescent="0.25">
      <c r="A1128" s="12">
        <v>2446746.89</v>
      </c>
      <c r="B1128" s="12" t="s">
        <v>1882</v>
      </c>
      <c r="C1128" s="12">
        <v>11.106249999999999</v>
      </c>
      <c r="D1128" s="12"/>
    </row>
    <row r="1129" spans="1:4" ht="14.25" customHeight="1" x14ac:dyDescent="0.25">
      <c r="A1129" s="12">
        <v>2446763.39</v>
      </c>
      <c r="B1129" s="12" t="s">
        <v>1883</v>
      </c>
      <c r="C1129" s="12">
        <v>11.0175</v>
      </c>
      <c r="D1129" s="12"/>
    </row>
    <row r="1130" spans="1:4" ht="14.25" customHeight="1" x14ac:dyDescent="0.25">
      <c r="A1130" s="12">
        <v>2446807.77</v>
      </c>
      <c r="B1130" s="12" t="s">
        <v>1884</v>
      </c>
      <c r="C1130" s="12">
        <v>11.05</v>
      </c>
      <c r="D1130" s="12"/>
    </row>
    <row r="1131" spans="1:4" ht="14.25" customHeight="1" x14ac:dyDescent="0.25">
      <c r="A1131" s="12">
        <v>2446829.4164999998</v>
      </c>
      <c r="B1131" s="12" t="s">
        <v>1885</v>
      </c>
      <c r="C1131" s="12">
        <v>11.122999999999999</v>
      </c>
      <c r="D1131" s="12"/>
    </row>
    <row r="1132" spans="1:4" ht="14.25" customHeight="1" x14ac:dyDescent="0.25">
      <c r="A1132" s="12">
        <v>2446846.58029</v>
      </c>
      <c r="B1132" s="12" t="s">
        <v>1886</v>
      </c>
      <c r="C1132" s="12">
        <v>11.017647</v>
      </c>
      <c r="D1132" s="12"/>
    </row>
    <row r="1133" spans="1:4" ht="14.25" customHeight="1" x14ac:dyDescent="0.25">
      <c r="A1133" s="12">
        <v>2446862.3761300002</v>
      </c>
      <c r="B1133" s="12" t="s">
        <v>1887</v>
      </c>
      <c r="C1133" s="12">
        <v>10.991250000000001</v>
      </c>
      <c r="D1133" s="12"/>
    </row>
    <row r="1134" spans="1:4" ht="14.25" customHeight="1" x14ac:dyDescent="0.25">
      <c r="A1134" s="12">
        <v>2446881.49444</v>
      </c>
      <c r="B1134" s="12" t="s">
        <v>1888</v>
      </c>
      <c r="C1134" s="12">
        <v>11.039063000000001</v>
      </c>
      <c r="D1134" s="12"/>
    </row>
    <row r="1135" spans="1:4" ht="14.25" customHeight="1" x14ac:dyDescent="0.25">
      <c r="A1135" s="12">
        <v>2446894.9783999999</v>
      </c>
      <c r="B1135" s="12" t="s">
        <v>1889</v>
      </c>
      <c r="C1135" s="12">
        <v>10.9664</v>
      </c>
      <c r="D1135" s="12"/>
    </row>
    <row r="1136" spans="1:4" ht="14.25" customHeight="1" x14ac:dyDescent="0.25">
      <c r="A1136" s="12">
        <v>2446912.0687000002</v>
      </c>
      <c r="B1136" s="12" t="s">
        <v>1890</v>
      </c>
      <c r="C1136" s="12">
        <v>10.976364</v>
      </c>
      <c r="D1136" s="12"/>
    </row>
    <row r="1137" spans="1:4" ht="14.25" customHeight="1" x14ac:dyDescent="0.25">
      <c r="A1137" s="12">
        <v>2446925.9078799998</v>
      </c>
      <c r="B1137" s="12" t="s">
        <v>1891</v>
      </c>
      <c r="C1137" s="12">
        <v>11.013636</v>
      </c>
      <c r="D1137" s="12"/>
    </row>
    <row r="1138" spans="1:4" ht="14.25" customHeight="1" x14ac:dyDescent="0.25">
      <c r="A1138" s="12">
        <v>2446941.8615799998</v>
      </c>
      <c r="B1138" s="12" t="s">
        <v>1892</v>
      </c>
      <c r="C1138" s="12">
        <v>11.161212000000001</v>
      </c>
      <c r="D1138" s="12"/>
    </row>
    <row r="1139" spans="1:4" ht="14.25" customHeight="1" x14ac:dyDescent="0.25">
      <c r="A1139" s="12">
        <v>2446956.82859</v>
      </c>
      <c r="B1139" s="12" t="s">
        <v>1893</v>
      </c>
      <c r="C1139" s="12">
        <v>11.043380000000001</v>
      </c>
      <c r="D1139" s="12"/>
    </row>
    <row r="1140" spans="1:4" ht="14.25" customHeight="1" x14ac:dyDescent="0.25">
      <c r="A1140" s="12">
        <v>2446970.9233300001</v>
      </c>
      <c r="B1140" s="12" t="s">
        <v>1894</v>
      </c>
      <c r="C1140" s="12">
        <v>10.999211000000001</v>
      </c>
      <c r="D1140" s="12"/>
    </row>
    <row r="1141" spans="1:4" ht="14.25" customHeight="1" x14ac:dyDescent="0.25">
      <c r="A1141" s="12">
        <v>2446986.91341</v>
      </c>
      <c r="B1141" s="12" t="s">
        <v>1895</v>
      </c>
      <c r="C1141" s="12">
        <v>11.085758</v>
      </c>
      <c r="D1141" s="12"/>
    </row>
    <row r="1142" spans="1:4" ht="14.25" customHeight="1" x14ac:dyDescent="0.25">
      <c r="A1142" s="12">
        <v>2447001.7003100002</v>
      </c>
      <c r="B1142" s="12" t="s">
        <v>1896</v>
      </c>
      <c r="C1142" s="12">
        <v>11.012796</v>
      </c>
      <c r="D1142" s="12"/>
    </row>
    <row r="1143" spans="1:4" ht="14.25" customHeight="1" x14ac:dyDescent="0.25">
      <c r="A1143" s="12">
        <v>2447017.1125599998</v>
      </c>
      <c r="B1143" s="12" t="s">
        <v>1897</v>
      </c>
      <c r="C1143" s="12">
        <v>11.018750000000001</v>
      </c>
      <c r="D1143" s="12"/>
    </row>
    <row r="1144" spans="1:4" ht="14.25" customHeight="1" x14ac:dyDescent="0.25">
      <c r="A1144" s="12">
        <v>2447031.2933899998</v>
      </c>
      <c r="B1144" s="12" t="s">
        <v>1898</v>
      </c>
      <c r="C1144" s="12">
        <v>11.035579</v>
      </c>
      <c r="D1144" s="12"/>
    </row>
    <row r="1145" spans="1:4" ht="14.25" customHeight="1" x14ac:dyDescent="0.25">
      <c r="A1145" s="12">
        <v>2447047.8364400002</v>
      </c>
      <c r="B1145" s="12" t="s">
        <v>1899</v>
      </c>
      <c r="C1145" s="12">
        <v>11.141507000000001</v>
      </c>
      <c r="D1145" s="12"/>
    </row>
    <row r="1146" spans="1:4" ht="14.25" customHeight="1" x14ac:dyDescent="0.25">
      <c r="A1146" s="12">
        <v>2447062.6821599999</v>
      </c>
      <c r="B1146" s="12" t="s">
        <v>1900</v>
      </c>
      <c r="C1146" s="12">
        <v>11.113906</v>
      </c>
      <c r="D1146" s="12"/>
    </row>
    <row r="1147" spans="1:4" ht="14.25" customHeight="1" x14ac:dyDescent="0.25">
      <c r="A1147" s="12">
        <v>2447077.7026800001</v>
      </c>
      <c r="B1147" s="12" t="s">
        <v>1901</v>
      </c>
      <c r="C1147" s="12">
        <v>11.031321</v>
      </c>
      <c r="D1147" s="12"/>
    </row>
    <row r="1148" spans="1:4" ht="14.25" customHeight="1" x14ac:dyDescent="0.25">
      <c r="A1148" s="12">
        <v>2447090.0110800001</v>
      </c>
      <c r="B1148" s="12" t="s">
        <v>1902</v>
      </c>
      <c r="C1148" s="12">
        <v>11.059583</v>
      </c>
      <c r="D1148" s="12"/>
    </row>
    <row r="1149" spans="1:4" ht="14.25" customHeight="1" x14ac:dyDescent="0.25">
      <c r="A1149" s="12">
        <v>2447108.6841899999</v>
      </c>
      <c r="B1149" s="12" t="s">
        <v>1903</v>
      </c>
      <c r="C1149" s="12">
        <v>11.176667</v>
      </c>
      <c r="D1149" s="12"/>
    </row>
    <row r="1150" spans="1:4" ht="14.25" customHeight="1" x14ac:dyDescent="0.25">
      <c r="A1150" s="12">
        <v>2447122.9962499999</v>
      </c>
      <c r="B1150" s="12" t="s">
        <v>1904</v>
      </c>
      <c r="C1150" s="12">
        <v>11.186249999999999</v>
      </c>
      <c r="D1150" s="12"/>
    </row>
    <row r="1151" spans="1:4" ht="14.25" customHeight="1" x14ac:dyDescent="0.25">
      <c r="A1151" s="12">
        <v>2447180.7960999999</v>
      </c>
      <c r="B1151" s="12" t="s">
        <v>1905</v>
      </c>
      <c r="C1151" s="12">
        <v>11.154286000000001</v>
      </c>
      <c r="D1151" s="12"/>
    </row>
    <row r="1152" spans="1:4" ht="14.25" customHeight="1" x14ac:dyDescent="0.25">
      <c r="A1152" s="12">
        <v>2447198.0216999999</v>
      </c>
      <c r="B1152" s="12" t="s">
        <v>1906</v>
      </c>
      <c r="C1152" s="12">
        <v>11.278888999999999</v>
      </c>
      <c r="D1152" s="12"/>
    </row>
    <row r="1153" spans="1:4" ht="14.25" customHeight="1" x14ac:dyDescent="0.25">
      <c r="A1153" s="12">
        <v>2447212.7670700001</v>
      </c>
      <c r="B1153" s="12" t="s">
        <v>1907</v>
      </c>
      <c r="C1153" s="12">
        <v>11.090714</v>
      </c>
      <c r="D1153" s="12"/>
    </row>
    <row r="1154" spans="1:4" ht="14.25" customHeight="1" x14ac:dyDescent="0.25">
      <c r="A1154" s="12">
        <v>2447226.5179699999</v>
      </c>
      <c r="B1154" s="12" t="s">
        <v>1908</v>
      </c>
      <c r="C1154" s="12">
        <v>11.031428999999999</v>
      </c>
      <c r="D1154" s="12"/>
    </row>
    <row r="1155" spans="1:4" ht="14.25" customHeight="1" x14ac:dyDescent="0.25">
      <c r="A1155" s="12">
        <v>2447243.80333</v>
      </c>
      <c r="B1155" s="12" t="s">
        <v>1909</v>
      </c>
      <c r="C1155" s="12">
        <v>11.091842</v>
      </c>
      <c r="D1155" s="12"/>
    </row>
    <row r="1156" spans="1:4" ht="14.25" customHeight="1" x14ac:dyDescent="0.25">
      <c r="A1156" s="12">
        <v>2447260.38613</v>
      </c>
      <c r="B1156" s="12" t="s">
        <v>1910</v>
      </c>
      <c r="C1156" s="12">
        <v>11.188000000000001</v>
      </c>
      <c r="D1156" s="12"/>
    </row>
    <row r="1157" spans="1:4" ht="14.25" customHeight="1" x14ac:dyDescent="0.25">
      <c r="A1157" s="12">
        <v>2447272.9334800001</v>
      </c>
      <c r="B1157" s="12" t="s">
        <v>1911</v>
      </c>
      <c r="C1157" s="12">
        <v>10.91625</v>
      </c>
      <c r="D1157" s="12"/>
    </row>
    <row r="1158" spans="1:4" ht="14.25" customHeight="1" x14ac:dyDescent="0.25">
      <c r="A1158" s="12">
        <v>2447289.4415099998</v>
      </c>
      <c r="B1158" s="12" t="s">
        <v>1912</v>
      </c>
      <c r="C1158" s="12">
        <v>11.137691999999999</v>
      </c>
      <c r="D1158" s="12"/>
    </row>
    <row r="1159" spans="1:4" ht="14.25" customHeight="1" x14ac:dyDescent="0.25">
      <c r="A1159" s="12">
        <v>2447302.9498000001</v>
      </c>
      <c r="B1159" s="12" t="s">
        <v>1913</v>
      </c>
      <c r="C1159" s="12">
        <v>11.176667</v>
      </c>
      <c r="D1159" s="12"/>
    </row>
    <row r="1160" spans="1:4" ht="14.25" customHeight="1" x14ac:dyDescent="0.25">
      <c r="A1160" s="12">
        <v>2447320.3327899999</v>
      </c>
      <c r="B1160" s="12" t="s">
        <v>1914</v>
      </c>
      <c r="C1160" s="12">
        <v>11.221212</v>
      </c>
      <c r="D1160" s="12"/>
    </row>
    <row r="1161" spans="1:4" ht="14.25" customHeight="1" x14ac:dyDescent="0.25">
      <c r="A1161" s="12">
        <v>2447331.9313099999</v>
      </c>
      <c r="B1161" s="12" t="s">
        <v>1915</v>
      </c>
      <c r="C1161" s="12">
        <v>11.359634</v>
      </c>
      <c r="D1161" s="12"/>
    </row>
    <row r="1162" spans="1:4" ht="14.25" customHeight="1" x14ac:dyDescent="0.25">
      <c r="A1162" s="12">
        <v>2447349.77972</v>
      </c>
      <c r="B1162" s="12" t="s">
        <v>118</v>
      </c>
      <c r="C1162" s="12">
        <v>11.399485</v>
      </c>
      <c r="D1162" s="12"/>
    </row>
    <row r="1163" spans="1:4" ht="14.25" customHeight="1" x14ac:dyDescent="0.25">
      <c r="A1163" s="12">
        <v>2447363.10298</v>
      </c>
      <c r="B1163" s="12" t="s">
        <v>1916</v>
      </c>
      <c r="C1163" s="12">
        <v>11.306842</v>
      </c>
      <c r="D1163" s="12"/>
    </row>
    <row r="1164" spans="1:4" ht="14.25" customHeight="1" x14ac:dyDescent="0.25">
      <c r="A1164" s="12">
        <v>2447378.8964</v>
      </c>
      <c r="B1164" s="12" t="s">
        <v>119</v>
      </c>
      <c r="C1164" s="12">
        <v>11.387714000000001</v>
      </c>
      <c r="D1164" s="12"/>
    </row>
    <row r="1165" spans="1:4" ht="14.25" customHeight="1" x14ac:dyDescent="0.25">
      <c r="A1165" s="12">
        <v>2447391.6691800002</v>
      </c>
      <c r="B1165" s="12" t="s">
        <v>120</v>
      </c>
      <c r="C1165" s="12">
        <v>11.161504000000001</v>
      </c>
      <c r="D1165" s="12"/>
    </row>
    <row r="1166" spans="1:4" ht="14.25" customHeight="1" x14ac:dyDescent="0.25">
      <c r="A1166" s="12">
        <v>2447410.2289999998</v>
      </c>
      <c r="B1166" s="12" t="s">
        <v>121</v>
      </c>
      <c r="C1166" s="12">
        <v>11.021307999999999</v>
      </c>
      <c r="D1166" s="12"/>
    </row>
    <row r="1167" spans="1:4" ht="14.25" customHeight="1" x14ac:dyDescent="0.25">
      <c r="A1167" s="12">
        <v>2447423.6285399999</v>
      </c>
      <c r="B1167" s="12" t="s">
        <v>122</v>
      </c>
      <c r="C1167" s="12">
        <v>10.982329</v>
      </c>
      <c r="D1167" s="12"/>
    </row>
    <row r="1168" spans="1:4" ht="14.25" customHeight="1" x14ac:dyDescent="0.25">
      <c r="A1168" s="12">
        <v>2447439.13558</v>
      </c>
      <c r="B1168" s="12" t="s">
        <v>1917</v>
      </c>
      <c r="C1168" s="12">
        <v>11.011528</v>
      </c>
      <c r="D1168" s="12"/>
    </row>
    <row r="1169" spans="1:4" ht="14.25" customHeight="1" x14ac:dyDescent="0.25">
      <c r="A1169" s="12">
        <v>2447453.93304</v>
      </c>
      <c r="B1169" s="12" t="s">
        <v>1918</v>
      </c>
      <c r="C1169" s="12">
        <v>10.828529</v>
      </c>
      <c r="D1169" s="12"/>
    </row>
    <row r="1170" spans="1:4" ht="14.25" customHeight="1" x14ac:dyDescent="0.25">
      <c r="A1170" s="12">
        <v>2447467.8188900002</v>
      </c>
      <c r="B1170" s="12" t="s">
        <v>1919</v>
      </c>
      <c r="C1170" s="12">
        <v>10.928846</v>
      </c>
      <c r="D1170" s="12"/>
    </row>
    <row r="1171" spans="1:4" ht="14.25" customHeight="1" x14ac:dyDescent="0.25">
      <c r="A1171" s="12">
        <v>2447484.3300999999</v>
      </c>
      <c r="B1171" s="12" t="s">
        <v>123</v>
      </c>
      <c r="C1171" s="12">
        <v>10.969091000000001</v>
      </c>
      <c r="D1171" s="12"/>
    </row>
    <row r="1172" spans="1:4" ht="14.25" customHeight="1" x14ac:dyDescent="0.25">
      <c r="A1172" s="12">
        <v>2447540.9750000001</v>
      </c>
      <c r="B1172" s="12" t="s">
        <v>1920</v>
      </c>
      <c r="C1172" s="12">
        <v>11.1</v>
      </c>
      <c r="D1172" s="12"/>
    </row>
    <row r="1173" spans="1:4" ht="14.25" customHeight="1" x14ac:dyDescent="0.25">
      <c r="A1173" s="12">
        <v>2447551.9646200002</v>
      </c>
      <c r="B1173" s="12" t="s">
        <v>1921</v>
      </c>
      <c r="C1173" s="12">
        <v>11.093332999999999</v>
      </c>
      <c r="D1173" s="12"/>
    </row>
    <row r="1174" spans="1:4" ht="14.25" customHeight="1" x14ac:dyDescent="0.25">
      <c r="A1174" s="12">
        <v>2447571.06006</v>
      </c>
      <c r="B1174" s="12" t="s">
        <v>1922</v>
      </c>
      <c r="C1174" s="12">
        <v>11.215384999999999</v>
      </c>
      <c r="D1174" s="12"/>
    </row>
    <row r="1175" spans="1:4" ht="14.25" customHeight="1" x14ac:dyDescent="0.25">
      <c r="A1175" s="12">
        <v>2447584.42435</v>
      </c>
      <c r="B1175" s="12" t="s">
        <v>1923</v>
      </c>
      <c r="C1175" s="12">
        <v>11.268636000000001</v>
      </c>
      <c r="D1175" s="12"/>
    </row>
    <row r="1176" spans="1:4" ht="14.25" customHeight="1" x14ac:dyDescent="0.25">
      <c r="A1176" s="12">
        <v>2447598.9878400001</v>
      </c>
      <c r="B1176" s="12" t="s">
        <v>1924</v>
      </c>
      <c r="C1176" s="12">
        <v>11.229487000000001</v>
      </c>
      <c r="D1176" s="12"/>
    </row>
    <row r="1177" spans="1:4" ht="14.25" customHeight="1" x14ac:dyDescent="0.25">
      <c r="A1177" s="12">
        <v>2447615.1758400002</v>
      </c>
      <c r="B1177" s="12" t="s">
        <v>1925</v>
      </c>
      <c r="C1177" s="12">
        <v>11.287857000000001</v>
      </c>
      <c r="D1177" s="12"/>
    </row>
    <row r="1178" spans="1:4" ht="14.25" customHeight="1" x14ac:dyDescent="0.25">
      <c r="A1178" s="12">
        <v>2447629.0632099998</v>
      </c>
      <c r="B1178" s="12" t="s">
        <v>1926</v>
      </c>
      <c r="C1178" s="12">
        <v>11.12025</v>
      </c>
      <c r="D1178" s="12"/>
    </row>
    <row r="1179" spans="1:4" ht="14.25" customHeight="1" x14ac:dyDescent="0.25">
      <c r="A1179" s="12">
        <v>2447649.13319</v>
      </c>
      <c r="B1179" s="12" t="s">
        <v>1927</v>
      </c>
      <c r="C1179" s="12">
        <v>11.300345</v>
      </c>
      <c r="D1179" s="12"/>
    </row>
    <row r="1180" spans="1:4" ht="14.25" customHeight="1" x14ac:dyDescent="0.25">
      <c r="A1180" s="12">
        <v>2447659.8865899998</v>
      </c>
      <c r="B1180" s="12" t="s">
        <v>1928</v>
      </c>
      <c r="C1180" s="12">
        <v>11.2325</v>
      </c>
      <c r="D1180" s="12"/>
    </row>
    <row r="1181" spans="1:4" ht="14.25" customHeight="1" x14ac:dyDescent="0.25">
      <c r="A1181" s="12">
        <v>2447676.80736</v>
      </c>
      <c r="B1181" s="12" t="s">
        <v>1929</v>
      </c>
      <c r="C1181" s="12">
        <v>11.183770000000001</v>
      </c>
      <c r="D1181" s="12"/>
    </row>
    <row r="1182" spans="1:4" ht="14.25" customHeight="1" x14ac:dyDescent="0.25">
      <c r="A1182" s="12">
        <v>2447690.9527699999</v>
      </c>
      <c r="B1182" s="12" t="s">
        <v>124</v>
      </c>
      <c r="C1182" s="12">
        <v>11.401320999999999</v>
      </c>
      <c r="D1182" s="12"/>
    </row>
    <row r="1183" spans="1:4" ht="14.25" customHeight="1" x14ac:dyDescent="0.25">
      <c r="A1183" s="12">
        <v>2447707.7286100001</v>
      </c>
      <c r="B1183" s="12" t="s">
        <v>1930</v>
      </c>
      <c r="C1183" s="12">
        <v>11.39899</v>
      </c>
      <c r="D1183" s="12"/>
    </row>
    <row r="1184" spans="1:4" ht="14.25" customHeight="1" x14ac:dyDescent="0.25">
      <c r="A1184" s="12">
        <v>2447721.00893</v>
      </c>
      <c r="B1184" s="12" t="s">
        <v>1931</v>
      </c>
      <c r="C1184" s="12">
        <v>11.353408999999999</v>
      </c>
      <c r="D1184" s="12"/>
    </row>
    <row r="1185" spans="1:4" ht="14.25" customHeight="1" x14ac:dyDescent="0.25">
      <c r="A1185" s="12">
        <v>2447739.3873999999</v>
      </c>
      <c r="B1185" s="12" t="s">
        <v>1932</v>
      </c>
      <c r="C1185" s="12">
        <v>11.460482000000001</v>
      </c>
      <c r="D1185" s="12"/>
    </row>
    <row r="1186" spans="1:4" ht="14.25" customHeight="1" x14ac:dyDescent="0.25">
      <c r="A1186" s="12">
        <v>2447753.3536999999</v>
      </c>
      <c r="B1186" s="12" t="s">
        <v>1933</v>
      </c>
      <c r="C1186" s="12">
        <v>11.388045999999999</v>
      </c>
      <c r="D1186" s="12"/>
    </row>
    <row r="1187" spans="1:4" ht="14.25" customHeight="1" x14ac:dyDescent="0.25">
      <c r="A1187" s="12">
        <v>2447769.1165</v>
      </c>
      <c r="B1187" s="12" t="s">
        <v>1934</v>
      </c>
      <c r="C1187" s="12">
        <v>11.295325999999999</v>
      </c>
      <c r="D1187" s="12"/>
    </row>
    <row r="1188" spans="1:4" ht="14.25" customHeight="1" x14ac:dyDescent="0.25">
      <c r="A1188" s="12">
        <v>2447784.4103799998</v>
      </c>
      <c r="B1188" s="12" t="s">
        <v>1935</v>
      </c>
      <c r="C1188" s="12">
        <v>11.470385</v>
      </c>
      <c r="D1188" s="12"/>
    </row>
    <row r="1189" spans="1:4" ht="14.25" customHeight="1" x14ac:dyDescent="0.25">
      <c r="A1189" s="12">
        <v>2447798.9203599999</v>
      </c>
      <c r="B1189" s="12" t="s">
        <v>1936</v>
      </c>
      <c r="C1189" s="12">
        <v>11.60122</v>
      </c>
      <c r="D1189" s="12"/>
    </row>
    <row r="1190" spans="1:4" ht="14.25" customHeight="1" x14ac:dyDescent="0.25">
      <c r="A1190" s="12">
        <v>2447815.4337800001</v>
      </c>
      <c r="B1190" s="12" t="s">
        <v>1937</v>
      </c>
      <c r="C1190" s="12">
        <v>11.434564999999999</v>
      </c>
      <c r="D1190" s="12"/>
    </row>
    <row r="1191" spans="1:4" ht="14.25" customHeight="1" x14ac:dyDescent="0.25">
      <c r="A1191" s="12">
        <v>2447828.00428</v>
      </c>
      <c r="B1191" s="12" t="s">
        <v>1938</v>
      </c>
      <c r="C1191" s="12">
        <v>11.589394</v>
      </c>
      <c r="D1191" s="12"/>
    </row>
    <row r="1192" spans="1:4" ht="14.25" customHeight="1" x14ac:dyDescent="0.25">
      <c r="A1192" s="12">
        <v>2447846.8638599999</v>
      </c>
      <c r="B1192" s="12" t="s">
        <v>1939</v>
      </c>
      <c r="C1192" s="12">
        <v>11.592499999999999</v>
      </c>
      <c r="D1192" s="12"/>
    </row>
    <row r="1193" spans="1:4" ht="14.25" customHeight="1" x14ac:dyDescent="0.25">
      <c r="A1193" s="12">
        <v>2447857.23</v>
      </c>
      <c r="B1193" s="12" t="s">
        <v>1940</v>
      </c>
      <c r="C1193" s="12">
        <v>11.6</v>
      </c>
      <c r="D1193" s="12"/>
    </row>
    <row r="1194" spans="1:4" ht="14.25" customHeight="1" x14ac:dyDescent="0.25">
      <c r="A1194" s="12">
        <v>2447916.1616000002</v>
      </c>
      <c r="B1194" s="12" t="s">
        <v>1941</v>
      </c>
      <c r="C1194" s="12">
        <v>11.76</v>
      </c>
      <c r="D1194" s="12"/>
    </row>
    <row r="1195" spans="1:4" ht="14.25" customHeight="1" x14ac:dyDescent="0.25">
      <c r="A1195" s="12">
        <v>2447934.34827</v>
      </c>
      <c r="B1195" s="12" t="s">
        <v>1942</v>
      </c>
      <c r="C1195" s="12">
        <v>11.656000000000001</v>
      </c>
      <c r="D1195" s="12"/>
    </row>
    <row r="1196" spans="1:4" ht="14.25" customHeight="1" x14ac:dyDescent="0.25">
      <c r="A1196" s="12">
        <v>2447948.81476</v>
      </c>
      <c r="B1196" s="12" t="s">
        <v>1943</v>
      </c>
      <c r="C1196" s="12">
        <v>11.547941</v>
      </c>
      <c r="D1196" s="12"/>
    </row>
    <row r="1197" spans="1:4" ht="14.25" customHeight="1" x14ac:dyDescent="0.25">
      <c r="A1197" s="12">
        <v>2447966.6764400001</v>
      </c>
      <c r="B1197" s="12" t="s">
        <v>1944</v>
      </c>
      <c r="C1197" s="12">
        <v>11.414999999999999</v>
      </c>
      <c r="D1197" s="12"/>
    </row>
    <row r="1198" spans="1:4" ht="14.25" customHeight="1" x14ac:dyDescent="0.25">
      <c r="A1198" s="12">
        <v>2447979.7613900001</v>
      </c>
      <c r="B1198" s="12" t="s">
        <v>1945</v>
      </c>
      <c r="C1198" s="12">
        <v>11.583584999999999</v>
      </c>
      <c r="D1198" s="12"/>
    </row>
    <row r="1199" spans="1:4" ht="14.25" customHeight="1" x14ac:dyDescent="0.25">
      <c r="A1199" s="12">
        <v>2447995.6641299999</v>
      </c>
      <c r="B1199" s="12" t="s">
        <v>1946</v>
      </c>
      <c r="C1199" s="12">
        <v>11.505675999999999</v>
      </c>
      <c r="D1199" s="12"/>
    </row>
    <row r="1200" spans="1:4" ht="14.25" customHeight="1" x14ac:dyDescent="0.25">
      <c r="A1200" s="12">
        <v>2448011.7517300001</v>
      </c>
      <c r="B1200" s="12" t="s">
        <v>1947</v>
      </c>
      <c r="C1200" s="12">
        <v>11.666</v>
      </c>
      <c r="D1200" s="12"/>
    </row>
    <row r="1201" spans="1:4" ht="14.25" customHeight="1" x14ac:dyDescent="0.25">
      <c r="A1201" s="12">
        <v>2448027.9134499999</v>
      </c>
      <c r="B1201" s="12" t="s">
        <v>1948</v>
      </c>
      <c r="C1201" s="12">
        <v>11.657560999999999</v>
      </c>
      <c r="D1201" s="12"/>
    </row>
    <row r="1202" spans="1:4" ht="14.25" customHeight="1" x14ac:dyDescent="0.25">
      <c r="A1202" s="12">
        <v>2448041.0997700002</v>
      </c>
      <c r="B1202" s="12" t="s">
        <v>1949</v>
      </c>
      <c r="C1202" s="12">
        <v>11.531772</v>
      </c>
      <c r="D1202" s="12"/>
    </row>
    <row r="1203" spans="1:4" ht="14.25" customHeight="1" x14ac:dyDescent="0.25">
      <c r="A1203" s="12">
        <v>2448056.3722799998</v>
      </c>
      <c r="B1203" s="12" t="s">
        <v>1950</v>
      </c>
      <c r="C1203" s="12">
        <v>11.550727</v>
      </c>
      <c r="D1203" s="12"/>
    </row>
    <row r="1204" spans="1:4" ht="14.25" customHeight="1" x14ac:dyDescent="0.25">
      <c r="A1204" s="12">
        <v>2448070.3209600002</v>
      </c>
      <c r="B1204" s="12" t="s">
        <v>1951</v>
      </c>
      <c r="C1204" s="12">
        <v>11.629222</v>
      </c>
      <c r="D1204" s="12"/>
    </row>
    <row r="1205" spans="1:4" ht="14.25" customHeight="1" x14ac:dyDescent="0.25">
      <c r="A1205" s="12">
        <v>2448087.5647399998</v>
      </c>
      <c r="B1205" s="12" t="s">
        <v>1952</v>
      </c>
      <c r="C1205" s="12">
        <v>11.502222</v>
      </c>
      <c r="D1205" s="12"/>
    </row>
    <row r="1206" spans="1:4" ht="14.25" customHeight="1" x14ac:dyDescent="0.25">
      <c r="A1206" s="12">
        <v>2448099.8192599998</v>
      </c>
      <c r="B1206" s="12" t="s">
        <v>1953</v>
      </c>
      <c r="C1206" s="12">
        <v>11.411268</v>
      </c>
      <c r="D1206" s="12"/>
    </row>
    <row r="1207" spans="1:4" ht="14.25" customHeight="1" x14ac:dyDescent="0.25">
      <c r="A1207" s="12">
        <v>2448116.7803600002</v>
      </c>
      <c r="B1207" s="12" t="s">
        <v>1954</v>
      </c>
      <c r="C1207" s="12">
        <v>11.479367999999999</v>
      </c>
      <c r="D1207" s="12"/>
    </row>
    <row r="1208" spans="1:4" ht="14.25" customHeight="1" x14ac:dyDescent="0.25">
      <c r="A1208" s="12">
        <v>2448130.1356700002</v>
      </c>
      <c r="B1208" s="12" t="s">
        <v>1955</v>
      </c>
      <c r="C1208" s="12">
        <v>11.5245</v>
      </c>
      <c r="D1208" s="12"/>
    </row>
    <row r="1209" spans="1:4" ht="14.25" customHeight="1" x14ac:dyDescent="0.25">
      <c r="A1209" s="12">
        <v>2448147.9507599999</v>
      </c>
      <c r="B1209" s="12" t="s">
        <v>1956</v>
      </c>
      <c r="C1209" s="12">
        <v>11.460459</v>
      </c>
      <c r="D1209" s="12"/>
    </row>
    <row r="1210" spans="1:4" ht="14.25" customHeight="1" x14ac:dyDescent="0.25">
      <c r="A1210" s="12">
        <v>2448160.5275400002</v>
      </c>
      <c r="B1210" s="12" t="s">
        <v>1957</v>
      </c>
      <c r="C1210" s="12">
        <v>11.464426</v>
      </c>
      <c r="D1210" s="12"/>
    </row>
    <row r="1211" spans="1:4" ht="14.25" customHeight="1" x14ac:dyDescent="0.25">
      <c r="A1211" s="12">
        <v>2448176.3944199998</v>
      </c>
      <c r="B1211" s="12" t="s">
        <v>1958</v>
      </c>
      <c r="C1211" s="12">
        <v>11.635999999999999</v>
      </c>
      <c r="D1211" s="12"/>
    </row>
    <row r="1212" spans="1:4" ht="14.25" customHeight="1" x14ac:dyDescent="0.25">
      <c r="A1212" s="12">
        <v>2448190.2658299999</v>
      </c>
      <c r="B1212" s="12" t="s">
        <v>1959</v>
      </c>
      <c r="C1212" s="12">
        <v>11.586591</v>
      </c>
      <c r="D1212" s="12"/>
    </row>
    <row r="1213" spans="1:4" ht="14.25" customHeight="1" x14ac:dyDescent="0.25">
      <c r="A1213" s="12">
        <v>2448205.0187599999</v>
      </c>
      <c r="B1213" s="12" t="s">
        <v>1960</v>
      </c>
      <c r="C1213" s="12">
        <v>11.5748</v>
      </c>
      <c r="D1213" s="12"/>
    </row>
    <row r="1214" spans="1:4" ht="14.25" customHeight="1" x14ac:dyDescent="0.25">
      <c r="A1214" s="12">
        <v>2448218.3075000001</v>
      </c>
      <c r="B1214" s="12" t="s">
        <v>1961</v>
      </c>
      <c r="C1214" s="12">
        <v>11.85</v>
      </c>
      <c r="D1214" s="12"/>
    </row>
    <row r="1215" spans="1:4" ht="14.25" customHeight="1" x14ac:dyDescent="0.25">
      <c r="A1215" s="12">
        <v>2448261.8981300001</v>
      </c>
      <c r="B1215" s="12" t="s">
        <v>1962</v>
      </c>
      <c r="C1215" s="12">
        <v>11.43</v>
      </c>
      <c r="D1215" s="12"/>
    </row>
    <row r="1216" spans="1:4" ht="14.25" customHeight="1" x14ac:dyDescent="0.25">
      <c r="A1216" s="12">
        <v>2448285.59</v>
      </c>
      <c r="B1216" s="12" t="s">
        <v>1963</v>
      </c>
      <c r="C1216" s="12">
        <v>11.45</v>
      </c>
      <c r="D1216" s="12"/>
    </row>
    <row r="1217" spans="1:4" ht="14.25" customHeight="1" x14ac:dyDescent="0.25">
      <c r="A1217" s="12">
        <v>2448302.9816000001</v>
      </c>
      <c r="B1217" s="12" t="s">
        <v>1964</v>
      </c>
      <c r="C1217" s="12">
        <v>11.58</v>
      </c>
      <c r="D1217" s="12"/>
    </row>
    <row r="1218" spans="1:4" ht="14.25" customHeight="1" x14ac:dyDescent="0.25">
      <c r="A1218" s="12">
        <v>2448316.4821100002</v>
      </c>
      <c r="B1218" s="12" t="s">
        <v>1965</v>
      </c>
      <c r="C1218" s="12">
        <v>11.524615000000001</v>
      </c>
      <c r="D1218" s="12"/>
    </row>
    <row r="1219" spans="1:4" ht="14.25" customHeight="1" x14ac:dyDescent="0.25">
      <c r="A1219" s="12">
        <v>2448333.3221800001</v>
      </c>
      <c r="B1219" s="12" t="s">
        <v>1966</v>
      </c>
      <c r="C1219" s="12">
        <v>11.580625</v>
      </c>
      <c r="D1219" s="12"/>
    </row>
    <row r="1220" spans="1:4" ht="14.25" customHeight="1" x14ac:dyDescent="0.25">
      <c r="A1220" s="12">
        <v>2448349.1136500002</v>
      </c>
      <c r="B1220" s="12" t="s">
        <v>1967</v>
      </c>
      <c r="C1220" s="12">
        <v>11.5924</v>
      </c>
      <c r="D1220" s="12"/>
    </row>
    <row r="1221" spans="1:4" ht="14.25" customHeight="1" x14ac:dyDescent="0.25">
      <c r="A1221" s="12">
        <v>2448363.9788799998</v>
      </c>
      <c r="B1221" s="12" t="s">
        <v>1968</v>
      </c>
      <c r="C1221" s="12">
        <v>11.645780999999999</v>
      </c>
      <c r="D1221" s="12"/>
    </row>
    <row r="1222" spans="1:4" ht="14.25" customHeight="1" x14ac:dyDescent="0.25">
      <c r="A1222" s="12">
        <v>2448379.4013</v>
      </c>
      <c r="B1222" s="12" t="s">
        <v>1969</v>
      </c>
      <c r="C1222" s="12">
        <v>11.694468000000001</v>
      </c>
      <c r="D1222" s="12"/>
    </row>
    <row r="1223" spans="1:4" ht="14.25" customHeight="1" x14ac:dyDescent="0.25">
      <c r="A1223" s="12">
        <v>2448394.1785800001</v>
      </c>
      <c r="B1223" s="12" t="s">
        <v>1970</v>
      </c>
      <c r="C1223" s="12">
        <v>11.787671</v>
      </c>
      <c r="D1223" s="12"/>
    </row>
    <row r="1224" spans="1:4" ht="14.25" customHeight="1" x14ac:dyDescent="0.25">
      <c r="A1224" s="12">
        <v>2448410.6028200001</v>
      </c>
      <c r="B1224" s="12" t="s">
        <v>1971</v>
      </c>
      <c r="C1224" s="12">
        <v>11.561311</v>
      </c>
      <c r="D1224" s="12"/>
    </row>
    <row r="1225" spans="1:4" ht="14.25" customHeight="1" x14ac:dyDescent="0.25">
      <c r="A1225" s="12">
        <v>2448423.8053700002</v>
      </c>
      <c r="B1225" s="12" t="s">
        <v>1972</v>
      </c>
      <c r="C1225" s="12">
        <v>11.486262999999999</v>
      </c>
      <c r="D1225" s="12"/>
    </row>
    <row r="1226" spans="1:4" ht="14.25" customHeight="1" x14ac:dyDescent="0.25">
      <c r="A1226" s="12">
        <v>2448440.9849299998</v>
      </c>
      <c r="B1226" s="12" t="s">
        <v>1973</v>
      </c>
      <c r="C1226" s="12">
        <v>11.683944</v>
      </c>
      <c r="D1226" s="12"/>
    </row>
    <row r="1227" spans="1:4" ht="14.25" customHeight="1" x14ac:dyDescent="0.25">
      <c r="A1227" s="12">
        <v>2448453.94545</v>
      </c>
      <c r="B1227" s="12" t="s">
        <v>1974</v>
      </c>
      <c r="C1227" s="12">
        <v>11.553409</v>
      </c>
      <c r="D1227" s="12"/>
    </row>
    <row r="1228" spans="1:4" ht="14.25" customHeight="1" x14ac:dyDescent="0.25">
      <c r="A1228" s="12">
        <v>2448471.25881</v>
      </c>
      <c r="B1228" s="12" t="s">
        <v>1975</v>
      </c>
      <c r="C1228" s="12">
        <v>11.466022000000001</v>
      </c>
      <c r="D1228" s="12"/>
    </row>
    <row r="1229" spans="1:4" ht="14.25" customHeight="1" x14ac:dyDescent="0.25">
      <c r="A1229" s="12">
        <v>2448483.7016099999</v>
      </c>
      <c r="B1229" s="12" t="s">
        <v>1976</v>
      </c>
      <c r="C1229" s="12">
        <v>11.592444</v>
      </c>
      <c r="D1229" s="12"/>
    </row>
    <row r="1230" spans="1:4" ht="14.25" customHeight="1" x14ac:dyDescent="0.25">
      <c r="A1230" s="12">
        <v>2448501.3659399999</v>
      </c>
      <c r="B1230" s="12" t="s">
        <v>1977</v>
      </c>
      <c r="C1230" s="12">
        <v>11.580399999999999</v>
      </c>
      <c r="D1230" s="12"/>
    </row>
    <row r="1231" spans="1:4" ht="14.25" customHeight="1" x14ac:dyDescent="0.25">
      <c r="A1231" s="12">
        <v>2448514.0494599999</v>
      </c>
      <c r="B1231" s="12" t="s">
        <v>1978</v>
      </c>
      <c r="C1231" s="12">
        <v>11.594286</v>
      </c>
      <c r="D1231" s="12"/>
    </row>
    <row r="1232" spans="1:4" ht="14.25" customHeight="1" x14ac:dyDescent="0.25">
      <c r="A1232" s="12">
        <v>2448532.6691200002</v>
      </c>
      <c r="B1232" s="12" t="s">
        <v>1979</v>
      </c>
      <c r="C1232" s="12">
        <v>11.462872000000001</v>
      </c>
      <c r="D1232" s="12"/>
    </row>
    <row r="1233" spans="1:4" ht="14.25" customHeight="1" x14ac:dyDescent="0.25">
      <c r="A1233" s="12">
        <v>2448545.6836299999</v>
      </c>
      <c r="B1233" s="12" t="s">
        <v>1980</v>
      </c>
      <c r="C1233" s="12">
        <v>11.254808000000001</v>
      </c>
      <c r="D1233" s="12"/>
    </row>
    <row r="1234" spans="1:4" ht="14.25" customHeight="1" x14ac:dyDescent="0.25">
      <c r="A1234" s="12">
        <v>2448562.821</v>
      </c>
      <c r="B1234" s="12" t="s">
        <v>1981</v>
      </c>
      <c r="C1234" s="12">
        <v>11.507941000000001</v>
      </c>
      <c r="D1234" s="12"/>
    </row>
    <row r="1235" spans="1:4" ht="14.25" customHeight="1" x14ac:dyDescent="0.25">
      <c r="A1235" s="12">
        <v>2448575.8083299999</v>
      </c>
      <c r="B1235" s="12" t="s">
        <v>1982</v>
      </c>
      <c r="C1235" s="12">
        <v>11.17</v>
      </c>
      <c r="D1235" s="12"/>
    </row>
    <row r="1236" spans="1:4" ht="14.25" customHeight="1" x14ac:dyDescent="0.25">
      <c r="A1236" s="12">
        <v>2448661.31176</v>
      </c>
      <c r="B1236" s="12" t="s">
        <v>1983</v>
      </c>
      <c r="C1236" s="12">
        <v>11.376666999999999</v>
      </c>
      <c r="D1236" s="12"/>
    </row>
    <row r="1237" spans="1:4" ht="14.25" customHeight="1" x14ac:dyDescent="0.25">
      <c r="A1237" s="12">
        <v>2448680.77605</v>
      </c>
      <c r="B1237" s="12" t="s">
        <v>1984</v>
      </c>
      <c r="C1237" s="12">
        <v>11.276757</v>
      </c>
      <c r="D1237" s="12"/>
    </row>
    <row r="1238" spans="1:4" ht="14.25" customHeight="1" x14ac:dyDescent="0.25">
      <c r="A1238" s="12">
        <v>2448693.3722299999</v>
      </c>
      <c r="B1238" s="12" t="s">
        <v>1985</v>
      </c>
      <c r="C1238" s="12">
        <v>11.54</v>
      </c>
      <c r="D1238" s="12"/>
    </row>
    <row r="1239" spans="1:4" ht="14.25" customHeight="1" x14ac:dyDescent="0.25">
      <c r="A1239" s="12">
        <v>2448712.1474000001</v>
      </c>
      <c r="B1239" s="12" t="s">
        <v>1986</v>
      </c>
      <c r="C1239" s="12">
        <v>11.523999999999999</v>
      </c>
      <c r="D1239" s="12"/>
    </row>
    <row r="1240" spans="1:4" ht="14.25" customHeight="1" x14ac:dyDescent="0.25">
      <c r="A1240" s="12">
        <v>2448723.0091200001</v>
      </c>
      <c r="B1240" s="12" t="s">
        <v>1987</v>
      </c>
      <c r="C1240" s="12">
        <v>11.154999999999999</v>
      </c>
      <c r="D1240" s="12"/>
    </row>
    <row r="1241" spans="1:4" ht="14.25" customHeight="1" x14ac:dyDescent="0.25">
      <c r="A1241" s="12">
        <v>2448742.5421099998</v>
      </c>
      <c r="B1241" s="12" t="s">
        <v>1988</v>
      </c>
      <c r="C1241" s="12">
        <v>11.384912</v>
      </c>
      <c r="D1241" s="12"/>
    </row>
    <row r="1242" spans="1:4" ht="14.25" customHeight="1" x14ac:dyDescent="0.25">
      <c r="A1242" s="12">
        <v>2448756.5787800001</v>
      </c>
      <c r="B1242" s="12" t="s">
        <v>1989</v>
      </c>
      <c r="C1242" s="12">
        <v>11.256399999999999</v>
      </c>
      <c r="D1242" s="12"/>
    </row>
    <row r="1243" spans="1:4" ht="14.25" customHeight="1" x14ac:dyDescent="0.25">
      <c r="A1243" s="12">
        <v>2448772.2416400001</v>
      </c>
      <c r="B1243" s="12" t="s">
        <v>1990</v>
      </c>
      <c r="C1243" s="12">
        <v>11.110976000000001</v>
      </c>
      <c r="D1243" s="12"/>
    </row>
    <row r="1244" spans="1:4" ht="14.25" customHeight="1" x14ac:dyDescent="0.25">
      <c r="A1244" s="12">
        <v>2448787.4573599999</v>
      </c>
      <c r="B1244" s="12" t="s">
        <v>1991</v>
      </c>
      <c r="C1244" s="12">
        <v>11.187324</v>
      </c>
      <c r="D1244" s="12"/>
    </row>
    <row r="1245" spans="1:4" ht="14.25" customHeight="1" x14ac:dyDescent="0.25">
      <c r="A1245" s="12">
        <v>2448802.9009799999</v>
      </c>
      <c r="B1245" s="12" t="s">
        <v>1992</v>
      </c>
      <c r="C1245" s="12">
        <v>10.960190000000001</v>
      </c>
      <c r="D1245" s="12"/>
    </row>
    <row r="1246" spans="1:4" ht="14.25" customHeight="1" x14ac:dyDescent="0.25">
      <c r="A1246" s="12">
        <v>2448818.0514000002</v>
      </c>
      <c r="B1246" s="12" t="s">
        <v>1993</v>
      </c>
      <c r="C1246" s="12">
        <v>10.996071000000001</v>
      </c>
      <c r="D1246" s="12"/>
    </row>
    <row r="1247" spans="1:4" ht="14.25" customHeight="1" x14ac:dyDescent="0.25">
      <c r="A1247" s="12">
        <v>2448832.56831</v>
      </c>
      <c r="B1247" s="12" t="s">
        <v>1994</v>
      </c>
      <c r="C1247" s="12">
        <v>11.301888999999999</v>
      </c>
      <c r="D1247" s="12"/>
    </row>
    <row r="1248" spans="1:4" ht="14.25" customHeight="1" x14ac:dyDescent="0.25">
      <c r="A1248" s="12">
        <v>2448847.8910699999</v>
      </c>
      <c r="B1248" s="12" t="s">
        <v>1995</v>
      </c>
      <c r="C1248" s="12">
        <v>11.096882000000001</v>
      </c>
      <c r="D1248" s="12"/>
    </row>
    <row r="1249" spans="1:4" ht="14.25" customHeight="1" x14ac:dyDescent="0.25">
      <c r="A1249" s="12">
        <v>2448861.4625400002</v>
      </c>
      <c r="B1249" s="12" t="s">
        <v>1996</v>
      </c>
      <c r="C1249" s="12">
        <v>10.701533</v>
      </c>
      <c r="D1249" s="12"/>
    </row>
    <row r="1250" spans="1:4" ht="14.25" customHeight="1" x14ac:dyDescent="0.25">
      <c r="A1250" s="12">
        <v>2448878.5019499999</v>
      </c>
      <c r="B1250" s="12" t="s">
        <v>1997</v>
      </c>
      <c r="C1250" s="12">
        <v>10.63036</v>
      </c>
      <c r="D1250" s="12"/>
    </row>
    <row r="1251" spans="1:4" ht="14.25" customHeight="1" x14ac:dyDescent="0.25">
      <c r="A1251" s="12">
        <v>2448891.6906900001</v>
      </c>
      <c r="B1251" s="12" t="s">
        <v>1998</v>
      </c>
      <c r="C1251" s="12">
        <v>10.711897</v>
      </c>
      <c r="D1251" s="12"/>
    </row>
    <row r="1252" spans="1:4" ht="14.25" customHeight="1" x14ac:dyDescent="0.25">
      <c r="A1252" s="12">
        <v>2448909.04232</v>
      </c>
      <c r="B1252" s="12" t="s">
        <v>1999</v>
      </c>
      <c r="C1252" s="12">
        <v>10.81268</v>
      </c>
      <c r="D1252" s="12"/>
    </row>
    <row r="1253" spans="1:4" ht="14.25" customHeight="1" x14ac:dyDescent="0.25">
      <c r="A1253" s="12">
        <v>2448921.22713</v>
      </c>
      <c r="B1253" s="12" t="s">
        <v>2000</v>
      </c>
      <c r="C1253" s="12">
        <v>10.695</v>
      </c>
      <c r="D1253" s="12"/>
    </row>
    <row r="1254" spans="1:4" ht="14.25" customHeight="1" x14ac:dyDescent="0.25">
      <c r="A1254" s="12">
        <v>2448938.6351899998</v>
      </c>
      <c r="B1254" s="12" t="s">
        <v>2001</v>
      </c>
      <c r="C1254" s="12">
        <v>10.543749999999999</v>
      </c>
      <c r="D1254" s="12"/>
    </row>
    <row r="1255" spans="1:4" ht="14.25" customHeight="1" x14ac:dyDescent="0.25">
      <c r="A1255" s="12">
        <v>2448953.1457500001</v>
      </c>
      <c r="B1255" s="12" t="s">
        <v>2002</v>
      </c>
      <c r="C1255" s="12">
        <v>10.45</v>
      </c>
      <c r="D1255" s="12"/>
    </row>
    <row r="1256" spans="1:4" ht="14.25" customHeight="1" x14ac:dyDescent="0.25">
      <c r="A1256" s="12">
        <v>2449009.75018</v>
      </c>
      <c r="B1256" s="12" t="s">
        <v>2003</v>
      </c>
      <c r="C1256" s="12">
        <v>11.032</v>
      </c>
      <c r="D1256" s="12"/>
    </row>
    <row r="1257" spans="1:4" ht="14.25" customHeight="1" x14ac:dyDescent="0.25">
      <c r="A1257" s="12">
        <v>2449025.2009299998</v>
      </c>
      <c r="B1257" s="12" t="s">
        <v>2004</v>
      </c>
      <c r="C1257" s="12">
        <v>11.178260999999999</v>
      </c>
      <c r="D1257" s="12"/>
    </row>
    <row r="1258" spans="1:4" ht="14.25" customHeight="1" x14ac:dyDescent="0.25">
      <c r="A1258" s="12">
        <v>2449042.4677800001</v>
      </c>
      <c r="B1258" s="12" t="s">
        <v>2005</v>
      </c>
      <c r="C1258" s="12">
        <v>11.186667</v>
      </c>
      <c r="D1258" s="12"/>
    </row>
    <row r="1259" spans="1:4" ht="14.25" customHeight="1" x14ac:dyDescent="0.25">
      <c r="A1259" s="12">
        <v>2449059.9245199999</v>
      </c>
      <c r="B1259" s="12" t="s">
        <v>2006</v>
      </c>
      <c r="C1259" s="12">
        <v>11.318235</v>
      </c>
      <c r="D1259" s="12"/>
    </row>
    <row r="1260" spans="1:4" ht="14.25" customHeight="1" x14ac:dyDescent="0.25">
      <c r="A1260" s="12">
        <v>2449073.8535699998</v>
      </c>
      <c r="B1260" s="12" t="s">
        <v>2007</v>
      </c>
      <c r="C1260" s="12">
        <v>11.507273</v>
      </c>
      <c r="D1260" s="12"/>
    </row>
    <row r="1261" spans="1:4" ht="14.25" customHeight="1" x14ac:dyDescent="0.25">
      <c r="A1261" s="12">
        <v>2449091.6891299998</v>
      </c>
      <c r="B1261" s="12" t="s">
        <v>2008</v>
      </c>
      <c r="C1261" s="12">
        <v>11.380526</v>
      </c>
      <c r="D1261" s="12"/>
    </row>
    <row r="1262" spans="1:4" ht="14.25" customHeight="1" x14ac:dyDescent="0.25">
      <c r="A1262" s="12">
        <v>2449103.8574399999</v>
      </c>
      <c r="B1262" s="12" t="s">
        <v>2009</v>
      </c>
      <c r="C1262" s="12">
        <v>11.478973999999999</v>
      </c>
      <c r="D1262" s="12"/>
    </row>
    <row r="1263" spans="1:4" ht="14.25" customHeight="1" x14ac:dyDescent="0.25">
      <c r="A1263" s="12">
        <v>2449120.9929999998</v>
      </c>
      <c r="B1263" s="12" t="s">
        <v>2010</v>
      </c>
      <c r="C1263" s="12">
        <v>11.584932</v>
      </c>
      <c r="D1263" s="12"/>
    </row>
    <row r="1264" spans="1:4" ht="14.25" customHeight="1" x14ac:dyDescent="0.25">
      <c r="A1264" s="12">
        <v>2449133.9036599998</v>
      </c>
      <c r="B1264" s="12" t="s">
        <v>2011</v>
      </c>
      <c r="C1264" s="12">
        <v>11.627167</v>
      </c>
      <c r="D1264" s="12"/>
    </row>
    <row r="1265" spans="1:4" ht="14.25" customHeight="1" x14ac:dyDescent="0.25">
      <c r="A1265" s="12">
        <v>2449150.2146899998</v>
      </c>
      <c r="B1265" s="12" t="s">
        <v>2012</v>
      </c>
      <c r="C1265" s="12">
        <v>11.568555999999999</v>
      </c>
      <c r="D1265" s="12"/>
    </row>
    <row r="1266" spans="1:4" ht="14.25" customHeight="1" x14ac:dyDescent="0.25">
      <c r="A1266" s="12">
        <v>2449163.97688</v>
      </c>
      <c r="B1266" s="12" t="s">
        <v>125</v>
      </c>
      <c r="C1266" s="12">
        <v>11.732917</v>
      </c>
      <c r="D1266" s="12"/>
    </row>
    <row r="1267" spans="1:4" ht="14.25" customHeight="1" x14ac:dyDescent="0.25">
      <c r="A1267" s="12">
        <v>2449180.90423</v>
      </c>
      <c r="B1267" s="12" t="s">
        <v>126</v>
      </c>
      <c r="C1267" s="12">
        <v>11.606792</v>
      </c>
      <c r="D1267" s="12"/>
    </row>
    <row r="1268" spans="1:4" ht="14.25" customHeight="1" x14ac:dyDescent="0.25">
      <c r="A1268" s="12">
        <v>2449194.3376799999</v>
      </c>
      <c r="B1268" s="12" t="s">
        <v>127</v>
      </c>
      <c r="C1268" s="12">
        <v>11.520198000000001</v>
      </c>
      <c r="D1268" s="12"/>
    </row>
    <row r="1269" spans="1:4" ht="14.25" customHeight="1" x14ac:dyDescent="0.25">
      <c r="A1269" s="12">
        <v>2449210.1678599999</v>
      </c>
      <c r="B1269" s="12" t="s">
        <v>2013</v>
      </c>
      <c r="C1269" s="12">
        <v>11.665293999999999</v>
      </c>
      <c r="D1269" s="12"/>
    </row>
    <row r="1270" spans="1:4" ht="14.25" customHeight="1" x14ac:dyDescent="0.25">
      <c r="A1270" s="12">
        <v>2449224.71551</v>
      </c>
      <c r="B1270" s="12" t="s">
        <v>2014</v>
      </c>
      <c r="C1270" s="12">
        <v>11.499615</v>
      </c>
      <c r="D1270" s="12"/>
    </row>
    <row r="1271" spans="1:4" ht="14.25" customHeight="1" x14ac:dyDescent="0.25">
      <c r="A1271" s="12">
        <v>2449240.0874600001</v>
      </c>
      <c r="B1271" s="12" t="s">
        <v>128</v>
      </c>
      <c r="C1271" s="12">
        <v>11.505378</v>
      </c>
      <c r="D1271" s="12"/>
    </row>
    <row r="1272" spans="1:4" ht="14.25" customHeight="1" x14ac:dyDescent="0.25">
      <c r="A1272" s="12">
        <v>2449254.9915499999</v>
      </c>
      <c r="B1272" s="12" t="s">
        <v>2015</v>
      </c>
      <c r="C1272" s="12">
        <v>11.555555999999999</v>
      </c>
      <c r="D1272" s="12"/>
    </row>
    <row r="1273" spans="1:4" ht="14.25" customHeight="1" x14ac:dyDescent="0.25">
      <c r="A1273" s="12">
        <v>2449272.21704</v>
      </c>
      <c r="B1273" s="12" t="s">
        <v>129</v>
      </c>
      <c r="C1273" s="12">
        <v>11.337679</v>
      </c>
      <c r="D1273" s="12"/>
    </row>
    <row r="1274" spans="1:4" ht="14.25" customHeight="1" x14ac:dyDescent="0.25">
      <c r="A1274" s="12">
        <v>2449286.3565699998</v>
      </c>
      <c r="B1274" s="12" t="s">
        <v>2016</v>
      </c>
      <c r="C1274" s="12">
        <v>11.247199999999999</v>
      </c>
      <c r="D1274" s="12"/>
    </row>
    <row r="1275" spans="1:4" ht="14.25" customHeight="1" x14ac:dyDescent="0.25">
      <c r="A1275" s="12">
        <v>2449302.0789899998</v>
      </c>
      <c r="B1275" s="12" t="s">
        <v>130</v>
      </c>
      <c r="C1275" s="12">
        <v>11.245641000000001</v>
      </c>
      <c r="D1275" s="12"/>
    </row>
    <row r="1276" spans="1:4" ht="14.25" customHeight="1" x14ac:dyDescent="0.25">
      <c r="A1276" s="12">
        <v>2449316.7486700001</v>
      </c>
      <c r="B1276" s="12" t="s">
        <v>2017</v>
      </c>
      <c r="C1276" s="12">
        <v>11.34625</v>
      </c>
      <c r="D1276" s="12"/>
    </row>
    <row r="1277" spans="1:4" ht="14.25" customHeight="1" x14ac:dyDescent="0.25">
      <c r="A1277" s="12">
        <v>2449326.54</v>
      </c>
      <c r="B1277" s="12" t="s">
        <v>2018</v>
      </c>
      <c r="C1277" s="12">
        <v>11.366667</v>
      </c>
      <c r="D1277" s="12"/>
    </row>
    <row r="1278" spans="1:4" ht="14.25" customHeight="1" x14ac:dyDescent="0.25">
      <c r="A1278" s="12">
        <v>2449368.5378299998</v>
      </c>
      <c r="B1278" s="12" t="s">
        <v>2019</v>
      </c>
      <c r="C1278" s="12">
        <v>11.675000000000001</v>
      </c>
      <c r="D1278" s="12"/>
    </row>
    <row r="1279" spans="1:4" ht="14.25" customHeight="1" x14ac:dyDescent="0.25">
      <c r="A1279" s="12">
        <v>2449388.6046000002</v>
      </c>
      <c r="B1279" s="12" t="s">
        <v>2020</v>
      </c>
      <c r="C1279" s="12">
        <v>11.697778</v>
      </c>
      <c r="D1279" s="12"/>
    </row>
    <row r="1280" spans="1:4" ht="14.25" customHeight="1" x14ac:dyDescent="0.25">
      <c r="A1280" s="12">
        <v>2449401.3533200002</v>
      </c>
      <c r="B1280" s="12" t="s">
        <v>2021</v>
      </c>
      <c r="C1280" s="12">
        <v>11.506923</v>
      </c>
      <c r="D1280" s="12"/>
    </row>
    <row r="1281" spans="1:4" ht="14.25" customHeight="1" x14ac:dyDescent="0.25">
      <c r="A1281" s="12">
        <v>2449418.5593900001</v>
      </c>
      <c r="B1281" s="12" t="s">
        <v>2022</v>
      </c>
      <c r="C1281" s="12">
        <v>11.308235</v>
      </c>
      <c r="D1281" s="12"/>
    </row>
    <row r="1282" spans="1:4" ht="14.25" customHeight="1" x14ac:dyDescent="0.25">
      <c r="A1282" s="12">
        <v>2449433.3690300002</v>
      </c>
      <c r="B1282" s="12" t="s">
        <v>2023</v>
      </c>
      <c r="C1282" s="12">
        <v>11.469787</v>
      </c>
      <c r="D1282" s="12"/>
    </row>
    <row r="1283" spans="1:4" ht="14.25" customHeight="1" x14ac:dyDescent="0.25">
      <c r="A1283" s="12">
        <v>2449448.9235999999</v>
      </c>
      <c r="B1283" s="12" t="s">
        <v>2024</v>
      </c>
      <c r="C1283" s="12">
        <v>11.445926</v>
      </c>
      <c r="D1283" s="12"/>
    </row>
    <row r="1284" spans="1:4" ht="14.25" customHeight="1" x14ac:dyDescent="0.25">
      <c r="A1284" s="12">
        <v>2449462.00557</v>
      </c>
      <c r="B1284" s="12" t="s">
        <v>2025</v>
      </c>
      <c r="C1284" s="12">
        <v>11.452653</v>
      </c>
      <c r="D1284" s="12"/>
    </row>
    <row r="1285" spans="1:4" ht="14.25" customHeight="1" x14ac:dyDescent="0.25">
      <c r="A1285" s="12">
        <v>2449480.5526299998</v>
      </c>
      <c r="B1285" s="12" t="s">
        <v>2026</v>
      </c>
      <c r="C1285" s="12">
        <v>11.54321</v>
      </c>
      <c r="D1285" s="12"/>
    </row>
    <row r="1286" spans="1:4" ht="14.25" customHeight="1" x14ac:dyDescent="0.25">
      <c r="A1286" s="12">
        <v>2449494.7257300001</v>
      </c>
      <c r="B1286" s="12" t="s">
        <v>2027</v>
      </c>
      <c r="C1286" s="12">
        <v>11.598800000000001</v>
      </c>
      <c r="D1286" s="12"/>
    </row>
    <row r="1287" spans="1:4" ht="14.25" customHeight="1" x14ac:dyDescent="0.25">
      <c r="A1287" s="12">
        <v>2449509.7284900001</v>
      </c>
      <c r="B1287" s="12" t="s">
        <v>2028</v>
      </c>
      <c r="C1287" s="12">
        <v>11.570898</v>
      </c>
      <c r="D1287" s="12"/>
    </row>
    <row r="1288" spans="1:4" ht="14.25" customHeight="1" x14ac:dyDescent="0.25">
      <c r="A1288" s="12">
        <v>2449523.9067000002</v>
      </c>
      <c r="B1288" s="12" t="s">
        <v>2029</v>
      </c>
      <c r="C1288" s="12">
        <v>11.691132</v>
      </c>
      <c r="D1288" s="12"/>
    </row>
    <row r="1289" spans="1:4" ht="14.25" customHeight="1" x14ac:dyDescent="0.25">
      <c r="A1289" s="12">
        <v>2449540.8558899998</v>
      </c>
      <c r="B1289" s="12" t="s">
        <v>2030</v>
      </c>
      <c r="C1289" s="12">
        <v>11.699375</v>
      </c>
      <c r="D1289" s="12"/>
    </row>
    <row r="1290" spans="1:4" ht="14.25" customHeight="1" x14ac:dyDescent="0.25">
      <c r="A1290" s="12">
        <v>2449553.7283100002</v>
      </c>
      <c r="B1290" s="12" t="s">
        <v>2031</v>
      </c>
      <c r="C1290" s="12">
        <v>11.723692</v>
      </c>
      <c r="D1290" s="12"/>
    </row>
    <row r="1291" spans="1:4" ht="14.25" customHeight="1" x14ac:dyDescent="0.25">
      <c r="A1291" s="12">
        <v>2449569.8931900002</v>
      </c>
      <c r="B1291" s="12" t="s">
        <v>2032</v>
      </c>
      <c r="C1291" s="12">
        <v>11.646782999999999</v>
      </c>
      <c r="D1291" s="12"/>
    </row>
    <row r="1292" spans="1:4" ht="14.25" customHeight="1" x14ac:dyDescent="0.25">
      <c r="A1292" s="12">
        <v>2449584.6394699998</v>
      </c>
      <c r="B1292" s="12" t="s">
        <v>2033</v>
      </c>
      <c r="C1292" s="12">
        <v>11.692449</v>
      </c>
      <c r="D1292" s="12"/>
    </row>
    <row r="1293" spans="1:4" ht="14.25" customHeight="1" x14ac:dyDescent="0.25">
      <c r="A1293" s="12">
        <v>2449599.78626</v>
      </c>
      <c r="B1293" s="12" t="s">
        <v>2034</v>
      </c>
      <c r="C1293" s="12">
        <v>11.790672000000001</v>
      </c>
      <c r="D1293" s="12"/>
    </row>
    <row r="1294" spans="1:4" ht="14.25" customHeight="1" x14ac:dyDescent="0.25">
      <c r="A1294" s="12">
        <v>2449615.1137999999</v>
      </c>
      <c r="B1294" s="12" t="s">
        <v>2035</v>
      </c>
      <c r="C1294" s="12">
        <v>11.721875000000001</v>
      </c>
      <c r="D1294" s="12"/>
    </row>
    <row r="1295" spans="1:4" ht="14.25" customHeight="1" x14ac:dyDescent="0.25">
      <c r="A1295" s="12">
        <v>2449632.4202800002</v>
      </c>
      <c r="B1295" s="12" t="s">
        <v>2036</v>
      </c>
      <c r="C1295" s="12">
        <v>11.645951999999999</v>
      </c>
      <c r="D1295" s="12"/>
    </row>
    <row r="1296" spans="1:4" ht="14.25" customHeight="1" x14ac:dyDescent="0.25">
      <c r="A1296" s="12">
        <v>2449645.6220499999</v>
      </c>
      <c r="B1296" s="12" t="s">
        <v>2037</v>
      </c>
      <c r="C1296" s="12">
        <v>11.582414</v>
      </c>
      <c r="D1296" s="12"/>
    </row>
    <row r="1297" spans="1:4" ht="14.25" customHeight="1" x14ac:dyDescent="0.25">
      <c r="A1297" s="12">
        <v>2449660.2981099999</v>
      </c>
      <c r="B1297" s="12" t="s">
        <v>2038</v>
      </c>
      <c r="C1297" s="12">
        <v>11.580244</v>
      </c>
      <c r="D1297" s="12"/>
    </row>
    <row r="1298" spans="1:4" ht="14.25" customHeight="1" x14ac:dyDescent="0.25">
      <c r="A1298" s="12">
        <v>2449676.6571399998</v>
      </c>
      <c r="B1298" s="12" t="s">
        <v>2039</v>
      </c>
      <c r="C1298" s="12">
        <v>11.5</v>
      </c>
      <c r="D1298" s="12"/>
    </row>
    <row r="1299" spans="1:4" ht="14.25" customHeight="1" x14ac:dyDescent="0.25">
      <c r="A1299" s="12">
        <v>2449729.7710000002</v>
      </c>
      <c r="B1299" s="12" t="s">
        <v>2040</v>
      </c>
      <c r="C1299" s="12">
        <v>11.82</v>
      </c>
      <c r="D1299" s="12"/>
    </row>
    <row r="1300" spans="1:4" ht="14.25" customHeight="1" x14ac:dyDescent="0.25">
      <c r="A1300" s="12">
        <v>2449752.2978599998</v>
      </c>
      <c r="B1300" s="12" t="s">
        <v>2041</v>
      </c>
      <c r="C1300" s="12">
        <v>11.501429</v>
      </c>
      <c r="D1300" s="12"/>
    </row>
    <row r="1301" spans="1:4" ht="14.25" customHeight="1" x14ac:dyDescent="0.25">
      <c r="A1301" s="12">
        <v>2449765.3405599999</v>
      </c>
      <c r="B1301" s="12" t="s">
        <v>2042</v>
      </c>
      <c r="C1301" s="12">
        <v>11.408666999999999</v>
      </c>
      <c r="D1301" s="12"/>
    </row>
    <row r="1302" spans="1:4" ht="14.25" customHeight="1" x14ac:dyDescent="0.25">
      <c r="A1302" s="12">
        <v>2449784.5771699999</v>
      </c>
      <c r="B1302" s="12" t="s">
        <v>2043</v>
      </c>
      <c r="C1302" s="12">
        <v>11.398</v>
      </c>
      <c r="D1302" s="12"/>
    </row>
    <row r="1303" spans="1:4" ht="14.25" customHeight="1" x14ac:dyDescent="0.25">
      <c r="A1303" s="12">
        <v>2449796.4653599998</v>
      </c>
      <c r="B1303" s="12" t="s">
        <v>2044</v>
      </c>
      <c r="C1303" s="12">
        <v>11.24</v>
      </c>
      <c r="D1303" s="12"/>
    </row>
    <row r="1304" spans="1:4" ht="14.25" customHeight="1" x14ac:dyDescent="0.25">
      <c r="A1304" s="12">
        <v>2449813.5560300001</v>
      </c>
      <c r="B1304" s="12" t="s">
        <v>131</v>
      </c>
      <c r="C1304" s="12">
        <v>11.233110999999999</v>
      </c>
      <c r="D1304" s="12"/>
    </row>
    <row r="1305" spans="1:4" ht="14.25" customHeight="1" x14ac:dyDescent="0.25">
      <c r="A1305" s="12">
        <v>2449829.55938</v>
      </c>
      <c r="B1305" s="12" t="s">
        <v>2045</v>
      </c>
      <c r="C1305" s="12">
        <v>11.433714</v>
      </c>
      <c r="D1305" s="12"/>
    </row>
    <row r="1306" spans="1:4" ht="14.25" customHeight="1" x14ac:dyDescent="0.25">
      <c r="A1306" s="12">
        <v>2449844.28718</v>
      </c>
      <c r="B1306" s="12" t="s">
        <v>2046</v>
      </c>
      <c r="C1306" s="12">
        <v>11.521388999999999</v>
      </c>
      <c r="D1306" s="12"/>
    </row>
    <row r="1307" spans="1:4" ht="14.25" customHeight="1" x14ac:dyDescent="0.25">
      <c r="A1307" s="12">
        <v>2449861.7515699998</v>
      </c>
      <c r="B1307" s="12" t="s">
        <v>2047</v>
      </c>
      <c r="C1307" s="12">
        <v>11.391667</v>
      </c>
      <c r="D1307" s="12"/>
    </row>
    <row r="1308" spans="1:4" ht="14.25" customHeight="1" x14ac:dyDescent="0.25">
      <c r="A1308" s="12">
        <v>2449872.6502100001</v>
      </c>
      <c r="B1308" s="12" t="s">
        <v>2048</v>
      </c>
      <c r="C1308" s="12">
        <v>11.554615</v>
      </c>
      <c r="D1308" s="12"/>
    </row>
    <row r="1309" spans="1:4" ht="14.25" customHeight="1" x14ac:dyDescent="0.25">
      <c r="A1309" s="12">
        <v>2449892.5266999998</v>
      </c>
      <c r="B1309" s="12" t="s">
        <v>2049</v>
      </c>
      <c r="C1309" s="12">
        <v>11.316568</v>
      </c>
      <c r="D1309" s="12"/>
    </row>
    <row r="1310" spans="1:4" ht="14.25" customHeight="1" x14ac:dyDescent="0.25">
      <c r="A1310" s="12">
        <v>2449903.3008599998</v>
      </c>
      <c r="B1310" s="12" t="s">
        <v>2050</v>
      </c>
      <c r="C1310" s="12">
        <v>11.239174999999999</v>
      </c>
      <c r="D1310" s="12"/>
    </row>
    <row r="1311" spans="1:4" ht="14.25" customHeight="1" x14ac:dyDescent="0.25">
      <c r="A1311" s="12">
        <v>2449922.2487400002</v>
      </c>
      <c r="B1311" s="12" t="s">
        <v>2051</v>
      </c>
      <c r="C1311" s="12">
        <v>11.589798</v>
      </c>
      <c r="D1311" s="12"/>
    </row>
    <row r="1312" spans="1:4" ht="14.25" customHeight="1" x14ac:dyDescent="0.25">
      <c r="A1312" s="12">
        <v>2449935.3336100001</v>
      </c>
      <c r="B1312" s="12" t="s">
        <v>2052</v>
      </c>
      <c r="C1312" s="12">
        <v>11.528320000000001</v>
      </c>
      <c r="D1312" s="12"/>
    </row>
    <row r="1313" spans="1:4" ht="14.25" customHeight="1" x14ac:dyDescent="0.25">
      <c r="A1313" s="12">
        <v>2449950.7661600001</v>
      </c>
      <c r="B1313" s="12" t="s">
        <v>2053</v>
      </c>
      <c r="C1313" s="12">
        <v>11.452582</v>
      </c>
      <c r="D1313" s="12"/>
    </row>
    <row r="1314" spans="1:4" ht="14.25" customHeight="1" x14ac:dyDescent="0.25">
      <c r="A1314" s="12">
        <v>2449965.7773799999</v>
      </c>
      <c r="B1314" s="12" t="s">
        <v>2054</v>
      </c>
      <c r="C1314" s="12">
        <v>11.577199999999999</v>
      </c>
      <c r="D1314" s="12"/>
    </row>
    <row r="1315" spans="1:4" ht="14.25" customHeight="1" x14ac:dyDescent="0.25">
      <c r="A1315" s="12">
        <v>2449982.5194100002</v>
      </c>
      <c r="B1315" s="12" t="s">
        <v>2055</v>
      </c>
      <c r="C1315" s="12">
        <v>11.458879</v>
      </c>
      <c r="D1315" s="12"/>
    </row>
    <row r="1316" spans="1:4" ht="14.25" customHeight="1" x14ac:dyDescent="0.25">
      <c r="A1316" s="12">
        <v>2449996.4502400002</v>
      </c>
      <c r="B1316" s="12" t="s">
        <v>2056</v>
      </c>
      <c r="C1316" s="12">
        <v>11.437550999999999</v>
      </c>
      <c r="D1316" s="12"/>
    </row>
    <row r="1317" spans="1:4" ht="14.25" customHeight="1" x14ac:dyDescent="0.25">
      <c r="A1317" s="12">
        <v>2450011.2133999998</v>
      </c>
      <c r="B1317" s="12" t="s">
        <v>2057</v>
      </c>
      <c r="C1317" s="12">
        <v>11.667840999999999</v>
      </c>
      <c r="D1317" s="12"/>
    </row>
    <row r="1318" spans="1:4" ht="14.25" customHeight="1" x14ac:dyDescent="0.25">
      <c r="A1318" s="12">
        <v>2450026.20096</v>
      </c>
      <c r="B1318" s="12" t="s">
        <v>2058</v>
      </c>
      <c r="C1318" s="12">
        <v>11.588666999999999</v>
      </c>
      <c r="D1318" s="12"/>
    </row>
    <row r="1319" spans="1:4" ht="14.25" customHeight="1" x14ac:dyDescent="0.25">
      <c r="A1319" s="12">
        <v>2450038.8761399998</v>
      </c>
      <c r="B1319" s="12" t="s">
        <v>132</v>
      </c>
      <c r="C1319" s="12">
        <v>11.628</v>
      </c>
      <c r="D1319" s="12"/>
    </row>
    <row r="1320" spans="1:4" ht="14.25" customHeight="1" x14ac:dyDescent="0.25">
      <c r="A1320" s="12">
        <v>2450111.3189300001</v>
      </c>
      <c r="B1320" s="12" t="s">
        <v>2059</v>
      </c>
      <c r="C1320" s="12">
        <v>11.3</v>
      </c>
      <c r="D1320" s="12"/>
    </row>
    <row r="1321" spans="1:4" ht="14.25" customHeight="1" x14ac:dyDescent="0.25">
      <c r="A1321" s="12">
        <v>2450129.6751700002</v>
      </c>
      <c r="B1321" s="12" t="s">
        <v>2060</v>
      </c>
      <c r="C1321" s="12">
        <v>11.518125</v>
      </c>
      <c r="D1321" s="12"/>
    </row>
    <row r="1322" spans="1:4" ht="14.25" customHeight="1" x14ac:dyDescent="0.25">
      <c r="A1322" s="12">
        <v>2450141.9275500001</v>
      </c>
      <c r="B1322" s="12" t="s">
        <v>2061</v>
      </c>
      <c r="C1322" s="12">
        <v>11.343590000000001</v>
      </c>
      <c r="D1322" s="12"/>
    </row>
    <row r="1323" spans="1:4" ht="14.25" customHeight="1" x14ac:dyDescent="0.25">
      <c r="A1323" s="12">
        <v>2450157.9327699998</v>
      </c>
      <c r="B1323" s="12" t="s">
        <v>2062</v>
      </c>
      <c r="C1323" s="12">
        <v>11.139023999999999</v>
      </c>
      <c r="D1323" s="12"/>
    </row>
    <row r="1324" spans="1:4" ht="14.25" customHeight="1" x14ac:dyDescent="0.25">
      <c r="A1324" s="12">
        <v>2450172.4314199998</v>
      </c>
      <c r="B1324" s="12" t="s">
        <v>2063</v>
      </c>
      <c r="C1324" s="12">
        <v>11.177778</v>
      </c>
      <c r="D1324" s="12"/>
    </row>
    <row r="1325" spans="1:4" ht="14.25" customHeight="1" x14ac:dyDescent="0.25">
      <c r="A1325" s="12">
        <v>2450190.6088299998</v>
      </c>
      <c r="B1325" s="12" t="s">
        <v>2064</v>
      </c>
      <c r="C1325" s="12">
        <v>11.488386999999999</v>
      </c>
      <c r="D1325" s="12"/>
    </row>
    <row r="1326" spans="1:4" ht="14.25" customHeight="1" x14ac:dyDescent="0.25">
      <c r="A1326" s="12">
        <v>2450202.34778</v>
      </c>
      <c r="B1326" s="12" t="s">
        <v>2065</v>
      </c>
      <c r="C1326" s="12">
        <v>11.327999999999999</v>
      </c>
      <c r="D1326" s="12"/>
    </row>
    <row r="1327" spans="1:4" ht="14.25" customHeight="1" x14ac:dyDescent="0.25">
      <c r="A1327" s="12">
        <v>2450218.67044</v>
      </c>
      <c r="B1327" s="12" t="s">
        <v>2066</v>
      </c>
      <c r="C1327" s="12">
        <v>11.384776</v>
      </c>
      <c r="D1327" s="12"/>
    </row>
    <row r="1328" spans="1:4" ht="14.25" customHeight="1" x14ac:dyDescent="0.25">
      <c r="A1328" s="12">
        <v>2450234.6787399999</v>
      </c>
      <c r="B1328" s="12" t="s">
        <v>2067</v>
      </c>
      <c r="C1328" s="12">
        <v>11.457639</v>
      </c>
      <c r="D1328" s="12"/>
    </row>
    <row r="1329" spans="1:4" ht="14.25" customHeight="1" x14ac:dyDescent="0.25">
      <c r="A1329" s="12">
        <v>2450248.9534800001</v>
      </c>
      <c r="B1329" s="12" t="s">
        <v>2068</v>
      </c>
      <c r="C1329" s="12">
        <v>11.456037999999999</v>
      </c>
      <c r="D1329" s="12"/>
    </row>
    <row r="1330" spans="1:4" ht="14.25" customHeight="1" x14ac:dyDescent="0.25">
      <c r="A1330" s="12">
        <v>2450264.3379600001</v>
      </c>
      <c r="B1330" s="12" t="s">
        <v>2069</v>
      </c>
      <c r="C1330" s="12">
        <v>11.438434000000001</v>
      </c>
      <c r="D1330" s="12"/>
    </row>
    <row r="1331" spans="1:4" ht="14.25" customHeight="1" x14ac:dyDescent="0.25">
      <c r="A1331" s="12">
        <v>2450280.34785</v>
      </c>
      <c r="B1331" s="12" t="s">
        <v>2070</v>
      </c>
      <c r="C1331" s="12">
        <v>11.534331999999999</v>
      </c>
      <c r="D1331" s="12"/>
    </row>
    <row r="1332" spans="1:4" ht="14.25" customHeight="1" x14ac:dyDescent="0.25">
      <c r="A1332" s="12">
        <v>2450295.8999800002</v>
      </c>
      <c r="B1332" s="12" t="s">
        <v>2071</v>
      </c>
      <c r="C1332" s="12">
        <v>11.533901999999999</v>
      </c>
      <c r="D1332" s="12"/>
    </row>
    <row r="1333" spans="1:4" ht="14.25" customHeight="1" x14ac:dyDescent="0.25">
      <c r="A1333" s="12">
        <v>2450310.0307</v>
      </c>
      <c r="B1333" s="12" t="s">
        <v>2072</v>
      </c>
      <c r="C1333" s="12">
        <v>11.535429000000001</v>
      </c>
      <c r="D1333" s="12"/>
    </row>
    <row r="1334" spans="1:4" ht="14.25" customHeight="1" x14ac:dyDescent="0.25">
      <c r="A1334" s="12">
        <v>2450327.6393400002</v>
      </c>
      <c r="B1334" s="12" t="s">
        <v>2073</v>
      </c>
      <c r="C1334" s="12">
        <v>11.541528</v>
      </c>
      <c r="D1334" s="12"/>
    </row>
    <row r="1335" spans="1:4" ht="14.25" customHeight="1" x14ac:dyDescent="0.25">
      <c r="A1335" s="12">
        <v>2450340.5043799998</v>
      </c>
      <c r="B1335" s="12" t="s">
        <v>2074</v>
      </c>
      <c r="C1335" s="12">
        <v>11.447533</v>
      </c>
      <c r="D1335" s="12"/>
    </row>
    <row r="1336" spans="1:4" ht="14.25" customHeight="1" x14ac:dyDescent="0.25">
      <c r="A1336" s="12">
        <v>2450357.58501</v>
      </c>
      <c r="B1336" s="12" t="s">
        <v>2075</v>
      </c>
      <c r="C1336" s="12">
        <v>11.54988</v>
      </c>
      <c r="D1336" s="12"/>
    </row>
    <row r="1337" spans="1:4" ht="14.25" customHeight="1" x14ac:dyDescent="0.25">
      <c r="A1337" s="12">
        <v>2450370.2402499998</v>
      </c>
      <c r="B1337" s="12" t="s">
        <v>2076</v>
      </c>
      <c r="C1337" s="12">
        <v>11.554323999999999</v>
      </c>
      <c r="D1337" s="12"/>
    </row>
    <row r="1338" spans="1:4" ht="14.25" customHeight="1" x14ac:dyDescent="0.25">
      <c r="A1338" s="12">
        <v>2450386.9962800001</v>
      </c>
      <c r="B1338" s="12" t="s">
        <v>2077</v>
      </c>
      <c r="C1338" s="12">
        <v>11.516207</v>
      </c>
      <c r="D1338" s="12"/>
    </row>
    <row r="1339" spans="1:4" ht="14.25" customHeight="1" x14ac:dyDescent="0.25">
      <c r="A1339" s="12">
        <v>2450399.67729</v>
      </c>
      <c r="B1339" s="12" t="s">
        <v>2078</v>
      </c>
      <c r="C1339" s="12">
        <v>11.613529</v>
      </c>
      <c r="D1339" s="12"/>
    </row>
    <row r="1340" spans="1:4" ht="14.25" customHeight="1" x14ac:dyDescent="0.25">
      <c r="A1340" s="12">
        <v>2450417.5497499998</v>
      </c>
      <c r="B1340" s="12" t="s">
        <v>2079</v>
      </c>
      <c r="C1340" s="12">
        <v>11.66</v>
      </c>
      <c r="D1340" s="12"/>
    </row>
    <row r="1341" spans="1:4" ht="14.25" customHeight="1" x14ac:dyDescent="0.25">
      <c r="A1341" s="12">
        <v>2450467.9061500002</v>
      </c>
      <c r="B1341" s="12" t="s">
        <v>2080</v>
      </c>
      <c r="C1341" s="12">
        <v>11.733333</v>
      </c>
      <c r="D1341" s="12"/>
    </row>
    <row r="1342" spans="1:4" ht="14.25" customHeight="1" x14ac:dyDescent="0.25">
      <c r="A1342" s="12">
        <v>2450488.15845</v>
      </c>
      <c r="B1342" s="12" t="s">
        <v>2081</v>
      </c>
      <c r="C1342" s="12">
        <v>11.413333</v>
      </c>
      <c r="D1342" s="12"/>
    </row>
    <row r="1343" spans="1:4" ht="14.25" customHeight="1" x14ac:dyDescent="0.25">
      <c r="A1343" s="12">
        <v>2450498.2263500001</v>
      </c>
      <c r="B1343" s="12" t="s">
        <v>2082</v>
      </c>
      <c r="C1343" s="12">
        <v>11.531667000000001</v>
      </c>
      <c r="D1343" s="12"/>
    </row>
    <row r="1344" spans="1:4" ht="14.25" customHeight="1" x14ac:dyDescent="0.25">
      <c r="A1344" s="12">
        <v>2450516.7311200001</v>
      </c>
      <c r="B1344" s="12" t="s">
        <v>2083</v>
      </c>
      <c r="C1344" s="12">
        <v>11.588528999999999</v>
      </c>
      <c r="D1344" s="12"/>
    </row>
    <row r="1345" spans="1:4" ht="14.25" customHeight="1" x14ac:dyDescent="0.25">
      <c r="A1345" s="12">
        <v>2450531.4263599999</v>
      </c>
      <c r="B1345" s="12" t="s">
        <v>2084</v>
      </c>
      <c r="C1345" s="12">
        <v>11.3888</v>
      </c>
      <c r="D1345" s="12"/>
    </row>
    <row r="1346" spans="1:4" ht="14.25" customHeight="1" x14ac:dyDescent="0.25">
      <c r="A1346" s="12">
        <v>2450547.8105899999</v>
      </c>
      <c r="B1346" s="12" t="s">
        <v>2085</v>
      </c>
      <c r="C1346" s="12">
        <v>11.578431</v>
      </c>
      <c r="D1346" s="12"/>
    </row>
    <row r="1347" spans="1:4" ht="14.25" customHeight="1" x14ac:dyDescent="0.25">
      <c r="A1347" s="12">
        <v>2450562.6516499999</v>
      </c>
      <c r="B1347" s="12" t="s">
        <v>2086</v>
      </c>
      <c r="C1347" s="12">
        <v>11.620455</v>
      </c>
      <c r="D1347" s="12"/>
    </row>
    <row r="1348" spans="1:4" ht="14.25" customHeight="1" x14ac:dyDescent="0.25">
      <c r="A1348" s="12">
        <v>2450576.88943</v>
      </c>
      <c r="B1348" s="12" t="s">
        <v>2087</v>
      </c>
      <c r="C1348" s="12">
        <v>11.484864999999999</v>
      </c>
      <c r="D1348" s="12"/>
    </row>
    <row r="1349" spans="1:4" ht="14.25" customHeight="1" x14ac:dyDescent="0.25">
      <c r="A1349" s="12">
        <v>2450593.9284399999</v>
      </c>
      <c r="B1349" s="12" t="s">
        <v>2088</v>
      </c>
      <c r="C1349" s="12">
        <v>11.512857</v>
      </c>
      <c r="D1349" s="12"/>
    </row>
    <row r="1350" spans="1:4" ht="14.25" customHeight="1" x14ac:dyDescent="0.25">
      <c r="A1350" s="12">
        <v>2450608.3060400002</v>
      </c>
      <c r="B1350" s="12" t="s">
        <v>2089</v>
      </c>
      <c r="C1350" s="12">
        <v>11.282405000000001</v>
      </c>
      <c r="D1350" s="12"/>
    </row>
    <row r="1351" spans="1:4" ht="14.25" customHeight="1" x14ac:dyDescent="0.25">
      <c r="A1351" s="12">
        <v>2450624.0299200001</v>
      </c>
      <c r="B1351" s="12" t="s">
        <v>2090</v>
      </c>
      <c r="C1351" s="12">
        <v>11.308928999999999</v>
      </c>
      <c r="D1351" s="12"/>
    </row>
    <row r="1352" spans="1:4" ht="14.25" customHeight="1" x14ac:dyDescent="0.25">
      <c r="A1352" s="12">
        <v>2450637.8981599999</v>
      </c>
      <c r="B1352" s="12" t="s">
        <v>2091</v>
      </c>
      <c r="C1352" s="12">
        <v>11.422679</v>
      </c>
      <c r="D1352" s="12"/>
    </row>
    <row r="1353" spans="1:4" ht="14.25" customHeight="1" x14ac:dyDescent="0.25">
      <c r="A1353" s="12">
        <v>2450655.47921</v>
      </c>
      <c r="B1353" s="12" t="s">
        <v>2092</v>
      </c>
      <c r="C1353" s="12">
        <v>11.043937</v>
      </c>
      <c r="D1353" s="12"/>
    </row>
    <row r="1354" spans="1:4" ht="14.25" customHeight="1" x14ac:dyDescent="0.25">
      <c r="A1354" s="12">
        <v>2450668.0585500002</v>
      </c>
      <c r="B1354" s="12" t="s">
        <v>2093</v>
      </c>
      <c r="C1354" s="12">
        <v>11.125</v>
      </c>
      <c r="D1354" s="12"/>
    </row>
    <row r="1355" spans="1:4" ht="14.25" customHeight="1" x14ac:dyDescent="0.25">
      <c r="A1355" s="12">
        <v>2450685.2857400002</v>
      </c>
      <c r="B1355" s="12" t="s">
        <v>2094</v>
      </c>
      <c r="C1355" s="12">
        <v>11.33869</v>
      </c>
      <c r="D1355" s="12"/>
    </row>
    <row r="1356" spans="1:4" ht="14.25" customHeight="1" x14ac:dyDescent="0.25">
      <c r="A1356" s="12">
        <v>2450697.9562599999</v>
      </c>
      <c r="B1356" s="12" t="s">
        <v>2095</v>
      </c>
      <c r="C1356" s="12">
        <v>11.34102</v>
      </c>
      <c r="D1356" s="12"/>
    </row>
    <row r="1357" spans="1:4" ht="14.25" customHeight="1" x14ac:dyDescent="0.25">
      <c r="A1357" s="12">
        <v>2450716.1009499999</v>
      </c>
      <c r="B1357" s="12" t="s">
        <v>2096</v>
      </c>
      <c r="C1357" s="12">
        <v>11.227009000000001</v>
      </c>
      <c r="D1357" s="12"/>
    </row>
    <row r="1358" spans="1:4" ht="14.25" customHeight="1" x14ac:dyDescent="0.25">
      <c r="A1358" s="12">
        <v>2450727.6739099999</v>
      </c>
      <c r="B1358" s="12" t="s">
        <v>2097</v>
      </c>
      <c r="C1358" s="12">
        <v>11.427324</v>
      </c>
      <c r="D1358" s="12"/>
    </row>
    <row r="1359" spans="1:4" ht="14.25" customHeight="1" x14ac:dyDescent="0.25">
      <c r="A1359" s="12">
        <v>2450746.22107</v>
      </c>
      <c r="B1359" s="12" t="s">
        <v>2098</v>
      </c>
      <c r="C1359" s="12">
        <v>11.319277</v>
      </c>
      <c r="D1359" s="12"/>
    </row>
    <row r="1360" spans="1:4" ht="14.25" customHeight="1" x14ac:dyDescent="0.25">
      <c r="A1360" s="12">
        <v>2450758.4942700001</v>
      </c>
      <c r="B1360" s="12" t="s">
        <v>2099</v>
      </c>
      <c r="C1360" s="12">
        <v>11.414999999999999</v>
      </c>
      <c r="D1360" s="12"/>
    </row>
    <row r="1361" spans="1:4" ht="14.25" customHeight="1" x14ac:dyDescent="0.25">
      <c r="A1361" s="12">
        <v>2450773.2834800002</v>
      </c>
      <c r="B1361" s="12" t="s">
        <v>2100</v>
      </c>
      <c r="C1361" s="12">
        <v>11.08</v>
      </c>
      <c r="D1361" s="12"/>
    </row>
    <row r="1362" spans="1:4" ht="14.25" customHeight="1" x14ac:dyDescent="0.25">
      <c r="A1362" s="12">
        <v>2450837.1221599998</v>
      </c>
      <c r="B1362" s="12" t="s">
        <v>2101</v>
      </c>
      <c r="C1362" s="12">
        <v>11.373333000000001</v>
      </c>
      <c r="D1362" s="12"/>
    </row>
    <row r="1363" spans="1:4" ht="14.25" customHeight="1" x14ac:dyDescent="0.25">
      <c r="A1363" s="12">
        <v>2450854.1879799999</v>
      </c>
      <c r="B1363" s="12" t="s">
        <v>2102</v>
      </c>
      <c r="C1363" s="12">
        <v>11.215833</v>
      </c>
      <c r="D1363" s="12"/>
    </row>
    <row r="1364" spans="1:4" ht="14.25" customHeight="1" x14ac:dyDescent="0.25">
      <c r="A1364" s="12">
        <v>2450872.1463500001</v>
      </c>
      <c r="B1364" s="12" t="s">
        <v>2103</v>
      </c>
      <c r="C1364" s="12">
        <v>11.036206999999999</v>
      </c>
      <c r="D1364" s="12"/>
    </row>
    <row r="1365" spans="1:4" ht="14.25" customHeight="1" x14ac:dyDescent="0.25">
      <c r="A1365" s="12">
        <v>2450887.3341399999</v>
      </c>
      <c r="B1365" s="12" t="s">
        <v>2104</v>
      </c>
      <c r="C1365" s="12">
        <v>11.123214000000001</v>
      </c>
      <c r="D1365" s="12"/>
    </row>
    <row r="1366" spans="1:4" ht="14.25" customHeight="1" x14ac:dyDescent="0.25">
      <c r="A1366" s="12">
        <v>2450900.9939899999</v>
      </c>
      <c r="B1366" s="12" t="s">
        <v>2105</v>
      </c>
      <c r="C1366" s="12">
        <v>11.26</v>
      </c>
      <c r="D1366" s="12"/>
    </row>
    <row r="1367" spans="1:4" ht="14.25" customHeight="1" x14ac:dyDescent="0.25">
      <c r="A1367" s="12">
        <v>2450916.0898699998</v>
      </c>
      <c r="B1367" s="12" t="s">
        <v>2106</v>
      </c>
      <c r="C1367" s="12">
        <v>11.366206999999999</v>
      </c>
      <c r="D1367" s="12"/>
    </row>
    <row r="1368" spans="1:4" ht="14.25" customHeight="1" x14ac:dyDescent="0.25">
      <c r="A1368" s="12">
        <v>2450931.3647099999</v>
      </c>
      <c r="B1368" s="12" t="s">
        <v>2107</v>
      </c>
      <c r="C1368" s="12">
        <v>11.292857</v>
      </c>
      <c r="D1368" s="12"/>
    </row>
    <row r="1369" spans="1:4" ht="14.25" customHeight="1" x14ac:dyDescent="0.25">
      <c r="A1369" s="12">
        <v>2450948.5724300002</v>
      </c>
      <c r="B1369" s="12" t="s">
        <v>2108</v>
      </c>
      <c r="C1369" s="12">
        <v>11.587111</v>
      </c>
      <c r="D1369" s="12"/>
    </row>
    <row r="1370" spans="1:4" ht="14.25" customHeight="1" x14ac:dyDescent="0.25">
      <c r="A1370" s="12">
        <v>2450961.8361399998</v>
      </c>
      <c r="B1370" s="12" t="s">
        <v>2109</v>
      </c>
      <c r="C1370" s="12">
        <v>11.597778</v>
      </c>
      <c r="D1370" s="12"/>
    </row>
    <row r="1371" spans="1:4" ht="14.25" customHeight="1" x14ac:dyDescent="0.25">
      <c r="A1371" s="12">
        <v>2450977.3667000001</v>
      </c>
      <c r="B1371" s="12" t="s">
        <v>2110</v>
      </c>
      <c r="C1371" s="12">
        <v>11.492580999999999</v>
      </c>
      <c r="D1371" s="12"/>
    </row>
    <row r="1372" spans="1:4" ht="14.25" customHeight="1" x14ac:dyDescent="0.25">
      <c r="A1372" s="12">
        <v>2450992.2220000001</v>
      </c>
      <c r="B1372" s="12" t="s">
        <v>2111</v>
      </c>
      <c r="C1372" s="12">
        <v>11.467027</v>
      </c>
      <c r="D1372" s="12"/>
    </row>
    <row r="1373" spans="1:4" ht="14.25" customHeight="1" x14ac:dyDescent="0.25">
      <c r="A1373" s="12">
        <v>2451010.0603800002</v>
      </c>
      <c r="B1373" s="12" t="s">
        <v>2112</v>
      </c>
      <c r="C1373" s="12">
        <v>11.423382</v>
      </c>
      <c r="D1373" s="12"/>
    </row>
    <row r="1374" spans="1:4" ht="14.25" customHeight="1" x14ac:dyDescent="0.25">
      <c r="A1374" s="12">
        <v>2451021.5579599999</v>
      </c>
      <c r="B1374" s="12" t="s">
        <v>2113</v>
      </c>
      <c r="C1374" s="12">
        <v>11.344943000000001</v>
      </c>
      <c r="D1374" s="12"/>
    </row>
    <row r="1375" spans="1:4" ht="14.25" customHeight="1" x14ac:dyDescent="0.25">
      <c r="A1375" s="12">
        <v>2451039.7678800002</v>
      </c>
      <c r="B1375" s="12" t="s">
        <v>2114</v>
      </c>
      <c r="C1375" s="12">
        <v>11.541294000000001</v>
      </c>
      <c r="D1375" s="12"/>
    </row>
    <row r="1376" spans="1:4" ht="14.25" customHeight="1" x14ac:dyDescent="0.25">
      <c r="A1376" s="12">
        <v>2451051.99866</v>
      </c>
      <c r="B1376" s="12" t="s">
        <v>2115</v>
      </c>
      <c r="C1376" s="12">
        <v>11.542187</v>
      </c>
      <c r="D1376" s="12"/>
    </row>
    <row r="1377" spans="1:4" ht="14.25" customHeight="1" x14ac:dyDescent="0.25">
      <c r="A1377" s="12">
        <v>2451070.4496800001</v>
      </c>
      <c r="B1377" s="12" t="s">
        <v>2116</v>
      </c>
      <c r="C1377" s="12">
        <v>11.666494</v>
      </c>
      <c r="D1377" s="12"/>
    </row>
    <row r="1378" spans="1:4" ht="14.25" customHeight="1" x14ac:dyDescent="0.25">
      <c r="A1378" s="12">
        <v>2451080.5598800001</v>
      </c>
      <c r="B1378" s="12" t="s">
        <v>2117</v>
      </c>
      <c r="C1378" s="12">
        <v>11.625</v>
      </c>
      <c r="D1378" s="12"/>
    </row>
    <row r="1379" spans="1:4" ht="14.25" customHeight="1" x14ac:dyDescent="0.25">
      <c r="A1379" s="12">
        <v>2451101.21288</v>
      </c>
      <c r="B1379" s="12" t="s">
        <v>2118</v>
      </c>
      <c r="C1379" s="12">
        <v>11.346034</v>
      </c>
      <c r="D1379" s="12"/>
    </row>
    <row r="1380" spans="1:4" ht="14.25" customHeight="1" x14ac:dyDescent="0.25">
      <c r="A1380" s="12">
        <v>2451112.1890199999</v>
      </c>
      <c r="B1380" s="12" t="s">
        <v>2119</v>
      </c>
      <c r="C1380" s="12">
        <v>11.481667</v>
      </c>
      <c r="D1380" s="12"/>
    </row>
    <row r="1381" spans="1:4" ht="14.25" customHeight="1" x14ac:dyDescent="0.25">
      <c r="A1381" s="12">
        <v>2451129.3511800002</v>
      </c>
      <c r="B1381" s="12" t="s">
        <v>2120</v>
      </c>
      <c r="C1381" s="12">
        <v>11.588571</v>
      </c>
      <c r="D1381" s="12"/>
    </row>
    <row r="1382" spans="1:4" ht="14.25" customHeight="1" x14ac:dyDescent="0.25">
      <c r="A1382" s="12">
        <v>2451140.9067000002</v>
      </c>
      <c r="B1382" s="12" t="s">
        <v>2121</v>
      </c>
      <c r="C1382" s="12">
        <v>11.633333</v>
      </c>
      <c r="D1382" s="12"/>
    </row>
    <row r="1383" spans="1:4" ht="14.25" customHeight="1" x14ac:dyDescent="0.25">
      <c r="A1383" s="12">
        <v>2451197.3657800001</v>
      </c>
      <c r="B1383" s="12" t="s">
        <v>2122</v>
      </c>
      <c r="C1383" s="12">
        <v>11.856</v>
      </c>
      <c r="D1383" s="12"/>
    </row>
    <row r="1384" spans="1:4" ht="14.25" customHeight="1" x14ac:dyDescent="0.25">
      <c r="A1384" s="12">
        <v>2451216.0188500001</v>
      </c>
      <c r="B1384" s="12" t="s">
        <v>2123</v>
      </c>
      <c r="C1384" s="12">
        <v>11.633077</v>
      </c>
      <c r="D1384" s="12"/>
    </row>
    <row r="1385" spans="1:4" ht="14.25" customHeight="1" x14ac:dyDescent="0.25">
      <c r="A1385" s="12">
        <v>2451229.9672900001</v>
      </c>
      <c r="B1385" s="12" t="s">
        <v>2124</v>
      </c>
      <c r="C1385" s="12">
        <v>11.626957000000001</v>
      </c>
      <c r="D1385" s="12"/>
    </row>
    <row r="1386" spans="1:4" ht="14.25" customHeight="1" x14ac:dyDescent="0.25">
      <c r="A1386" s="12">
        <v>2451242.4901100001</v>
      </c>
      <c r="B1386" s="12" t="s">
        <v>2125</v>
      </c>
      <c r="C1386" s="12">
        <v>11.617777999999999</v>
      </c>
      <c r="D1386" s="12"/>
    </row>
    <row r="1387" spans="1:4" ht="14.25" customHeight="1" x14ac:dyDescent="0.25">
      <c r="A1387" s="12">
        <v>2451259.0828999998</v>
      </c>
      <c r="B1387" s="12" t="s">
        <v>2126</v>
      </c>
      <c r="C1387" s="12">
        <v>11.659000000000001</v>
      </c>
      <c r="D1387" s="12"/>
    </row>
    <row r="1388" spans="1:4" ht="14.25" customHeight="1" x14ac:dyDescent="0.25">
      <c r="A1388" s="12">
        <v>2451276.6775199999</v>
      </c>
      <c r="B1388" s="12" t="s">
        <v>2127</v>
      </c>
      <c r="C1388" s="12">
        <v>11.63087</v>
      </c>
      <c r="D1388" s="12"/>
    </row>
    <row r="1389" spans="1:4" ht="14.25" customHeight="1" x14ac:dyDescent="0.25">
      <c r="A1389" s="12">
        <v>2451291.02581</v>
      </c>
      <c r="B1389" s="12" t="s">
        <v>2128</v>
      </c>
      <c r="C1389" s="12">
        <v>11.491332999999999</v>
      </c>
      <c r="D1389" s="12"/>
    </row>
    <row r="1390" spans="1:4" ht="14.25" customHeight="1" x14ac:dyDescent="0.25">
      <c r="A1390" s="12">
        <v>2451307.1230500001</v>
      </c>
      <c r="B1390" s="12" t="s">
        <v>2129</v>
      </c>
      <c r="C1390" s="12">
        <v>11.714333</v>
      </c>
      <c r="D1390" s="12"/>
    </row>
    <row r="1391" spans="1:4" ht="14.25" customHeight="1" x14ac:dyDescent="0.25">
      <c r="A1391" s="12">
        <v>2451320.2463699998</v>
      </c>
      <c r="B1391" s="12" t="s">
        <v>2130</v>
      </c>
      <c r="C1391" s="12">
        <v>11.66963</v>
      </c>
      <c r="D1391" s="12"/>
    </row>
    <row r="1392" spans="1:4" ht="14.25" customHeight="1" x14ac:dyDescent="0.25">
      <c r="A1392" s="12">
        <v>2451340.3783999998</v>
      </c>
      <c r="B1392" s="12" t="s">
        <v>2131</v>
      </c>
      <c r="C1392" s="12">
        <v>11.868077</v>
      </c>
      <c r="D1392" s="12"/>
    </row>
    <row r="1393" spans="1:4" ht="14.25" customHeight="1" x14ac:dyDescent="0.25">
      <c r="A1393" s="12">
        <v>2451352.4153700001</v>
      </c>
      <c r="B1393" s="12" t="s">
        <v>2132</v>
      </c>
      <c r="C1393" s="12">
        <v>11.846596</v>
      </c>
      <c r="D1393" s="12"/>
    </row>
    <row r="1394" spans="1:4" ht="14.25" customHeight="1" x14ac:dyDescent="0.25">
      <c r="A1394" s="12">
        <v>2451370.77464</v>
      </c>
      <c r="B1394" s="12" t="s">
        <v>2133</v>
      </c>
      <c r="C1394" s="12">
        <v>11.764609</v>
      </c>
      <c r="D1394" s="12"/>
    </row>
    <row r="1395" spans="1:4" ht="14.25" customHeight="1" x14ac:dyDescent="0.25">
      <c r="A1395" s="12">
        <v>2451385.29513</v>
      </c>
      <c r="B1395" s="12" t="s">
        <v>2134</v>
      </c>
      <c r="C1395" s="12">
        <v>11.742571</v>
      </c>
      <c r="D1395" s="12"/>
    </row>
    <row r="1396" spans="1:4" ht="14.25" customHeight="1" x14ac:dyDescent="0.25">
      <c r="A1396" s="12">
        <v>2451399.7064899998</v>
      </c>
      <c r="B1396" s="12" t="s">
        <v>2135</v>
      </c>
      <c r="C1396" s="12">
        <v>11.812703000000001</v>
      </c>
      <c r="D1396" s="12"/>
    </row>
    <row r="1397" spans="1:4" ht="14.25" customHeight="1" x14ac:dyDescent="0.25">
      <c r="A1397" s="12">
        <v>2451415.4752099998</v>
      </c>
      <c r="B1397" s="12" t="s">
        <v>2136</v>
      </c>
      <c r="C1397" s="12">
        <v>11.720805</v>
      </c>
      <c r="D1397" s="12"/>
    </row>
    <row r="1398" spans="1:4" ht="14.25" customHeight="1" x14ac:dyDescent="0.25">
      <c r="A1398" s="12">
        <v>2451429.6241000001</v>
      </c>
      <c r="B1398" s="12" t="s">
        <v>2137</v>
      </c>
      <c r="C1398" s="12">
        <v>11.566962999999999</v>
      </c>
      <c r="D1398" s="12"/>
    </row>
    <row r="1399" spans="1:4" ht="14.25" customHeight="1" x14ac:dyDescent="0.25">
      <c r="A1399" s="12">
        <v>2451444.8283299999</v>
      </c>
      <c r="B1399" s="12" t="s">
        <v>2138</v>
      </c>
      <c r="C1399" s="12">
        <v>11.660882000000001</v>
      </c>
      <c r="D1399" s="12"/>
    </row>
    <row r="1400" spans="1:4" ht="14.25" customHeight="1" x14ac:dyDescent="0.25">
      <c r="A1400" s="12">
        <v>2451460.1351299998</v>
      </c>
      <c r="B1400" s="12" t="s">
        <v>2139</v>
      </c>
      <c r="C1400" s="12">
        <v>11.501651000000001</v>
      </c>
      <c r="D1400" s="12"/>
    </row>
    <row r="1401" spans="1:4" ht="14.25" customHeight="1" x14ac:dyDescent="0.25">
      <c r="A1401" s="12">
        <v>2451475.6702800002</v>
      </c>
      <c r="B1401" s="12" t="s">
        <v>2140</v>
      </c>
      <c r="C1401" s="12">
        <v>11.477143</v>
      </c>
      <c r="D1401" s="12"/>
    </row>
    <row r="1402" spans="1:4" ht="14.25" customHeight="1" x14ac:dyDescent="0.25">
      <c r="A1402" s="12">
        <v>2451488.8270100001</v>
      </c>
      <c r="B1402" s="12" t="s">
        <v>2141</v>
      </c>
      <c r="C1402" s="12">
        <v>11.415609999999999</v>
      </c>
      <c r="D1402" s="12"/>
    </row>
    <row r="1403" spans="1:4" ht="14.25" customHeight="1" x14ac:dyDescent="0.25">
      <c r="A1403" s="12">
        <v>2451504.2595799998</v>
      </c>
      <c r="B1403" s="12" t="s">
        <v>2142</v>
      </c>
      <c r="C1403" s="12">
        <v>11.4</v>
      </c>
      <c r="D1403" s="12"/>
    </row>
    <row r="1404" spans="1:4" ht="14.25" customHeight="1" x14ac:dyDescent="0.25">
      <c r="A1404" s="12">
        <v>2451516.2305000001</v>
      </c>
      <c r="B1404" s="12" t="s">
        <v>2143</v>
      </c>
      <c r="C1404" s="12">
        <v>11.98</v>
      </c>
      <c r="D1404" s="12"/>
    </row>
    <row r="1405" spans="1:4" ht="14.25" customHeight="1" x14ac:dyDescent="0.25">
      <c r="A1405" s="12">
        <v>2451553.61204</v>
      </c>
      <c r="B1405" s="12" t="s">
        <v>2144</v>
      </c>
      <c r="C1405" s="12">
        <v>11.734</v>
      </c>
      <c r="D1405" s="12"/>
    </row>
    <row r="1406" spans="1:4" ht="14.25" customHeight="1" x14ac:dyDescent="0.25">
      <c r="A1406" s="12">
        <v>2451576.3473999999</v>
      </c>
      <c r="B1406" s="12" t="s">
        <v>2145</v>
      </c>
      <c r="C1406" s="12">
        <v>11.586667</v>
      </c>
      <c r="D1406" s="12"/>
    </row>
    <row r="1407" spans="1:4" ht="14.25" customHeight="1" x14ac:dyDescent="0.25">
      <c r="A1407" s="12">
        <v>2451590.6953500002</v>
      </c>
      <c r="B1407" s="12" t="s">
        <v>2146</v>
      </c>
      <c r="C1407" s="12">
        <v>11.648182</v>
      </c>
      <c r="D1407" s="12"/>
    </row>
    <row r="1408" spans="1:4" ht="14.25" customHeight="1" x14ac:dyDescent="0.25">
      <c r="A1408" s="12">
        <v>2451608.2958200001</v>
      </c>
      <c r="B1408" s="12" t="s">
        <v>2147</v>
      </c>
      <c r="C1408" s="12">
        <v>11.345484000000001</v>
      </c>
      <c r="D1408" s="12"/>
    </row>
    <row r="1409" spans="1:4" ht="14.25" customHeight="1" x14ac:dyDescent="0.25">
      <c r="A1409" s="12">
        <v>2451622.3907599999</v>
      </c>
      <c r="B1409" s="12" t="s">
        <v>2148</v>
      </c>
      <c r="C1409" s="12">
        <v>11.278461999999999</v>
      </c>
      <c r="D1409" s="12"/>
    </row>
    <row r="1410" spans="1:4" ht="14.25" customHeight="1" x14ac:dyDescent="0.25">
      <c r="A1410" s="12">
        <v>2451641.1973899999</v>
      </c>
      <c r="B1410" s="12" t="s">
        <v>2149</v>
      </c>
      <c r="C1410" s="12">
        <v>11.570690000000001</v>
      </c>
      <c r="D1410" s="12"/>
    </row>
    <row r="1411" spans="1:4" ht="14.25" customHeight="1" x14ac:dyDescent="0.25">
      <c r="A1411" s="12">
        <v>2451666.21006</v>
      </c>
      <c r="B1411" s="12" t="s">
        <v>2150</v>
      </c>
      <c r="C1411" s="12">
        <v>11.262499999999999</v>
      </c>
      <c r="D1411" s="12"/>
    </row>
    <row r="1412" spans="1:4" ht="14.25" customHeight="1" x14ac:dyDescent="0.25">
      <c r="A1412" s="12">
        <v>2451680.0812900001</v>
      </c>
      <c r="B1412" s="12" t="s">
        <v>2151</v>
      </c>
      <c r="C1412" s="12">
        <v>11.648372</v>
      </c>
      <c r="D1412" s="12"/>
    </row>
    <row r="1413" spans="1:4" ht="14.25" customHeight="1" x14ac:dyDescent="0.25">
      <c r="A1413" s="12">
        <v>2451695.6602699999</v>
      </c>
      <c r="B1413" s="12" t="s">
        <v>2152</v>
      </c>
      <c r="C1413" s="12">
        <v>11.80963</v>
      </c>
      <c r="D1413" s="12"/>
    </row>
    <row r="1414" spans="1:4" ht="14.25" customHeight="1" x14ac:dyDescent="0.25">
      <c r="A1414" s="12">
        <v>2451709.8737599999</v>
      </c>
      <c r="B1414" s="12" t="s">
        <v>2153</v>
      </c>
      <c r="C1414" s="12">
        <v>11.566364</v>
      </c>
      <c r="D1414" s="12"/>
    </row>
    <row r="1415" spans="1:4" ht="14.25" customHeight="1" x14ac:dyDescent="0.25">
      <c r="A1415" s="12">
        <v>2451726.9486500002</v>
      </c>
      <c r="B1415" s="12" t="s">
        <v>2154</v>
      </c>
      <c r="C1415" s="12">
        <v>11.680952</v>
      </c>
      <c r="D1415" s="12"/>
    </row>
    <row r="1416" spans="1:4" ht="14.25" customHeight="1" x14ac:dyDescent="0.25">
      <c r="A1416" s="12">
        <v>2451742.8204800002</v>
      </c>
      <c r="B1416" s="12" t="s">
        <v>2155</v>
      </c>
      <c r="C1416" s="12">
        <v>11.548522999999999</v>
      </c>
      <c r="D1416" s="12"/>
    </row>
    <row r="1417" spans="1:4" ht="14.25" customHeight="1" x14ac:dyDescent="0.25">
      <c r="A1417" s="12">
        <v>2451756.8445299999</v>
      </c>
      <c r="B1417" s="12" t="s">
        <v>2156</v>
      </c>
      <c r="C1417" s="12">
        <v>11.41713</v>
      </c>
      <c r="D1417" s="12"/>
    </row>
    <row r="1418" spans="1:4" ht="14.25" customHeight="1" x14ac:dyDescent="0.25">
      <c r="A1418" s="12">
        <v>2451772.2772499998</v>
      </c>
      <c r="B1418" s="12" t="s">
        <v>2157</v>
      </c>
      <c r="C1418" s="12">
        <v>11.538919</v>
      </c>
      <c r="D1418" s="12"/>
    </row>
    <row r="1419" spans="1:4" ht="14.25" customHeight="1" x14ac:dyDescent="0.25">
      <c r="A1419" s="12">
        <v>2451785.8329599998</v>
      </c>
      <c r="B1419" s="12" t="s">
        <v>2158</v>
      </c>
      <c r="C1419" s="12">
        <v>11.635566000000001</v>
      </c>
      <c r="D1419" s="12"/>
    </row>
    <row r="1420" spans="1:4" ht="14.25" customHeight="1" x14ac:dyDescent="0.25">
      <c r="A1420" s="12">
        <v>2451803.1151800002</v>
      </c>
      <c r="B1420" s="12" t="s">
        <v>2159</v>
      </c>
      <c r="C1420" s="12">
        <v>11.461017</v>
      </c>
      <c r="D1420" s="12"/>
    </row>
    <row r="1421" spans="1:4" ht="14.25" customHeight="1" x14ac:dyDescent="0.25">
      <c r="A1421" s="12">
        <v>2451816.8191399998</v>
      </c>
      <c r="B1421" s="12" t="s">
        <v>2160</v>
      </c>
      <c r="C1421" s="12">
        <v>11.524800000000001</v>
      </c>
      <c r="D1421" s="12"/>
    </row>
    <row r="1422" spans="1:4" ht="14.25" customHeight="1" x14ac:dyDescent="0.25">
      <c r="A1422" s="12">
        <v>2451833.2668900001</v>
      </c>
      <c r="B1422" s="12" t="s">
        <v>2161</v>
      </c>
      <c r="C1422" s="12">
        <v>11.639635999999999</v>
      </c>
      <c r="D1422" s="12"/>
    </row>
    <row r="1423" spans="1:4" ht="14.25" customHeight="1" x14ac:dyDescent="0.25">
      <c r="A1423" s="12">
        <v>2451847.6430100002</v>
      </c>
      <c r="B1423" s="12" t="s">
        <v>2162</v>
      </c>
      <c r="C1423" s="12">
        <v>11.646316000000001</v>
      </c>
      <c r="D1423" s="12"/>
    </row>
    <row r="1424" spans="1:4" ht="14.25" customHeight="1" x14ac:dyDescent="0.25">
      <c r="A1424" s="12">
        <v>2451868.2910000002</v>
      </c>
      <c r="B1424" s="12" t="s">
        <v>2163</v>
      </c>
      <c r="C1424" s="12">
        <v>11.78</v>
      </c>
      <c r="D1424" s="12"/>
    </row>
    <row r="1425" spans="1:4" ht="14.25" customHeight="1" x14ac:dyDescent="0.25">
      <c r="A1425" s="12">
        <v>2451931.8065200001</v>
      </c>
      <c r="B1425" s="12" t="s">
        <v>2164</v>
      </c>
      <c r="C1425" s="12">
        <v>11.7125</v>
      </c>
      <c r="D1425" s="12"/>
    </row>
    <row r="1426" spans="1:4" ht="14.25" customHeight="1" x14ac:dyDescent="0.25">
      <c r="A1426" s="12">
        <v>2451947.5282000001</v>
      </c>
      <c r="B1426" s="12" t="s">
        <v>2165</v>
      </c>
      <c r="C1426" s="12">
        <v>11.66</v>
      </c>
      <c r="D1426" s="12"/>
    </row>
    <row r="1427" spans="1:4" ht="14.25" customHeight="1" x14ac:dyDescent="0.25">
      <c r="A1427" s="12">
        <v>2451964.6064200001</v>
      </c>
      <c r="B1427" s="12" t="s">
        <v>2166</v>
      </c>
      <c r="C1427" s="12">
        <v>11.75</v>
      </c>
      <c r="D1427" s="12"/>
    </row>
    <row r="1428" spans="1:4" ht="14.25" customHeight="1" x14ac:dyDescent="0.25">
      <c r="A1428" s="12">
        <v>2451981.7552700001</v>
      </c>
      <c r="B1428" s="12" t="s">
        <v>2167</v>
      </c>
      <c r="C1428" s="12">
        <v>11.76</v>
      </c>
      <c r="D1428" s="12"/>
    </row>
    <row r="1429" spans="1:4" ht="14.25" customHeight="1" x14ac:dyDescent="0.25">
      <c r="A1429" s="12">
        <v>2451996.63369</v>
      </c>
      <c r="B1429" s="12" t="s">
        <v>2168</v>
      </c>
      <c r="C1429" s="12">
        <v>11.530768999999999</v>
      </c>
      <c r="D1429" s="12"/>
    </row>
    <row r="1430" spans="1:4" ht="14.25" customHeight="1" x14ac:dyDescent="0.25">
      <c r="A1430" s="12">
        <v>2452010.3840800002</v>
      </c>
      <c r="B1430" s="12" t="s">
        <v>2169</v>
      </c>
      <c r="C1430" s="12">
        <v>11.669231</v>
      </c>
      <c r="D1430" s="12"/>
    </row>
    <row r="1431" spans="1:4" ht="14.25" customHeight="1" x14ac:dyDescent="0.25">
      <c r="A1431" s="12">
        <v>2452027.8198099998</v>
      </c>
      <c r="B1431" s="12" t="s">
        <v>2170</v>
      </c>
      <c r="C1431" s="12">
        <v>11.618181999999999</v>
      </c>
      <c r="D1431" s="12"/>
    </row>
    <row r="1432" spans="1:4" ht="14.25" customHeight="1" x14ac:dyDescent="0.25">
      <c r="A1432" s="12">
        <v>2452045.6945699998</v>
      </c>
      <c r="B1432" s="12" t="s">
        <v>2171</v>
      </c>
      <c r="C1432" s="12">
        <v>11.531579000000001</v>
      </c>
      <c r="D1432" s="12"/>
    </row>
    <row r="1433" spans="1:4" ht="14.25" customHeight="1" x14ac:dyDescent="0.25">
      <c r="A1433" s="12">
        <v>2452055.8572800001</v>
      </c>
      <c r="B1433" s="12" t="s">
        <v>133</v>
      </c>
      <c r="C1433" s="12">
        <v>11.728070000000001</v>
      </c>
      <c r="D1433" s="12"/>
    </row>
    <row r="1434" spans="1:4" ht="14.25" customHeight="1" x14ac:dyDescent="0.25">
      <c r="A1434" s="12">
        <v>2452075.0462799999</v>
      </c>
      <c r="B1434" s="12" t="s">
        <v>2172</v>
      </c>
      <c r="C1434" s="12">
        <v>11.678431</v>
      </c>
      <c r="D1434" s="12"/>
    </row>
    <row r="1435" spans="1:4" ht="14.25" customHeight="1" x14ac:dyDescent="0.25">
      <c r="A1435" s="12">
        <v>2452087.36852</v>
      </c>
      <c r="B1435" s="12" t="s">
        <v>207</v>
      </c>
      <c r="C1435" s="12">
        <v>11.422222</v>
      </c>
      <c r="D1435" s="12"/>
    </row>
    <row r="1436" spans="1:4" ht="14.25" customHeight="1" x14ac:dyDescent="0.25">
      <c r="A1436" s="12">
        <v>2452105.6633700002</v>
      </c>
      <c r="B1436" s="12" t="s">
        <v>2173</v>
      </c>
      <c r="C1436" s="12">
        <v>11.55</v>
      </c>
      <c r="D1436" s="12"/>
    </row>
    <row r="1437" spans="1:4" ht="14.25" customHeight="1" x14ac:dyDescent="0.25">
      <c r="A1437" s="12">
        <v>2452120.26064</v>
      </c>
      <c r="B1437" s="12" t="s">
        <v>2174</v>
      </c>
      <c r="C1437" s="12">
        <v>11.675000000000001</v>
      </c>
      <c r="D1437" s="12"/>
    </row>
    <row r="1438" spans="1:4" ht="14.25" customHeight="1" x14ac:dyDescent="0.25">
      <c r="A1438" s="12">
        <v>2452136.46068</v>
      </c>
      <c r="B1438" s="12" t="s">
        <v>2175</v>
      </c>
      <c r="C1438" s="12">
        <v>11.637363000000001</v>
      </c>
      <c r="D1438" s="12"/>
    </row>
    <row r="1439" spans="1:4" ht="14.25" customHeight="1" x14ac:dyDescent="0.25">
      <c r="A1439" s="12">
        <v>2452151.06311</v>
      </c>
      <c r="B1439" s="12" t="s">
        <v>134</v>
      </c>
      <c r="C1439" s="12">
        <v>11.6</v>
      </c>
      <c r="D1439" s="12"/>
    </row>
    <row r="1440" spans="1:4" ht="14.25" customHeight="1" x14ac:dyDescent="0.25">
      <c r="A1440" s="12">
        <v>2452166.8991299998</v>
      </c>
      <c r="B1440" s="12" t="s">
        <v>2176</v>
      </c>
      <c r="C1440" s="12">
        <v>11.457692</v>
      </c>
      <c r="D1440" s="12"/>
    </row>
    <row r="1441" spans="1:4" ht="14.25" customHeight="1" x14ac:dyDescent="0.25">
      <c r="A1441" s="12">
        <v>2452182.6365899998</v>
      </c>
      <c r="B1441" s="12" t="s">
        <v>2177</v>
      </c>
      <c r="C1441" s="12">
        <v>11.534884</v>
      </c>
      <c r="D1441" s="12"/>
    </row>
    <row r="1442" spans="1:4" ht="14.25" customHeight="1" x14ac:dyDescent="0.25">
      <c r="A1442" s="12">
        <v>2452196.0828399998</v>
      </c>
      <c r="B1442" s="12" t="s">
        <v>2178</v>
      </c>
      <c r="C1442" s="12">
        <v>11.501562</v>
      </c>
      <c r="D1442" s="12"/>
    </row>
    <row r="1443" spans="1:4" ht="14.25" customHeight="1" x14ac:dyDescent="0.25">
      <c r="A1443" s="12">
        <v>2452211.8813700001</v>
      </c>
      <c r="B1443" s="12" t="s">
        <v>2179</v>
      </c>
      <c r="C1443" s="12">
        <v>11.364000000000001</v>
      </c>
      <c r="D1443" s="12"/>
    </row>
    <row r="1444" spans="1:4" ht="14.25" customHeight="1" x14ac:dyDescent="0.25">
      <c r="A1444" s="12">
        <v>2452223.5334700001</v>
      </c>
      <c r="B1444" s="12" t="s">
        <v>2180</v>
      </c>
      <c r="C1444" s="12">
        <v>11.475</v>
      </c>
      <c r="D1444" s="12"/>
    </row>
    <row r="1445" spans="1:4" ht="14.25" customHeight="1" x14ac:dyDescent="0.25">
      <c r="A1445" s="12">
        <v>2452245.233</v>
      </c>
      <c r="B1445" s="12" t="s">
        <v>2181</v>
      </c>
      <c r="C1445" s="12">
        <v>11.7</v>
      </c>
      <c r="D1445" s="12"/>
    </row>
    <row r="1446" spans="1:4" ht="14.25" customHeight="1" x14ac:dyDescent="0.25">
      <c r="A1446" s="12">
        <v>2452301.02929</v>
      </c>
      <c r="B1446" s="12" t="s">
        <v>2182</v>
      </c>
      <c r="C1446" s="12">
        <v>11.711111000000001</v>
      </c>
      <c r="D1446" s="12"/>
    </row>
    <row r="1447" spans="1:4" ht="14.25" customHeight="1" x14ac:dyDescent="0.25">
      <c r="A1447" s="12">
        <v>2452318.14542</v>
      </c>
      <c r="B1447" s="12" t="s">
        <v>2183</v>
      </c>
      <c r="C1447" s="12">
        <v>11.9625</v>
      </c>
      <c r="D1447" s="12"/>
    </row>
    <row r="1448" spans="1:4" ht="14.25" customHeight="1" x14ac:dyDescent="0.25">
      <c r="A1448" s="12">
        <v>2452330.78804</v>
      </c>
      <c r="B1448" s="12" t="s">
        <v>2184</v>
      </c>
      <c r="C1448" s="12">
        <v>11.783333000000001</v>
      </c>
      <c r="D1448" s="12"/>
    </row>
    <row r="1449" spans="1:4" ht="14.25" customHeight="1" x14ac:dyDescent="0.25">
      <c r="A1449" s="12">
        <v>2452346.3625599998</v>
      </c>
      <c r="B1449" s="12" t="s">
        <v>2185</v>
      </c>
      <c r="C1449" s="12">
        <v>11.661111</v>
      </c>
      <c r="D1449" s="12"/>
    </row>
    <row r="1450" spans="1:4" ht="14.25" customHeight="1" x14ac:dyDescent="0.25">
      <c r="A1450" s="12">
        <v>2452363.9236099999</v>
      </c>
      <c r="B1450" s="12" t="s">
        <v>2186</v>
      </c>
      <c r="C1450" s="12">
        <v>11.633333</v>
      </c>
      <c r="D1450" s="12"/>
    </row>
    <row r="1451" spans="1:4" ht="14.25" customHeight="1" x14ac:dyDescent="0.25">
      <c r="A1451" s="12">
        <v>2452379.40356</v>
      </c>
      <c r="B1451" s="12" t="s">
        <v>2187</v>
      </c>
      <c r="C1451" s="12">
        <v>11.724</v>
      </c>
      <c r="D1451" s="12"/>
    </row>
    <row r="1452" spans="1:4" ht="14.25" customHeight="1" x14ac:dyDescent="0.25">
      <c r="A1452" s="12">
        <v>2452398.3258199999</v>
      </c>
      <c r="B1452" s="12" t="s">
        <v>135</v>
      </c>
      <c r="C1452" s="12">
        <v>11.68</v>
      </c>
      <c r="D1452" s="12"/>
    </row>
    <row r="1453" spans="1:4" ht="14.25" customHeight="1" x14ac:dyDescent="0.25">
      <c r="A1453" s="12">
        <v>2452410.7609100002</v>
      </c>
      <c r="B1453" s="12" t="s">
        <v>2188</v>
      </c>
      <c r="C1453" s="12">
        <v>11.72381</v>
      </c>
      <c r="D1453" s="12"/>
    </row>
    <row r="1454" spans="1:4" ht="14.25" customHeight="1" x14ac:dyDescent="0.25">
      <c r="A1454" s="12">
        <v>2452429.5801599999</v>
      </c>
      <c r="B1454" s="12" t="s">
        <v>2189</v>
      </c>
      <c r="C1454" s="12">
        <v>11.425926</v>
      </c>
      <c r="D1454" s="12"/>
    </row>
    <row r="1455" spans="1:4" ht="14.25" customHeight="1" x14ac:dyDescent="0.25">
      <c r="A1455" s="12">
        <v>2452444.4306700001</v>
      </c>
      <c r="B1455" s="12" t="s">
        <v>2190</v>
      </c>
      <c r="C1455" s="12">
        <v>11.472222</v>
      </c>
      <c r="D1455" s="12"/>
    </row>
    <row r="1456" spans="1:4" ht="14.25" customHeight="1" x14ac:dyDescent="0.25">
      <c r="A1456" s="12">
        <v>2452461.8333399999</v>
      </c>
      <c r="B1456" s="12" t="s">
        <v>2191</v>
      </c>
      <c r="C1456" s="12">
        <v>11.533333000000001</v>
      </c>
      <c r="D1456" s="12"/>
    </row>
    <row r="1457" spans="1:4" ht="14.25" customHeight="1" x14ac:dyDescent="0.25">
      <c r="A1457" s="12">
        <v>2452475.17141</v>
      </c>
      <c r="B1457" s="12" t="s">
        <v>2192</v>
      </c>
      <c r="C1457" s="12">
        <v>11.563158</v>
      </c>
      <c r="D1457" s="12"/>
    </row>
    <row r="1458" spans="1:4" ht="14.25" customHeight="1" x14ac:dyDescent="0.25">
      <c r="A1458" s="12">
        <v>2452490.56287</v>
      </c>
      <c r="B1458" s="12" t="s">
        <v>2193</v>
      </c>
      <c r="C1458" s="12">
        <v>11.501282</v>
      </c>
      <c r="D1458" s="12"/>
    </row>
    <row r="1459" spans="1:4" ht="14.25" customHeight="1" x14ac:dyDescent="0.25">
      <c r="A1459" s="12">
        <v>2452504.7982200002</v>
      </c>
      <c r="B1459" s="12" t="s">
        <v>2194</v>
      </c>
      <c r="C1459" s="12">
        <v>11.432759000000001</v>
      </c>
      <c r="D1459" s="12"/>
    </row>
    <row r="1460" spans="1:4" ht="14.25" customHeight="1" x14ac:dyDescent="0.25">
      <c r="A1460" s="12">
        <v>2452522.8413800001</v>
      </c>
      <c r="B1460" s="12" t="s">
        <v>2195</v>
      </c>
      <c r="C1460" s="12">
        <v>11.504818999999999</v>
      </c>
      <c r="D1460" s="12"/>
    </row>
    <row r="1461" spans="1:4" ht="14.25" customHeight="1" x14ac:dyDescent="0.25">
      <c r="A1461" s="12">
        <v>2452537.0778000001</v>
      </c>
      <c r="B1461" s="12" t="s">
        <v>2196</v>
      </c>
      <c r="C1461" s="12">
        <v>11.510344999999999</v>
      </c>
      <c r="D1461" s="12"/>
    </row>
    <row r="1462" spans="1:4" ht="14.25" customHeight="1" x14ac:dyDescent="0.25">
      <c r="A1462" s="12">
        <v>2452550.8583399998</v>
      </c>
      <c r="B1462" s="12" t="s">
        <v>2197</v>
      </c>
      <c r="C1462" s="12">
        <v>11.460976</v>
      </c>
      <c r="D1462" s="12"/>
    </row>
    <row r="1463" spans="1:4" ht="14.25" customHeight="1" x14ac:dyDescent="0.25">
      <c r="A1463" s="12">
        <v>2452568.6201399998</v>
      </c>
      <c r="B1463" s="12" t="s">
        <v>2198</v>
      </c>
      <c r="C1463" s="12">
        <v>11.583333</v>
      </c>
      <c r="D1463" s="12"/>
    </row>
    <row r="1464" spans="1:4" ht="14.25" customHeight="1" x14ac:dyDescent="0.25">
      <c r="A1464" s="12">
        <v>2452583.1983099999</v>
      </c>
      <c r="B1464" s="12" t="s">
        <v>2199</v>
      </c>
      <c r="C1464" s="12">
        <v>11.565</v>
      </c>
      <c r="D1464" s="12"/>
    </row>
    <row r="1465" spans="1:4" ht="14.25" customHeight="1" x14ac:dyDescent="0.25">
      <c r="A1465" s="12">
        <v>2452600.8091000002</v>
      </c>
      <c r="B1465" s="12" t="s">
        <v>2200</v>
      </c>
      <c r="C1465" s="12">
        <v>11.514286</v>
      </c>
      <c r="D1465" s="12"/>
    </row>
    <row r="1466" spans="1:4" ht="14.25" customHeight="1" x14ac:dyDescent="0.25">
      <c r="A1466" s="12">
        <v>2452607.233</v>
      </c>
      <c r="B1466" s="12" t="s">
        <v>2201</v>
      </c>
      <c r="C1466" s="12">
        <v>11.6</v>
      </c>
      <c r="D1466" s="12"/>
    </row>
    <row r="1467" spans="1:4" ht="14.25" customHeight="1" x14ac:dyDescent="0.25">
      <c r="A1467" s="12">
        <v>2452653.35745</v>
      </c>
      <c r="B1467" s="12" t="s">
        <v>2202</v>
      </c>
      <c r="C1467" s="12">
        <v>11.425000000000001</v>
      </c>
      <c r="D1467" s="12"/>
    </row>
    <row r="1468" spans="1:4" ht="14.25" customHeight="1" x14ac:dyDescent="0.25">
      <c r="A1468" s="12">
        <v>2452673.9884000001</v>
      </c>
      <c r="B1468" s="12" t="s">
        <v>2203</v>
      </c>
      <c r="C1468" s="12">
        <v>11.554544999999999</v>
      </c>
      <c r="D1468" s="12"/>
    </row>
    <row r="1469" spans="1:4" ht="14.25" customHeight="1" x14ac:dyDescent="0.25">
      <c r="A1469" s="12">
        <v>2452691.4176099999</v>
      </c>
      <c r="B1469" s="12" t="s">
        <v>2204</v>
      </c>
      <c r="C1469" s="12">
        <v>11.523077000000001</v>
      </c>
      <c r="D1469" s="12"/>
    </row>
    <row r="1470" spans="1:4" ht="14.25" customHeight="1" x14ac:dyDescent="0.25">
      <c r="A1470" s="12">
        <v>2452708.50245</v>
      </c>
      <c r="B1470" s="12" t="s">
        <v>2205</v>
      </c>
      <c r="C1470" s="12">
        <v>11.445455000000001</v>
      </c>
      <c r="D1470" s="12"/>
    </row>
    <row r="1471" spans="1:4" ht="14.25" customHeight="1" x14ac:dyDescent="0.25">
      <c r="A1471" s="12">
        <v>2452722.01645</v>
      </c>
      <c r="B1471" s="12" t="s">
        <v>2206</v>
      </c>
      <c r="C1471" s="12">
        <v>11.528570999999999</v>
      </c>
      <c r="D1471" s="12"/>
    </row>
    <row r="1472" spans="1:4" ht="14.25" customHeight="1" x14ac:dyDescent="0.25">
      <c r="A1472" s="12">
        <v>2452738.8544299998</v>
      </c>
      <c r="B1472" s="12" t="s">
        <v>2207</v>
      </c>
      <c r="C1472" s="12">
        <v>11.242308</v>
      </c>
      <c r="D1472" s="12"/>
    </row>
    <row r="1473" spans="1:4" ht="14.25" customHeight="1" x14ac:dyDescent="0.25">
      <c r="A1473" s="12">
        <v>2452756.0198400002</v>
      </c>
      <c r="B1473" s="12" t="s">
        <v>2208</v>
      </c>
      <c r="C1473" s="12">
        <v>11.32381</v>
      </c>
      <c r="D1473" s="12"/>
    </row>
    <row r="1474" spans="1:4" ht="14.25" customHeight="1" x14ac:dyDescent="0.25">
      <c r="A1474" s="12">
        <v>2452768.7689499999</v>
      </c>
      <c r="B1474" s="12" t="s">
        <v>2209</v>
      </c>
      <c r="C1474" s="12">
        <v>11.3125</v>
      </c>
      <c r="D1474" s="12"/>
    </row>
    <row r="1475" spans="1:4" ht="14.25" customHeight="1" x14ac:dyDescent="0.25">
      <c r="A1475" s="12">
        <v>2452789.2736499999</v>
      </c>
      <c r="B1475" s="12" t="s">
        <v>2210</v>
      </c>
      <c r="C1475" s="12">
        <v>10.936363999999999</v>
      </c>
      <c r="D1475" s="12"/>
    </row>
    <row r="1476" spans="1:4" ht="14.25" customHeight="1" x14ac:dyDescent="0.25">
      <c r="A1476" s="12">
        <v>2452802.2922800002</v>
      </c>
      <c r="B1476" s="12" t="s">
        <v>2211</v>
      </c>
      <c r="C1476" s="12">
        <v>10.825714</v>
      </c>
      <c r="D1476" s="12"/>
    </row>
    <row r="1477" spans="1:4" ht="14.25" customHeight="1" x14ac:dyDescent="0.25">
      <c r="A1477" s="12">
        <v>2452816.46954</v>
      </c>
      <c r="B1477" s="12" t="s">
        <v>2212</v>
      </c>
      <c r="C1477" s="12">
        <v>10.997196000000001</v>
      </c>
      <c r="D1477" s="12"/>
    </row>
    <row r="1478" spans="1:4" ht="14.25" customHeight="1" x14ac:dyDescent="0.25">
      <c r="A1478" s="12">
        <v>2452834.1485700002</v>
      </c>
      <c r="B1478" s="12" t="s">
        <v>2213</v>
      </c>
      <c r="C1478" s="12">
        <v>10.95618</v>
      </c>
      <c r="D1478" s="12"/>
    </row>
    <row r="1479" spans="1:4" ht="14.25" customHeight="1" x14ac:dyDescent="0.25">
      <c r="A1479" s="12">
        <v>2452848.7788</v>
      </c>
      <c r="B1479" s="12" t="s">
        <v>2214</v>
      </c>
      <c r="C1479" s="12">
        <v>11.177358</v>
      </c>
      <c r="D1479" s="12"/>
    </row>
    <row r="1480" spans="1:4" ht="14.25" customHeight="1" x14ac:dyDescent="0.25">
      <c r="A1480" s="12">
        <v>2452864.7395500001</v>
      </c>
      <c r="B1480" s="12" t="s">
        <v>2215</v>
      </c>
      <c r="C1480" s="12">
        <v>11.257999999999999</v>
      </c>
      <c r="D1480" s="12"/>
    </row>
    <row r="1481" spans="1:4" ht="14.25" customHeight="1" x14ac:dyDescent="0.25">
      <c r="A1481" s="12">
        <v>2452878.91872</v>
      </c>
      <c r="B1481" s="12" t="s">
        <v>2216</v>
      </c>
      <c r="C1481" s="12">
        <v>11.231343000000001</v>
      </c>
      <c r="D1481" s="12"/>
    </row>
    <row r="1482" spans="1:4" ht="14.25" customHeight="1" x14ac:dyDescent="0.25">
      <c r="A1482" s="12">
        <v>2452895.8272099998</v>
      </c>
      <c r="B1482" s="12" t="s">
        <v>2217</v>
      </c>
      <c r="C1482" s="12">
        <v>11.223469</v>
      </c>
      <c r="D1482" s="12"/>
    </row>
    <row r="1483" spans="1:4" ht="14.25" customHeight="1" x14ac:dyDescent="0.25">
      <c r="A1483" s="12">
        <v>2452908.1597199999</v>
      </c>
      <c r="B1483" s="12" t="s">
        <v>2218</v>
      </c>
      <c r="C1483" s="12">
        <v>11.208621000000001</v>
      </c>
      <c r="D1483" s="12"/>
    </row>
    <row r="1484" spans="1:4" ht="14.25" customHeight="1" x14ac:dyDescent="0.25">
      <c r="A1484" s="12">
        <v>2452925.9282200001</v>
      </c>
      <c r="B1484" s="12" t="s">
        <v>2219</v>
      </c>
      <c r="C1484" s="12">
        <v>10.960563</v>
      </c>
      <c r="D1484" s="12"/>
    </row>
    <row r="1485" spans="1:4" ht="14.25" customHeight="1" x14ac:dyDescent="0.25">
      <c r="A1485" s="12">
        <v>2452938.1681599999</v>
      </c>
      <c r="B1485" s="12" t="s">
        <v>237</v>
      </c>
      <c r="C1485" s="12">
        <v>11.060525999999999</v>
      </c>
      <c r="D1485" s="12"/>
    </row>
    <row r="1486" spans="1:4" ht="14.25" customHeight="1" x14ac:dyDescent="0.25">
      <c r="A1486" s="12">
        <v>2452956.0584</v>
      </c>
      <c r="B1486" s="12" t="s">
        <v>2220</v>
      </c>
      <c r="C1486" s="12">
        <v>11.183332999999999</v>
      </c>
      <c r="D1486" s="12"/>
    </row>
    <row r="1487" spans="1:4" ht="14.25" customHeight="1" x14ac:dyDescent="0.25">
      <c r="A1487" s="12">
        <v>2453025.55516</v>
      </c>
      <c r="B1487" s="12" t="s">
        <v>2221</v>
      </c>
      <c r="C1487" s="12">
        <v>11.385714</v>
      </c>
      <c r="D1487" s="12"/>
    </row>
    <row r="1488" spans="1:4" ht="14.25" customHeight="1" x14ac:dyDescent="0.25">
      <c r="A1488" s="12">
        <v>2453043.8183900001</v>
      </c>
      <c r="B1488" s="12" t="s">
        <v>2222</v>
      </c>
      <c r="C1488" s="12">
        <v>11.275</v>
      </c>
      <c r="D1488" s="12"/>
    </row>
    <row r="1489" spans="1:4" ht="14.25" customHeight="1" x14ac:dyDescent="0.25">
      <c r="A1489" s="12">
        <v>2453059.8456799998</v>
      </c>
      <c r="B1489" s="12" t="s">
        <v>2223</v>
      </c>
      <c r="C1489" s="12">
        <v>11.393750000000001</v>
      </c>
      <c r="D1489" s="12"/>
    </row>
    <row r="1490" spans="1:4" ht="14.25" customHeight="1" x14ac:dyDescent="0.25">
      <c r="A1490" s="12">
        <v>2453071.3265399998</v>
      </c>
      <c r="B1490" s="12" t="s">
        <v>2224</v>
      </c>
      <c r="C1490" s="12">
        <v>11.277778</v>
      </c>
      <c r="D1490" s="12"/>
    </row>
    <row r="1491" spans="1:4" ht="14.25" customHeight="1" x14ac:dyDescent="0.25">
      <c r="A1491" s="12">
        <v>2453091.2304099998</v>
      </c>
      <c r="B1491" s="12" t="s">
        <v>136</v>
      </c>
      <c r="C1491" s="12">
        <v>11.476471</v>
      </c>
      <c r="D1491" s="12"/>
    </row>
    <row r="1492" spans="1:4" ht="14.25" customHeight="1" x14ac:dyDescent="0.25">
      <c r="A1492" s="12">
        <v>2453106.40955</v>
      </c>
      <c r="B1492" s="12" t="s">
        <v>2225</v>
      </c>
      <c r="C1492" s="12">
        <v>11.283333000000001</v>
      </c>
      <c r="D1492" s="12"/>
    </row>
    <row r="1493" spans="1:4" ht="14.25" customHeight="1" x14ac:dyDescent="0.25">
      <c r="A1493" s="12">
        <v>2453120.1681599999</v>
      </c>
      <c r="B1493" s="12" t="s">
        <v>2226</v>
      </c>
      <c r="C1493" s="12">
        <v>11.338094999999999</v>
      </c>
      <c r="D1493" s="12"/>
    </row>
    <row r="1494" spans="1:4" ht="14.25" customHeight="1" x14ac:dyDescent="0.25">
      <c r="A1494" s="12">
        <v>2453142.0697900001</v>
      </c>
      <c r="B1494" s="12" t="s">
        <v>2227</v>
      </c>
      <c r="C1494" s="12">
        <v>11.432499999999999</v>
      </c>
      <c r="D1494" s="12"/>
    </row>
    <row r="1495" spans="1:4" ht="14.25" customHeight="1" x14ac:dyDescent="0.25">
      <c r="A1495" s="12">
        <v>2453152.8526699999</v>
      </c>
      <c r="B1495" s="12" t="s">
        <v>2228</v>
      </c>
      <c r="C1495" s="12">
        <v>11.397917</v>
      </c>
      <c r="D1495" s="12"/>
    </row>
    <row r="1496" spans="1:4" ht="14.25" customHeight="1" x14ac:dyDescent="0.25">
      <c r="A1496" s="12">
        <v>2453171.2177300001</v>
      </c>
      <c r="B1496" s="12" t="s">
        <v>2229</v>
      </c>
      <c r="C1496" s="12">
        <v>11.613333000000001</v>
      </c>
      <c r="D1496" s="12"/>
    </row>
    <row r="1497" spans="1:4" ht="14.25" customHeight="1" x14ac:dyDescent="0.25">
      <c r="A1497" s="12">
        <v>2453185.1250399998</v>
      </c>
      <c r="B1497" s="12" t="s">
        <v>2230</v>
      </c>
      <c r="C1497" s="12">
        <v>11.566071000000001</v>
      </c>
      <c r="D1497" s="12"/>
    </row>
    <row r="1498" spans="1:4" ht="14.25" customHeight="1" x14ac:dyDescent="0.25">
      <c r="A1498" s="12">
        <v>2453200.5995499999</v>
      </c>
      <c r="B1498" s="12" t="s">
        <v>2231</v>
      </c>
      <c r="C1498" s="12">
        <v>11.253086</v>
      </c>
      <c r="D1498" s="12"/>
    </row>
    <row r="1499" spans="1:4" ht="14.25" customHeight="1" x14ac:dyDescent="0.25">
      <c r="A1499" s="12">
        <v>2453215.8669400001</v>
      </c>
      <c r="B1499" s="12" t="s">
        <v>247</v>
      </c>
      <c r="C1499" s="12">
        <v>11.074074</v>
      </c>
      <c r="D1499" s="12"/>
    </row>
    <row r="1500" spans="1:4" ht="14.25" customHeight="1" x14ac:dyDescent="0.25">
      <c r="A1500" s="12">
        <v>2453230.4003400002</v>
      </c>
      <c r="B1500" s="12" t="s">
        <v>2232</v>
      </c>
      <c r="C1500" s="12">
        <v>11.22766</v>
      </c>
      <c r="D1500" s="12"/>
    </row>
    <row r="1501" spans="1:4" ht="14.25" customHeight="1" x14ac:dyDescent="0.25">
      <c r="A1501" s="12">
        <v>2453246.7631799998</v>
      </c>
      <c r="B1501" s="12" t="s">
        <v>2233</v>
      </c>
      <c r="C1501" s="12">
        <v>11.281480999999999</v>
      </c>
      <c r="D1501" s="12"/>
    </row>
    <row r="1502" spans="1:4" ht="14.25" customHeight="1" x14ac:dyDescent="0.25">
      <c r="A1502" s="12">
        <v>2453261.4029399999</v>
      </c>
      <c r="B1502" s="12" t="s">
        <v>255</v>
      </c>
      <c r="C1502" s="12">
        <v>11.343859999999999</v>
      </c>
      <c r="D1502" s="12"/>
    </row>
    <row r="1503" spans="1:4" ht="14.25" customHeight="1" x14ac:dyDescent="0.25">
      <c r="A1503" s="12">
        <v>2453277.8094199998</v>
      </c>
      <c r="B1503" s="12" t="s">
        <v>2234</v>
      </c>
      <c r="C1503" s="12">
        <v>11.206897</v>
      </c>
      <c r="D1503" s="12"/>
    </row>
    <row r="1504" spans="1:4" ht="14.25" customHeight="1" x14ac:dyDescent="0.25">
      <c r="A1504" s="12">
        <v>2453291.0633100001</v>
      </c>
      <c r="B1504" s="12" t="s">
        <v>259</v>
      </c>
      <c r="C1504" s="12">
        <v>10.927118999999999</v>
      </c>
      <c r="D1504" s="12"/>
    </row>
    <row r="1505" spans="1:4" ht="14.25" customHeight="1" x14ac:dyDescent="0.25">
      <c r="A1505" s="12">
        <v>2453305.7477699998</v>
      </c>
      <c r="B1505" s="12" t="s">
        <v>2235</v>
      </c>
      <c r="C1505" s="12">
        <v>10.9</v>
      </c>
      <c r="D1505" s="12"/>
    </row>
    <row r="1506" spans="1:4" ht="14.25" customHeight="1" x14ac:dyDescent="0.25">
      <c r="A1506" s="12">
        <v>2453320.8366200002</v>
      </c>
      <c r="B1506" s="12" t="s">
        <v>2236</v>
      </c>
      <c r="C1506" s="12">
        <v>11.146153999999999</v>
      </c>
      <c r="D1506" s="12"/>
    </row>
    <row r="1507" spans="1:4" ht="14.25" customHeight="1" x14ac:dyDescent="0.25">
      <c r="A1507" s="12">
        <v>2453331.5</v>
      </c>
      <c r="B1507" s="12" t="s">
        <v>2237</v>
      </c>
      <c r="C1507" s="12">
        <v>10.7</v>
      </c>
      <c r="D1507" s="12"/>
    </row>
    <row r="1508" spans="1:4" ht="14.25" customHeight="1" x14ac:dyDescent="0.25">
      <c r="A1508" s="12">
        <v>2453383.8172399998</v>
      </c>
      <c r="B1508" s="12" t="s">
        <v>2238</v>
      </c>
      <c r="C1508" s="12">
        <v>10.957143</v>
      </c>
      <c r="D1508" s="12"/>
    </row>
    <row r="1509" spans="1:4" ht="14.25" customHeight="1" x14ac:dyDescent="0.25">
      <c r="A1509" s="12">
        <v>2453400.6238699998</v>
      </c>
      <c r="B1509" s="12" t="s">
        <v>2239</v>
      </c>
      <c r="C1509" s="12">
        <v>10.93</v>
      </c>
      <c r="D1509" s="12"/>
    </row>
    <row r="1510" spans="1:4" ht="14.25" customHeight="1" x14ac:dyDescent="0.25">
      <c r="A1510" s="12">
        <v>2453418.9735500002</v>
      </c>
      <c r="B1510" s="12" t="s">
        <v>2240</v>
      </c>
      <c r="C1510" s="12">
        <v>10.824999999999999</v>
      </c>
      <c r="D1510" s="12"/>
    </row>
    <row r="1511" spans="1:4" ht="14.25" customHeight="1" x14ac:dyDescent="0.25">
      <c r="A1511" s="12">
        <v>2453435.9695199998</v>
      </c>
      <c r="B1511" s="12" t="s">
        <v>263</v>
      </c>
      <c r="C1511" s="12">
        <v>10.905882</v>
      </c>
      <c r="D1511" s="12"/>
    </row>
    <row r="1512" spans="1:4" ht="14.25" customHeight="1" x14ac:dyDescent="0.25">
      <c r="A1512" s="12">
        <v>2453450.0644399999</v>
      </c>
      <c r="B1512" s="12" t="s">
        <v>2241</v>
      </c>
      <c r="C1512" s="12">
        <v>10.872726999999999</v>
      </c>
      <c r="D1512" s="12"/>
    </row>
    <row r="1513" spans="1:4" ht="14.25" customHeight="1" x14ac:dyDescent="0.25">
      <c r="A1513" s="12">
        <v>2453468.1820499999</v>
      </c>
      <c r="B1513" s="12" t="s">
        <v>2242</v>
      </c>
      <c r="C1513" s="12">
        <v>10.756862999999999</v>
      </c>
      <c r="D1513" s="12"/>
    </row>
    <row r="1514" spans="1:4" ht="14.25" customHeight="1" x14ac:dyDescent="0.25">
      <c r="A1514" s="12">
        <v>2453481.1393599999</v>
      </c>
      <c r="B1514" s="12" t="s">
        <v>2243</v>
      </c>
      <c r="C1514" s="12">
        <v>10.957143</v>
      </c>
      <c r="D1514" s="12"/>
    </row>
    <row r="1515" spans="1:4" ht="14.25" customHeight="1" x14ac:dyDescent="0.25">
      <c r="A1515" s="12">
        <v>2453499.3868</v>
      </c>
      <c r="B1515" s="12" t="s">
        <v>2244</v>
      </c>
      <c r="C1515" s="12">
        <v>10.983824</v>
      </c>
      <c r="D1515" s="12"/>
    </row>
    <row r="1516" spans="1:4" ht="14.25" customHeight="1" x14ac:dyDescent="0.25">
      <c r="A1516" s="12">
        <v>2453515.8991</v>
      </c>
      <c r="B1516" s="12" t="s">
        <v>2245</v>
      </c>
      <c r="C1516" s="12">
        <v>10.794915</v>
      </c>
      <c r="D1516" s="12"/>
    </row>
    <row r="1517" spans="1:4" ht="14.25" customHeight="1" x14ac:dyDescent="0.25">
      <c r="A1517" s="12">
        <v>2453528.9460800001</v>
      </c>
      <c r="B1517" s="12" t="s">
        <v>272</v>
      </c>
      <c r="C1517" s="12">
        <v>10.625843</v>
      </c>
      <c r="D1517" s="12"/>
    </row>
    <row r="1518" spans="1:4" ht="14.25" customHeight="1" x14ac:dyDescent="0.25">
      <c r="A1518" s="12">
        <v>2453544.8391200001</v>
      </c>
      <c r="B1518" s="12" t="s">
        <v>137</v>
      </c>
      <c r="C1518" s="12">
        <v>10.558973999999999</v>
      </c>
      <c r="D1518" s="12"/>
    </row>
    <row r="1519" spans="1:4" ht="14.25" customHeight="1" x14ac:dyDescent="0.25">
      <c r="A1519" s="12">
        <v>2453560.10403</v>
      </c>
      <c r="B1519" s="12" t="s">
        <v>138</v>
      </c>
      <c r="C1519" s="12">
        <v>10.6464</v>
      </c>
      <c r="D1519" s="12"/>
    </row>
    <row r="1520" spans="1:4" ht="14.25" customHeight="1" x14ac:dyDescent="0.25">
      <c r="A1520" s="12">
        <v>2453574.7919600001</v>
      </c>
      <c r="B1520" s="12" t="s">
        <v>2246</v>
      </c>
      <c r="C1520" s="12">
        <v>10.763491999999999</v>
      </c>
      <c r="D1520" s="12"/>
    </row>
    <row r="1521" spans="1:4" ht="14.25" customHeight="1" x14ac:dyDescent="0.25">
      <c r="A1521" s="12">
        <v>2453589.6694299998</v>
      </c>
      <c r="B1521" s="12" t="s">
        <v>2247</v>
      </c>
      <c r="C1521" s="12">
        <v>11.123621999999999</v>
      </c>
      <c r="D1521" s="12"/>
    </row>
    <row r="1522" spans="1:4" ht="14.25" customHeight="1" x14ac:dyDescent="0.25">
      <c r="A1522" s="12">
        <v>2453606.0942099998</v>
      </c>
      <c r="B1522" s="12" t="s">
        <v>2248</v>
      </c>
      <c r="C1522" s="12">
        <v>11.288679</v>
      </c>
      <c r="D1522" s="12"/>
    </row>
    <row r="1523" spans="1:4" ht="14.25" customHeight="1" x14ac:dyDescent="0.25">
      <c r="A1523" s="12">
        <v>2453618.9988500001</v>
      </c>
      <c r="B1523" s="12" t="s">
        <v>2249</v>
      </c>
      <c r="C1523" s="12">
        <v>11.317240999999999</v>
      </c>
      <c r="D1523" s="12"/>
    </row>
    <row r="1524" spans="1:4" ht="14.25" customHeight="1" x14ac:dyDescent="0.25">
      <c r="A1524" s="12">
        <v>2453636.4015000002</v>
      </c>
      <c r="B1524" s="12" t="s">
        <v>2250</v>
      </c>
      <c r="C1524" s="12">
        <v>11.355682</v>
      </c>
      <c r="D1524" s="12"/>
    </row>
    <row r="1525" spans="1:4" ht="14.25" customHeight="1" x14ac:dyDescent="0.25">
      <c r="A1525" s="12">
        <v>2453649.8204700002</v>
      </c>
      <c r="B1525" s="12" t="s">
        <v>296</v>
      </c>
      <c r="C1525" s="12">
        <v>11.047826000000001</v>
      </c>
      <c r="D1525" s="12"/>
    </row>
    <row r="1526" spans="1:4" ht="14.25" customHeight="1" x14ac:dyDescent="0.25">
      <c r="A1526" s="12">
        <v>2453667.1449099998</v>
      </c>
      <c r="B1526" s="12" t="s">
        <v>2251</v>
      </c>
      <c r="C1526" s="12">
        <v>10.890385</v>
      </c>
      <c r="D1526" s="12"/>
    </row>
    <row r="1527" spans="1:4" ht="14.25" customHeight="1" x14ac:dyDescent="0.25">
      <c r="A1527" s="12">
        <v>2453680.3647400001</v>
      </c>
      <c r="B1527" s="12" t="s">
        <v>139</v>
      </c>
      <c r="C1527" s="12">
        <v>10.841025999999999</v>
      </c>
      <c r="D1527" s="12"/>
    </row>
    <row r="1528" spans="1:4" ht="14.25" customHeight="1" x14ac:dyDescent="0.25">
      <c r="A1528" s="12">
        <v>2453695.6504299999</v>
      </c>
      <c r="B1528" s="12" t="s">
        <v>2252</v>
      </c>
      <c r="C1528" s="12">
        <v>11</v>
      </c>
      <c r="D1528" s="12"/>
    </row>
    <row r="1529" spans="1:4" ht="14.25" customHeight="1" x14ac:dyDescent="0.25">
      <c r="A1529" s="12">
        <v>2453755.9485399998</v>
      </c>
      <c r="B1529" s="12" t="s">
        <v>2253</v>
      </c>
      <c r="C1529" s="12">
        <v>10.68</v>
      </c>
      <c r="D1529" s="12"/>
    </row>
    <row r="1530" spans="1:4" ht="14.25" customHeight="1" x14ac:dyDescent="0.25">
      <c r="A1530" s="12">
        <v>2453772.79311</v>
      </c>
      <c r="B1530" s="12" t="s">
        <v>2254</v>
      </c>
      <c r="C1530" s="12">
        <v>9.7454549999999998</v>
      </c>
      <c r="D1530" s="12"/>
    </row>
    <row r="1531" spans="1:4" ht="14.25" customHeight="1" x14ac:dyDescent="0.25">
      <c r="A1531" s="12">
        <v>2453786.9130199999</v>
      </c>
      <c r="B1531" s="12" t="s">
        <v>304</v>
      </c>
      <c r="C1531" s="12">
        <v>6.8264709999999997</v>
      </c>
      <c r="D1531" s="12"/>
    </row>
    <row r="1532" spans="1:4" ht="14.25" customHeight="1" x14ac:dyDescent="0.25">
      <c r="A1532" s="12">
        <v>2453800.2924899999</v>
      </c>
      <c r="B1532" s="12" t="s">
        <v>312</v>
      </c>
      <c r="C1532" s="12">
        <v>8.3395060000000001</v>
      </c>
      <c r="D1532" s="12"/>
    </row>
    <row r="1533" spans="1:4" ht="14.25" customHeight="1" x14ac:dyDescent="0.25">
      <c r="A1533" s="12">
        <v>2453817.2055199998</v>
      </c>
      <c r="B1533" s="12" t="s">
        <v>317</v>
      </c>
      <c r="C1533" s="12">
        <v>9.3929410000000004</v>
      </c>
      <c r="D1533" s="12"/>
    </row>
    <row r="1534" spans="1:4" ht="14.25" customHeight="1" x14ac:dyDescent="0.25">
      <c r="A1534" s="12">
        <v>2453832.5025599999</v>
      </c>
      <c r="B1534" s="12" t="s">
        <v>323</v>
      </c>
      <c r="C1534" s="12">
        <v>9.8817199999999996</v>
      </c>
      <c r="D1534" s="12"/>
    </row>
    <row r="1535" spans="1:4" ht="14.25" customHeight="1" x14ac:dyDescent="0.25">
      <c r="A1535" s="12">
        <v>2453849.1176300002</v>
      </c>
      <c r="B1535" s="12" t="s">
        <v>2255</v>
      </c>
      <c r="C1535" s="12">
        <v>10.085526</v>
      </c>
      <c r="D1535" s="12"/>
    </row>
    <row r="1536" spans="1:4" ht="14.25" customHeight="1" x14ac:dyDescent="0.25">
      <c r="A1536" s="12">
        <v>2453862.0017300001</v>
      </c>
      <c r="B1536" s="12" t="s">
        <v>2256</v>
      </c>
      <c r="C1536" s="12">
        <v>10.344231000000001</v>
      </c>
      <c r="D1536" s="12"/>
    </row>
    <row r="1537" spans="1:4" ht="14.25" customHeight="1" x14ac:dyDescent="0.25">
      <c r="A1537" s="12">
        <v>2453881.9002999999</v>
      </c>
      <c r="B1537" s="12" t="s">
        <v>2257</v>
      </c>
      <c r="C1537" s="12">
        <v>11.331250000000001</v>
      </c>
      <c r="D1537" s="12"/>
    </row>
    <row r="1538" spans="1:4" ht="14.25" customHeight="1" x14ac:dyDescent="0.25">
      <c r="A1538" s="12">
        <v>2453896.62714</v>
      </c>
      <c r="B1538" s="12" t="s">
        <v>2258</v>
      </c>
      <c r="C1538" s="12">
        <v>11.644828</v>
      </c>
      <c r="D1538" s="12"/>
    </row>
    <row r="1539" spans="1:4" ht="14.25" customHeight="1" x14ac:dyDescent="0.25">
      <c r="A1539" s="12">
        <v>2453912.2480899999</v>
      </c>
      <c r="B1539" s="12" t="s">
        <v>2259</v>
      </c>
      <c r="C1539" s="12">
        <v>11.907463</v>
      </c>
      <c r="D1539" s="12"/>
    </row>
    <row r="1540" spans="1:4" ht="14.25" customHeight="1" x14ac:dyDescent="0.25">
      <c r="A1540" s="12">
        <v>2453927.2041699998</v>
      </c>
      <c r="B1540" s="12" t="s">
        <v>2260</v>
      </c>
      <c r="C1540" s="12">
        <v>11.978462</v>
      </c>
      <c r="D1540" s="12"/>
    </row>
    <row r="1541" spans="1:4" ht="14.25" customHeight="1" x14ac:dyDescent="0.25">
      <c r="A1541" s="12">
        <v>2453940.59228</v>
      </c>
      <c r="B1541" s="12" t="s">
        <v>2261</v>
      </c>
      <c r="C1541" s="12">
        <v>11.972222</v>
      </c>
      <c r="D1541" s="12"/>
    </row>
    <row r="1542" spans="1:4" ht="14.25" customHeight="1" x14ac:dyDescent="0.25">
      <c r="A1542" s="12">
        <v>2453958.0808600001</v>
      </c>
      <c r="B1542" s="12" t="s">
        <v>373</v>
      </c>
      <c r="C1542" s="12">
        <v>11.887931</v>
      </c>
      <c r="D1542" s="12"/>
    </row>
    <row r="1543" spans="1:4" ht="14.25" customHeight="1" x14ac:dyDescent="0.25">
      <c r="A1543" s="12">
        <v>2453972.41922</v>
      </c>
      <c r="B1543" s="12" t="s">
        <v>376</v>
      </c>
      <c r="C1543" s="12">
        <v>11.826636000000001</v>
      </c>
      <c r="D1543" s="12"/>
    </row>
    <row r="1544" spans="1:4" ht="14.25" customHeight="1" x14ac:dyDescent="0.25">
      <c r="A1544" s="12">
        <v>2453988.4133299999</v>
      </c>
      <c r="B1544" s="12" t="s">
        <v>387</v>
      </c>
      <c r="C1544" s="12">
        <v>11.991667</v>
      </c>
      <c r="D1544" s="12"/>
    </row>
    <row r="1545" spans="1:4" ht="14.25" customHeight="1" x14ac:dyDescent="0.25">
      <c r="A1545" s="12">
        <v>2454002.0474399999</v>
      </c>
      <c r="B1545" s="12" t="s">
        <v>399</v>
      </c>
      <c r="C1545" s="12">
        <v>11.757778</v>
      </c>
      <c r="D1545" s="12"/>
    </row>
    <row r="1546" spans="1:4" ht="14.25" customHeight="1" x14ac:dyDescent="0.25">
      <c r="A1546" s="12">
        <v>2454019.1748000002</v>
      </c>
      <c r="B1546" s="12" t="s">
        <v>409</v>
      </c>
      <c r="C1546" s="12">
        <v>11.773880999999999</v>
      </c>
      <c r="D1546" s="12"/>
    </row>
    <row r="1547" spans="1:4" ht="14.25" customHeight="1" x14ac:dyDescent="0.25">
      <c r="A1547" s="12">
        <v>2454033.5033399998</v>
      </c>
      <c r="B1547" s="12" t="s">
        <v>2262</v>
      </c>
      <c r="C1547" s="12">
        <v>11.862821</v>
      </c>
      <c r="D1547" s="12"/>
    </row>
    <row r="1548" spans="1:4" ht="14.25" customHeight="1" x14ac:dyDescent="0.25">
      <c r="A1548" s="12">
        <v>2454046.6599400002</v>
      </c>
      <c r="B1548" s="12" t="s">
        <v>2263</v>
      </c>
      <c r="C1548" s="12">
        <v>11.79</v>
      </c>
      <c r="D1548" s="12"/>
    </row>
    <row r="1549" spans="1:4" ht="14.25" customHeight="1" x14ac:dyDescent="0.25">
      <c r="A1549" s="12">
        <v>2454059.3175499998</v>
      </c>
      <c r="B1549" s="12" t="s">
        <v>2264</v>
      </c>
      <c r="C1549" s="12">
        <v>11.6</v>
      </c>
      <c r="D1549" s="12"/>
    </row>
    <row r="1550" spans="1:4" ht="14.25" customHeight="1" x14ac:dyDescent="0.25">
      <c r="A1550" s="12">
        <v>2454121.4827200002</v>
      </c>
      <c r="B1550" s="12" t="s">
        <v>2265</v>
      </c>
      <c r="C1550" s="12">
        <v>11.525</v>
      </c>
      <c r="D1550" s="12"/>
    </row>
    <row r="1551" spans="1:4" ht="14.25" customHeight="1" x14ac:dyDescent="0.25">
      <c r="A1551" s="12">
        <v>2454134.6320500001</v>
      </c>
      <c r="B1551" s="12" t="s">
        <v>2266</v>
      </c>
      <c r="C1551" s="12">
        <v>11.661538</v>
      </c>
      <c r="D1551" s="12"/>
    </row>
    <row r="1552" spans="1:4" ht="14.25" customHeight="1" x14ac:dyDescent="0.25">
      <c r="A1552" s="12">
        <v>2454150.8121199999</v>
      </c>
      <c r="B1552" s="12" t="s">
        <v>2267</v>
      </c>
      <c r="C1552" s="12">
        <v>11.430769</v>
      </c>
      <c r="D1552" s="12"/>
    </row>
    <row r="1553" spans="1:4" ht="14.25" customHeight="1" x14ac:dyDescent="0.25">
      <c r="A1553" s="12">
        <v>2454169.6704000002</v>
      </c>
      <c r="B1553" s="12" t="s">
        <v>2268</v>
      </c>
      <c r="C1553" s="12">
        <v>11.54</v>
      </c>
      <c r="D1553" s="12"/>
    </row>
    <row r="1554" spans="1:4" ht="14.25" customHeight="1" x14ac:dyDescent="0.25">
      <c r="A1554" s="12">
        <v>2454183.55767</v>
      </c>
      <c r="B1554" s="12" t="s">
        <v>147</v>
      </c>
      <c r="C1554" s="12">
        <v>11.569565000000001</v>
      </c>
      <c r="D1554" s="12"/>
    </row>
    <row r="1555" spans="1:4" ht="14.25" customHeight="1" x14ac:dyDescent="0.25">
      <c r="A1555" s="12">
        <v>2454200.7831999999</v>
      </c>
      <c r="B1555" s="12" t="s">
        <v>2269</v>
      </c>
      <c r="C1555" s="12">
        <v>11.4125</v>
      </c>
      <c r="D1555" s="12"/>
    </row>
    <row r="1556" spans="1:4" ht="14.25" customHeight="1" x14ac:dyDescent="0.25">
      <c r="A1556" s="12">
        <v>2454215.6554899998</v>
      </c>
      <c r="B1556" s="12" t="s">
        <v>439</v>
      </c>
      <c r="C1556" s="12">
        <v>11.302564</v>
      </c>
      <c r="D1556" s="12"/>
    </row>
    <row r="1557" spans="1:4" ht="14.25" customHeight="1" x14ac:dyDescent="0.25">
      <c r="A1557" s="12">
        <v>2454233.4333299999</v>
      </c>
      <c r="B1557" s="12" t="s">
        <v>445</v>
      </c>
      <c r="C1557" s="12">
        <v>11.258065</v>
      </c>
      <c r="D1557" s="12"/>
    </row>
    <row r="1558" spans="1:4" ht="14.25" customHeight="1" x14ac:dyDescent="0.25">
      <c r="A1558" s="12">
        <v>2454245.8656799998</v>
      </c>
      <c r="B1558" s="12" t="s">
        <v>2270</v>
      </c>
      <c r="C1558" s="12">
        <v>11.190909</v>
      </c>
      <c r="D1558" s="12"/>
    </row>
    <row r="1559" spans="1:4" ht="14.25" customHeight="1" x14ac:dyDescent="0.25">
      <c r="A1559" s="12">
        <v>2454263.8077600002</v>
      </c>
      <c r="B1559" s="12" t="s">
        <v>2271</v>
      </c>
      <c r="C1559" s="12">
        <v>11.144185999999999</v>
      </c>
      <c r="D1559" s="12"/>
    </row>
    <row r="1560" spans="1:4" ht="14.25" customHeight="1" x14ac:dyDescent="0.25">
      <c r="A1560" s="12">
        <v>2454277.1277299998</v>
      </c>
      <c r="B1560" s="12" t="s">
        <v>2272</v>
      </c>
      <c r="C1560" s="12">
        <v>11.171429</v>
      </c>
      <c r="D1560" s="12"/>
    </row>
    <row r="1561" spans="1:4" ht="14.25" customHeight="1" x14ac:dyDescent="0.25">
      <c r="A1561" s="12">
        <v>2454294.33452</v>
      </c>
      <c r="B1561" s="12" t="s">
        <v>2273</v>
      </c>
      <c r="C1561" s="12">
        <v>11.135211</v>
      </c>
      <c r="D1561" s="12"/>
    </row>
    <row r="1562" spans="1:4" ht="14.25" customHeight="1" x14ac:dyDescent="0.25">
      <c r="A1562" s="12">
        <v>2454308.7393</v>
      </c>
      <c r="B1562" s="12" t="s">
        <v>2274</v>
      </c>
      <c r="C1562" s="12">
        <v>11.153278999999999</v>
      </c>
      <c r="D1562" s="12"/>
    </row>
    <row r="1563" spans="1:4" ht="14.25" customHeight="1" x14ac:dyDescent="0.25">
      <c r="A1563" s="12">
        <v>2454324.48337</v>
      </c>
      <c r="B1563" s="12" t="s">
        <v>457</v>
      </c>
      <c r="C1563" s="12">
        <v>10.753053</v>
      </c>
      <c r="D1563" s="12"/>
    </row>
    <row r="1564" spans="1:4" ht="14.25" customHeight="1" x14ac:dyDescent="0.25">
      <c r="A1564" s="12">
        <v>2454340.8511600001</v>
      </c>
      <c r="B1564" s="12" t="s">
        <v>459</v>
      </c>
      <c r="C1564" s="12">
        <v>10.75</v>
      </c>
      <c r="D1564" s="12"/>
    </row>
    <row r="1565" spans="1:4" ht="14.25" customHeight="1" x14ac:dyDescent="0.25">
      <c r="A1565" s="12">
        <v>2454354.5985400002</v>
      </c>
      <c r="B1565" s="12" t="s">
        <v>2275</v>
      </c>
      <c r="C1565" s="12">
        <v>11.074560999999999</v>
      </c>
      <c r="D1565" s="12"/>
    </row>
    <row r="1566" spans="1:4" ht="14.25" customHeight="1" x14ac:dyDescent="0.25">
      <c r="A1566" s="12">
        <v>2454368.3101599999</v>
      </c>
      <c r="B1566" s="12" t="s">
        <v>2276</v>
      </c>
      <c r="C1566" s="12">
        <v>10.860169000000001</v>
      </c>
      <c r="D1566" s="12"/>
    </row>
    <row r="1567" spans="1:4" ht="14.25" customHeight="1" x14ac:dyDescent="0.25">
      <c r="A1567" s="12">
        <v>2454384.3237000001</v>
      </c>
      <c r="B1567" s="12" t="s">
        <v>2277</v>
      </c>
      <c r="C1567" s="12">
        <v>11.140516999999999</v>
      </c>
      <c r="D1567" s="12"/>
    </row>
    <row r="1568" spans="1:4" ht="14.25" customHeight="1" x14ac:dyDescent="0.25">
      <c r="A1568" s="12">
        <v>2454400.2654499998</v>
      </c>
      <c r="B1568" s="12" t="s">
        <v>2278</v>
      </c>
      <c r="C1568" s="12">
        <v>11.273332999999999</v>
      </c>
      <c r="D1568" s="12"/>
    </row>
    <row r="1569" spans="1:4" ht="14.25" customHeight="1" x14ac:dyDescent="0.25">
      <c r="A1569" s="12">
        <v>2454414.7518199999</v>
      </c>
      <c r="B1569" s="12" t="s">
        <v>2279</v>
      </c>
      <c r="C1569" s="12">
        <v>11</v>
      </c>
      <c r="D1569" s="12"/>
    </row>
    <row r="1570" spans="1:4" ht="14.25" customHeight="1" x14ac:dyDescent="0.25">
      <c r="A1570" s="12">
        <v>2454432.3024200001</v>
      </c>
      <c r="B1570" s="12" t="s">
        <v>2280</v>
      </c>
      <c r="C1570" s="12">
        <v>11.25</v>
      </c>
      <c r="D1570" s="12"/>
    </row>
    <row r="1571" spans="1:4" ht="14.25" customHeight="1" x14ac:dyDescent="0.25">
      <c r="A1571" s="12">
        <v>2454475.4728999999</v>
      </c>
      <c r="B1571" s="12" t="s">
        <v>2281</v>
      </c>
      <c r="C1571" s="12">
        <v>11.25</v>
      </c>
      <c r="D1571" s="12"/>
    </row>
    <row r="1572" spans="1:4" ht="14.25" customHeight="1" x14ac:dyDescent="0.25">
      <c r="A1572" s="12">
        <v>2454500.2126099998</v>
      </c>
      <c r="B1572" s="12" t="s">
        <v>152</v>
      </c>
      <c r="C1572" s="12">
        <v>11.2</v>
      </c>
      <c r="D1572" s="12"/>
    </row>
    <row r="1573" spans="1:4" ht="14.25" customHeight="1" x14ac:dyDescent="0.25">
      <c r="A1573" s="12">
        <v>2454512.9813399999</v>
      </c>
      <c r="B1573" s="12" t="s">
        <v>2282</v>
      </c>
      <c r="C1573" s="12">
        <v>11.26</v>
      </c>
      <c r="D1573" s="12"/>
    </row>
    <row r="1574" spans="1:4" ht="14.25" customHeight="1" x14ac:dyDescent="0.25">
      <c r="A1574" s="12">
        <v>2454530.7231200002</v>
      </c>
      <c r="B1574" s="12" t="s">
        <v>2283</v>
      </c>
      <c r="C1574" s="12">
        <v>11.645455</v>
      </c>
      <c r="D1574" s="12"/>
    </row>
    <row r="1575" spans="1:4" ht="14.25" customHeight="1" x14ac:dyDescent="0.25">
      <c r="A1575" s="12">
        <v>2454549.5852800002</v>
      </c>
      <c r="B1575" s="12" t="s">
        <v>2284</v>
      </c>
      <c r="C1575" s="12">
        <v>11.584614999999999</v>
      </c>
      <c r="D1575" s="12"/>
    </row>
    <row r="1576" spans="1:4" ht="14.25" customHeight="1" x14ac:dyDescent="0.25">
      <c r="A1576" s="12">
        <v>2454567.8735600002</v>
      </c>
      <c r="B1576" s="12" t="s">
        <v>2285</v>
      </c>
      <c r="C1576" s="12">
        <v>11.681818</v>
      </c>
      <c r="D1576" s="12"/>
    </row>
    <row r="1577" spans="1:4" ht="14.25" customHeight="1" x14ac:dyDescent="0.25">
      <c r="A1577" s="12">
        <v>2454583.4820400001</v>
      </c>
      <c r="B1577" s="12" t="s">
        <v>2286</v>
      </c>
      <c r="C1577" s="12">
        <v>11.818182</v>
      </c>
      <c r="D1577" s="12"/>
    </row>
    <row r="1578" spans="1:4" ht="14.25" customHeight="1" x14ac:dyDescent="0.25">
      <c r="A1578" s="12">
        <v>2454596.4887100002</v>
      </c>
      <c r="B1578" s="12" t="s">
        <v>2287</v>
      </c>
      <c r="C1578" s="12">
        <v>11.669231</v>
      </c>
      <c r="D1578" s="12"/>
    </row>
    <row r="1579" spans="1:4" ht="14.25" customHeight="1" x14ac:dyDescent="0.25">
      <c r="A1579" s="12">
        <v>2454613.4623699998</v>
      </c>
      <c r="B1579" s="12" t="s">
        <v>2288</v>
      </c>
      <c r="C1579" s="12">
        <v>11.4</v>
      </c>
      <c r="D1579" s="12"/>
    </row>
    <row r="1580" spans="1:4" ht="14.25" customHeight="1" x14ac:dyDescent="0.25">
      <c r="A1580" s="12">
        <v>2454627.1803600001</v>
      </c>
      <c r="B1580" s="12" t="s">
        <v>474</v>
      </c>
      <c r="C1580" s="12">
        <v>11.656409999999999</v>
      </c>
      <c r="D1580" s="12"/>
    </row>
    <row r="1581" spans="1:4" ht="14.25" customHeight="1" x14ac:dyDescent="0.25">
      <c r="A1581" s="12">
        <v>2454644.9145800001</v>
      </c>
      <c r="B1581" s="12" t="s">
        <v>2289</v>
      </c>
      <c r="C1581" s="12">
        <v>11.378182000000001</v>
      </c>
      <c r="D1581" s="12"/>
    </row>
    <row r="1582" spans="1:4" ht="14.25" customHeight="1" x14ac:dyDescent="0.25">
      <c r="A1582" s="12">
        <v>2454656.6651300001</v>
      </c>
      <c r="B1582" s="12" t="s">
        <v>2290</v>
      </c>
      <c r="C1582" s="12">
        <v>11.458974</v>
      </c>
      <c r="D1582" s="12"/>
    </row>
    <row r="1583" spans="1:4" ht="14.25" customHeight="1" x14ac:dyDescent="0.25">
      <c r="A1583" s="12">
        <v>2454674.8700899999</v>
      </c>
      <c r="B1583" s="12" t="s">
        <v>2291</v>
      </c>
      <c r="C1583" s="12">
        <v>11.551470999999999</v>
      </c>
      <c r="D1583" s="12"/>
    </row>
    <row r="1584" spans="1:4" ht="14.25" customHeight="1" x14ac:dyDescent="0.25">
      <c r="A1584" s="12">
        <v>2454688.6908900002</v>
      </c>
      <c r="B1584" s="12" t="s">
        <v>2292</v>
      </c>
      <c r="C1584" s="12">
        <v>11.119230999999999</v>
      </c>
      <c r="D1584" s="12"/>
    </row>
    <row r="1585" spans="1:4" ht="14.25" customHeight="1" x14ac:dyDescent="0.25">
      <c r="A1585" s="12">
        <v>2454705.8665700001</v>
      </c>
      <c r="B1585" s="12" t="s">
        <v>2293</v>
      </c>
      <c r="C1585" s="12">
        <v>11.097059</v>
      </c>
      <c r="D1585" s="12"/>
    </row>
    <row r="1586" spans="1:4" ht="14.25" customHeight="1" x14ac:dyDescent="0.25">
      <c r="A1586" s="12">
        <v>2454718.34577</v>
      </c>
      <c r="B1586" s="12" t="s">
        <v>479</v>
      </c>
      <c r="C1586" s="12">
        <v>11.104444000000001</v>
      </c>
      <c r="D1586" s="12"/>
    </row>
    <row r="1587" spans="1:4" ht="14.25" customHeight="1" x14ac:dyDescent="0.25">
      <c r="A1587" s="12">
        <v>2454733.7933200002</v>
      </c>
      <c r="B1587" s="12" t="s">
        <v>2294</v>
      </c>
      <c r="C1587" s="12">
        <v>10.963462</v>
      </c>
      <c r="D1587" s="12"/>
    </row>
    <row r="1588" spans="1:4" ht="14.25" customHeight="1" x14ac:dyDescent="0.25">
      <c r="A1588" s="12">
        <v>2454750.1851599999</v>
      </c>
      <c r="B1588" s="12" t="s">
        <v>2295</v>
      </c>
      <c r="C1588" s="12">
        <v>11.015152</v>
      </c>
      <c r="D1588" s="12"/>
    </row>
    <row r="1589" spans="1:4" ht="14.25" customHeight="1" x14ac:dyDescent="0.25">
      <c r="A1589" s="12">
        <v>2454764.7261600001</v>
      </c>
      <c r="B1589" s="12" t="s">
        <v>2296</v>
      </c>
      <c r="C1589" s="12">
        <v>11.144828</v>
      </c>
      <c r="D1589" s="12"/>
    </row>
    <row r="1590" spans="1:4" ht="14.25" customHeight="1" x14ac:dyDescent="0.25">
      <c r="A1590" s="12">
        <v>2454780.9440600001</v>
      </c>
      <c r="B1590" s="12" t="s">
        <v>2297</v>
      </c>
      <c r="C1590" s="12">
        <v>11</v>
      </c>
      <c r="D1590" s="12"/>
    </row>
    <row r="1591" spans="1:4" ht="14.25" customHeight="1" x14ac:dyDescent="0.25">
      <c r="A1591" s="12">
        <v>2454791.9106299998</v>
      </c>
      <c r="B1591" s="12" t="s">
        <v>2298</v>
      </c>
      <c r="C1591" s="12">
        <v>10.933332999999999</v>
      </c>
      <c r="D1591" s="12"/>
    </row>
    <row r="1592" spans="1:4" ht="14.25" customHeight="1" x14ac:dyDescent="0.25">
      <c r="A1592" s="12">
        <v>2454843.0079000001</v>
      </c>
      <c r="B1592" s="12" t="s">
        <v>2299</v>
      </c>
      <c r="C1592" s="12">
        <v>11.12</v>
      </c>
      <c r="D1592" s="12"/>
    </row>
    <row r="1593" spans="1:4" ht="14.25" customHeight="1" x14ac:dyDescent="0.25">
      <c r="A1593" s="12">
        <v>2454856.0540300002</v>
      </c>
      <c r="B1593" s="12" t="s">
        <v>2300</v>
      </c>
      <c r="C1593" s="12">
        <v>11.05</v>
      </c>
      <c r="D1593" s="12"/>
    </row>
    <row r="1594" spans="1:4" ht="14.25" customHeight="1" x14ac:dyDescent="0.25">
      <c r="A1594" s="12">
        <v>2454876.2854599999</v>
      </c>
      <c r="B1594" s="12" t="s">
        <v>2301</v>
      </c>
      <c r="C1594" s="12">
        <v>10.99375</v>
      </c>
      <c r="D1594" s="12"/>
    </row>
    <row r="1595" spans="1:4" ht="14.25" customHeight="1" x14ac:dyDescent="0.25">
      <c r="A1595" s="12">
        <v>2454890.7538200002</v>
      </c>
      <c r="B1595" s="12" t="s">
        <v>2302</v>
      </c>
      <c r="C1595" s="12">
        <v>11.105881999999999</v>
      </c>
      <c r="D1595" s="12"/>
    </row>
    <row r="1596" spans="1:4" ht="14.25" customHeight="1" x14ac:dyDescent="0.25">
      <c r="A1596" s="12">
        <v>2454906.9413800002</v>
      </c>
      <c r="B1596" s="12" t="s">
        <v>2303</v>
      </c>
      <c r="C1596" s="12">
        <v>11.1</v>
      </c>
      <c r="D1596" s="12"/>
    </row>
    <row r="1597" spans="1:4" ht="14.25" customHeight="1" x14ac:dyDescent="0.25">
      <c r="A1597" s="12">
        <v>2454921.65594</v>
      </c>
      <c r="B1597" s="12" t="s">
        <v>2304</v>
      </c>
      <c r="C1597" s="12">
        <v>11.062068999999999</v>
      </c>
      <c r="D1597" s="12"/>
    </row>
    <row r="1598" spans="1:4" ht="14.25" customHeight="1" x14ac:dyDescent="0.25">
      <c r="A1598" s="12">
        <v>2454939.13925</v>
      </c>
      <c r="B1598" s="12" t="s">
        <v>2305</v>
      </c>
      <c r="C1598" s="12">
        <v>11.2</v>
      </c>
      <c r="D1598" s="12"/>
    </row>
    <row r="1599" spans="1:4" ht="14.25" customHeight="1" x14ac:dyDescent="0.25">
      <c r="A1599" s="12">
        <v>2454951.8054800001</v>
      </c>
      <c r="B1599" s="12" t="s">
        <v>2306</v>
      </c>
      <c r="C1599" s="12">
        <v>11.090909</v>
      </c>
      <c r="D1599" s="12"/>
    </row>
    <row r="1600" spans="1:4" ht="14.25" customHeight="1" x14ac:dyDescent="0.25">
      <c r="A1600" s="12">
        <v>2454969.5802600002</v>
      </c>
      <c r="B1600" s="12" t="s">
        <v>2307</v>
      </c>
      <c r="C1600" s="12">
        <v>11.066667000000001</v>
      </c>
      <c r="D1600" s="12"/>
    </row>
    <row r="1601" spans="1:4" ht="14.25" customHeight="1" x14ac:dyDescent="0.25">
      <c r="A1601" s="12">
        <v>2454982.4436400002</v>
      </c>
      <c r="B1601" s="12" t="s">
        <v>2308</v>
      </c>
      <c r="C1601" s="12">
        <v>11.148</v>
      </c>
      <c r="D1601" s="12"/>
    </row>
    <row r="1602" spans="1:4" ht="14.25" customHeight="1" x14ac:dyDescent="0.25">
      <c r="A1602" s="12">
        <v>2454999.6408799998</v>
      </c>
      <c r="B1602" s="12" t="s">
        <v>2309</v>
      </c>
      <c r="C1602" s="12">
        <v>11.058462</v>
      </c>
      <c r="D1602" s="12"/>
    </row>
    <row r="1603" spans="1:4" ht="14.25" customHeight="1" x14ac:dyDescent="0.25">
      <c r="A1603" s="12">
        <v>2455012.6019000001</v>
      </c>
      <c r="B1603" s="12" t="s">
        <v>2310</v>
      </c>
      <c r="C1603" s="12">
        <v>11.056364</v>
      </c>
      <c r="D1603" s="12"/>
    </row>
    <row r="1604" spans="1:4" ht="14.25" customHeight="1" x14ac:dyDescent="0.25">
      <c r="A1604" s="12">
        <v>2455028.4879299998</v>
      </c>
      <c r="B1604" s="12" t="s">
        <v>2311</v>
      </c>
      <c r="C1604" s="12">
        <v>11.222892</v>
      </c>
      <c r="D1604" s="12"/>
    </row>
    <row r="1605" spans="1:4" ht="14.25" customHeight="1" x14ac:dyDescent="0.25">
      <c r="A1605" s="12">
        <v>2455043.1332100001</v>
      </c>
      <c r="B1605" s="12" t="s">
        <v>2312</v>
      </c>
      <c r="C1605" s="12">
        <v>10.785</v>
      </c>
      <c r="D1605" s="12"/>
    </row>
    <row r="1606" spans="1:4" ht="14.25" customHeight="1" x14ac:dyDescent="0.25">
      <c r="A1606" s="12">
        <v>2455060.5735800001</v>
      </c>
      <c r="B1606" s="12" t="s">
        <v>2313</v>
      </c>
      <c r="C1606" s="12">
        <v>10.737500000000001</v>
      </c>
      <c r="D1606" s="12"/>
    </row>
    <row r="1607" spans="1:4" ht="14.25" customHeight="1" x14ac:dyDescent="0.25">
      <c r="A1607" s="12">
        <v>2455073.8169</v>
      </c>
      <c r="B1607" s="12" t="s">
        <v>2314</v>
      </c>
      <c r="C1607" s="12">
        <v>10.716154</v>
      </c>
      <c r="D1607" s="12"/>
    </row>
    <row r="1608" spans="1:4" ht="14.25" customHeight="1" x14ac:dyDescent="0.25">
      <c r="A1608" s="12">
        <v>2455089.1305999998</v>
      </c>
      <c r="B1608" s="12" t="s">
        <v>2315</v>
      </c>
      <c r="C1608" s="12">
        <v>10.788888999999999</v>
      </c>
      <c r="D1608" s="12"/>
    </row>
    <row r="1609" spans="1:4" ht="14.25" customHeight="1" x14ac:dyDescent="0.25">
      <c r="A1609" s="12">
        <v>2455104.0246700002</v>
      </c>
      <c r="B1609" s="12" t="s">
        <v>2316</v>
      </c>
      <c r="C1609" s="12">
        <v>10.87931</v>
      </c>
      <c r="D1609" s="12"/>
    </row>
    <row r="1610" spans="1:4" ht="14.25" customHeight="1" x14ac:dyDescent="0.25">
      <c r="A1610" s="12">
        <v>2455118.8481399999</v>
      </c>
      <c r="B1610" s="12" t="s">
        <v>2317</v>
      </c>
      <c r="C1610" s="12">
        <v>11.019736999999999</v>
      </c>
      <c r="D1610" s="12"/>
    </row>
    <row r="1611" spans="1:4" ht="14.25" customHeight="1" x14ac:dyDescent="0.25">
      <c r="A1611" s="12">
        <v>2455133.3769899998</v>
      </c>
      <c r="B1611" s="12" t="s">
        <v>2318</v>
      </c>
      <c r="C1611" s="12">
        <v>11.13</v>
      </c>
      <c r="D1611" s="12"/>
    </row>
    <row r="1612" spans="1:4" ht="14.25" customHeight="1" x14ac:dyDescent="0.25">
      <c r="A1612" s="12">
        <v>2455148.0223500002</v>
      </c>
      <c r="B1612" s="12" t="s">
        <v>506</v>
      </c>
      <c r="C1612" s="12">
        <v>11</v>
      </c>
      <c r="D1612" s="12"/>
    </row>
    <row r="1613" spans="1:4" ht="14.25" customHeight="1" x14ac:dyDescent="0.25">
      <c r="A1613" s="12">
        <v>2455164.21441</v>
      </c>
      <c r="B1613" s="12" t="s">
        <v>2319</v>
      </c>
      <c r="C1613" s="12">
        <v>10.95</v>
      </c>
      <c r="D1613" s="12"/>
    </row>
    <row r="1614" spans="1:4" ht="14.25" customHeight="1" x14ac:dyDescent="0.25">
      <c r="A1614" s="12">
        <v>2455214.0144000002</v>
      </c>
      <c r="B1614" s="12" t="s">
        <v>2320</v>
      </c>
      <c r="C1614" s="12">
        <v>10.785714</v>
      </c>
      <c r="D1614" s="12"/>
    </row>
    <row r="1615" spans="1:4" ht="14.25" customHeight="1" x14ac:dyDescent="0.25">
      <c r="A1615" s="12">
        <v>2455226.6952999998</v>
      </c>
      <c r="B1615" s="12" t="s">
        <v>2321</v>
      </c>
      <c r="C1615" s="12">
        <v>10.95</v>
      </c>
      <c r="D1615" s="12"/>
    </row>
    <row r="1616" spans="1:4" ht="14.25" customHeight="1" x14ac:dyDescent="0.25">
      <c r="A1616" s="12">
        <v>2455244.5528899999</v>
      </c>
      <c r="B1616" s="12" t="s">
        <v>2322</v>
      </c>
      <c r="C1616" s="12">
        <v>10.813333</v>
      </c>
      <c r="D1616" s="12"/>
    </row>
    <row r="1617" spans="1:4" ht="14.25" customHeight="1" x14ac:dyDescent="0.25">
      <c r="A1617" s="12">
        <v>2455262.13484</v>
      </c>
      <c r="B1617" s="12" t="s">
        <v>2323</v>
      </c>
      <c r="C1617" s="12">
        <v>10.8375</v>
      </c>
      <c r="D1617" s="12"/>
    </row>
    <row r="1618" spans="1:4" ht="14.25" customHeight="1" x14ac:dyDescent="0.25">
      <c r="A1618" s="12">
        <v>2455276.1926899999</v>
      </c>
      <c r="B1618" s="12" t="s">
        <v>2324</v>
      </c>
      <c r="C1618" s="12">
        <v>10.892856999999999</v>
      </c>
      <c r="D1618" s="12"/>
    </row>
    <row r="1619" spans="1:4" ht="14.25" customHeight="1" x14ac:dyDescent="0.25">
      <c r="A1619" s="12">
        <v>2455294.3243</v>
      </c>
      <c r="B1619" s="12" t="s">
        <v>2325</v>
      </c>
      <c r="C1619" s="12">
        <v>10.966666999999999</v>
      </c>
      <c r="D1619" s="12"/>
    </row>
    <row r="1620" spans="1:4" ht="14.25" customHeight="1" x14ac:dyDescent="0.25">
      <c r="A1620" s="12">
        <v>2455307.1041299999</v>
      </c>
      <c r="B1620" s="12" t="s">
        <v>2326</v>
      </c>
      <c r="C1620" s="12">
        <v>10.878</v>
      </c>
      <c r="D1620" s="12"/>
    </row>
    <row r="1621" spans="1:4" ht="14.25" customHeight="1" x14ac:dyDescent="0.25">
      <c r="A1621" s="12">
        <v>2455325.2840200001</v>
      </c>
      <c r="B1621" s="12" t="s">
        <v>2327</v>
      </c>
      <c r="C1621" s="12">
        <v>10.918749999999999</v>
      </c>
      <c r="D1621" s="12"/>
    </row>
    <row r="1622" spans="1:4" ht="14.25" customHeight="1" x14ac:dyDescent="0.25">
      <c r="A1622" s="12">
        <v>2455337.5204500002</v>
      </c>
      <c r="B1622" s="12" t="s">
        <v>2328</v>
      </c>
      <c r="C1622" s="12">
        <v>11.046154</v>
      </c>
      <c r="D1622" s="12"/>
    </row>
    <row r="1623" spans="1:4" ht="14.25" customHeight="1" x14ac:dyDescent="0.25">
      <c r="A1623" s="12">
        <v>2455355.0590599999</v>
      </c>
      <c r="B1623" s="12" t="s">
        <v>2329</v>
      </c>
      <c r="C1623" s="12">
        <v>11.013332999999999</v>
      </c>
      <c r="D1623" s="12"/>
    </row>
    <row r="1624" spans="1:4" ht="14.25" customHeight="1" x14ac:dyDescent="0.25">
      <c r="A1624" s="12">
        <v>2455368.5281099998</v>
      </c>
      <c r="B1624" s="12" t="s">
        <v>2330</v>
      </c>
      <c r="C1624" s="12">
        <v>10.946341</v>
      </c>
      <c r="D1624" s="12"/>
    </row>
    <row r="1625" spans="1:4" ht="14.25" customHeight="1" x14ac:dyDescent="0.25">
      <c r="A1625" s="12">
        <v>2455385.5328099998</v>
      </c>
      <c r="B1625" s="12" t="s">
        <v>2331</v>
      </c>
      <c r="C1625" s="12">
        <v>11</v>
      </c>
      <c r="D1625" s="12"/>
    </row>
    <row r="1626" spans="1:4" ht="14.25" customHeight="1" x14ac:dyDescent="0.25">
      <c r="A1626" s="12">
        <v>2455398.2043599999</v>
      </c>
      <c r="B1626" s="12" t="s">
        <v>2332</v>
      </c>
      <c r="C1626" s="12">
        <v>10.935135000000001</v>
      </c>
      <c r="D1626" s="12"/>
    </row>
    <row r="1627" spans="1:4" ht="14.25" customHeight="1" x14ac:dyDescent="0.25">
      <c r="A1627" s="12">
        <v>2455415.5989299999</v>
      </c>
      <c r="B1627" s="12" t="s">
        <v>2333</v>
      </c>
      <c r="C1627" s="12">
        <v>11.028124999999999</v>
      </c>
      <c r="D1627" s="12"/>
    </row>
    <row r="1628" spans="1:4" ht="14.25" customHeight="1" x14ac:dyDescent="0.25">
      <c r="A1628" s="12">
        <v>2455431.0911300001</v>
      </c>
      <c r="B1628" s="12" t="s">
        <v>2334</v>
      </c>
      <c r="C1628" s="12">
        <v>10.907406999999999</v>
      </c>
      <c r="D1628" s="12"/>
    </row>
    <row r="1629" spans="1:4" ht="14.25" customHeight="1" x14ac:dyDescent="0.25">
      <c r="A1629" s="12">
        <v>2455445.34809</v>
      </c>
      <c r="B1629" s="12" t="s">
        <v>2335</v>
      </c>
      <c r="C1629" s="12">
        <v>10.878667</v>
      </c>
      <c r="D1629" s="12"/>
    </row>
    <row r="1630" spans="1:4" ht="14.25" customHeight="1" x14ac:dyDescent="0.25">
      <c r="A1630" s="12">
        <v>2455459.2103400002</v>
      </c>
      <c r="B1630" s="12" t="s">
        <v>2336</v>
      </c>
      <c r="C1630" s="12">
        <v>10.961111000000001</v>
      </c>
      <c r="D1630" s="12"/>
    </row>
    <row r="1631" spans="1:4" ht="14.25" customHeight="1" x14ac:dyDescent="0.25">
      <c r="A1631" s="12">
        <v>2455477.3214199999</v>
      </c>
      <c r="B1631" s="12" t="s">
        <v>2337</v>
      </c>
      <c r="C1631" s="12">
        <v>10.977778000000001</v>
      </c>
      <c r="D1631" s="12"/>
    </row>
    <row r="1632" spans="1:4" ht="14.25" customHeight="1" x14ac:dyDescent="0.25">
      <c r="A1632" s="12">
        <v>2455490.7127399999</v>
      </c>
      <c r="B1632" s="12" t="s">
        <v>2338</v>
      </c>
      <c r="C1632" s="12">
        <v>10.975</v>
      </c>
      <c r="D1632" s="12"/>
    </row>
    <row r="1633" spans="1:4" ht="14.25" customHeight="1" x14ac:dyDescent="0.25">
      <c r="A1633" s="12">
        <v>2455508.1354899998</v>
      </c>
      <c r="B1633" s="12" t="s">
        <v>2339</v>
      </c>
      <c r="C1633" s="12">
        <v>10.905556000000001</v>
      </c>
      <c r="D1633" s="12"/>
    </row>
    <row r="1634" spans="1:4" ht="14.25" customHeight="1" x14ac:dyDescent="0.25">
      <c r="A1634" s="12">
        <v>2455516.23435</v>
      </c>
      <c r="B1634" s="12" t="s">
        <v>2340</v>
      </c>
      <c r="C1634" s="12">
        <v>10.9</v>
      </c>
      <c r="D1634" s="12"/>
    </row>
    <row r="1635" spans="1:4" ht="14.25" customHeight="1" x14ac:dyDescent="0.25">
      <c r="A1635" s="12">
        <v>2455578.3182299999</v>
      </c>
      <c r="B1635" s="12" t="s">
        <v>2341</v>
      </c>
      <c r="C1635" s="12">
        <v>11.3</v>
      </c>
      <c r="D1635" s="12"/>
    </row>
    <row r="1636" spans="1:4" ht="14.25" customHeight="1" x14ac:dyDescent="0.25">
      <c r="A1636" s="12">
        <v>2455593.9111100002</v>
      </c>
      <c r="B1636" s="12" t="s">
        <v>2342</v>
      </c>
      <c r="C1636" s="12">
        <v>11.1</v>
      </c>
      <c r="D1636" s="12"/>
    </row>
    <row r="1637" spans="1:4" ht="14.25" customHeight="1" x14ac:dyDescent="0.25">
      <c r="A1637" s="12">
        <v>2455607.5986100002</v>
      </c>
      <c r="B1637" s="12" t="s">
        <v>2343</v>
      </c>
      <c r="C1637" s="12">
        <v>11.125</v>
      </c>
      <c r="D1637" s="12"/>
    </row>
    <row r="1638" spans="1:4" ht="14.25" customHeight="1" x14ac:dyDescent="0.25">
      <c r="A1638" s="12">
        <v>2455626.6367700002</v>
      </c>
      <c r="B1638" s="12" t="s">
        <v>2344</v>
      </c>
      <c r="C1638" s="12">
        <v>11.2</v>
      </c>
      <c r="D1638" s="12"/>
    </row>
    <row r="1639" spans="1:4" ht="14.25" customHeight="1" x14ac:dyDescent="0.25">
      <c r="A1639" s="12">
        <v>2455640.7745099999</v>
      </c>
      <c r="B1639" s="12" t="s">
        <v>2345</v>
      </c>
      <c r="C1639" s="12">
        <v>11.192308000000001</v>
      </c>
      <c r="D1639" s="12"/>
    </row>
    <row r="1640" spans="1:4" ht="14.25" customHeight="1" x14ac:dyDescent="0.25">
      <c r="A1640" s="12">
        <v>2455657.9722699998</v>
      </c>
      <c r="B1640" s="12" t="s">
        <v>2346</v>
      </c>
      <c r="C1640" s="12">
        <v>11.052381</v>
      </c>
      <c r="D1640" s="12"/>
    </row>
    <row r="1641" spans="1:4" ht="14.25" customHeight="1" x14ac:dyDescent="0.25">
      <c r="A1641" s="12">
        <v>2455674.8303100001</v>
      </c>
      <c r="B1641" s="12" t="s">
        <v>2347</v>
      </c>
      <c r="C1641" s="12">
        <v>10.977778000000001</v>
      </c>
      <c r="D1641" s="12"/>
    </row>
    <row r="1642" spans="1:4" ht="14.25" customHeight="1" x14ac:dyDescent="0.25">
      <c r="A1642" s="12">
        <v>2455686.8342499998</v>
      </c>
      <c r="B1642" s="12" t="s">
        <v>2348</v>
      </c>
      <c r="C1642" s="12">
        <v>11.108696</v>
      </c>
      <c r="D1642" s="12"/>
    </row>
    <row r="1643" spans="1:4" ht="14.25" customHeight="1" x14ac:dyDescent="0.25">
      <c r="A1643" s="12">
        <v>2455706.2141700001</v>
      </c>
      <c r="B1643" s="12" t="s">
        <v>2349</v>
      </c>
      <c r="C1643" s="12">
        <v>11.184848000000001</v>
      </c>
      <c r="D1643" s="12"/>
    </row>
    <row r="1644" spans="1:4" ht="14.25" customHeight="1" x14ac:dyDescent="0.25">
      <c r="A1644" s="12">
        <v>2455717.6744599999</v>
      </c>
      <c r="B1644" s="12" t="s">
        <v>2350</v>
      </c>
      <c r="C1644" s="12">
        <v>11.378049000000001</v>
      </c>
      <c r="D1644" s="12"/>
    </row>
    <row r="1645" spans="1:4" ht="14.25" customHeight="1" x14ac:dyDescent="0.25">
      <c r="A1645" s="12">
        <v>2455736.5518800002</v>
      </c>
      <c r="B1645" s="12" t="s">
        <v>2351</v>
      </c>
      <c r="C1645" s="12">
        <v>11.320833</v>
      </c>
      <c r="D1645" s="12"/>
    </row>
    <row r="1646" spans="1:4" ht="14.25" customHeight="1" x14ac:dyDescent="0.25">
      <c r="A1646" s="12">
        <v>2455749.3151600002</v>
      </c>
      <c r="B1646" s="12" t="s">
        <v>559</v>
      </c>
      <c r="C1646" s="12">
        <v>11.144118000000001</v>
      </c>
      <c r="D1646" s="12"/>
    </row>
    <row r="1647" spans="1:4" ht="14.25" customHeight="1" x14ac:dyDescent="0.25">
      <c r="A1647" s="12">
        <v>2455767.1154999998</v>
      </c>
      <c r="B1647" s="12" t="s">
        <v>2352</v>
      </c>
      <c r="C1647" s="12">
        <v>11.196809</v>
      </c>
      <c r="D1647" s="12"/>
    </row>
    <row r="1648" spans="1:4" ht="14.25" customHeight="1" x14ac:dyDescent="0.25">
      <c r="A1648" s="12">
        <v>2455779.5204400001</v>
      </c>
      <c r="B1648" s="12" t="s">
        <v>2353</v>
      </c>
      <c r="C1648" s="12">
        <v>11.323256000000001</v>
      </c>
      <c r="D1648" s="12"/>
    </row>
    <row r="1649" spans="1:4" ht="14.25" customHeight="1" x14ac:dyDescent="0.25">
      <c r="A1649" s="12">
        <v>2455796.1171800001</v>
      </c>
      <c r="B1649" s="12" t="s">
        <v>575</v>
      </c>
      <c r="C1649" s="12">
        <v>11.162329</v>
      </c>
      <c r="D1649" s="12"/>
    </row>
    <row r="1650" spans="1:4" ht="14.25" customHeight="1" x14ac:dyDescent="0.25">
      <c r="A1650" s="12">
        <v>2455811.7651499999</v>
      </c>
      <c r="B1650" s="12" t="s">
        <v>2354</v>
      </c>
      <c r="C1650" s="12">
        <v>11.124444</v>
      </c>
      <c r="D1650" s="12"/>
    </row>
    <row r="1651" spans="1:4" ht="14.25" customHeight="1" x14ac:dyDescent="0.25">
      <c r="A1651" s="12">
        <v>2455827.0948100002</v>
      </c>
      <c r="B1651" s="12" t="s">
        <v>2355</v>
      </c>
      <c r="C1651" s="12">
        <v>11.110714</v>
      </c>
      <c r="D1651" s="12"/>
    </row>
    <row r="1652" spans="1:4" ht="14.25" customHeight="1" x14ac:dyDescent="0.25">
      <c r="A1652" s="12">
        <v>2455841.1769900001</v>
      </c>
      <c r="B1652" s="12" t="s">
        <v>2356</v>
      </c>
      <c r="C1652" s="12">
        <v>11.169048</v>
      </c>
      <c r="D1652" s="12"/>
    </row>
    <row r="1653" spans="1:4" ht="14.25" customHeight="1" x14ac:dyDescent="0.25">
      <c r="A1653" s="12">
        <v>2455857.8683000002</v>
      </c>
      <c r="B1653" s="12" t="s">
        <v>162</v>
      </c>
      <c r="C1653" s="12">
        <v>11.326471</v>
      </c>
      <c r="D1653" s="12"/>
    </row>
    <row r="1654" spans="1:4" ht="14.25" customHeight="1" x14ac:dyDescent="0.25">
      <c r="A1654" s="12">
        <v>2455870.43004</v>
      </c>
      <c r="B1654" s="12" t="s">
        <v>581</v>
      </c>
      <c r="C1654" s="12">
        <v>11.1875</v>
      </c>
      <c r="D1654" s="12"/>
    </row>
    <row r="1655" spans="1:4" ht="14.25" customHeight="1" x14ac:dyDescent="0.25">
      <c r="A1655" s="12">
        <v>2455893.2340000002</v>
      </c>
      <c r="B1655" s="12" t="s">
        <v>2357</v>
      </c>
      <c r="C1655" s="12">
        <v>11.3</v>
      </c>
      <c r="D1655" s="12"/>
    </row>
    <row r="1656" spans="1:4" ht="14.25" customHeight="1" x14ac:dyDescent="0.25">
      <c r="A1656" s="12">
        <v>2455944.4639099999</v>
      </c>
      <c r="B1656" s="12" t="s">
        <v>582</v>
      </c>
      <c r="C1656" s="12">
        <v>11.614286</v>
      </c>
      <c r="D1656" s="12"/>
    </row>
    <row r="1657" spans="1:4" ht="14.25" customHeight="1" x14ac:dyDescent="0.25">
      <c r="A1657" s="12">
        <v>2455960.3475700002</v>
      </c>
      <c r="B1657" s="12" t="s">
        <v>2358</v>
      </c>
      <c r="C1657" s="12">
        <v>11.45</v>
      </c>
      <c r="D1657" s="12"/>
    </row>
    <row r="1658" spans="1:4" ht="14.25" customHeight="1" x14ac:dyDescent="0.25">
      <c r="A1658" s="12">
        <v>2455980.3316500001</v>
      </c>
      <c r="B1658" s="12" t="s">
        <v>2359</v>
      </c>
      <c r="C1658" s="12">
        <v>11.385714</v>
      </c>
      <c r="D1658" s="12"/>
    </row>
    <row r="1659" spans="1:4" ht="14.25" customHeight="1" x14ac:dyDescent="0.25">
      <c r="A1659" s="12">
        <v>2456000.66132</v>
      </c>
      <c r="B1659" s="12" t="s">
        <v>2360</v>
      </c>
      <c r="C1659" s="12">
        <v>11.37</v>
      </c>
      <c r="D1659" s="12"/>
    </row>
    <row r="1660" spans="1:4" ht="14.25" customHeight="1" x14ac:dyDescent="0.25">
      <c r="A1660" s="12">
        <v>2456013.7461799998</v>
      </c>
      <c r="B1660" s="12" t="s">
        <v>2361</v>
      </c>
      <c r="C1660" s="12">
        <v>11.129412</v>
      </c>
      <c r="D1660" s="12"/>
    </row>
    <row r="1661" spans="1:4" ht="14.25" customHeight="1" x14ac:dyDescent="0.25">
      <c r="A1661" s="12">
        <v>2456033.1140899998</v>
      </c>
      <c r="B1661" s="12" t="s">
        <v>164</v>
      </c>
      <c r="C1661" s="12">
        <v>11.092857</v>
      </c>
      <c r="D1661" s="12"/>
    </row>
    <row r="1662" spans="1:4" ht="14.25" customHeight="1" x14ac:dyDescent="0.25">
      <c r="A1662" s="12">
        <v>2456046.0629400001</v>
      </c>
      <c r="B1662" s="12" t="s">
        <v>2362</v>
      </c>
      <c r="C1662" s="12">
        <v>11.566667000000001</v>
      </c>
      <c r="D1662" s="12"/>
    </row>
    <row r="1663" spans="1:4" ht="14.25" customHeight="1" x14ac:dyDescent="0.25">
      <c r="A1663" s="12">
        <v>2456064.3166700001</v>
      </c>
      <c r="B1663" s="12" t="s">
        <v>2363</v>
      </c>
      <c r="C1663" s="12">
        <v>11.331250000000001</v>
      </c>
      <c r="D1663" s="12"/>
    </row>
    <row r="1664" spans="1:4" ht="14.25" customHeight="1" x14ac:dyDescent="0.25">
      <c r="A1664" s="12">
        <v>2456077.7575599998</v>
      </c>
      <c r="B1664" s="12" t="s">
        <v>2364</v>
      </c>
      <c r="C1664" s="12">
        <v>11.332000000000001</v>
      </c>
      <c r="D1664" s="12"/>
    </row>
    <row r="1665" spans="1:4" ht="14.25" customHeight="1" x14ac:dyDescent="0.25">
      <c r="A1665" s="12">
        <v>2456096.7302799998</v>
      </c>
      <c r="B1665" s="12" t="s">
        <v>626</v>
      </c>
      <c r="C1665" s="12">
        <v>11.475</v>
      </c>
      <c r="D1665" s="12"/>
    </row>
    <row r="1666" spans="1:4" ht="14.25" customHeight="1" x14ac:dyDescent="0.25">
      <c r="A1666" s="12">
        <v>2456110.8976699999</v>
      </c>
      <c r="B1666" s="12" t="s">
        <v>632</v>
      </c>
      <c r="C1666" s="12">
        <v>11.462903000000001</v>
      </c>
      <c r="D1666" s="12"/>
    </row>
    <row r="1667" spans="1:4" ht="14.25" customHeight="1" x14ac:dyDescent="0.25">
      <c r="A1667" s="12">
        <v>2456128.1923699998</v>
      </c>
      <c r="B1667" s="12" t="s">
        <v>637</v>
      </c>
      <c r="C1667" s="12">
        <v>11.545833</v>
      </c>
      <c r="D1667" s="12"/>
    </row>
    <row r="1668" spans="1:4" ht="14.25" customHeight="1" x14ac:dyDescent="0.25">
      <c r="A1668" s="12">
        <v>2456142.5696800002</v>
      </c>
      <c r="B1668" s="12" t="s">
        <v>2365</v>
      </c>
      <c r="C1668" s="12">
        <v>11.585713999999999</v>
      </c>
      <c r="D1668" s="12"/>
    </row>
    <row r="1669" spans="1:4" ht="14.25" customHeight="1" x14ac:dyDescent="0.25">
      <c r="A1669" s="12">
        <v>2456156.9346799999</v>
      </c>
      <c r="B1669" s="12" t="s">
        <v>2366</v>
      </c>
      <c r="C1669" s="12">
        <v>11.634247</v>
      </c>
      <c r="D1669" s="12"/>
    </row>
    <row r="1670" spans="1:4" ht="14.25" customHeight="1" x14ac:dyDescent="0.25">
      <c r="A1670" s="12">
        <v>2456173.0716800001</v>
      </c>
      <c r="B1670" s="12" t="s">
        <v>2367</v>
      </c>
      <c r="C1670" s="12">
        <v>11.7</v>
      </c>
      <c r="D1670" s="12"/>
    </row>
    <row r="1671" spans="1:4" ht="14.25" customHeight="1" x14ac:dyDescent="0.25">
      <c r="A1671" s="12">
        <v>2456186.4920199998</v>
      </c>
      <c r="B1671" s="12" t="s">
        <v>2368</v>
      </c>
      <c r="C1671" s="12">
        <v>11.643547999999999</v>
      </c>
      <c r="D1671" s="12"/>
    </row>
    <row r="1672" spans="1:4" ht="14.25" customHeight="1" x14ac:dyDescent="0.25">
      <c r="A1672" s="12">
        <v>2456203.23716</v>
      </c>
      <c r="B1672" s="12" t="s">
        <v>652</v>
      </c>
      <c r="C1672" s="12">
        <v>11.531817999999999</v>
      </c>
      <c r="D1672" s="12"/>
    </row>
    <row r="1673" spans="1:4" ht="14.25" customHeight="1" x14ac:dyDescent="0.25">
      <c r="A1673" s="12">
        <v>2456217.7437300002</v>
      </c>
      <c r="B1673" s="12" t="s">
        <v>2369</v>
      </c>
      <c r="C1673" s="12">
        <v>11.454545</v>
      </c>
      <c r="D1673" s="12"/>
    </row>
    <row r="1674" spans="1:4" ht="14.25" customHeight="1" x14ac:dyDescent="0.25">
      <c r="A1674" s="12">
        <v>2456236.2643900001</v>
      </c>
      <c r="B1674" s="12" t="s">
        <v>2370</v>
      </c>
      <c r="C1674" s="12">
        <v>11.218182000000001</v>
      </c>
      <c r="D1674" s="12"/>
    </row>
    <row r="1675" spans="1:4" ht="14.25" customHeight="1" x14ac:dyDescent="0.25">
      <c r="A1675" s="12">
        <v>2456250.5877399999</v>
      </c>
      <c r="B1675" s="12" t="s">
        <v>2371</v>
      </c>
      <c r="C1675" s="12">
        <v>11.1</v>
      </c>
      <c r="D1675" s="12"/>
    </row>
    <row r="1676" spans="1:4" ht="14.25" customHeight="1" x14ac:dyDescent="0.25">
      <c r="A1676" s="12">
        <v>2456265.2270999998</v>
      </c>
      <c r="B1676" s="12" t="s">
        <v>2372</v>
      </c>
      <c r="C1676" s="12">
        <v>11.1</v>
      </c>
      <c r="D1676" s="12"/>
    </row>
    <row r="1677" spans="1:4" ht="14.25" customHeight="1" x14ac:dyDescent="0.25">
      <c r="A1677" s="12">
        <v>2456313.7647000002</v>
      </c>
      <c r="B1677" s="12" t="s">
        <v>2373</v>
      </c>
      <c r="C1677" s="12">
        <v>11.3375</v>
      </c>
      <c r="D1677" s="12"/>
    </row>
    <row r="1678" spans="1:4" ht="14.25" customHeight="1" x14ac:dyDescent="0.25">
      <c r="A1678" s="12">
        <v>2456326.11002</v>
      </c>
      <c r="B1678" s="12" t="s">
        <v>2374</v>
      </c>
      <c r="C1678" s="12">
        <v>11.4</v>
      </c>
      <c r="D1678" s="12"/>
    </row>
    <row r="1679" spans="1:4" ht="14.25" customHeight="1" x14ac:dyDescent="0.25">
      <c r="A1679" s="12">
        <v>2456342.0193400001</v>
      </c>
      <c r="B1679" s="12" t="s">
        <v>2375</v>
      </c>
      <c r="C1679" s="12">
        <v>11.3</v>
      </c>
      <c r="D1679" s="12"/>
    </row>
    <row r="1680" spans="1:4" ht="14.25" customHeight="1" x14ac:dyDescent="0.25">
      <c r="A1680" s="12">
        <v>2456362.6491800002</v>
      </c>
      <c r="B1680" s="12" t="s">
        <v>2376</v>
      </c>
      <c r="C1680" s="12">
        <v>11.316667000000001</v>
      </c>
      <c r="D1680" s="12"/>
    </row>
    <row r="1681" spans="1:4" ht="14.25" customHeight="1" x14ac:dyDescent="0.25">
      <c r="A1681" s="12">
        <v>2456379.7675299998</v>
      </c>
      <c r="B1681" s="12" t="s">
        <v>2377</v>
      </c>
      <c r="C1681" s="12">
        <v>11.56</v>
      </c>
      <c r="D1681" s="12"/>
    </row>
    <row r="1682" spans="1:4" ht="14.25" customHeight="1" x14ac:dyDescent="0.25">
      <c r="A1682" s="12">
        <v>2456396.9901999999</v>
      </c>
      <c r="B1682" s="12" t="s">
        <v>2378</v>
      </c>
      <c r="C1682" s="12">
        <v>11.63125</v>
      </c>
      <c r="D1682" s="12"/>
    </row>
    <row r="1683" spans="1:4" ht="14.25" customHeight="1" x14ac:dyDescent="0.25">
      <c r="A1683" s="12">
        <v>2456413.0293100001</v>
      </c>
      <c r="B1683" s="12" t="s">
        <v>2379</v>
      </c>
      <c r="C1683" s="12">
        <v>11.46</v>
      </c>
      <c r="D1683" s="12"/>
    </row>
    <row r="1684" spans="1:4" ht="14.25" customHeight="1" x14ac:dyDescent="0.25">
      <c r="A1684" s="12">
        <v>2456425.4208200001</v>
      </c>
      <c r="B1684" s="12" t="s">
        <v>2380</v>
      </c>
      <c r="C1684" s="12">
        <v>11.522221999999999</v>
      </c>
      <c r="D1684" s="12"/>
    </row>
    <row r="1685" spans="1:4" ht="14.25" customHeight="1" x14ac:dyDescent="0.25">
      <c r="A1685" s="12">
        <v>2456445.6631999998</v>
      </c>
      <c r="B1685" s="12" t="s">
        <v>171</v>
      </c>
      <c r="C1685" s="12">
        <v>11.357143000000001</v>
      </c>
      <c r="D1685" s="12"/>
    </row>
    <row r="1686" spans="1:4" ht="14.25" customHeight="1" x14ac:dyDescent="0.25">
      <c r="A1686" s="12">
        <v>2456457.9922000002</v>
      </c>
      <c r="B1686" s="12" t="s">
        <v>688</v>
      </c>
      <c r="C1686" s="12">
        <v>11.448570999999999</v>
      </c>
      <c r="D1686" s="12"/>
    </row>
    <row r="1687" spans="1:4" ht="14.25" customHeight="1" x14ac:dyDescent="0.25">
      <c r="A1687" s="12">
        <v>2456478.43658</v>
      </c>
      <c r="B1687" s="12" t="s">
        <v>2381</v>
      </c>
      <c r="C1687" s="12">
        <v>11.346094000000001</v>
      </c>
      <c r="D1687" s="12"/>
    </row>
    <row r="1688" spans="1:4" ht="14.25" customHeight="1" x14ac:dyDescent="0.25">
      <c r="A1688" s="12">
        <v>2456490.3839500002</v>
      </c>
      <c r="B1688" s="12" t="s">
        <v>172</v>
      </c>
      <c r="C1688" s="12">
        <v>11.321875</v>
      </c>
      <c r="D1688" s="12"/>
    </row>
    <row r="1689" spans="1:4" ht="14.25" customHeight="1" x14ac:dyDescent="0.25">
      <c r="A1689" s="12">
        <v>2456507.12347</v>
      </c>
      <c r="B1689" s="12" t="s">
        <v>173</v>
      </c>
      <c r="C1689" s="12">
        <v>11.357647</v>
      </c>
      <c r="D1689" s="12"/>
    </row>
    <row r="1690" spans="1:4" ht="14.25" customHeight="1" x14ac:dyDescent="0.25">
      <c r="A1690" s="12">
        <v>2456520.92992</v>
      </c>
      <c r="B1690" s="12" t="s">
        <v>2382</v>
      </c>
      <c r="C1690" s="12">
        <v>11.380357</v>
      </c>
      <c r="D1690" s="12"/>
    </row>
    <row r="1691" spans="1:4" ht="14.25" customHeight="1" x14ac:dyDescent="0.25">
      <c r="A1691" s="12">
        <v>2456538.09552</v>
      </c>
      <c r="B1691" s="12" t="s">
        <v>174</v>
      </c>
      <c r="C1691" s="12">
        <v>11.203472</v>
      </c>
      <c r="D1691" s="12"/>
    </row>
    <row r="1692" spans="1:4" ht="14.25" customHeight="1" x14ac:dyDescent="0.25">
      <c r="A1692" s="12">
        <v>2456555.3170599998</v>
      </c>
      <c r="B1692" s="12" t="s">
        <v>2383</v>
      </c>
      <c r="C1692" s="12">
        <v>10.971111000000001</v>
      </c>
      <c r="D1692" s="12"/>
    </row>
    <row r="1693" spans="1:4" ht="14.25" customHeight="1" x14ac:dyDescent="0.25">
      <c r="A1693" s="12">
        <v>2456568.4512999998</v>
      </c>
      <c r="B1693" s="12" t="s">
        <v>722</v>
      </c>
      <c r="C1693" s="12">
        <v>11.007842999999999</v>
      </c>
      <c r="D1693" s="12"/>
    </row>
    <row r="1694" spans="1:4" ht="14.25" customHeight="1" x14ac:dyDescent="0.25">
      <c r="A1694" s="12">
        <v>2456581.36803</v>
      </c>
      <c r="B1694" s="12" t="s">
        <v>2384</v>
      </c>
      <c r="C1694" s="12">
        <v>10.866667</v>
      </c>
      <c r="D1694" s="12"/>
    </row>
    <row r="1695" spans="1:4" ht="14.25" customHeight="1" x14ac:dyDescent="0.25">
      <c r="A1695" s="12">
        <v>2456597.56696</v>
      </c>
      <c r="B1695" s="12" t="s">
        <v>175</v>
      </c>
      <c r="C1695" s="12">
        <v>10.766667</v>
      </c>
      <c r="D1695" s="12"/>
    </row>
    <row r="1696" spans="1:4" ht="14.25" customHeight="1" x14ac:dyDescent="0.25">
      <c r="A1696" s="12">
        <v>2456615.7019000002</v>
      </c>
      <c r="B1696" s="12" t="s">
        <v>2385</v>
      </c>
      <c r="C1696" s="12">
        <v>11.48</v>
      </c>
      <c r="D1696" s="12"/>
    </row>
    <row r="1697" spans="1:4" ht="14.25" customHeight="1" x14ac:dyDescent="0.25">
      <c r="A1697" s="12">
        <v>2456627.3309999998</v>
      </c>
      <c r="B1697" s="12" t="s">
        <v>2386</v>
      </c>
      <c r="C1697" s="12">
        <v>11.25</v>
      </c>
      <c r="D1697" s="12"/>
    </row>
    <row r="1698" spans="1:4" ht="14.25" customHeight="1" x14ac:dyDescent="0.25">
      <c r="A1698" s="12">
        <v>2456667.5279999999</v>
      </c>
      <c r="B1698" s="12" t="s">
        <v>2387</v>
      </c>
      <c r="C1698" s="12">
        <v>11.55</v>
      </c>
      <c r="D1698" s="12"/>
    </row>
    <row r="1699" spans="1:4" ht="14.25" customHeight="1" x14ac:dyDescent="0.25">
      <c r="A1699" s="12">
        <v>2456686.7322800001</v>
      </c>
      <c r="B1699" s="12" t="s">
        <v>2388</v>
      </c>
      <c r="C1699" s="12">
        <v>11.324999999999999</v>
      </c>
      <c r="D1699" s="12"/>
    </row>
    <row r="1700" spans="1:4" ht="14.25" customHeight="1" x14ac:dyDescent="0.25">
      <c r="A1700" s="12">
        <v>2456699.5985300001</v>
      </c>
      <c r="B1700" s="12" t="s">
        <v>2389</v>
      </c>
      <c r="C1700" s="12">
        <v>11.425000000000001</v>
      </c>
      <c r="D1700" s="12"/>
    </row>
    <row r="1701" spans="1:4" ht="14.25" customHeight="1" x14ac:dyDescent="0.25">
      <c r="A1701" s="12">
        <v>2456722.02881</v>
      </c>
      <c r="B1701" s="12" t="s">
        <v>2390</v>
      </c>
      <c r="C1701" s="12">
        <v>11.484783</v>
      </c>
      <c r="D1701" s="12"/>
    </row>
    <row r="1702" spans="1:4" ht="14.25" customHeight="1" x14ac:dyDescent="0.25">
      <c r="A1702" s="12">
        <v>2456736.7994300001</v>
      </c>
      <c r="B1702" s="12" t="s">
        <v>2391</v>
      </c>
      <c r="C1702" s="12">
        <v>11.483333</v>
      </c>
      <c r="D1702" s="12"/>
    </row>
    <row r="1703" spans="1:4" ht="14.25" customHeight="1" x14ac:dyDescent="0.25">
      <c r="A1703" s="12">
        <v>2456754.0966400001</v>
      </c>
      <c r="B1703" s="12" t="s">
        <v>2392</v>
      </c>
      <c r="C1703" s="12">
        <v>11.442857</v>
      </c>
      <c r="D1703" s="12"/>
    </row>
    <row r="1704" spans="1:4" ht="14.25" customHeight="1" x14ac:dyDescent="0.25">
      <c r="A1704" s="12">
        <v>2456770.4811200001</v>
      </c>
      <c r="B1704" s="12" t="s">
        <v>2393</v>
      </c>
      <c r="C1704" s="12">
        <v>11.407692000000001</v>
      </c>
      <c r="D1704" s="12"/>
    </row>
    <row r="1705" spans="1:4" ht="14.25" customHeight="1" x14ac:dyDescent="0.25">
      <c r="A1705" s="12">
        <v>2456784.8522899998</v>
      </c>
      <c r="B1705" s="12" t="s">
        <v>2394</v>
      </c>
      <c r="C1705" s="12">
        <v>11.369230999999999</v>
      </c>
      <c r="D1705" s="12"/>
    </row>
    <row r="1706" spans="1:4" ht="14.25" customHeight="1" x14ac:dyDescent="0.25">
      <c r="A1706" s="12">
        <v>2456802.6700200001</v>
      </c>
      <c r="B1706" s="12" t="s">
        <v>176</v>
      </c>
      <c r="C1706" s="12">
        <v>11.394643</v>
      </c>
      <c r="D1706" s="12"/>
    </row>
    <row r="1707" spans="1:4" ht="14.25" customHeight="1" x14ac:dyDescent="0.25">
      <c r="A1707" s="12">
        <v>2456817.4164700001</v>
      </c>
      <c r="B1707" s="12" t="s">
        <v>2395</v>
      </c>
      <c r="C1707" s="12">
        <v>11.441463000000001</v>
      </c>
      <c r="D1707" s="12"/>
    </row>
    <row r="1708" spans="1:4" ht="14.25" customHeight="1" x14ac:dyDescent="0.25">
      <c r="A1708" s="12">
        <v>2456835.1165399998</v>
      </c>
      <c r="B1708" s="12" t="s">
        <v>2396</v>
      </c>
      <c r="C1708" s="12">
        <v>11.501666999999999</v>
      </c>
      <c r="D1708" s="12"/>
    </row>
    <row r="1709" spans="1:4" ht="14.25" customHeight="1" x14ac:dyDescent="0.25">
      <c r="A1709" s="12">
        <v>2456849.3900799998</v>
      </c>
      <c r="B1709" s="12" t="s">
        <v>2397</v>
      </c>
      <c r="C1709" s="12">
        <v>11.554463999999999</v>
      </c>
      <c r="D1709" s="12"/>
    </row>
    <row r="1710" spans="1:4" ht="14.25" customHeight="1" x14ac:dyDescent="0.25">
      <c r="A1710" s="12">
        <v>2456864.8254399998</v>
      </c>
      <c r="B1710" s="12" t="s">
        <v>2398</v>
      </c>
      <c r="C1710" s="12">
        <v>11.502344000000001</v>
      </c>
      <c r="D1710" s="12"/>
    </row>
    <row r="1711" spans="1:4" ht="14.25" customHeight="1" x14ac:dyDescent="0.25">
      <c r="A1711" s="12">
        <v>2456883.58702</v>
      </c>
      <c r="B1711" s="12" t="s">
        <v>749</v>
      </c>
      <c r="C1711" s="12">
        <v>11.5025</v>
      </c>
      <c r="D1711" s="12"/>
    </row>
    <row r="1712" spans="1:4" ht="14.25" customHeight="1" x14ac:dyDescent="0.25">
      <c r="A1712" s="12">
        <v>2456895.5752099999</v>
      </c>
      <c r="B1712" s="12" t="s">
        <v>5</v>
      </c>
      <c r="C1712" s="12">
        <v>11.482192</v>
      </c>
      <c r="D1712" s="12"/>
    </row>
    <row r="1713" spans="1:4" ht="14.25" customHeight="1" x14ac:dyDescent="0.25">
      <c r="A1713" s="12">
        <v>2456912.34008</v>
      </c>
      <c r="B1713" s="12" t="s">
        <v>2399</v>
      </c>
      <c r="C1713" s="12">
        <v>11.312766</v>
      </c>
      <c r="D1713" s="12"/>
    </row>
    <row r="1714" spans="1:4" ht="14.25" customHeight="1" x14ac:dyDescent="0.25">
      <c r="A1714" s="12">
        <v>2456925.8684299998</v>
      </c>
      <c r="B1714" s="12" t="s">
        <v>2400</v>
      </c>
      <c r="C1714" s="12">
        <v>11.382609</v>
      </c>
      <c r="D1714" s="12"/>
    </row>
    <row r="1715" spans="1:4" ht="14.25" customHeight="1" x14ac:dyDescent="0.25">
      <c r="A1715" s="12">
        <v>2456941.7340799998</v>
      </c>
      <c r="B1715" s="12" t="s">
        <v>2401</v>
      </c>
      <c r="C1715" s="12">
        <v>11.314474000000001</v>
      </c>
      <c r="D1715" s="12"/>
    </row>
    <row r="1716" spans="1:4" ht="14.25" customHeight="1" x14ac:dyDescent="0.25">
      <c r="A1716" s="12">
        <v>2456954.42496</v>
      </c>
      <c r="B1716" s="12" t="s">
        <v>2402</v>
      </c>
      <c r="C1716" s="12">
        <v>11.371739</v>
      </c>
      <c r="D1716" s="12"/>
    </row>
    <row r="1717" spans="1:4" ht="14.25" customHeight="1" x14ac:dyDescent="0.25">
      <c r="A1717" s="12">
        <v>2456973.1327900002</v>
      </c>
      <c r="B1717" s="12" t="s">
        <v>2403</v>
      </c>
      <c r="C1717" s="12">
        <v>11.621428999999999</v>
      </c>
      <c r="D1717" s="12"/>
    </row>
    <row r="1718" spans="1:4" ht="14.25" customHeight="1" x14ac:dyDescent="0.25">
      <c r="A1718" s="12">
        <v>2456986.1316200001</v>
      </c>
      <c r="B1718" s="12" t="s">
        <v>2404</v>
      </c>
      <c r="C1718" s="12">
        <v>11.666667</v>
      </c>
      <c r="D1718" s="12"/>
    </row>
    <row r="1719" spans="1:4" ht="14.25" customHeight="1" x14ac:dyDescent="0.25">
      <c r="A1719" s="12">
        <v>2457035.7717499998</v>
      </c>
      <c r="B1719" s="12" t="s">
        <v>178</v>
      </c>
      <c r="C1719" s="12">
        <v>11.574999999999999</v>
      </c>
      <c r="D1719" s="12"/>
    </row>
    <row r="1720" spans="1:4" ht="14.25" customHeight="1" x14ac:dyDescent="0.25">
      <c r="A1720" s="12">
        <v>2457048.68517</v>
      </c>
      <c r="B1720" s="12" t="s">
        <v>2405</v>
      </c>
      <c r="C1720" s="12">
        <v>11.9</v>
      </c>
      <c r="D1720" s="12"/>
    </row>
    <row r="1721" spans="1:4" ht="14.25" customHeight="1" x14ac:dyDescent="0.25">
      <c r="A1721" s="12">
        <v>2457069.1200299999</v>
      </c>
      <c r="B1721" s="12" t="s">
        <v>757</v>
      </c>
      <c r="C1721" s="12">
        <v>11.533333000000001</v>
      </c>
      <c r="D1721" s="12"/>
    </row>
    <row r="1722" spans="1:4" ht="14.25" customHeight="1" x14ac:dyDescent="0.25">
      <c r="A1722" s="12">
        <v>2457081.1758400002</v>
      </c>
      <c r="B1722" s="12" t="s">
        <v>2406</v>
      </c>
      <c r="C1722" s="12">
        <v>11.45</v>
      </c>
      <c r="D1722" s="12"/>
    </row>
    <row r="1723" spans="1:4" ht="14.25" customHeight="1" x14ac:dyDescent="0.25">
      <c r="A1723" s="12">
        <v>2457100.7949399999</v>
      </c>
      <c r="B1723" s="12" t="s">
        <v>2407</v>
      </c>
      <c r="C1723" s="12">
        <v>11.863636</v>
      </c>
      <c r="D1723" s="12"/>
    </row>
    <row r="1724" spans="1:4" ht="14.25" customHeight="1" x14ac:dyDescent="0.25">
      <c r="A1724" s="12">
        <v>2457115.8151500002</v>
      </c>
      <c r="B1724" s="12" t="s">
        <v>2408</v>
      </c>
      <c r="C1724" s="12">
        <v>11.677778</v>
      </c>
      <c r="D1724" s="12"/>
    </row>
    <row r="1725" spans="1:4" ht="14.25" customHeight="1" x14ac:dyDescent="0.25">
      <c r="A1725" s="12">
        <v>2457132.3046499998</v>
      </c>
      <c r="B1725" s="12" t="s">
        <v>179</v>
      </c>
      <c r="C1725" s="12">
        <v>11.479167</v>
      </c>
      <c r="D1725" s="12"/>
    </row>
    <row r="1726" spans="1:4" ht="14.25" customHeight="1" x14ac:dyDescent="0.25">
      <c r="A1726" s="12">
        <v>2457146.3996600001</v>
      </c>
      <c r="B1726" s="12" t="s">
        <v>2409</v>
      </c>
      <c r="C1726" s="12">
        <v>11.454545</v>
      </c>
      <c r="D1726" s="12"/>
    </row>
    <row r="1727" spans="1:4" ht="14.25" customHeight="1" x14ac:dyDescent="0.25">
      <c r="A1727" s="12">
        <v>2457163.0303799999</v>
      </c>
      <c r="B1727" s="12" t="s">
        <v>765</v>
      </c>
      <c r="C1727" s="12">
        <v>11.619355000000001</v>
      </c>
      <c r="D1727" s="12"/>
    </row>
    <row r="1728" spans="1:4" ht="14.25" customHeight="1" x14ac:dyDescent="0.25">
      <c r="A1728" s="12">
        <v>2457180.70897</v>
      </c>
      <c r="B1728" s="12" t="s">
        <v>2410</v>
      </c>
      <c r="C1728" s="12">
        <v>11.56</v>
      </c>
      <c r="D1728" s="12"/>
    </row>
    <row r="1729" spans="1:4" ht="14.25" customHeight="1" x14ac:dyDescent="0.25">
      <c r="A1729" s="12">
        <v>2457194.2467200002</v>
      </c>
      <c r="B1729" s="12" t="s">
        <v>2411</v>
      </c>
      <c r="C1729" s="12">
        <v>11.530556000000001</v>
      </c>
      <c r="D1729" s="12"/>
    </row>
    <row r="1730" spans="1:4" ht="14.25" customHeight="1" x14ac:dyDescent="0.25">
      <c r="A1730" s="12">
        <v>2457211.8144100001</v>
      </c>
      <c r="B1730" s="12" t="s">
        <v>2412</v>
      </c>
      <c r="C1730" s="12">
        <v>11.55125</v>
      </c>
      <c r="D1730" s="12"/>
    </row>
    <row r="1731" spans="1:4" ht="14.25" customHeight="1" x14ac:dyDescent="0.25">
      <c r="A1731" s="12">
        <v>2457223.2578699999</v>
      </c>
      <c r="B1731" s="12" t="s">
        <v>2413</v>
      </c>
      <c r="C1731" s="12">
        <v>11.497297</v>
      </c>
      <c r="D1731" s="12"/>
    </row>
    <row r="1732" spans="1:4" ht="14.25" customHeight="1" x14ac:dyDescent="0.25">
      <c r="A1732" s="12">
        <v>2457242.48606</v>
      </c>
      <c r="B1732" s="12" t="s">
        <v>2414</v>
      </c>
      <c r="C1732" s="12">
        <v>11.587037</v>
      </c>
      <c r="D1732" s="12"/>
    </row>
    <row r="1733" spans="1:4" ht="14.25" customHeight="1" x14ac:dyDescent="0.25">
      <c r="A1733" s="12">
        <v>2457255.9182799999</v>
      </c>
      <c r="B1733" s="12" t="s">
        <v>2415</v>
      </c>
      <c r="C1733" s="12">
        <v>11.616667</v>
      </c>
      <c r="D1733" s="12"/>
    </row>
    <row r="1734" spans="1:4" ht="14.25" customHeight="1" x14ac:dyDescent="0.25">
      <c r="A1734" s="12">
        <v>2457273.4444599999</v>
      </c>
      <c r="B1734" s="12" t="s">
        <v>2416</v>
      </c>
      <c r="C1734" s="12">
        <v>11.523913</v>
      </c>
      <c r="D1734" s="12"/>
    </row>
    <row r="1735" spans="1:4" ht="14.25" customHeight="1" x14ac:dyDescent="0.25">
      <c r="A1735" s="12">
        <v>2457286.523</v>
      </c>
      <c r="B1735" s="12" t="s">
        <v>2417</v>
      </c>
      <c r="C1735" s="12">
        <v>11.610345000000001</v>
      </c>
      <c r="D1735" s="12"/>
    </row>
    <row r="1736" spans="1:4" ht="14.25" customHeight="1" x14ac:dyDescent="0.25">
      <c r="A1736" s="12">
        <v>2457300.7138399999</v>
      </c>
      <c r="B1736" s="12" t="s">
        <v>2418</v>
      </c>
      <c r="C1736" s="12">
        <v>11.616175999999999</v>
      </c>
      <c r="D1736" s="12"/>
    </row>
    <row r="1737" spans="1:4" ht="14.25" customHeight="1" x14ac:dyDescent="0.25">
      <c r="A1737" s="12">
        <v>2457317.3734900001</v>
      </c>
      <c r="B1737" s="12" t="s">
        <v>2419</v>
      </c>
      <c r="C1737" s="12">
        <v>11.590909</v>
      </c>
      <c r="D1737" s="12"/>
    </row>
    <row r="1738" spans="1:4" ht="14.25" customHeight="1" x14ac:dyDescent="0.25">
      <c r="A1738" s="12">
        <v>2457331.0586399999</v>
      </c>
      <c r="B1738" s="12" t="s">
        <v>2420</v>
      </c>
      <c r="C1738" s="12">
        <v>11.75625</v>
      </c>
      <c r="D1738" s="12"/>
    </row>
    <row r="1739" spans="1:4" ht="14.25" customHeight="1" x14ac:dyDescent="0.25">
      <c r="A1739" s="12">
        <v>2457349.2370000002</v>
      </c>
      <c r="B1739" s="12" t="s">
        <v>2421</v>
      </c>
      <c r="C1739" s="12">
        <v>11.5</v>
      </c>
      <c r="D1739" s="12"/>
    </row>
    <row r="1740" spans="1:4" ht="14.25" customHeight="1" x14ac:dyDescent="0.25">
      <c r="A1740" s="12">
        <v>2457401.0166799999</v>
      </c>
      <c r="B1740" s="12" t="s">
        <v>2422</v>
      </c>
      <c r="C1740" s="12">
        <v>11.5</v>
      </c>
      <c r="D1740" s="12"/>
    </row>
    <row r="1741" spans="1:4" ht="14.25" customHeight="1" x14ac:dyDescent="0.25">
      <c r="A1741" s="12">
        <v>2457425.3647699999</v>
      </c>
      <c r="B1741" s="12" t="s">
        <v>2423</v>
      </c>
      <c r="C1741" s="12">
        <v>11.557143</v>
      </c>
      <c r="D1741" s="12"/>
    </row>
    <row r="1742" spans="1:4" ht="14.25" customHeight="1" x14ac:dyDescent="0.25">
      <c r="A1742" s="12">
        <v>2457436.62641</v>
      </c>
      <c r="B1742" s="12" t="s">
        <v>2424</v>
      </c>
      <c r="C1742" s="12">
        <v>11.463635999999999</v>
      </c>
      <c r="D1742" s="12"/>
    </row>
    <row r="1743" spans="1:4" ht="14.25" customHeight="1" x14ac:dyDescent="0.25">
      <c r="A1743" s="12">
        <v>2457454.8711100002</v>
      </c>
      <c r="B1743" s="12" t="s">
        <v>772</v>
      </c>
      <c r="C1743" s="12">
        <v>11.444444000000001</v>
      </c>
      <c r="D1743" s="12"/>
    </row>
    <row r="1744" spans="1:4" ht="14.25" customHeight="1" x14ac:dyDescent="0.25">
      <c r="A1744" s="12">
        <v>2457470.9741000002</v>
      </c>
      <c r="B1744" s="12" t="s">
        <v>2425</v>
      </c>
      <c r="C1744" s="12">
        <v>11.581818</v>
      </c>
      <c r="D1744" s="12"/>
    </row>
    <row r="1745" spans="1:4" ht="14.25" customHeight="1" x14ac:dyDescent="0.25">
      <c r="A1745" s="12">
        <v>2457489.2542900001</v>
      </c>
      <c r="B1745" s="12" t="s">
        <v>2426</v>
      </c>
      <c r="C1745" s="12">
        <v>11.614286</v>
      </c>
      <c r="D1745" s="12"/>
    </row>
    <row r="1746" spans="1:4" ht="14.25" customHeight="1" x14ac:dyDescent="0.25">
      <c r="A1746" s="12">
        <v>2457505.5652299998</v>
      </c>
      <c r="B1746" s="12" t="s">
        <v>777</v>
      </c>
      <c r="C1746" s="12">
        <v>11.631034</v>
      </c>
      <c r="D1746" s="12"/>
    </row>
    <row r="1747" spans="1:4" ht="14.25" customHeight="1" x14ac:dyDescent="0.25">
      <c r="A1747" s="12">
        <v>2457519.09711</v>
      </c>
      <c r="B1747" s="12" t="s">
        <v>182</v>
      </c>
      <c r="C1747" s="12">
        <v>11.571429</v>
      </c>
      <c r="D1747" s="12"/>
    </row>
    <row r="1748" spans="1:4" ht="14.25" customHeight="1" x14ac:dyDescent="0.25">
      <c r="A1748" s="12">
        <v>2457537.4035800002</v>
      </c>
      <c r="B1748" s="12" t="s">
        <v>2427</v>
      </c>
      <c r="C1748" s="12">
        <v>11.534091</v>
      </c>
      <c r="D1748" s="12"/>
    </row>
    <row r="1749" spans="1:4" ht="14.25" customHeight="1" x14ac:dyDescent="0.25">
      <c r="A1749" s="12">
        <v>2457549.37726</v>
      </c>
      <c r="B1749" s="12" t="s">
        <v>2428</v>
      </c>
      <c r="C1749" s="12">
        <v>11.501923</v>
      </c>
      <c r="D1749" s="12"/>
    </row>
    <row r="1750" spans="1:4" ht="14.25" customHeight="1" x14ac:dyDescent="0.25">
      <c r="A1750" s="12">
        <v>2457570.8049499998</v>
      </c>
      <c r="B1750" s="12" t="s">
        <v>8</v>
      </c>
      <c r="C1750" s="12">
        <v>11.275556</v>
      </c>
      <c r="D1750" s="12"/>
    </row>
    <row r="1751" spans="1:4" ht="14.25" customHeight="1" x14ac:dyDescent="0.25">
      <c r="A1751" s="12">
        <v>2457582.6246699998</v>
      </c>
      <c r="B1751" s="12" t="s">
        <v>2429</v>
      </c>
      <c r="C1751" s="12">
        <v>11.318182</v>
      </c>
      <c r="D1751" s="12"/>
    </row>
    <row r="1752" spans="1:4" ht="14.25" customHeight="1" x14ac:dyDescent="0.25">
      <c r="A1752" s="12">
        <v>2457600.8379099998</v>
      </c>
      <c r="B1752" s="12" t="s">
        <v>2430</v>
      </c>
      <c r="C1752" s="12">
        <v>11.246428999999999</v>
      </c>
      <c r="D1752" s="12"/>
    </row>
    <row r="1753" spans="1:4" ht="14.25" customHeight="1" x14ac:dyDescent="0.25">
      <c r="A1753" s="12">
        <v>2457613.2741899998</v>
      </c>
      <c r="B1753" s="12" t="s">
        <v>12</v>
      </c>
      <c r="C1753" s="12">
        <v>11.285714</v>
      </c>
      <c r="D1753" s="12"/>
    </row>
    <row r="1754" spans="1:4" ht="14.25" customHeight="1" x14ac:dyDescent="0.25">
      <c r="A1754" s="12">
        <v>2457629.3162400001</v>
      </c>
      <c r="B1754" s="12" t="s">
        <v>183</v>
      </c>
      <c r="C1754" s="12">
        <v>11.587681</v>
      </c>
      <c r="D1754" s="12"/>
    </row>
    <row r="1755" spans="1:4" ht="14.25" customHeight="1" x14ac:dyDescent="0.25">
      <c r="A1755" s="12">
        <v>2457643.5399500001</v>
      </c>
      <c r="B1755" s="12" t="s">
        <v>2431</v>
      </c>
      <c r="C1755" s="12">
        <v>11.323077</v>
      </c>
      <c r="D1755" s="12"/>
    </row>
    <row r="1756" spans="1:4" ht="14.25" customHeight="1" x14ac:dyDescent="0.25">
      <c r="A1756" s="12">
        <v>2457660.5711300001</v>
      </c>
      <c r="B1756" s="12" t="s">
        <v>184</v>
      </c>
      <c r="C1756" s="12">
        <v>11.265306000000001</v>
      </c>
      <c r="D1756" s="12"/>
    </row>
    <row r="1757" spans="1:4" ht="14.25" customHeight="1" x14ac:dyDescent="0.25">
      <c r="A1757" s="12">
        <v>2457676.4646200002</v>
      </c>
      <c r="B1757" s="12" t="s">
        <v>2432</v>
      </c>
      <c r="C1757" s="12">
        <v>11.688889</v>
      </c>
      <c r="D1757" s="12"/>
    </row>
    <row r="1758" spans="1:4" ht="14.25" customHeight="1" x14ac:dyDescent="0.25">
      <c r="A1758" s="12">
        <v>2457692.9910400002</v>
      </c>
      <c r="B1758" s="12" t="s">
        <v>2433</v>
      </c>
      <c r="C1758" s="12">
        <v>11.714286</v>
      </c>
      <c r="D1758" s="12"/>
    </row>
    <row r="1759" spans="1:4" ht="14.25" customHeight="1" x14ac:dyDescent="0.25">
      <c r="A1759" s="12">
        <v>2457709.9378300002</v>
      </c>
      <c r="B1759" s="12" t="s">
        <v>2434</v>
      </c>
      <c r="C1759" s="12">
        <v>11.566667000000001</v>
      </c>
      <c r="D1759" s="12"/>
    </row>
    <row r="1760" spans="1:4" ht="14.25" customHeight="1" x14ac:dyDescent="0.25">
      <c r="A1760" s="12">
        <v>2457720.5646700002</v>
      </c>
      <c r="B1760" s="12" t="s">
        <v>2435</v>
      </c>
      <c r="C1760" s="12">
        <v>11.7</v>
      </c>
      <c r="D1760" s="12"/>
    </row>
    <row r="1761" spans="1:4" ht="14.25" customHeight="1" x14ac:dyDescent="0.25">
      <c r="A1761" s="12">
        <v>2457771.2615</v>
      </c>
      <c r="B1761" s="12" t="s">
        <v>2436</v>
      </c>
      <c r="C1761" s="12">
        <v>11.7</v>
      </c>
      <c r="D1761" s="12"/>
    </row>
    <row r="1762" spans="1:4" ht="14.25" customHeight="1" x14ac:dyDescent="0.25">
      <c r="A1762" s="12">
        <v>2457786.8326900001</v>
      </c>
      <c r="B1762" s="12" t="s">
        <v>2437</v>
      </c>
      <c r="C1762" s="12">
        <v>11.4</v>
      </c>
      <c r="D1762" s="12"/>
    </row>
    <row r="1763" spans="1:4" ht="14.25" customHeight="1" x14ac:dyDescent="0.25">
      <c r="A1763" s="12">
        <v>2457809.9572000001</v>
      </c>
      <c r="B1763" s="12" t="s">
        <v>2438</v>
      </c>
      <c r="C1763" s="12">
        <v>11.62</v>
      </c>
      <c r="D1763" s="12"/>
    </row>
    <row r="1764" spans="1:4" ht="14.25" customHeight="1" x14ac:dyDescent="0.25">
      <c r="A1764" s="12">
        <v>2457823.3095499999</v>
      </c>
      <c r="B1764" s="12" t="s">
        <v>2439</v>
      </c>
      <c r="C1764" s="12">
        <v>11.488889</v>
      </c>
      <c r="D1764" s="12"/>
    </row>
    <row r="1765" spans="1:4" ht="14.25" customHeight="1" x14ac:dyDescent="0.25">
      <c r="A1765" s="12">
        <v>2457841.5037799999</v>
      </c>
      <c r="B1765" s="12" t="s">
        <v>2440</v>
      </c>
      <c r="C1765" s="12">
        <v>11.4</v>
      </c>
      <c r="D1765" s="12"/>
    </row>
    <row r="1766" spans="1:4" ht="14.25" customHeight="1" x14ac:dyDescent="0.25">
      <c r="A1766" s="12">
        <v>2457854.5846099998</v>
      </c>
      <c r="B1766" s="12" t="s">
        <v>2441</v>
      </c>
      <c r="C1766" s="12">
        <v>11.428571</v>
      </c>
      <c r="D1766" s="12"/>
    </row>
    <row r="1767" spans="1:4" ht="14.25" customHeight="1" x14ac:dyDescent="0.25">
      <c r="A1767" s="12">
        <v>2457873.0584800001</v>
      </c>
      <c r="B1767" s="12" t="s">
        <v>2442</v>
      </c>
      <c r="C1767" s="12">
        <v>11.088234999999999</v>
      </c>
      <c r="D1767" s="12"/>
    </row>
    <row r="1768" spans="1:4" ht="14.25" customHeight="1" x14ac:dyDescent="0.25">
      <c r="A1768" s="12">
        <v>2457897.1263199998</v>
      </c>
      <c r="B1768" s="12" t="s">
        <v>788</v>
      </c>
      <c r="C1768" s="12">
        <v>10.910526000000001</v>
      </c>
      <c r="D1768" s="12"/>
    </row>
    <row r="1769" spans="1:4" ht="14.25" customHeight="1" x14ac:dyDescent="0.25">
      <c r="A1769" s="12">
        <v>2457904.9673299999</v>
      </c>
      <c r="B1769" s="12" t="s">
        <v>2443</v>
      </c>
      <c r="C1769" s="12">
        <v>11.1</v>
      </c>
      <c r="D1769" s="12"/>
    </row>
    <row r="1770" spans="1:4" ht="14.25" customHeight="1" x14ac:dyDescent="0.25">
      <c r="A1770" s="1">
        <v>2457982.4612699999</v>
      </c>
      <c r="B1770" s="1" t="s">
        <v>2483</v>
      </c>
      <c r="C1770" s="1">
        <v>10.644565</v>
      </c>
      <c r="D1770" s="1"/>
    </row>
    <row r="1771" spans="1:4" ht="14.25" customHeight="1" x14ac:dyDescent="0.25">
      <c r="A1771" s="1">
        <v>2457993.0002100002</v>
      </c>
      <c r="B1771" s="1" t="s">
        <v>2484</v>
      </c>
      <c r="C1771" s="1">
        <v>10.798529</v>
      </c>
      <c r="D1771" s="1"/>
    </row>
    <row r="1772" spans="1:4" ht="14.25" customHeight="1" x14ac:dyDescent="0.25">
      <c r="A1772" s="1">
        <v>2458011.1690400001</v>
      </c>
      <c r="B1772" s="1" t="s">
        <v>2467</v>
      </c>
      <c r="C1772" s="1">
        <v>10.972619</v>
      </c>
      <c r="D1772" s="1"/>
    </row>
    <row r="1773" spans="1:4" ht="14.25" customHeight="1" x14ac:dyDescent="0.25">
      <c r="A1773" s="1">
        <v>2458023.51186</v>
      </c>
      <c r="B1773" s="1" t="s">
        <v>2485</v>
      </c>
      <c r="C1773" s="1">
        <v>11.2</v>
      </c>
      <c r="D1773" s="1"/>
    </row>
    <row r="1774" spans="1:4" ht="14.25" customHeight="1" x14ac:dyDescent="0.25">
      <c r="A1774" s="1">
        <v>2458043.1124999998</v>
      </c>
      <c r="B1774" s="1" t="s">
        <v>2486</v>
      </c>
      <c r="C1774" s="1">
        <v>11.042104999999999</v>
      </c>
      <c r="D1774" s="1"/>
    </row>
    <row r="1775" spans="1:4" ht="14.25" customHeight="1" x14ac:dyDescent="0.25">
      <c r="A1775" s="1">
        <v>2458059.1157300002</v>
      </c>
      <c r="B1775" s="1" t="s">
        <v>2487</v>
      </c>
      <c r="C1775" s="1">
        <v>10.814285999999999</v>
      </c>
      <c r="D1775" s="1"/>
    </row>
    <row r="1776" spans="1:4" ht="14.25" customHeight="1" x14ac:dyDescent="0.25">
      <c r="A1776" s="1">
        <v>2458077.1422299999</v>
      </c>
      <c r="B1776" s="1" t="s">
        <v>2488</v>
      </c>
      <c r="C1776" s="1">
        <v>11.011111</v>
      </c>
      <c r="D1776" s="1"/>
    </row>
    <row r="1777" spans="1:4" ht="14.25" customHeight="1" x14ac:dyDescent="0.25">
      <c r="A1777" s="1">
        <v>2458126.273</v>
      </c>
      <c r="B1777" s="1" t="s">
        <v>2489</v>
      </c>
      <c r="C1777" s="1">
        <v>11.2</v>
      </c>
      <c r="D1777" s="1"/>
    </row>
    <row r="1778" spans="1:4" ht="14.25" customHeight="1" x14ac:dyDescent="0.25">
      <c r="A1778" s="1">
        <v>2458135.83813</v>
      </c>
      <c r="B1778" s="1" t="s">
        <v>2490</v>
      </c>
      <c r="C1778" s="1">
        <v>10.755556</v>
      </c>
      <c r="D1778" s="1"/>
    </row>
    <row r="1779" spans="1:4" ht="14.25" customHeight="1" x14ac:dyDescent="0.25">
      <c r="A1779" s="1">
        <v>2458152.0218099998</v>
      </c>
      <c r="B1779" s="1" t="s">
        <v>2491</v>
      </c>
      <c r="C1779" s="1">
        <v>10.733333</v>
      </c>
      <c r="D1779" s="1"/>
    </row>
    <row r="1780" spans="1:4" ht="14.25" customHeight="1" x14ac:dyDescent="0.25">
      <c r="A1780" s="1">
        <v>2458167.0590300001</v>
      </c>
      <c r="B1780" s="1" t="s">
        <v>2492</v>
      </c>
      <c r="C1780" s="1">
        <v>10.7</v>
      </c>
      <c r="D1780" s="1"/>
    </row>
    <row r="1781" spans="1:4" ht="14.25" customHeight="1" x14ac:dyDescent="0.25">
      <c r="A1781" s="1">
        <v>2458183.7061299998</v>
      </c>
      <c r="B1781" s="1" t="s">
        <v>2493</v>
      </c>
      <c r="C1781" s="1">
        <v>10.772727</v>
      </c>
      <c r="D1781" s="1"/>
    </row>
    <row r="1782" spans="1:4" ht="14.25" customHeight="1" x14ac:dyDescent="0.25">
      <c r="A1782" s="1">
        <v>2458200.7152300002</v>
      </c>
      <c r="B1782" s="1" t="s">
        <v>2494</v>
      </c>
      <c r="C1782" s="1">
        <v>10.685714000000001</v>
      </c>
      <c r="D1782" s="1"/>
    </row>
    <row r="1783" spans="1:4" ht="14.25" customHeight="1" x14ac:dyDescent="0.25">
      <c r="A1783" s="1">
        <v>2458220.3907599999</v>
      </c>
      <c r="B1783" s="1" t="s">
        <v>2495</v>
      </c>
      <c r="C1783" s="1">
        <v>11.091666999999999</v>
      </c>
      <c r="D1783" s="1"/>
    </row>
    <row r="1784" spans="1:4" ht="14.25" customHeight="1" x14ac:dyDescent="0.25">
      <c r="A1784" s="1">
        <v>2458231.5285399999</v>
      </c>
      <c r="B1784" s="1" t="s">
        <v>2496</v>
      </c>
      <c r="C1784" s="1">
        <v>11.014286</v>
      </c>
      <c r="D1784" s="1"/>
    </row>
    <row r="1785" spans="1:4" ht="14.25" customHeight="1" x14ac:dyDescent="0.25">
      <c r="A1785" s="1">
        <v>2458248.8982099998</v>
      </c>
      <c r="B1785" s="1" t="s">
        <v>2497</v>
      </c>
      <c r="C1785" s="1">
        <v>11.178378</v>
      </c>
      <c r="D1785" s="1"/>
    </row>
    <row r="1786" spans="1:4" ht="14.25" customHeight="1" x14ac:dyDescent="0.25">
      <c r="A1786" s="1">
        <v>2458261.97395</v>
      </c>
      <c r="B1786" s="1" t="s">
        <v>2498</v>
      </c>
      <c r="C1786" s="1">
        <v>11.09375</v>
      </c>
      <c r="D1786" s="1"/>
    </row>
    <row r="1787" spans="1:4" ht="14.25" customHeight="1" x14ac:dyDescent="0.25">
      <c r="A1787" s="1">
        <v>2458280.21184</v>
      </c>
      <c r="B1787" s="1" t="s">
        <v>2499</v>
      </c>
      <c r="C1787" s="1">
        <v>10.969231000000001</v>
      </c>
      <c r="D1787" s="1"/>
    </row>
    <row r="1788" spans="1:4" ht="14.25" customHeight="1" x14ac:dyDescent="0.25">
      <c r="A1788" s="1">
        <v>2458295.9970900002</v>
      </c>
      <c r="B1788" s="1" t="s">
        <v>2500</v>
      </c>
      <c r="C1788" s="1">
        <v>10.930769</v>
      </c>
      <c r="D1788" s="1"/>
    </row>
    <row r="1789" spans="1:4" ht="14.25" customHeight="1" x14ac:dyDescent="0.25">
      <c r="A1789" s="1">
        <v>2458312.3404399999</v>
      </c>
      <c r="B1789" s="1" t="s">
        <v>2501</v>
      </c>
      <c r="C1789" s="1">
        <v>10.785938</v>
      </c>
      <c r="D1789" s="1"/>
    </row>
    <row r="1790" spans="1:4" ht="14.25" customHeight="1" x14ac:dyDescent="0.25">
      <c r="A1790" s="1">
        <v>2458328.0934100002</v>
      </c>
      <c r="B1790" s="1" t="s">
        <v>2502</v>
      </c>
      <c r="C1790" s="1">
        <v>10.745455</v>
      </c>
      <c r="D1790" s="1"/>
    </row>
    <row r="1791" spans="1:4" ht="14.25" customHeight="1" x14ac:dyDescent="0.25">
      <c r="A1791" s="1">
        <v>2458340.88026</v>
      </c>
      <c r="B1791" s="1" t="s">
        <v>2503</v>
      </c>
      <c r="C1791" s="1">
        <v>10.760870000000001</v>
      </c>
      <c r="D1791" s="1"/>
    </row>
    <row r="1792" spans="1:4" ht="14.25" customHeight="1" x14ac:dyDescent="0.25">
      <c r="A1792" s="1">
        <v>2458358.4874999998</v>
      </c>
      <c r="B1792" s="1" t="s">
        <v>2504</v>
      </c>
      <c r="C1792" s="1">
        <v>10.854054</v>
      </c>
      <c r="D1792" s="1"/>
    </row>
    <row r="1793" spans="1:4" ht="14.25" customHeight="1" x14ac:dyDescent="0.25">
      <c r="A1793" s="1">
        <v>2458373.5458999998</v>
      </c>
      <c r="B1793" s="1" t="s">
        <v>2505</v>
      </c>
      <c r="C1793" s="1">
        <v>10.75</v>
      </c>
      <c r="D1793" s="1"/>
    </row>
    <row r="1794" spans="1:4" ht="14.25" customHeight="1" x14ac:dyDescent="0.25">
      <c r="A1794" s="1">
        <v>2458388.4010899998</v>
      </c>
      <c r="B1794" s="1" t="s">
        <v>2506</v>
      </c>
      <c r="C1794" s="1">
        <v>10.856097999999999</v>
      </c>
      <c r="D1794" s="1"/>
    </row>
    <row r="1795" spans="1:4" ht="14.25" customHeight="1" x14ac:dyDescent="0.25">
      <c r="A1795" s="1">
        <v>2458402.9457299998</v>
      </c>
      <c r="B1795" s="1" t="s">
        <v>2507</v>
      </c>
      <c r="C1795" s="1">
        <v>10.764706</v>
      </c>
      <c r="D1795" s="1"/>
    </row>
    <row r="1796" spans="1:4" ht="14.25" customHeight="1" x14ac:dyDescent="0.25">
      <c r="A1796" s="1">
        <v>2458416.9145300002</v>
      </c>
      <c r="B1796" s="1" t="s">
        <v>2508</v>
      </c>
      <c r="C1796" s="1">
        <v>10.528570999999999</v>
      </c>
      <c r="D1796" s="1"/>
    </row>
    <row r="1797" spans="1:4" ht="14.25" customHeight="1" x14ac:dyDescent="0.25">
      <c r="A1797" s="1">
        <v>2458435.75134</v>
      </c>
      <c r="B1797" s="1" t="s">
        <v>2509</v>
      </c>
      <c r="C1797" s="1">
        <v>10.62</v>
      </c>
      <c r="D1797" s="1"/>
    </row>
    <row r="1798" spans="1:4" ht="14.25" customHeight="1" x14ac:dyDescent="0.25">
      <c r="A1798" s="1">
        <v>2458455.2319999998</v>
      </c>
      <c r="B1798" s="1" t="s">
        <v>2510</v>
      </c>
      <c r="C1798" s="1">
        <v>10.4</v>
      </c>
      <c r="D1798" s="1"/>
    </row>
    <row r="1799" spans="1:4" ht="14.25" customHeight="1" x14ac:dyDescent="0.25">
      <c r="A1799" s="1">
        <v>2458496.0458</v>
      </c>
      <c r="B1799" s="1" t="s">
        <v>2511</v>
      </c>
      <c r="C1799" s="1">
        <v>11</v>
      </c>
      <c r="D1799" s="1"/>
    </row>
    <row r="1800" spans="1:4" ht="14.25" customHeight="1" x14ac:dyDescent="0.25">
      <c r="A1800" s="1">
        <v>2458515.8391499999</v>
      </c>
      <c r="B1800" s="1" t="s">
        <v>2512</v>
      </c>
      <c r="C1800" s="1">
        <v>10.8</v>
      </c>
      <c r="D1800" s="1"/>
    </row>
    <row r="1801" spans="1:4" ht="14.25" customHeight="1" x14ac:dyDescent="0.25">
      <c r="A1801" s="1">
        <v>2458536.9395499998</v>
      </c>
      <c r="B1801" s="1" t="s">
        <v>2513</v>
      </c>
      <c r="C1801" s="1">
        <v>10.7</v>
      </c>
      <c r="D1801" s="1"/>
    </row>
    <row r="1802" spans="1:4" ht="14.25" customHeight="1" x14ac:dyDescent="0.25">
      <c r="A1802" s="1">
        <v>2458565.0093399999</v>
      </c>
      <c r="B1802" s="1" t="s">
        <v>2514</v>
      </c>
      <c r="C1802" s="1">
        <v>11.025</v>
      </c>
      <c r="D1802" s="1"/>
    </row>
    <row r="1803" spans="1:4" ht="14.25" customHeight="1" x14ac:dyDescent="0.25">
      <c r="A1803" s="1">
        <v>2458581.3680099999</v>
      </c>
      <c r="B1803" s="1" t="s">
        <v>2515</v>
      </c>
      <c r="C1803" s="1">
        <v>11.18</v>
      </c>
      <c r="D1803" s="1"/>
    </row>
    <row r="1804" spans="1:4" ht="14.25" customHeight="1" x14ac:dyDescent="0.25">
      <c r="A1804" s="1">
        <v>2458604.2054300001</v>
      </c>
      <c r="B1804" s="1" t="s">
        <v>2516</v>
      </c>
      <c r="C1804" s="1">
        <v>10.9</v>
      </c>
      <c r="D1804" s="1"/>
    </row>
    <row r="1805" spans="1:4" ht="14.25" customHeight="1" x14ac:dyDescent="0.25">
      <c r="A1805" s="1">
        <v>2458621.4435800002</v>
      </c>
      <c r="B1805" s="1" t="s">
        <v>2517</v>
      </c>
      <c r="C1805" s="1">
        <v>11.125</v>
      </c>
      <c r="D1805" s="1"/>
    </row>
    <row r="1806" spans="1:4" ht="14.25" customHeight="1" x14ac:dyDescent="0.25">
      <c r="A1806" s="1">
        <v>2458635.71062</v>
      </c>
      <c r="B1806" s="1" t="s">
        <v>2518</v>
      </c>
      <c r="C1806" s="1">
        <v>11.178571</v>
      </c>
      <c r="D1806" s="1"/>
    </row>
    <row r="1807" spans="1:4" ht="14.25" customHeight="1" x14ac:dyDescent="0.25">
      <c r="A1807" s="1">
        <v>2458654.5587300002</v>
      </c>
      <c r="B1807" s="1" t="s">
        <v>2519</v>
      </c>
      <c r="C1807" s="1">
        <v>11.141667</v>
      </c>
      <c r="D1807" s="1"/>
    </row>
    <row r="1808" spans="1:4" ht="14.25" customHeight="1" x14ac:dyDescent="0.25">
      <c r="A1808" s="1">
        <v>2458666.6054600002</v>
      </c>
      <c r="B1808" s="1" t="s">
        <v>2520</v>
      </c>
      <c r="C1808" s="1">
        <v>10.919444</v>
      </c>
      <c r="D1808" s="1"/>
    </row>
    <row r="1809" spans="1:4" ht="14.25" customHeight="1" x14ac:dyDescent="0.25">
      <c r="A1809" s="1">
        <v>2458690.0331199998</v>
      </c>
      <c r="B1809" s="1" t="s">
        <v>2521</v>
      </c>
      <c r="C1809" s="1">
        <v>10.973214</v>
      </c>
      <c r="D1809" s="1"/>
    </row>
    <row r="1810" spans="1:4" ht="14.25" customHeight="1" x14ac:dyDescent="0.25">
      <c r="A1810" s="1">
        <v>2458699.8033799999</v>
      </c>
      <c r="B1810" s="1" t="s">
        <v>2522</v>
      </c>
      <c r="C1810" s="1">
        <v>10.98</v>
      </c>
      <c r="D1810" s="1"/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"/>
  <sheetViews>
    <sheetView workbookViewId="0">
      <selection activeCell="B11" sqref="B11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R404"/>
  <sheetViews>
    <sheetView workbookViewId="0">
      <selection activeCell="G16" sqref="G16"/>
    </sheetView>
  </sheetViews>
  <sheetFormatPr baseColWidth="10" defaultRowHeight="15" x14ac:dyDescent="0.25"/>
  <cols>
    <col min="1" max="3" width="23.140625" customWidth="1"/>
  </cols>
  <sheetData>
    <row r="1" spans="1:18" x14ac:dyDescent="0.25">
      <c r="A1" s="12">
        <v>2453475.3491500001</v>
      </c>
      <c r="B1" s="12" t="s">
        <v>266</v>
      </c>
      <c r="C1" s="12">
        <v>1.39</v>
      </c>
      <c r="D1" s="12"/>
      <c r="E1" s="12"/>
      <c r="F1" s="12"/>
      <c r="G1" s="12"/>
      <c r="H1" s="12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12">
        <v>2453522.8740500002</v>
      </c>
      <c r="B2" s="12" t="s">
        <v>271</v>
      </c>
      <c r="C2" s="12">
        <v>1.07</v>
      </c>
      <c r="D2" s="12"/>
      <c r="E2" s="12"/>
      <c r="F2" s="12"/>
      <c r="G2" s="12"/>
      <c r="H2" s="12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2">
        <v>2453541.7576000001</v>
      </c>
      <c r="B3" s="12" t="s">
        <v>277</v>
      </c>
      <c r="C3" s="12">
        <v>1.1200000000000001</v>
      </c>
      <c r="D3" s="12"/>
      <c r="E3" s="12"/>
      <c r="F3" s="12"/>
      <c r="G3" s="12"/>
      <c r="H3" s="12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12">
        <v>2453555.7053499999</v>
      </c>
      <c r="B4" s="12" t="s">
        <v>2445</v>
      </c>
      <c r="C4" s="12">
        <v>1.0900000000000001</v>
      </c>
      <c r="D4" s="12"/>
      <c r="E4" s="12"/>
      <c r="F4" s="12"/>
      <c r="G4" s="12"/>
      <c r="H4" s="12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12">
        <v>2453562.7170500001</v>
      </c>
      <c r="B5" s="12" t="s">
        <v>283</v>
      </c>
      <c r="C5" s="12">
        <v>1.1200000000000001</v>
      </c>
      <c r="D5" s="12"/>
      <c r="E5" s="12"/>
      <c r="F5" s="12"/>
      <c r="G5" s="12"/>
      <c r="H5" s="12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12">
        <v>2453571.7453999999</v>
      </c>
      <c r="B6" s="12" t="s">
        <v>286</v>
      </c>
      <c r="C6" s="12">
        <v>1.2</v>
      </c>
      <c r="D6" s="12"/>
      <c r="E6" s="12"/>
      <c r="F6" s="12"/>
      <c r="G6" s="12"/>
      <c r="H6" s="12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12">
        <v>2453624.6490000002</v>
      </c>
      <c r="B7" s="12" t="s">
        <v>292</v>
      </c>
      <c r="C7" s="12">
        <v>1.23</v>
      </c>
      <c r="D7" s="12"/>
      <c r="E7" s="12"/>
      <c r="F7" s="12"/>
      <c r="G7" s="12"/>
      <c r="H7" s="12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2">
        <v>2453634.6342500001</v>
      </c>
      <c r="B8" s="12" t="s">
        <v>293</v>
      </c>
      <c r="C8" s="12">
        <v>1.19</v>
      </c>
      <c r="D8" s="12"/>
      <c r="E8" s="12"/>
      <c r="F8" s="12"/>
      <c r="G8" s="12"/>
      <c r="H8" s="12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12">
        <v>2453641.6081500002</v>
      </c>
      <c r="B9" s="12" t="s">
        <v>294</v>
      </c>
      <c r="C9" s="12">
        <v>1.07</v>
      </c>
      <c r="D9" s="12"/>
      <c r="E9" s="12"/>
      <c r="F9" s="12"/>
      <c r="G9" s="12"/>
      <c r="H9" s="12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12">
        <v>2453644.5045500002</v>
      </c>
      <c r="B10" s="12" t="s">
        <v>295</v>
      </c>
      <c r="C10" s="12">
        <v>0.86</v>
      </c>
      <c r="D10" s="12"/>
      <c r="E10" s="12"/>
      <c r="F10" s="12"/>
      <c r="G10" s="12"/>
      <c r="H10" s="12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2">
        <v>2453649.5855999999</v>
      </c>
      <c r="B11" s="12" t="s">
        <v>296</v>
      </c>
      <c r="C11" s="12">
        <v>1.1000000000000001</v>
      </c>
      <c r="D11" s="12"/>
      <c r="E11" s="12"/>
      <c r="F11" s="12"/>
      <c r="G11" s="12"/>
      <c r="H11" s="12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2">
        <v>2453673.4764999999</v>
      </c>
      <c r="B12" s="12" t="s">
        <v>297</v>
      </c>
      <c r="C12" s="12">
        <v>1.02</v>
      </c>
      <c r="D12" s="12"/>
      <c r="E12" s="12"/>
      <c r="F12" s="12"/>
      <c r="G12" s="12"/>
      <c r="H12" s="12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2">
        <v>2453686.4689500001</v>
      </c>
      <c r="B13" s="12" t="s">
        <v>299</v>
      </c>
      <c r="C13" s="12">
        <v>0.91</v>
      </c>
      <c r="D13" s="12"/>
      <c r="E13" s="12"/>
      <c r="F13" s="12"/>
      <c r="G13" s="12"/>
      <c r="H13" s="12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2">
        <v>2453779.9826000002</v>
      </c>
      <c r="B14" s="12" t="s">
        <v>301</v>
      </c>
      <c r="C14" s="12">
        <v>0.83</v>
      </c>
      <c r="D14" s="12"/>
      <c r="E14" s="12"/>
      <c r="F14" s="12"/>
      <c r="G14" s="12"/>
      <c r="H14" s="12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2">
        <v>2453779.9904999998</v>
      </c>
      <c r="B15" s="12" t="s">
        <v>301</v>
      </c>
      <c r="C15" s="12">
        <v>0.9</v>
      </c>
      <c r="D15" s="12"/>
      <c r="E15" s="12"/>
      <c r="F15" s="12"/>
      <c r="G15" s="12"/>
      <c r="H15" s="12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2">
        <v>2453780.6875</v>
      </c>
      <c r="B16" s="12" t="s">
        <v>302</v>
      </c>
      <c r="C16" s="12">
        <v>0.8</v>
      </c>
      <c r="D16" s="12"/>
      <c r="E16" s="12"/>
      <c r="F16" s="12"/>
      <c r="G16" s="12"/>
      <c r="H16" s="12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2">
        <v>2453780.9785000002</v>
      </c>
      <c r="B17" s="12" t="s">
        <v>302</v>
      </c>
      <c r="C17" s="12">
        <v>0.77</v>
      </c>
      <c r="D17" s="12"/>
      <c r="E17" s="12"/>
      <c r="F17" s="12"/>
      <c r="G17" s="12"/>
      <c r="H17" s="12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2">
        <v>2453780.9878500002</v>
      </c>
      <c r="B18" s="12" t="s">
        <v>302</v>
      </c>
      <c r="C18" s="12">
        <v>0.78</v>
      </c>
      <c r="D18" s="12"/>
      <c r="E18" s="12"/>
      <c r="F18" s="12"/>
      <c r="G18" s="12"/>
      <c r="H18" s="12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2">
        <v>2453782.9846999999</v>
      </c>
      <c r="B19" s="12" t="s">
        <v>303</v>
      </c>
      <c r="C19" s="12">
        <v>0.76</v>
      </c>
      <c r="D19" s="12"/>
      <c r="E19" s="12"/>
      <c r="F19" s="12"/>
      <c r="G19" s="12"/>
      <c r="H19" s="12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2">
        <v>2453786.9826000002</v>
      </c>
      <c r="B20" s="12" t="s">
        <v>304</v>
      </c>
      <c r="C20" s="12">
        <v>0.8</v>
      </c>
      <c r="D20" s="12"/>
      <c r="E20" s="12"/>
      <c r="F20" s="12"/>
      <c r="G20" s="12"/>
      <c r="H20" s="12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2">
        <v>2453787.98</v>
      </c>
      <c r="B21" s="12" t="s">
        <v>305</v>
      </c>
      <c r="C21" s="12">
        <v>0.7</v>
      </c>
      <c r="D21" s="12"/>
      <c r="E21" s="12"/>
      <c r="F21" s="12"/>
      <c r="G21" s="12"/>
      <c r="H21" s="12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2">
        <v>2453788.9700000002</v>
      </c>
      <c r="B22" s="12" t="s">
        <v>2458</v>
      </c>
      <c r="C22" s="12">
        <v>0.66</v>
      </c>
      <c r="D22" s="12"/>
      <c r="E22" s="12"/>
      <c r="F22" s="12"/>
      <c r="G22" s="12"/>
      <c r="H22" s="12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2">
        <v>2453790.9527500002</v>
      </c>
      <c r="B23" s="12" t="s">
        <v>306</v>
      </c>
      <c r="C23" s="12">
        <v>0.81</v>
      </c>
      <c r="D23" s="12"/>
      <c r="E23" s="12"/>
      <c r="F23" s="12"/>
      <c r="G23" s="12"/>
      <c r="H23" s="12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2">
        <v>2453790.98</v>
      </c>
      <c r="B24" s="12" t="s">
        <v>306</v>
      </c>
      <c r="C24" s="12">
        <v>0.79</v>
      </c>
      <c r="D24" s="12"/>
      <c r="E24" s="12"/>
      <c r="F24" s="12"/>
      <c r="G24" s="12"/>
      <c r="H24" s="12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2">
        <v>2453791.9700000002</v>
      </c>
      <c r="B25" s="12" t="s">
        <v>307</v>
      </c>
      <c r="C25" s="12">
        <v>0.65</v>
      </c>
      <c r="D25" s="12"/>
      <c r="E25" s="12"/>
      <c r="F25" s="12"/>
      <c r="G25" s="12"/>
      <c r="H25" s="12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2">
        <v>2453792.9700000002</v>
      </c>
      <c r="B26" s="12" t="s">
        <v>2446</v>
      </c>
      <c r="C26" s="12">
        <v>0.65</v>
      </c>
      <c r="D26" s="12"/>
      <c r="E26" s="12"/>
      <c r="F26" s="12"/>
      <c r="G26" s="12"/>
      <c r="H26" s="12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2">
        <v>2453793.98</v>
      </c>
      <c r="B27" s="12" t="s">
        <v>308</v>
      </c>
      <c r="C27" s="12">
        <v>0.62</v>
      </c>
      <c r="D27" s="12"/>
      <c r="E27" s="12"/>
      <c r="F27" s="12"/>
      <c r="G27" s="12"/>
      <c r="H27" s="12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2">
        <v>2453794.98</v>
      </c>
      <c r="B28" s="12" t="s">
        <v>309</v>
      </c>
      <c r="C28" s="12">
        <v>0.71</v>
      </c>
      <c r="D28" s="12"/>
      <c r="E28" s="12"/>
      <c r="F28" s="12"/>
      <c r="G28" s="12"/>
      <c r="H28" s="12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12">
        <v>2453795.9468999999</v>
      </c>
      <c r="B29" s="12" t="s">
        <v>2447</v>
      </c>
      <c r="C29" s="12">
        <v>0.82</v>
      </c>
      <c r="D29" s="12"/>
      <c r="E29" s="12"/>
      <c r="F29" s="12"/>
      <c r="G29" s="12"/>
      <c r="H29" s="12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2">
        <v>2453795.9700000002</v>
      </c>
      <c r="B30" s="12" t="s">
        <v>2447</v>
      </c>
      <c r="C30" s="12">
        <v>0.68</v>
      </c>
      <c r="D30" s="12"/>
      <c r="E30" s="12"/>
      <c r="F30" s="12"/>
      <c r="G30" s="12"/>
      <c r="H30" s="12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2">
        <v>2453797.9700000002</v>
      </c>
      <c r="B31" s="12" t="s">
        <v>311</v>
      </c>
      <c r="C31" s="12">
        <v>0.6</v>
      </c>
      <c r="D31" s="12"/>
      <c r="E31" s="12"/>
      <c r="F31" s="12"/>
      <c r="G31" s="12"/>
      <c r="H31" s="12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2">
        <v>2453798.9433499998</v>
      </c>
      <c r="B32" s="12" t="s">
        <v>2459</v>
      </c>
      <c r="C32" s="12">
        <v>0.64</v>
      </c>
      <c r="D32" s="12"/>
      <c r="E32" s="12"/>
      <c r="F32" s="12"/>
      <c r="G32" s="12"/>
      <c r="H32" s="12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2">
        <v>2453799.9900000002</v>
      </c>
      <c r="B33" s="12" t="s">
        <v>312</v>
      </c>
      <c r="C33" s="12">
        <v>0.64</v>
      </c>
      <c r="D33" s="12"/>
      <c r="E33" s="12"/>
      <c r="F33" s="12"/>
      <c r="G33" s="12"/>
      <c r="H33" s="12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2">
        <v>2453801</v>
      </c>
      <c r="B34" s="12" t="s">
        <v>313</v>
      </c>
      <c r="C34" s="12">
        <v>0.67</v>
      </c>
      <c r="D34" s="12"/>
      <c r="E34" s="12"/>
      <c r="F34" s="12"/>
      <c r="G34" s="12"/>
      <c r="H34" s="12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2">
        <v>2453801.9700000002</v>
      </c>
      <c r="B35" s="12" t="s">
        <v>2448</v>
      </c>
      <c r="C35" s="12">
        <v>0.61</v>
      </c>
      <c r="D35" s="12"/>
      <c r="E35" s="12"/>
      <c r="F35" s="12"/>
      <c r="G35" s="12"/>
      <c r="H35" s="12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2">
        <v>2453802.98</v>
      </c>
      <c r="B36" s="12" t="s">
        <v>314</v>
      </c>
      <c r="C36" s="12">
        <v>0.64</v>
      </c>
      <c r="D36" s="12"/>
      <c r="E36" s="12"/>
      <c r="F36" s="12"/>
      <c r="G36" s="12"/>
      <c r="H36" s="12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2">
        <v>2453812.94545</v>
      </c>
      <c r="B37" s="12" t="s">
        <v>316</v>
      </c>
      <c r="C37" s="12">
        <v>0.73</v>
      </c>
      <c r="D37" s="12"/>
      <c r="E37" s="12"/>
      <c r="F37" s="12"/>
      <c r="G37" s="12"/>
      <c r="H37" s="12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2">
        <v>2453824.8232</v>
      </c>
      <c r="B38" s="12" t="s">
        <v>320</v>
      </c>
      <c r="C38" s="12">
        <v>0.66</v>
      </c>
      <c r="D38" s="12"/>
      <c r="E38" s="12"/>
      <c r="F38" s="12"/>
      <c r="G38" s="12"/>
      <c r="H38" s="12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2">
        <v>2453836.8108999999</v>
      </c>
      <c r="B39" s="12" t="s">
        <v>325</v>
      </c>
      <c r="C39" s="12">
        <v>0.76</v>
      </c>
      <c r="D39" s="12"/>
      <c r="E39" s="12"/>
      <c r="F39" s="12"/>
      <c r="G39" s="12"/>
      <c r="H39" s="12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2">
        <v>2453841.8259999999</v>
      </c>
      <c r="B40" s="12" t="s">
        <v>327</v>
      </c>
      <c r="C40" s="12">
        <v>0.75</v>
      </c>
      <c r="D40" s="12"/>
      <c r="E40" s="12"/>
      <c r="F40" s="12"/>
      <c r="G40" s="12"/>
      <c r="H40" s="12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12">
        <v>2453844.8732500002</v>
      </c>
      <c r="B41" s="12" t="s">
        <v>329</v>
      </c>
      <c r="C41" s="12">
        <v>0.78</v>
      </c>
      <c r="D41" s="12"/>
      <c r="E41" s="12"/>
      <c r="F41" s="12"/>
      <c r="G41" s="12"/>
      <c r="H41" s="12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12">
        <v>2453854.9038999998</v>
      </c>
      <c r="B42" s="12" t="s">
        <v>333</v>
      </c>
      <c r="C42" s="12">
        <v>0.9</v>
      </c>
      <c r="D42" s="12"/>
      <c r="E42" s="12"/>
      <c r="F42" s="12"/>
      <c r="G42" s="12"/>
      <c r="H42" s="12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12">
        <v>2453860.77825</v>
      </c>
      <c r="B43" s="12" t="s">
        <v>337</v>
      </c>
      <c r="C43" s="12">
        <v>0.87</v>
      </c>
      <c r="D43" s="12"/>
      <c r="E43" s="12"/>
      <c r="F43" s="12"/>
      <c r="G43" s="12"/>
      <c r="H43" s="12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12">
        <v>2453863.7810999998</v>
      </c>
      <c r="B44" s="12" t="s">
        <v>141</v>
      </c>
      <c r="C44" s="12">
        <v>0.85</v>
      </c>
      <c r="D44" s="12"/>
      <c r="E44" s="12"/>
      <c r="F44" s="12"/>
      <c r="G44" s="12"/>
      <c r="H44" s="12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12">
        <v>2453879.7990999999</v>
      </c>
      <c r="B45" s="12" t="s">
        <v>344</v>
      </c>
      <c r="C45" s="12">
        <v>1.08</v>
      </c>
      <c r="D45" s="12"/>
      <c r="E45" s="12"/>
      <c r="F45" s="12"/>
      <c r="G45" s="12"/>
      <c r="H45" s="12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12">
        <v>2453883.8276499999</v>
      </c>
      <c r="B46" s="12" t="s">
        <v>347</v>
      </c>
      <c r="C46" s="12">
        <v>1.07</v>
      </c>
      <c r="D46" s="12"/>
      <c r="E46" s="12"/>
      <c r="F46" s="12"/>
      <c r="G46" s="12"/>
      <c r="H46" s="12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12">
        <v>2453897.7337000002</v>
      </c>
      <c r="B47" s="12" t="s">
        <v>352</v>
      </c>
      <c r="C47" s="12">
        <v>1.34</v>
      </c>
      <c r="D47" s="12"/>
      <c r="E47" s="12"/>
      <c r="F47" s="12"/>
      <c r="G47" s="12"/>
      <c r="H47" s="12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12">
        <v>2453916.6700499998</v>
      </c>
      <c r="B48" s="12" t="s">
        <v>358</v>
      </c>
      <c r="C48" s="12">
        <v>1.28</v>
      </c>
      <c r="D48" s="12"/>
      <c r="E48" s="12"/>
      <c r="F48" s="12"/>
      <c r="G48" s="12"/>
      <c r="H48" s="12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12">
        <v>2453916.7489999998</v>
      </c>
      <c r="B49" s="12" t="s">
        <v>358</v>
      </c>
      <c r="C49" s="12">
        <v>1.25</v>
      </c>
      <c r="D49" s="12"/>
      <c r="E49" s="12"/>
      <c r="F49" s="12"/>
      <c r="G49" s="12"/>
      <c r="H49" s="12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12">
        <v>2453922.7174499999</v>
      </c>
      <c r="B50" s="12" t="s">
        <v>361</v>
      </c>
      <c r="C50" s="12">
        <v>1.29</v>
      </c>
      <c r="D50" s="12"/>
      <c r="E50" s="12"/>
      <c r="F50" s="12"/>
      <c r="G50" s="12"/>
      <c r="H50" s="12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12">
        <v>2453936.7628000001</v>
      </c>
      <c r="B51" s="12" t="s">
        <v>365</v>
      </c>
      <c r="C51" s="12">
        <v>1.43</v>
      </c>
      <c r="D51" s="12"/>
      <c r="E51" s="12"/>
      <c r="F51" s="12"/>
      <c r="G51" s="12"/>
      <c r="H51" s="12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12">
        <v>2453956.6181000001</v>
      </c>
      <c r="B52" s="12" t="s">
        <v>372</v>
      </c>
      <c r="C52" s="12">
        <v>1.49</v>
      </c>
      <c r="D52" s="12"/>
      <c r="E52" s="12"/>
      <c r="F52" s="12"/>
      <c r="G52" s="12"/>
      <c r="H52" s="12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12">
        <v>2453957.6083999998</v>
      </c>
      <c r="B53" s="12" t="s">
        <v>373</v>
      </c>
      <c r="C53" s="12">
        <v>1.47</v>
      </c>
      <c r="D53" s="12"/>
      <c r="E53" s="12"/>
      <c r="F53" s="12"/>
      <c r="G53" s="12"/>
      <c r="H53" s="12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12">
        <v>2453979.6157</v>
      </c>
      <c r="B54" s="12" t="s">
        <v>380</v>
      </c>
      <c r="C54" s="12">
        <v>1.173</v>
      </c>
      <c r="D54" s="12"/>
      <c r="E54" s="12"/>
      <c r="F54" s="12"/>
      <c r="G54" s="12"/>
      <c r="H54" s="12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12">
        <v>2453979.6456300002</v>
      </c>
      <c r="B55" s="12" t="s">
        <v>380</v>
      </c>
      <c r="C55" s="12">
        <v>1.2010000000000001</v>
      </c>
      <c r="D55" s="12"/>
      <c r="E55" s="12"/>
      <c r="F55" s="12"/>
      <c r="G55" s="12"/>
      <c r="H55" s="12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12">
        <v>2453979.68677</v>
      </c>
      <c r="B56" s="12" t="s">
        <v>380</v>
      </c>
      <c r="C56" s="12">
        <v>1.1759999999999999</v>
      </c>
      <c r="D56" s="12"/>
      <c r="E56" s="12"/>
      <c r="F56" s="12"/>
      <c r="G56" s="12"/>
      <c r="H56" s="12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12">
        <v>2453985.6061100001</v>
      </c>
      <c r="B57" s="12" t="s">
        <v>385</v>
      </c>
      <c r="C57" s="12">
        <v>1.1100000000000001</v>
      </c>
      <c r="D57" s="12"/>
      <c r="E57" s="12"/>
      <c r="F57" s="12"/>
      <c r="G57" s="12"/>
      <c r="H57" s="12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12">
        <v>2453985.6360499999</v>
      </c>
      <c r="B58" s="12" t="s">
        <v>385</v>
      </c>
      <c r="C58" s="12">
        <v>1.137</v>
      </c>
      <c r="D58" s="12"/>
      <c r="E58" s="12"/>
      <c r="F58" s="12"/>
      <c r="G58" s="12"/>
      <c r="H58" s="12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2">
        <v>2453985.66598</v>
      </c>
      <c r="B59" s="12" t="s">
        <v>385</v>
      </c>
      <c r="C59" s="12">
        <v>1.111</v>
      </c>
      <c r="D59" s="12"/>
      <c r="E59" s="12"/>
      <c r="F59" s="12"/>
      <c r="G59" s="12"/>
      <c r="H59" s="12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12">
        <v>2453987.64439</v>
      </c>
      <c r="B60" s="12" t="s">
        <v>387</v>
      </c>
      <c r="C60" s="12">
        <v>1.2729999999999999</v>
      </c>
      <c r="D60" s="12"/>
      <c r="E60" s="12"/>
      <c r="F60" s="12"/>
      <c r="G60" s="12"/>
      <c r="H60" s="12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12">
        <v>2453987.6746800002</v>
      </c>
      <c r="B61" s="12" t="s">
        <v>387</v>
      </c>
      <c r="C61" s="12">
        <v>1.2070000000000001</v>
      </c>
      <c r="D61" s="12"/>
      <c r="E61" s="12"/>
      <c r="F61" s="12"/>
      <c r="G61" s="12"/>
      <c r="H61" s="12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25">
      <c r="A62" s="12">
        <v>2453989.97444</v>
      </c>
      <c r="B62" s="12" t="s">
        <v>388</v>
      </c>
      <c r="C62" s="12">
        <v>1.31</v>
      </c>
      <c r="D62" s="12"/>
      <c r="E62" s="12"/>
      <c r="F62" s="12"/>
      <c r="G62" s="12"/>
      <c r="H62" s="12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25">
      <c r="A63" s="12">
        <v>2453994.9123200001</v>
      </c>
      <c r="B63" s="12" t="s">
        <v>392</v>
      </c>
      <c r="C63" s="12">
        <v>1.52</v>
      </c>
      <c r="D63" s="12"/>
      <c r="E63" s="12"/>
      <c r="F63" s="12"/>
      <c r="G63" s="12"/>
      <c r="H63" s="12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25">
      <c r="A64" s="12">
        <v>2453995.6012499998</v>
      </c>
      <c r="B64" s="12" t="s">
        <v>393</v>
      </c>
      <c r="C64" s="12">
        <v>1.534</v>
      </c>
      <c r="D64" s="12"/>
      <c r="E64" s="12"/>
      <c r="F64" s="12"/>
      <c r="G64" s="12"/>
      <c r="H64" s="12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x14ac:dyDescent="0.25">
      <c r="A65" s="12">
        <v>2453995.6283999998</v>
      </c>
      <c r="B65" s="12" t="s">
        <v>393</v>
      </c>
      <c r="C65" s="12">
        <v>1.5389999999999999</v>
      </c>
      <c r="D65" s="12"/>
      <c r="E65" s="12"/>
      <c r="F65" s="12"/>
      <c r="G65" s="12"/>
      <c r="H65" s="12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x14ac:dyDescent="0.25">
      <c r="A66" s="12">
        <v>2453995.6555499998</v>
      </c>
      <c r="B66" s="12" t="s">
        <v>393</v>
      </c>
      <c r="C66" s="12">
        <v>1.554</v>
      </c>
      <c r="D66" s="12"/>
      <c r="E66" s="12"/>
      <c r="F66" s="12"/>
      <c r="G66" s="12"/>
      <c r="H66" s="12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x14ac:dyDescent="0.25">
      <c r="A67" s="12">
        <v>2453996.6044399999</v>
      </c>
      <c r="B67" s="12" t="s">
        <v>394</v>
      </c>
      <c r="C67" s="12">
        <v>1.5249999999999999</v>
      </c>
      <c r="D67" s="12"/>
      <c r="E67" s="12"/>
      <c r="F67" s="12"/>
      <c r="G67" s="12"/>
      <c r="H67" s="12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x14ac:dyDescent="0.25">
      <c r="A68" s="12">
        <v>2453996.6315899999</v>
      </c>
      <c r="B68" s="12" t="s">
        <v>394</v>
      </c>
      <c r="C68" s="12">
        <v>1.53</v>
      </c>
      <c r="D68" s="12"/>
      <c r="E68" s="12"/>
      <c r="F68" s="12"/>
      <c r="G68" s="12"/>
      <c r="H68" s="12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x14ac:dyDescent="0.25">
      <c r="A69" s="12">
        <v>2453996.6858999999</v>
      </c>
      <c r="B69" s="12" t="s">
        <v>394</v>
      </c>
      <c r="C69" s="12">
        <v>1.5049999999999999</v>
      </c>
      <c r="D69" s="12"/>
      <c r="E69" s="12"/>
      <c r="F69" s="12"/>
      <c r="G69" s="12"/>
      <c r="H69" s="12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x14ac:dyDescent="0.25">
      <c r="A70" s="12">
        <v>2453997.5950000002</v>
      </c>
      <c r="B70" s="12" t="s">
        <v>395</v>
      </c>
      <c r="C70" s="12">
        <v>1.571</v>
      </c>
      <c r="D70" s="12"/>
      <c r="E70" s="12"/>
      <c r="F70" s="12"/>
      <c r="G70" s="12"/>
      <c r="H70" s="12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x14ac:dyDescent="0.25">
      <c r="A71" s="12">
        <v>2453997.6225100001</v>
      </c>
      <c r="B71" s="12" t="s">
        <v>395</v>
      </c>
      <c r="C71" s="12">
        <v>1.5620000000000001</v>
      </c>
      <c r="D71" s="12"/>
      <c r="E71" s="12"/>
      <c r="F71" s="12"/>
      <c r="G71" s="12"/>
      <c r="H71" s="12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x14ac:dyDescent="0.25">
      <c r="A72" s="12">
        <v>2453997.65001</v>
      </c>
      <c r="B72" s="12" t="s">
        <v>395</v>
      </c>
      <c r="C72" s="12">
        <v>1.522</v>
      </c>
      <c r="D72" s="12"/>
      <c r="E72" s="12"/>
      <c r="F72" s="12"/>
      <c r="G72" s="12"/>
      <c r="H72" s="12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x14ac:dyDescent="0.25">
      <c r="A73" s="12">
        <v>2453997.6912600002</v>
      </c>
      <c r="B73" s="12" t="s">
        <v>395</v>
      </c>
      <c r="C73" s="12">
        <v>1.57</v>
      </c>
      <c r="D73" s="12"/>
      <c r="E73" s="12"/>
      <c r="F73" s="12"/>
      <c r="G73" s="12"/>
      <c r="H73" s="12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x14ac:dyDescent="0.25">
      <c r="A74" s="12">
        <v>2453998.5943200001</v>
      </c>
      <c r="B74" s="12" t="s">
        <v>396</v>
      </c>
      <c r="C74" s="12">
        <v>1.6859999999999999</v>
      </c>
      <c r="D74" s="12"/>
      <c r="E74" s="12"/>
      <c r="F74" s="12"/>
      <c r="G74" s="12"/>
      <c r="H74" s="12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25">
      <c r="A75" s="12">
        <v>2453998.6486300002</v>
      </c>
      <c r="B75" s="12" t="s">
        <v>396</v>
      </c>
      <c r="C75" s="12">
        <v>1.56</v>
      </c>
      <c r="D75" s="12"/>
      <c r="E75" s="12"/>
      <c r="F75" s="12"/>
      <c r="G75" s="12"/>
      <c r="H75" s="12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25">
      <c r="A76" s="12">
        <v>2453998.6757700001</v>
      </c>
      <c r="B76" s="12" t="s">
        <v>396</v>
      </c>
      <c r="C76" s="12">
        <v>1.5189999999999999</v>
      </c>
      <c r="D76" s="12"/>
      <c r="E76" s="12"/>
      <c r="F76" s="12"/>
      <c r="G76" s="12"/>
      <c r="H76" s="12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25">
      <c r="A77" s="12">
        <v>2453998.7029200001</v>
      </c>
      <c r="B77" s="12" t="s">
        <v>396</v>
      </c>
      <c r="C77" s="12">
        <v>1.462</v>
      </c>
      <c r="D77" s="12"/>
      <c r="E77" s="12"/>
      <c r="F77" s="12"/>
      <c r="G77" s="12"/>
      <c r="H77" s="12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25">
      <c r="A78" s="12">
        <v>2453999.5929299998</v>
      </c>
      <c r="B78" s="12" t="s">
        <v>397</v>
      </c>
      <c r="C78" s="12">
        <v>1.514</v>
      </c>
      <c r="D78" s="12"/>
      <c r="E78" s="12"/>
      <c r="F78" s="12"/>
      <c r="G78" s="12"/>
      <c r="H78" s="12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x14ac:dyDescent="0.25">
      <c r="A79" s="12">
        <v>2453999.6200799998</v>
      </c>
      <c r="B79" s="12" t="s">
        <v>397</v>
      </c>
      <c r="C79" s="12">
        <v>1.534</v>
      </c>
      <c r="D79" s="12"/>
      <c r="E79" s="12"/>
      <c r="F79" s="12"/>
      <c r="G79" s="12"/>
      <c r="H79" s="12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12">
        <v>2453999.6472299998</v>
      </c>
      <c r="B80" s="12" t="s">
        <v>397</v>
      </c>
      <c r="C80" s="12">
        <v>1.502</v>
      </c>
      <c r="D80" s="12"/>
      <c r="E80" s="12"/>
      <c r="F80" s="12"/>
      <c r="G80" s="12"/>
      <c r="H80" s="12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12">
        <v>2453999.6743800002</v>
      </c>
      <c r="B81" s="12" t="s">
        <v>397</v>
      </c>
      <c r="C81" s="12">
        <v>1.4710000000000001</v>
      </c>
      <c r="D81" s="12"/>
      <c r="E81" s="12"/>
      <c r="F81" s="12"/>
      <c r="G81" s="12"/>
      <c r="H81" s="12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12">
        <v>2453999.7015300002</v>
      </c>
      <c r="B82" s="12" t="s">
        <v>397</v>
      </c>
      <c r="C82" s="12">
        <v>1.5249999999999999</v>
      </c>
      <c r="D82" s="12"/>
      <c r="E82" s="12"/>
      <c r="F82" s="12"/>
      <c r="G82" s="12"/>
      <c r="H82" s="12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12">
        <v>2454000.59222</v>
      </c>
      <c r="B83" s="12" t="s">
        <v>398</v>
      </c>
      <c r="C83" s="12">
        <v>1.5880000000000001</v>
      </c>
      <c r="D83" s="12"/>
      <c r="E83" s="12"/>
      <c r="F83" s="12"/>
      <c r="G83" s="12"/>
      <c r="H83" s="12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12">
        <v>2454000.61937</v>
      </c>
      <c r="B84" s="12" t="s">
        <v>398</v>
      </c>
      <c r="C84" s="12">
        <v>1.5269999999999999</v>
      </c>
      <c r="D84" s="12"/>
      <c r="E84" s="12"/>
      <c r="F84" s="12"/>
      <c r="G84" s="12"/>
      <c r="H84" s="12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12">
        <v>2454000.64652</v>
      </c>
      <c r="B85" s="12" t="s">
        <v>398</v>
      </c>
      <c r="C85" s="12">
        <v>1.5209999999999999</v>
      </c>
      <c r="D85" s="12"/>
      <c r="E85" s="12"/>
      <c r="F85" s="12"/>
      <c r="G85" s="12"/>
      <c r="H85" s="12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12">
        <v>2454000.67368</v>
      </c>
      <c r="B86" s="12" t="s">
        <v>398</v>
      </c>
      <c r="C86" s="12">
        <v>1.4950000000000001</v>
      </c>
      <c r="D86" s="12"/>
      <c r="E86" s="12"/>
      <c r="F86" s="12"/>
      <c r="G86" s="12"/>
      <c r="H86" s="12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12">
        <v>2454000.70083</v>
      </c>
      <c r="B87" s="12" t="s">
        <v>398</v>
      </c>
      <c r="C87" s="12">
        <v>1.5009999999999999</v>
      </c>
      <c r="D87" s="12"/>
      <c r="E87" s="12"/>
      <c r="F87" s="12"/>
      <c r="G87" s="12"/>
      <c r="H87" s="12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2">
        <v>2454001.5908400002</v>
      </c>
      <c r="B88" s="12" t="s">
        <v>399</v>
      </c>
      <c r="C88" s="12">
        <v>1.421</v>
      </c>
      <c r="D88" s="12"/>
      <c r="E88" s="12"/>
      <c r="F88" s="12"/>
      <c r="G88" s="12"/>
      <c r="H88" s="12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12">
        <v>2454001.6451500002</v>
      </c>
      <c r="B89" s="12" t="s">
        <v>399</v>
      </c>
      <c r="C89" s="12">
        <v>1.448</v>
      </c>
      <c r="D89" s="12"/>
      <c r="E89" s="12"/>
      <c r="F89" s="12"/>
      <c r="G89" s="12"/>
      <c r="H89" s="12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12">
        <v>2454002.5908599999</v>
      </c>
      <c r="B90" s="12" t="s">
        <v>400</v>
      </c>
      <c r="C90" s="12">
        <v>1.494</v>
      </c>
      <c r="D90" s="12"/>
      <c r="E90" s="12"/>
      <c r="F90" s="12"/>
      <c r="G90" s="12"/>
      <c r="H90" s="12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12">
        <v>2454002.6183699998</v>
      </c>
      <c r="B91" s="12" t="s">
        <v>400</v>
      </c>
      <c r="C91" s="12">
        <v>1.45</v>
      </c>
      <c r="D91" s="12"/>
      <c r="E91" s="12"/>
      <c r="F91" s="12"/>
      <c r="G91" s="12"/>
      <c r="H91" s="12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12">
        <v>2454002.67289</v>
      </c>
      <c r="B92" s="12" t="s">
        <v>400</v>
      </c>
      <c r="C92" s="12">
        <v>1.4950000000000001</v>
      </c>
      <c r="D92" s="12"/>
      <c r="E92" s="12"/>
      <c r="F92" s="12"/>
      <c r="G92" s="12"/>
      <c r="H92" s="12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12">
        <v>2454003.97701</v>
      </c>
      <c r="B93" s="12" t="s">
        <v>401</v>
      </c>
      <c r="C93" s="12">
        <v>1.49</v>
      </c>
      <c r="D93" s="12"/>
      <c r="E93" s="12"/>
      <c r="F93" s="12"/>
      <c r="G93" s="12"/>
      <c r="H93" s="12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12">
        <v>2454004.9316400001</v>
      </c>
      <c r="B94" s="12" t="s">
        <v>2449</v>
      </c>
      <c r="C94" s="12">
        <v>1.35</v>
      </c>
      <c r="D94" s="12"/>
      <c r="E94" s="12"/>
      <c r="F94" s="12"/>
      <c r="G94" s="12"/>
      <c r="H94" s="12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12">
        <v>2454005.5413000002</v>
      </c>
      <c r="B95" s="12" t="s">
        <v>402</v>
      </c>
      <c r="C95" s="12">
        <v>1.46</v>
      </c>
      <c r="D95" s="12"/>
      <c r="E95" s="12"/>
      <c r="F95" s="12"/>
      <c r="G95" s="12"/>
      <c r="H95" s="12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12">
        <v>2454006.5873599998</v>
      </c>
      <c r="B96" s="12" t="s">
        <v>403</v>
      </c>
      <c r="C96" s="12">
        <v>1.399</v>
      </c>
      <c r="D96" s="12"/>
      <c r="E96" s="12"/>
      <c r="F96" s="12"/>
      <c r="G96" s="12"/>
      <c r="H96" s="12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12">
        <v>2454006.6416699998</v>
      </c>
      <c r="B97" s="12" t="s">
        <v>403</v>
      </c>
      <c r="C97" s="12">
        <v>1.4219999999999999</v>
      </c>
      <c r="D97" s="12"/>
      <c r="E97" s="12"/>
      <c r="F97" s="12"/>
      <c r="G97" s="12"/>
      <c r="H97" s="12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12">
        <v>2454006.6688299999</v>
      </c>
      <c r="B98" s="12" t="s">
        <v>403</v>
      </c>
      <c r="C98" s="12">
        <v>1.3049999999999999</v>
      </c>
      <c r="D98" s="12"/>
      <c r="E98" s="12"/>
      <c r="F98" s="12"/>
      <c r="G98" s="12"/>
      <c r="H98" s="12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12">
        <v>2454007.5873599998</v>
      </c>
      <c r="B99" s="12" t="s">
        <v>404</v>
      </c>
      <c r="C99" s="12">
        <v>1.417</v>
      </c>
      <c r="D99" s="12"/>
      <c r="E99" s="12"/>
      <c r="F99" s="12"/>
      <c r="G99" s="12"/>
      <c r="H99" s="12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12">
        <v>2454007.6145199998</v>
      </c>
      <c r="B100" s="12" t="s">
        <v>404</v>
      </c>
      <c r="C100" s="12">
        <v>1.2549999999999999</v>
      </c>
      <c r="D100" s="12"/>
      <c r="E100" s="12"/>
      <c r="F100" s="12"/>
      <c r="G100" s="12"/>
      <c r="H100" s="12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12">
        <v>2454007.6688299999</v>
      </c>
      <c r="B101" s="12" t="s">
        <v>404</v>
      </c>
      <c r="C101" s="12">
        <v>1.244</v>
      </c>
      <c r="D101" s="12"/>
      <c r="E101" s="12"/>
      <c r="F101" s="12"/>
      <c r="G101" s="12"/>
      <c r="H101" s="12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12">
        <v>2454009.5873699998</v>
      </c>
      <c r="B102" s="12" t="s">
        <v>405</v>
      </c>
      <c r="C102" s="12">
        <v>1.4119999999999999</v>
      </c>
      <c r="D102" s="12"/>
      <c r="E102" s="12"/>
      <c r="F102" s="12"/>
      <c r="G102" s="12"/>
      <c r="H102" s="12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12">
        <v>2454009.6145299999</v>
      </c>
      <c r="B103" s="12" t="s">
        <v>405</v>
      </c>
      <c r="C103" s="12">
        <v>1.2769999999999999</v>
      </c>
      <c r="D103" s="12"/>
      <c r="E103" s="12"/>
      <c r="F103" s="12"/>
      <c r="G103" s="12"/>
      <c r="H103" s="12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12">
        <v>2454009.6416799999</v>
      </c>
      <c r="B104" s="12" t="s">
        <v>405</v>
      </c>
      <c r="C104" s="12">
        <v>1.4259999999999999</v>
      </c>
      <c r="D104" s="12"/>
      <c r="E104" s="12"/>
      <c r="F104" s="12"/>
      <c r="G104" s="12"/>
      <c r="H104" s="12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12">
        <v>2454009.6688399999</v>
      </c>
      <c r="B105" s="12" t="s">
        <v>405</v>
      </c>
      <c r="C105" s="12">
        <v>1.3640000000000001</v>
      </c>
      <c r="D105" s="12"/>
      <c r="E105" s="12"/>
      <c r="F105" s="12"/>
      <c r="G105" s="12"/>
      <c r="H105" s="12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12">
        <v>2454010.5859699999</v>
      </c>
      <c r="B106" s="12" t="s">
        <v>406</v>
      </c>
      <c r="C106" s="12">
        <v>1.3420000000000001</v>
      </c>
      <c r="D106" s="12"/>
      <c r="E106" s="12"/>
      <c r="F106" s="12"/>
      <c r="G106" s="12"/>
      <c r="H106" s="12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12">
        <v>2454010.6409700001</v>
      </c>
      <c r="B107" s="12" t="s">
        <v>406</v>
      </c>
      <c r="C107" s="12">
        <v>1.331</v>
      </c>
      <c r="D107" s="12"/>
      <c r="E107" s="12"/>
      <c r="F107" s="12"/>
      <c r="G107" s="12"/>
      <c r="H107" s="12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12">
        <v>2454011.5838899999</v>
      </c>
      <c r="B108" s="12" t="s">
        <v>407</v>
      </c>
      <c r="C108" s="12">
        <v>1.357</v>
      </c>
      <c r="D108" s="12"/>
      <c r="E108" s="12"/>
      <c r="F108" s="12"/>
      <c r="G108" s="12"/>
      <c r="H108" s="12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12">
        <v>2454011.6389000001</v>
      </c>
      <c r="B109" s="12" t="s">
        <v>407</v>
      </c>
      <c r="C109" s="12">
        <v>1.31</v>
      </c>
      <c r="D109" s="12"/>
      <c r="E109" s="12"/>
      <c r="F109" s="12"/>
      <c r="G109" s="12"/>
      <c r="H109" s="12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12">
        <v>2454011.6664</v>
      </c>
      <c r="B110" s="12" t="s">
        <v>407</v>
      </c>
      <c r="C110" s="12">
        <v>1.363</v>
      </c>
      <c r="D110" s="12"/>
      <c r="E110" s="12"/>
      <c r="F110" s="12"/>
      <c r="G110" s="12"/>
      <c r="H110" s="12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12">
        <v>2454015.5515000001</v>
      </c>
      <c r="B111" s="12" t="s">
        <v>408</v>
      </c>
      <c r="C111" s="12">
        <v>1.51</v>
      </c>
      <c r="D111" s="12"/>
      <c r="E111" s="12"/>
      <c r="F111" s="12"/>
      <c r="G111" s="12"/>
      <c r="H111" s="12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x14ac:dyDescent="0.25">
      <c r="A112" s="12">
        <v>2454030.5260999999</v>
      </c>
      <c r="B112" s="12" t="s">
        <v>410</v>
      </c>
      <c r="C112" s="12">
        <v>1.1399999999999999</v>
      </c>
      <c r="D112" s="12"/>
      <c r="E112" s="12"/>
      <c r="F112" s="12"/>
      <c r="G112" s="12"/>
      <c r="H112" s="12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x14ac:dyDescent="0.25">
      <c r="A113" s="12">
        <v>2454061.4720999999</v>
      </c>
      <c r="B113" s="12" t="s">
        <v>415</v>
      </c>
      <c r="C113" s="12">
        <v>1.33</v>
      </c>
      <c r="D113" s="12"/>
      <c r="E113" s="12"/>
      <c r="F113" s="12"/>
      <c r="G113" s="12"/>
      <c r="H113" s="12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x14ac:dyDescent="0.25">
      <c r="A114" s="12">
        <v>2454189.8978499998</v>
      </c>
      <c r="B114" s="12" t="s">
        <v>2450</v>
      </c>
      <c r="C114" s="12">
        <v>1.07</v>
      </c>
      <c r="D114" s="12"/>
      <c r="E114" s="12"/>
      <c r="F114" s="12"/>
      <c r="G114" s="12"/>
      <c r="H114" s="12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12">
        <v>2454210.8895</v>
      </c>
      <c r="B115" s="12" t="s">
        <v>437</v>
      </c>
      <c r="C115" s="12">
        <v>1.36</v>
      </c>
      <c r="D115" s="12"/>
      <c r="E115" s="12"/>
      <c r="F115" s="12"/>
      <c r="G115" s="12"/>
      <c r="H115" s="12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12">
        <v>2454225.8552999999</v>
      </c>
      <c r="B116" s="12" t="s">
        <v>442</v>
      </c>
      <c r="C116" s="12">
        <v>1.21</v>
      </c>
      <c r="D116" s="12"/>
      <c r="E116" s="12"/>
      <c r="F116" s="12"/>
      <c r="G116" s="12"/>
      <c r="H116" s="12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12">
        <v>2454234.8433500002</v>
      </c>
      <c r="B117" s="12" t="s">
        <v>148</v>
      </c>
      <c r="C117" s="12">
        <v>1.1599999999999999</v>
      </c>
      <c r="D117" s="12"/>
      <c r="E117" s="12"/>
      <c r="F117" s="12"/>
      <c r="G117" s="12"/>
      <c r="H117" s="12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12">
        <v>2454249.8484</v>
      </c>
      <c r="B118" s="12" t="s">
        <v>448</v>
      </c>
      <c r="C118" s="12">
        <v>1.07</v>
      </c>
      <c r="D118" s="12"/>
      <c r="E118" s="12"/>
      <c r="F118" s="12"/>
      <c r="G118" s="12"/>
      <c r="H118" s="12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12">
        <v>2454262.76095</v>
      </c>
      <c r="B119" s="12" t="s">
        <v>449</v>
      </c>
      <c r="C119" s="12">
        <v>1.17</v>
      </c>
      <c r="D119" s="12"/>
      <c r="E119" s="12"/>
      <c r="F119" s="12"/>
      <c r="G119" s="12"/>
      <c r="H119" s="12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12">
        <v>2454297.7852500002</v>
      </c>
      <c r="B120" s="12" t="s">
        <v>453</v>
      </c>
      <c r="C120" s="12">
        <v>1.0900000000000001</v>
      </c>
      <c r="D120" s="12"/>
      <c r="E120" s="12"/>
      <c r="F120" s="12"/>
      <c r="G120" s="12"/>
      <c r="H120" s="12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2">
        <v>2454323.72645</v>
      </c>
      <c r="B121" s="12" t="s">
        <v>457</v>
      </c>
      <c r="C121" s="12">
        <v>1.02</v>
      </c>
      <c r="D121" s="12"/>
      <c r="E121" s="12"/>
      <c r="F121" s="12"/>
      <c r="G121" s="12"/>
      <c r="H121" s="12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2">
        <v>2454336.6668500002</v>
      </c>
      <c r="B122" s="12" t="s">
        <v>458</v>
      </c>
      <c r="C122" s="12">
        <v>1.25</v>
      </c>
      <c r="D122" s="12"/>
      <c r="E122" s="12"/>
      <c r="F122" s="12"/>
      <c r="G122" s="12"/>
      <c r="H122" s="12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2">
        <v>2454344.6712000002</v>
      </c>
      <c r="B123" s="12" t="s">
        <v>460</v>
      </c>
      <c r="C123" s="12">
        <v>1.23</v>
      </c>
      <c r="D123" s="12"/>
      <c r="E123" s="12"/>
      <c r="F123" s="12"/>
      <c r="G123" s="12"/>
      <c r="H123" s="12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2">
        <v>2454349.6527499999</v>
      </c>
      <c r="B124" s="12" t="s">
        <v>150</v>
      </c>
      <c r="C124" s="12">
        <v>1.21</v>
      </c>
      <c r="D124" s="12"/>
      <c r="E124" s="12"/>
      <c r="F124" s="12"/>
      <c r="G124" s="12"/>
      <c r="H124" s="12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2">
        <v>2454357.6406999999</v>
      </c>
      <c r="B125" s="12" t="s">
        <v>461</v>
      </c>
      <c r="C125" s="12">
        <v>1.1200000000000001</v>
      </c>
      <c r="D125" s="12"/>
      <c r="E125" s="12"/>
      <c r="F125" s="12"/>
      <c r="G125" s="12"/>
      <c r="H125" s="12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2">
        <v>2454360.6176</v>
      </c>
      <c r="B126" s="12" t="s">
        <v>463</v>
      </c>
      <c r="C126" s="12">
        <v>1.1499999999999999</v>
      </c>
      <c r="D126" s="12"/>
      <c r="E126" s="12"/>
      <c r="F126" s="12"/>
      <c r="G126" s="12"/>
      <c r="H126" s="12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2">
        <v>2454378.5706500001</v>
      </c>
      <c r="B127" s="12" t="s">
        <v>151</v>
      </c>
      <c r="C127" s="12">
        <v>1.22</v>
      </c>
      <c r="D127" s="12"/>
      <c r="E127" s="12"/>
      <c r="F127" s="12"/>
      <c r="G127" s="12"/>
      <c r="H127" s="12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2">
        <v>2454394.5406499999</v>
      </c>
      <c r="B128" s="12" t="s">
        <v>464</v>
      </c>
      <c r="C128" s="12">
        <v>1.18</v>
      </c>
      <c r="D128" s="12"/>
      <c r="E128" s="12"/>
      <c r="F128" s="12"/>
      <c r="G128" s="12"/>
      <c r="H128" s="12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2">
        <v>2454404.51015</v>
      </c>
      <c r="B129" s="12" t="s">
        <v>466</v>
      </c>
      <c r="C129" s="12">
        <v>1.31</v>
      </c>
      <c r="D129" s="12"/>
      <c r="E129" s="12"/>
      <c r="F129" s="12"/>
      <c r="G129" s="12"/>
      <c r="H129" s="12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2">
        <v>2454407.5167</v>
      </c>
      <c r="B130" s="12" t="s">
        <v>467</v>
      </c>
      <c r="C130" s="12">
        <v>1.04</v>
      </c>
      <c r="D130" s="12"/>
      <c r="E130" s="12"/>
      <c r="F130" s="12"/>
      <c r="G130" s="12"/>
      <c r="H130" s="12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2">
        <v>2454573.8615000001</v>
      </c>
      <c r="B131" s="12" t="s">
        <v>468</v>
      </c>
      <c r="C131" s="12">
        <v>1.0900000000000001</v>
      </c>
      <c r="D131" s="12"/>
      <c r="E131" s="12"/>
      <c r="F131" s="12"/>
      <c r="G131" s="12"/>
      <c r="H131" s="12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2">
        <v>2454578.8671499998</v>
      </c>
      <c r="B132" s="12" t="s">
        <v>469</v>
      </c>
      <c r="C132" s="12">
        <v>0.87</v>
      </c>
      <c r="D132" s="12"/>
      <c r="E132" s="12"/>
      <c r="F132" s="12"/>
      <c r="G132" s="12"/>
      <c r="H132" s="12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2">
        <v>2454611.8717</v>
      </c>
      <c r="B133" s="12" t="s">
        <v>472</v>
      </c>
      <c r="C133" s="12">
        <v>1.1499999999999999</v>
      </c>
      <c r="D133" s="12"/>
      <c r="E133" s="12"/>
      <c r="F133" s="12"/>
      <c r="G133" s="12"/>
      <c r="H133" s="12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2">
        <v>2454641.8402</v>
      </c>
      <c r="B134" s="12" t="s">
        <v>475</v>
      </c>
      <c r="C134" s="12">
        <v>1.1000000000000001</v>
      </c>
      <c r="D134" s="12"/>
      <c r="E134" s="12"/>
      <c r="F134" s="12"/>
      <c r="G134" s="12"/>
      <c r="H134" s="12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2">
        <v>2454649.76945</v>
      </c>
      <c r="B135" s="12" t="s">
        <v>154</v>
      </c>
      <c r="C135" s="12">
        <v>1.26</v>
      </c>
      <c r="D135" s="12"/>
      <c r="E135" s="12"/>
      <c r="F135" s="12"/>
      <c r="G135" s="12"/>
      <c r="H135" s="12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2">
        <v>2454662.7320500002</v>
      </c>
      <c r="B136" s="12" t="s">
        <v>477</v>
      </c>
      <c r="C136" s="12">
        <v>1.23</v>
      </c>
      <c r="D136" s="12"/>
      <c r="E136" s="12"/>
      <c r="F136" s="12"/>
      <c r="G136" s="12"/>
      <c r="H136" s="12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2">
        <v>2454704.5866</v>
      </c>
      <c r="B137" s="12" t="s">
        <v>478</v>
      </c>
      <c r="C137" s="12">
        <v>1.25</v>
      </c>
      <c r="D137" s="12"/>
      <c r="E137" s="12"/>
      <c r="F137" s="12"/>
      <c r="G137" s="12"/>
      <c r="H137" s="12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2">
        <v>2454717.6259499998</v>
      </c>
      <c r="B138" s="12" t="s">
        <v>479</v>
      </c>
      <c r="C138" s="12">
        <v>1.05</v>
      </c>
      <c r="D138" s="12"/>
      <c r="E138" s="12"/>
      <c r="F138" s="12"/>
      <c r="G138" s="12"/>
      <c r="H138" s="12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2">
        <v>2454732.5928500001</v>
      </c>
      <c r="B139" s="12" t="s">
        <v>480</v>
      </c>
      <c r="C139" s="12">
        <v>1.21</v>
      </c>
      <c r="D139" s="12"/>
      <c r="E139" s="12"/>
      <c r="F139" s="12"/>
      <c r="G139" s="12"/>
      <c r="H139" s="12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2">
        <v>2454743.5575999999</v>
      </c>
      <c r="B140" s="12" t="s">
        <v>481</v>
      </c>
      <c r="C140" s="12">
        <v>1.23</v>
      </c>
      <c r="D140" s="12"/>
      <c r="E140" s="12"/>
      <c r="F140" s="12"/>
      <c r="G140" s="12"/>
      <c r="H140" s="12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2">
        <v>2454770.5152500002</v>
      </c>
      <c r="B141" s="12" t="s">
        <v>482</v>
      </c>
      <c r="C141" s="12">
        <v>1.1100000000000001</v>
      </c>
      <c r="D141" s="12"/>
      <c r="E141" s="12"/>
      <c r="F141" s="12"/>
      <c r="G141" s="12"/>
      <c r="H141" s="12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2">
        <v>2454907.9430999998</v>
      </c>
      <c r="B142" s="12" t="s">
        <v>483</v>
      </c>
      <c r="C142" s="12">
        <v>1.08</v>
      </c>
      <c r="D142" s="12"/>
      <c r="E142" s="12"/>
      <c r="F142" s="12"/>
      <c r="G142" s="12"/>
      <c r="H142" s="12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2">
        <v>2454933.85935</v>
      </c>
      <c r="B143" s="12" t="s">
        <v>485</v>
      </c>
      <c r="C143" s="12">
        <v>1.1299999999999999</v>
      </c>
      <c r="D143" s="12"/>
      <c r="E143" s="12"/>
      <c r="F143" s="12"/>
      <c r="G143" s="12"/>
      <c r="H143" s="12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2">
        <v>2454963.8237999999</v>
      </c>
      <c r="B144" s="12" t="s">
        <v>486</v>
      </c>
      <c r="C144" s="12">
        <v>1.24</v>
      </c>
      <c r="D144" s="12"/>
      <c r="E144" s="12"/>
      <c r="F144" s="12"/>
      <c r="G144" s="12"/>
      <c r="H144" s="12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2">
        <v>2454970.7944</v>
      </c>
      <c r="B145" s="12" t="s">
        <v>487</v>
      </c>
      <c r="C145" s="12">
        <v>1.0900000000000001</v>
      </c>
      <c r="D145" s="12"/>
      <c r="E145" s="12"/>
      <c r="F145" s="12"/>
      <c r="G145" s="12"/>
      <c r="H145" s="12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2">
        <v>2454997.7092499998</v>
      </c>
      <c r="B146" s="12" t="s">
        <v>489</v>
      </c>
      <c r="C146" s="12">
        <v>1.1299999999999999</v>
      </c>
      <c r="D146" s="12"/>
      <c r="E146" s="12"/>
      <c r="F146" s="12"/>
      <c r="G146" s="12"/>
      <c r="H146" s="12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12">
        <v>2455041.1040400001</v>
      </c>
      <c r="B147" s="12" t="s">
        <v>491</v>
      </c>
      <c r="C147" s="12">
        <v>0.80800000000000005</v>
      </c>
      <c r="D147" s="12"/>
      <c r="E147" s="12"/>
      <c r="F147" s="12"/>
      <c r="G147" s="12"/>
      <c r="H147" s="12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x14ac:dyDescent="0.25">
      <c r="A148" s="12">
        <v>2455049.7107000002</v>
      </c>
      <c r="B148" s="12" t="s">
        <v>493</v>
      </c>
      <c r="C148" s="12">
        <v>0.99</v>
      </c>
      <c r="D148" s="12"/>
      <c r="E148" s="12"/>
      <c r="F148" s="12"/>
      <c r="G148" s="12"/>
      <c r="H148" s="12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12">
        <v>2455065.6795000001</v>
      </c>
      <c r="B149" s="12" t="s">
        <v>495</v>
      </c>
      <c r="C149" s="12">
        <v>0.96</v>
      </c>
      <c r="D149" s="12"/>
      <c r="E149" s="12"/>
      <c r="F149" s="12"/>
      <c r="G149" s="12"/>
      <c r="H149" s="12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x14ac:dyDescent="0.25">
      <c r="A150" s="12">
        <v>2455077.6476500002</v>
      </c>
      <c r="B150" s="12" t="s">
        <v>499</v>
      </c>
      <c r="C150" s="12">
        <v>1.08</v>
      </c>
      <c r="D150" s="12"/>
      <c r="E150" s="12"/>
      <c r="F150" s="12"/>
      <c r="G150" s="12"/>
      <c r="H150" s="12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12">
        <v>2455123.5444</v>
      </c>
      <c r="B151" s="12" t="s">
        <v>504</v>
      </c>
      <c r="C151" s="12">
        <v>1.19</v>
      </c>
      <c r="D151" s="12"/>
      <c r="E151" s="12"/>
      <c r="F151" s="12"/>
      <c r="G151" s="12"/>
      <c r="H151" s="12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x14ac:dyDescent="0.25">
      <c r="A152" s="12">
        <v>2455148.4963500001</v>
      </c>
      <c r="B152" s="12" t="s">
        <v>506</v>
      </c>
      <c r="C152" s="12">
        <v>1.1299999999999999</v>
      </c>
      <c r="D152" s="12"/>
      <c r="E152" s="12"/>
      <c r="F152" s="12"/>
      <c r="G152" s="12"/>
      <c r="H152" s="12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12">
        <v>2455252.9663</v>
      </c>
      <c r="B153" s="12" t="s">
        <v>508</v>
      </c>
      <c r="C153" s="12">
        <v>1.25</v>
      </c>
      <c r="D153" s="12"/>
      <c r="E153" s="12"/>
      <c r="F153" s="12"/>
      <c r="G153" s="12"/>
      <c r="H153" s="12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12">
        <v>2455301.8880500002</v>
      </c>
      <c r="B154" s="12" t="s">
        <v>158</v>
      </c>
      <c r="C154" s="12">
        <v>1.07</v>
      </c>
      <c r="D154" s="12"/>
      <c r="E154" s="12"/>
      <c r="F154" s="12"/>
      <c r="G154" s="12"/>
      <c r="H154" s="12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12">
        <v>2455321.8213499999</v>
      </c>
      <c r="B155" s="12" t="s">
        <v>513</v>
      </c>
      <c r="C155" s="12">
        <v>1.1499999999999999</v>
      </c>
      <c r="D155" s="12"/>
      <c r="E155" s="12"/>
      <c r="F155" s="12"/>
      <c r="G155" s="12"/>
      <c r="H155" s="12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12">
        <v>2455343.8289000001</v>
      </c>
      <c r="B156" s="12" t="s">
        <v>514</v>
      </c>
      <c r="C156" s="12">
        <v>1.05</v>
      </c>
      <c r="D156" s="12"/>
      <c r="E156" s="12"/>
      <c r="F156" s="12"/>
      <c r="G156" s="12"/>
      <c r="H156" s="12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12">
        <v>2455373.68095</v>
      </c>
      <c r="B157" s="12" t="s">
        <v>515</v>
      </c>
      <c r="C157" s="12">
        <v>1.06</v>
      </c>
      <c r="D157" s="12"/>
      <c r="E157" s="12"/>
      <c r="F157" s="12"/>
      <c r="G157" s="12"/>
      <c r="H157" s="12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12">
        <v>2455417.7240499998</v>
      </c>
      <c r="B158" s="12" t="s">
        <v>518</v>
      </c>
      <c r="C158" s="12">
        <v>1.1599999999999999</v>
      </c>
      <c r="D158" s="12"/>
      <c r="E158" s="12"/>
      <c r="F158" s="12"/>
      <c r="G158" s="12"/>
      <c r="H158" s="12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12">
        <v>2455436.6745500001</v>
      </c>
      <c r="B159" s="12" t="s">
        <v>520</v>
      </c>
      <c r="C159" s="12">
        <v>1.02</v>
      </c>
      <c r="D159" s="12"/>
      <c r="E159" s="12"/>
      <c r="F159" s="12"/>
      <c r="G159" s="12"/>
      <c r="H159" s="12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12">
        <v>2455438.6398</v>
      </c>
      <c r="B160" s="12" t="s">
        <v>521</v>
      </c>
      <c r="C160" s="12">
        <v>1.1100000000000001</v>
      </c>
      <c r="D160" s="12"/>
      <c r="E160" s="12"/>
      <c r="F160" s="12"/>
      <c r="G160" s="12"/>
      <c r="H160" s="12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12">
        <v>2455477.5653499998</v>
      </c>
      <c r="B161" s="12" t="s">
        <v>523</v>
      </c>
      <c r="C161" s="12">
        <v>1.1100000000000001</v>
      </c>
      <c r="D161" s="12"/>
      <c r="E161" s="12"/>
      <c r="F161" s="12"/>
      <c r="G161" s="12"/>
      <c r="H161" s="12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12">
        <v>2455479.5522500002</v>
      </c>
      <c r="B162" s="12" t="s">
        <v>524</v>
      </c>
      <c r="C162" s="12">
        <v>1.2</v>
      </c>
      <c r="D162" s="12"/>
      <c r="E162" s="12"/>
      <c r="F162" s="12"/>
      <c r="G162" s="12"/>
      <c r="H162" s="12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12">
        <v>2455492.5238000001</v>
      </c>
      <c r="B163" s="12" t="s">
        <v>525</v>
      </c>
      <c r="C163" s="12">
        <v>1.19</v>
      </c>
      <c r="D163" s="12"/>
      <c r="E163" s="12"/>
      <c r="F163" s="12"/>
      <c r="G163" s="12"/>
      <c r="H163" s="12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12">
        <v>2455509.4716500002</v>
      </c>
      <c r="B164" s="12" t="s">
        <v>526</v>
      </c>
      <c r="C164" s="12">
        <v>0.94</v>
      </c>
      <c r="D164" s="12"/>
      <c r="E164" s="12"/>
      <c r="F164" s="12"/>
      <c r="G164" s="12"/>
      <c r="H164" s="12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12">
        <v>2455622.45701</v>
      </c>
      <c r="B165" s="12" t="s">
        <v>529</v>
      </c>
      <c r="C165" s="12">
        <v>1.6020000000000001</v>
      </c>
      <c r="D165" s="12"/>
      <c r="E165" s="12"/>
      <c r="F165" s="12"/>
      <c r="G165" s="12"/>
      <c r="H165" s="12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12">
        <v>2455623.4542700001</v>
      </c>
      <c r="B166" s="12" t="s">
        <v>2460</v>
      </c>
      <c r="C166" s="12">
        <v>0.89300000000000002</v>
      </c>
      <c r="D166" s="12"/>
      <c r="E166" s="12"/>
      <c r="F166" s="12"/>
      <c r="G166" s="12"/>
      <c r="H166" s="12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12">
        <v>2455624.4515999998</v>
      </c>
      <c r="B167" s="12" t="s">
        <v>530</v>
      </c>
      <c r="C167" s="12">
        <v>1.325</v>
      </c>
      <c r="D167" s="12"/>
      <c r="E167" s="12"/>
      <c r="F167" s="12"/>
      <c r="G167" s="12"/>
      <c r="H167" s="12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12">
        <v>2455630.4352000002</v>
      </c>
      <c r="B168" s="12" t="s">
        <v>531</v>
      </c>
      <c r="C168" s="12">
        <v>1.04</v>
      </c>
      <c r="D168" s="12"/>
      <c r="E168" s="12"/>
      <c r="F168" s="12"/>
      <c r="G168" s="12"/>
      <c r="H168" s="12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12">
        <v>2455631.4324699999</v>
      </c>
      <c r="B169" s="12" t="s">
        <v>2461</v>
      </c>
      <c r="C169" s="12">
        <v>1.224</v>
      </c>
      <c r="D169" s="12"/>
      <c r="E169" s="12"/>
      <c r="F169" s="12"/>
      <c r="G169" s="12"/>
      <c r="H169" s="12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12">
        <v>2455632.4297199999</v>
      </c>
      <c r="B170" s="12" t="s">
        <v>532</v>
      </c>
      <c r="C170" s="12">
        <v>0.95399999999999996</v>
      </c>
      <c r="D170" s="12"/>
      <c r="E170" s="12"/>
      <c r="F170" s="12"/>
      <c r="G170" s="12"/>
      <c r="H170" s="12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12">
        <v>2455638.4133899999</v>
      </c>
      <c r="B171" s="12" t="s">
        <v>534</v>
      </c>
      <c r="C171" s="12">
        <v>1.288</v>
      </c>
      <c r="D171" s="12"/>
      <c r="E171" s="12"/>
      <c r="F171" s="12"/>
      <c r="G171" s="12"/>
      <c r="H171" s="12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12">
        <v>2455639.4106100001</v>
      </c>
      <c r="B172" s="12" t="s">
        <v>2462</v>
      </c>
      <c r="C172" s="12">
        <v>0.85299999999999998</v>
      </c>
      <c r="D172" s="12"/>
      <c r="E172" s="12"/>
      <c r="F172" s="12"/>
      <c r="G172" s="12"/>
      <c r="H172" s="12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12">
        <v>2455640.4079100001</v>
      </c>
      <c r="B173" s="12" t="s">
        <v>535</v>
      </c>
      <c r="C173" s="12">
        <v>1.0740000000000001</v>
      </c>
      <c r="D173" s="12"/>
      <c r="E173" s="12"/>
      <c r="F173" s="12"/>
      <c r="G173" s="12"/>
      <c r="H173" s="12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12">
        <v>2455644.39897</v>
      </c>
      <c r="B174" s="12" t="s">
        <v>536</v>
      </c>
      <c r="C174" s="12">
        <v>1.4410000000000001</v>
      </c>
      <c r="D174" s="12"/>
      <c r="E174" s="12"/>
      <c r="F174" s="12"/>
      <c r="G174" s="12"/>
      <c r="H174" s="12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12">
        <v>2455645.3983200002</v>
      </c>
      <c r="B175" s="12" t="s">
        <v>537</v>
      </c>
      <c r="C175" s="12">
        <v>0.92700000000000005</v>
      </c>
      <c r="D175" s="12"/>
      <c r="E175" s="12"/>
      <c r="F175" s="12"/>
      <c r="G175" s="12"/>
      <c r="H175" s="12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12">
        <v>2455646.3955399999</v>
      </c>
      <c r="B176" s="12" t="s">
        <v>2452</v>
      </c>
      <c r="C176" s="12">
        <v>0.89900000000000002</v>
      </c>
      <c r="D176" s="12"/>
      <c r="E176" s="12"/>
      <c r="F176" s="12"/>
      <c r="G176" s="12"/>
      <c r="H176" s="12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12">
        <v>2455649.8790000002</v>
      </c>
      <c r="B177" s="12" t="s">
        <v>539</v>
      </c>
      <c r="C177" s="12">
        <v>1.19</v>
      </c>
      <c r="D177" s="12"/>
      <c r="E177" s="12"/>
      <c r="F177" s="12"/>
      <c r="G177" s="12"/>
      <c r="H177" s="12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x14ac:dyDescent="0.25">
      <c r="A178" s="12">
        <v>2455654.9870500001</v>
      </c>
      <c r="B178" s="12" t="s">
        <v>540</v>
      </c>
      <c r="C178" s="12">
        <v>1.1919999999999999</v>
      </c>
      <c r="D178" s="12"/>
      <c r="E178" s="12"/>
      <c r="F178" s="12"/>
      <c r="G178" s="12"/>
      <c r="H178" s="12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x14ac:dyDescent="0.25">
      <c r="A179" s="12">
        <v>2455660.9512399998</v>
      </c>
      <c r="B179" s="12" t="s">
        <v>541</v>
      </c>
      <c r="C179" s="12">
        <v>1.151</v>
      </c>
      <c r="D179" s="12"/>
      <c r="E179" s="12"/>
      <c r="F179" s="12"/>
      <c r="G179" s="12"/>
      <c r="H179" s="12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x14ac:dyDescent="0.25">
      <c r="A180" s="12">
        <v>2455665.9219900002</v>
      </c>
      <c r="B180" s="12" t="s">
        <v>542</v>
      </c>
      <c r="C180" s="12">
        <v>1.0920000000000001</v>
      </c>
      <c r="D180" s="12"/>
      <c r="E180" s="12"/>
      <c r="F180" s="12"/>
      <c r="G180" s="12"/>
      <c r="H180" s="12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x14ac:dyDescent="0.25">
      <c r="A181" s="12">
        <v>2455669.9012600002</v>
      </c>
      <c r="B181" s="12" t="s">
        <v>543</v>
      </c>
      <c r="C181" s="12">
        <v>1.1240000000000001</v>
      </c>
      <c r="D181" s="12"/>
      <c r="E181" s="12"/>
      <c r="F181" s="12"/>
      <c r="G181" s="12"/>
      <c r="H181" s="12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12">
        <v>2455673.84363</v>
      </c>
      <c r="B182" s="12" t="s">
        <v>544</v>
      </c>
      <c r="C182" s="12">
        <v>1.175</v>
      </c>
      <c r="D182" s="12"/>
      <c r="E182" s="12"/>
      <c r="F182" s="12"/>
      <c r="G182" s="12"/>
      <c r="H182" s="12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12">
        <v>2455677.8335600002</v>
      </c>
      <c r="B183" s="12" t="s">
        <v>545</v>
      </c>
      <c r="C183" s="12">
        <v>1.153</v>
      </c>
      <c r="D183" s="12"/>
      <c r="E183" s="12"/>
      <c r="F183" s="12"/>
      <c r="G183" s="12"/>
      <c r="H183" s="12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12">
        <v>2455684.8120900001</v>
      </c>
      <c r="B184" s="12" t="s">
        <v>546</v>
      </c>
      <c r="C184" s="12">
        <v>1.1120000000000001</v>
      </c>
      <c r="D184" s="12"/>
      <c r="E184" s="12"/>
      <c r="F184" s="12"/>
      <c r="G184" s="12"/>
      <c r="H184" s="12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12">
        <v>2455688.8014000002</v>
      </c>
      <c r="B185" s="12" t="s">
        <v>547</v>
      </c>
      <c r="C185" s="12">
        <v>1.238</v>
      </c>
      <c r="D185" s="12"/>
      <c r="E185" s="12"/>
      <c r="F185" s="12"/>
      <c r="G185" s="12"/>
      <c r="H185" s="12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12">
        <v>2455693.7691100002</v>
      </c>
      <c r="B186" s="12" t="s">
        <v>548</v>
      </c>
      <c r="C186" s="12">
        <v>1.1719999999999999</v>
      </c>
      <c r="D186" s="12"/>
      <c r="E186" s="12"/>
      <c r="F186" s="12"/>
      <c r="G186" s="12"/>
      <c r="H186" s="12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12">
        <v>2455697.75324</v>
      </c>
      <c r="B187" s="12" t="s">
        <v>549</v>
      </c>
      <c r="C187" s="12">
        <v>1.1890000000000001</v>
      </c>
      <c r="D187" s="12"/>
      <c r="E187" s="12"/>
      <c r="F187" s="12"/>
      <c r="G187" s="12"/>
      <c r="H187" s="12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12">
        <v>2455718.8262</v>
      </c>
      <c r="B188" s="12" t="s">
        <v>551</v>
      </c>
      <c r="C188" s="12">
        <v>1.23</v>
      </c>
      <c r="D188" s="12"/>
      <c r="E188" s="12"/>
      <c r="F188" s="12"/>
      <c r="G188" s="12"/>
      <c r="H188" s="12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x14ac:dyDescent="0.25">
      <c r="A189" s="12">
        <v>2455720.7749399999</v>
      </c>
      <c r="B189" s="12" t="s">
        <v>552</v>
      </c>
      <c r="C189" s="12">
        <v>1.1759999999999999</v>
      </c>
      <c r="D189" s="12"/>
      <c r="E189" s="12"/>
      <c r="F189" s="12"/>
      <c r="G189" s="12"/>
      <c r="H189" s="12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12">
        <v>2455724.8063400001</v>
      </c>
      <c r="B190" s="12" t="s">
        <v>553</v>
      </c>
      <c r="C190" s="12">
        <v>1.27</v>
      </c>
      <c r="D190" s="12"/>
      <c r="E190" s="12"/>
      <c r="F190" s="12"/>
      <c r="G190" s="12"/>
      <c r="H190" s="12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12">
        <v>2455728.7459</v>
      </c>
      <c r="B191" s="12" t="s">
        <v>554</v>
      </c>
      <c r="C191" s="12">
        <v>1.282</v>
      </c>
      <c r="D191" s="12"/>
      <c r="E191" s="12"/>
      <c r="F191" s="12"/>
      <c r="G191" s="12"/>
      <c r="H191" s="12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12">
        <v>2455733.7923099999</v>
      </c>
      <c r="B192" s="12" t="s">
        <v>555</v>
      </c>
      <c r="C192" s="12">
        <v>1.292</v>
      </c>
      <c r="D192" s="12"/>
      <c r="E192" s="12"/>
      <c r="F192" s="12"/>
      <c r="G192" s="12"/>
      <c r="H192" s="12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12">
        <v>2455737.7816599999</v>
      </c>
      <c r="B193" s="12" t="s">
        <v>556</v>
      </c>
      <c r="C193" s="12">
        <v>1.2250000000000001</v>
      </c>
      <c r="D193" s="12"/>
      <c r="E193" s="12"/>
      <c r="F193" s="12"/>
      <c r="G193" s="12"/>
      <c r="H193" s="12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12">
        <v>2455739.7956500002</v>
      </c>
      <c r="B194" s="12" t="s">
        <v>557</v>
      </c>
      <c r="C194" s="12">
        <v>1.23</v>
      </c>
      <c r="D194" s="12"/>
      <c r="E194" s="12"/>
      <c r="F194" s="12"/>
      <c r="G194" s="12"/>
      <c r="H194" s="12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12">
        <v>2455741.7755700001</v>
      </c>
      <c r="B195" s="12" t="s">
        <v>558</v>
      </c>
      <c r="C195" s="12">
        <v>1.2450000000000001</v>
      </c>
      <c r="D195" s="12"/>
      <c r="E195" s="12"/>
      <c r="F195" s="12"/>
      <c r="G195" s="12"/>
      <c r="H195" s="12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12">
        <v>2455758.7432499998</v>
      </c>
      <c r="B196" s="12" t="s">
        <v>561</v>
      </c>
      <c r="C196" s="12">
        <v>1.07</v>
      </c>
      <c r="D196" s="12"/>
      <c r="E196" s="12"/>
      <c r="F196" s="12"/>
      <c r="G196" s="12"/>
      <c r="H196" s="12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12">
        <v>2455769.7026</v>
      </c>
      <c r="B197" s="12" t="s">
        <v>567</v>
      </c>
      <c r="C197" s="12">
        <v>1.25</v>
      </c>
      <c r="D197" s="12"/>
      <c r="E197" s="12"/>
      <c r="F197" s="12"/>
      <c r="G197" s="12"/>
      <c r="H197" s="12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12">
        <v>2455865.5551100001</v>
      </c>
      <c r="B198" s="12" t="s">
        <v>580</v>
      </c>
      <c r="C198" s="12">
        <v>1.1299999999999999</v>
      </c>
      <c r="D198" s="12"/>
      <c r="E198" s="12"/>
      <c r="F198" s="12"/>
      <c r="G198" s="12"/>
      <c r="H198" s="12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12">
        <v>2455869.55743</v>
      </c>
      <c r="B199" s="12" t="s">
        <v>581</v>
      </c>
      <c r="C199" s="12">
        <v>1.1870000000000001</v>
      </c>
      <c r="D199" s="12"/>
      <c r="E199" s="12"/>
      <c r="F199" s="12"/>
      <c r="G199" s="12"/>
      <c r="H199" s="12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x14ac:dyDescent="0.25">
      <c r="A200" s="12">
        <v>2455972.0265000002</v>
      </c>
      <c r="B200" s="12" t="s">
        <v>584</v>
      </c>
      <c r="C200" s="12">
        <v>1.121</v>
      </c>
      <c r="D200" s="12"/>
      <c r="E200" s="12"/>
      <c r="F200" s="12"/>
      <c r="G200" s="12"/>
      <c r="H200" s="12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x14ac:dyDescent="0.25">
      <c r="A201" s="12">
        <v>2455989.97218</v>
      </c>
      <c r="B201" s="12" t="s">
        <v>585</v>
      </c>
      <c r="C201" s="12">
        <v>1.254</v>
      </c>
      <c r="D201" s="12"/>
      <c r="E201" s="12"/>
      <c r="F201" s="12"/>
      <c r="G201" s="12"/>
      <c r="H201" s="12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x14ac:dyDescent="0.25">
      <c r="A202" s="12">
        <v>2456001.92025</v>
      </c>
      <c r="B202" s="12" t="s">
        <v>587</v>
      </c>
      <c r="C202" s="12">
        <v>1.1040000000000001</v>
      </c>
      <c r="D202" s="12"/>
      <c r="E202" s="12"/>
      <c r="F202" s="12"/>
      <c r="G202" s="12"/>
      <c r="H202" s="12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x14ac:dyDescent="0.25">
      <c r="A203" s="12">
        <v>2456008.9656799999</v>
      </c>
      <c r="B203" s="12" t="s">
        <v>591</v>
      </c>
      <c r="C203" s="12">
        <v>1.1200000000000001</v>
      </c>
      <c r="D203" s="12"/>
      <c r="E203" s="12"/>
      <c r="F203" s="12"/>
      <c r="G203" s="12"/>
      <c r="H203" s="12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x14ac:dyDescent="0.25">
      <c r="A204" s="12">
        <v>2456014.8952000001</v>
      </c>
      <c r="B204" s="12" t="s">
        <v>593</v>
      </c>
      <c r="C204" s="12">
        <v>1.113</v>
      </c>
      <c r="D204" s="12"/>
      <c r="E204" s="12"/>
      <c r="F204" s="12"/>
      <c r="G204" s="12"/>
      <c r="H204" s="12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x14ac:dyDescent="0.25">
      <c r="A205" s="12">
        <v>2456018.92625</v>
      </c>
      <c r="B205" s="12" t="s">
        <v>595</v>
      </c>
      <c r="C205" s="12">
        <v>1.1950000000000001</v>
      </c>
      <c r="D205" s="12"/>
      <c r="E205" s="12"/>
      <c r="F205" s="12"/>
      <c r="G205" s="12"/>
      <c r="H205" s="12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x14ac:dyDescent="0.25">
      <c r="A206" s="12">
        <v>2456027.9794299998</v>
      </c>
      <c r="B206" s="12" t="s">
        <v>598</v>
      </c>
      <c r="C206" s="12">
        <v>1.226</v>
      </c>
      <c r="D206" s="12"/>
      <c r="E206" s="12"/>
      <c r="F206" s="12"/>
      <c r="G206" s="12"/>
      <c r="H206" s="12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x14ac:dyDescent="0.25">
      <c r="A207" s="12">
        <v>2456033.9594299998</v>
      </c>
      <c r="B207" s="12" t="s">
        <v>599</v>
      </c>
      <c r="C207" s="12">
        <v>1.107</v>
      </c>
      <c r="D207" s="12"/>
      <c r="E207" s="12"/>
      <c r="F207" s="12"/>
      <c r="G207" s="12"/>
      <c r="H207" s="12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x14ac:dyDescent="0.25">
      <c r="A208" s="12">
        <v>2456038.82944</v>
      </c>
      <c r="B208" s="12" t="s">
        <v>600</v>
      </c>
      <c r="C208" s="12">
        <v>1.0329999999999999</v>
      </c>
      <c r="D208" s="12"/>
      <c r="E208" s="12"/>
      <c r="F208" s="12"/>
      <c r="G208" s="12"/>
      <c r="H208" s="12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x14ac:dyDescent="0.25">
      <c r="A209" s="12">
        <v>2456042.8069799999</v>
      </c>
      <c r="B209" s="12" t="s">
        <v>602</v>
      </c>
      <c r="C209" s="12">
        <v>1.1859999999999999</v>
      </c>
      <c r="D209" s="12"/>
      <c r="E209" s="12"/>
      <c r="F209" s="12"/>
      <c r="G209" s="12"/>
      <c r="H209" s="12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x14ac:dyDescent="0.25">
      <c r="A210" s="12">
        <v>2456046.8042100002</v>
      </c>
      <c r="B210" s="12" t="s">
        <v>604</v>
      </c>
      <c r="C210" s="12">
        <v>1.234</v>
      </c>
      <c r="D210" s="12"/>
      <c r="E210" s="12"/>
      <c r="F210" s="12"/>
      <c r="G210" s="12"/>
      <c r="H210" s="12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x14ac:dyDescent="0.25">
      <c r="A211" s="12">
        <v>2456066.7503200001</v>
      </c>
      <c r="B211" s="12" t="s">
        <v>612</v>
      </c>
      <c r="C211" s="12">
        <v>1.28</v>
      </c>
      <c r="D211" s="12"/>
      <c r="E211" s="12"/>
      <c r="F211" s="12"/>
      <c r="G211" s="12"/>
      <c r="H211" s="12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x14ac:dyDescent="0.25">
      <c r="A212" s="12">
        <v>2456070.74095</v>
      </c>
      <c r="B212" s="12" t="s">
        <v>2455</v>
      </c>
      <c r="C212" s="12">
        <v>1.2170000000000001</v>
      </c>
      <c r="D212" s="12"/>
      <c r="E212" s="12"/>
      <c r="F212" s="12"/>
      <c r="G212" s="12"/>
      <c r="H212" s="12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x14ac:dyDescent="0.25">
      <c r="A213" s="12">
        <v>2456074.73911</v>
      </c>
      <c r="B213" s="12" t="s">
        <v>2456</v>
      </c>
      <c r="C213" s="12">
        <v>1.1519999999999999</v>
      </c>
      <c r="D213" s="12"/>
      <c r="E213" s="12"/>
      <c r="F213" s="12"/>
      <c r="G213" s="12"/>
      <c r="H213" s="12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x14ac:dyDescent="0.25">
      <c r="A214" s="12">
        <v>2456085.9568699999</v>
      </c>
      <c r="B214" s="12" t="s">
        <v>619</v>
      </c>
      <c r="C214" s="12">
        <v>1.014</v>
      </c>
      <c r="D214" s="12"/>
      <c r="E214" s="12"/>
      <c r="F214" s="12"/>
      <c r="G214" s="12"/>
      <c r="H214" s="12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x14ac:dyDescent="0.25">
      <c r="A215" s="12">
        <v>2456090.7897800002</v>
      </c>
      <c r="B215" s="12" t="s">
        <v>622</v>
      </c>
      <c r="C215" s="12">
        <v>1.161</v>
      </c>
      <c r="D215" s="12"/>
      <c r="E215" s="12"/>
      <c r="F215" s="12"/>
      <c r="G215" s="12"/>
      <c r="H215" s="12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x14ac:dyDescent="0.25">
      <c r="A216" s="12">
        <v>2456096.8555299998</v>
      </c>
      <c r="B216" s="12" t="s">
        <v>626</v>
      </c>
      <c r="C216" s="12">
        <v>1.278</v>
      </c>
      <c r="D216" s="12"/>
      <c r="E216" s="12"/>
      <c r="F216" s="12"/>
      <c r="G216" s="12"/>
      <c r="H216" s="12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x14ac:dyDescent="0.25">
      <c r="A217" s="12">
        <v>2456102.7914100001</v>
      </c>
      <c r="B217" s="12" t="s">
        <v>629</v>
      </c>
      <c r="C217" s="12">
        <v>1.224</v>
      </c>
      <c r="D217" s="12"/>
      <c r="E217" s="12"/>
      <c r="F217" s="12"/>
      <c r="G217" s="12"/>
      <c r="H217" s="12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x14ac:dyDescent="0.25">
      <c r="A218" s="12">
        <v>2456106.77257</v>
      </c>
      <c r="B218" s="12" t="s">
        <v>631</v>
      </c>
      <c r="C218" s="12">
        <v>1.28</v>
      </c>
      <c r="D218" s="12"/>
      <c r="E218" s="12"/>
      <c r="F218" s="12"/>
      <c r="G218" s="12"/>
      <c r="H218" s="12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x14ac:dyDescent="0.25">
      <c r="A219" s="12">
        <v>2456181.5331999999</v>
      </c>
      <c r="B219" s="12" t="s">
        <v>647</v>
      </c>
      <c r="C219" s="12">
        <v>1.258</v>
      </c>
      <c r="D219" s="12"/>
      <c r="E219" s="12"/>
      <c r="F219" s="12"/>
      <c r="G219" s="12"/>
      <c r="H219" s="12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x14ac:dyDescent="0.25">
      <c r="A220" s="12">
        <v>2456184.5178200002</v>
      </c>
      <c r="B220" s="12" t="s">
        <v>2457</v>
      </c>
      <c r="C220" s="12">
        <v>1.1859999999999999</v>
      </c>
      <c r="D220" s="12"/>
      <c r="E220" s="12"/>
      <c r="F220" s="12"/>
      <c r="G220" s="12"/>
      <c r="H220" s="12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x14ac:dyDescent="0.25">
      <c r="A221" s="12">
        <v>2456195.5041399999</v>
      </c>
      <c r="B221" s="12" t="s">
        <v>650</v>
      </c>
      <c r="C221" s="12">
        <v>1.33</v>
      </c>
      <c r="D221" s="12"/>
      <c r="E221" s="12"/>
      <c r="F221" s="12"/>
      <c r="G221" s="12"/>
      <c r="H221" s="12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x14ac:dyDescent="0.25">
      <c r="A222" s="12">
        <v>2456456.5682000001</v>
      </c>
      <c r="B222" s="12" t="s">
        <v>687</v>
      </c>
      <c r="C222" s="12">
        <v>1.06</v>
      </c>
      <c r="D222" s="12"/>
      <c r="E222" s="12"/>
      <c r="F222" s="12"/>
      <c r="G222" s="12"/>
      <c r="H222" s="12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x14ac:dyDescent="0.25">
      <c r="A223" s="12">
        <v>2456557.41585</v>
      </c>
      <c r="B223" s="12" t="s">
        <v>721</v>
      </c>
      <c r="C223" s="12">
        <v>1.06</v>
      </c>
      <c r="D223" s="12"/>
      <c r="E223" s="12"/>
      <c r="F223" s="12"/>
      <c r="G223" s="12"/>
      <c r="H223" s="12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x14ac:dyDescent="0.25">
      <c r="A224" s="12">
        <v>2456796.6423999998</v>
      </c>
      <c r="B224" s="12" t="s">
        <v>737</v>
      </c>
      <c r="C224" s="12">
        <v>1.07</v>
      </c>
      <c r="D224" s="12"/>
      <c r="E224" s="12"/>
      <c r="F224" s="12"/>
      <c r="G224" s="12"/>
      <c r="H224" s="12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x14ac:dyDescent="0.25">
      <c r="A225" s="12">
        <v>2456812.0239900001</v>
      </c>
      <c r="B225" s="12" t="s">
        <v>740</v>
      </c>
      <c r="C225" s="12">
        <v>1.175</v>
      </c>
      <c r="D225" s="12"/>
      <c r="E225" s="12"/>
      <c r="F225" s="12"/>
      <c r="G225" s="12"/>
      <c r="H225" s="12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x14ac:dyDescent="0.25">
      <c r="A226" s="12">
        <v>2456844.51645</v>
      </c>
      <c r="B226" s="12" t="s">
        <v>741</v>
      </c>
      <c r="C226" s="12">
        <v>0.96</v>
      </c>
      <c r="D226" s="12"/>
      <c r="E226" s="12"/>
      <c r="F226" s="12"/>
      <c r="G226" s="12"/>
      <c r="H226" s="12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x14ac:dyDescent="0.25">
      <c r="A227" s="12">
        <v>2456850.6258200002</v>
      </c>
      <c r="B227" s="12" t="s">
        <v>742</v>
      </c>
      <c r="C227" s="12">
        <v>1.0009999999999999</v>
      </c>
      <c r="D227" s="12"/>
      <c r="E227" s="12"/>
      <c r="F227" s="12"/>
      <c r="G227" s="12"/>
      <c r="H227" s="12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x14ac:dyDescent="0.25">
      <c r="A228" s="12">
        <v>2456868.5166500001</v>
      </c>
      <c r="B228" s="12" t="s">
        <v>746</v>
      </c>
      <c r="C228" s="12">
        <v>1.1399999999999999</v>
      </c>
      <c r="D228" s="12"/>
      <c r="E228" s="12"/>
      <c r="F228" s="12"/>
      <c r="G228" s="12"/>
      <c r="H228" s="12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x14ac:dyDescent="0.25">
      <c r="A229" s="12">
        <v>2457159.1165</v>
      </c>
      <c r="B229" s="12" t="s">
        <v>764</v>
      </c>
      <c r="C229" s="12">
        <v>1.1339999999999999</v>
      </c>
      <c r="D229" s="12"/>
      <c r="E229" s="12"/>
      <c r="F229" s="12"/>
      <c r="G229" s="12"/>
      <c r="H229" s="12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x14ac:dyDescent="0.25">
      <c r="A230" s="12">
        <v>2457159.1179999998</v>
      </c>
      <c r="B230" s="12" t="s">
        <v>764</v>
      </c>
      <c r="C230" s="12">
        <v>1.22</v>
      </c>
      <c r="D230" s="12"/>
      <c r="E230" s="12"/>
      <c r="F230" s="12"/>
      <c r="G230" s="12"/>
      <c r="H230" s="12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x14ac:dyDescent="0.25">
      <c r="A231" s="12">
        <v>2457159.1195</v>
      </c>
      <c r="B231" s="12" t="s">
        <v>764</v>
      </c>
      <c r="C231" s="12">
        <v>1.238</v>
      </c>
      <c r="D231" s="12"/>
      <c r="E231" s="12"/>
      <c r="F231" s="12"/>
      <c r="G231" s="12"/>
      <c r="H231" s="12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x14ac:dyDescent="0.25">
      <c r="A232" s="12">
        <v>2457159.1209999998</v>
      </c>
      <c r="B232" s="12" t="s">
        <v>764</v>
      </c>
      <c r="C232" s="12">
        <v>1.3939999999999999</v>
      </c>
      <c r="D232" s="12"/>
      <c r="E232" s="12"/>
      <c r="F232" s="12"/>
      <c r="G232" s="12"/>
      <c r="H232" s="12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x14ac:dyDescent="0.25">
      <c r="A233" s="12">
        <v>2457159.1225000001</v>
      </c>
      <c r="B233" s="12" t="s">
        <v>764</v>
      </c>
      <c r="C233" s="12">
        <v>1.3109999999999999</v>
      </c>
      <c r="D233" s="12"/>
      <c r="E233" s="12"/>
      <c r="F233" s="12"/>
      <c r="G233" s="12"/>
      <c r="H233" s="12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x14ac:dyDescent="0.25">
      <c r="A234" s="12">
        <v>2457159.1239999998</v>
      </c>
      <c r="B234" s="12" t="s">
        <v>764</v>
      </c>
      <c r="C234" s="12">
        <v>0.82599999999999996</v>
      </c>
      <c r="D234" s="12"/>
      <c r="E234" s="12"/>
      <c r="F234" s="12"/>
      <c r="G234" s="12"/>
      <c r="H234" s="12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x14ac:dyDescent="0.25">
      <c r="A235" s="12">
        <v>2457159.1255000001</v>
      </c>
      <c r="B235" s="12" t="s">
        <v>764</v>
      </c>
      <c r="C235" s="12">
        <v>0.90100000000000002</v>
      </c>
      <c r="D235" s="12"/>
      <c r="E235" s="12"/>
      <c r="F235" s="12"/>
      <c r="G235" s="12"/>
      <c r="H235" s="12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x14ac:dyDescent="0.25">
      <c r="A236" s="12">
        <v>2457159.1269999999</v>
      </c>
      <c r="B236" s="12" t="s">
        <v>764</v>
      </c>
      <c r="C236" s="12">
        <v>0.90100000000000002</v>
      </c>
      <c r="D236" s="12"/>
      <c r="E236" s="12"/>
      <c r="F236" s="12"/>
      <c r="G236" s="12"/>
      <c r="H236" s="12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x14ac:dyDescent="0.25">
      <c r="A237" s="12">
        <v>2457159.1290000002</v>
      </c>
      <c r="B237" s="12" t="s">
        <v>764</v>
      </c>
      <c r="C237" s="12">
        <v>1.538</v>
      </c>
      <c r="D237" s="12"/>
      <c r="E237" s="12"/>
      <c r="F237" s="12"/>
      <c r="G237" s="12"/>
      <c r="H237" s="12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x14ac:dyDescent="0.25">
      <c r="A238" s="12">
        <v>2457159.1315000001</v>
      </c>
      <c r="B238" s="12" t="s">
        <v>764</v>
      </c>
      <c r="C238" s="12">
        <v>1.3819999999999999</v>
      </c>
      <c r="D238" s="12"/>
      <c r="E238" s="12"/>
      <c r="F238" s="12"/>
      <c r="G238" s="12"/>
      <c r="H238" s="12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x14ac:dyDescent="0.25">
      <c r="A239" s="12">
        <v>2457159.1329999999</v>
      </c>
      <c r="B239" s="12" t="s">
        <v>764</v>
      </c>
      <c r="C239" s="12">
        <v>0.67200000000000004</v>
      </c>
      <c r="D239" s="12"/>
      <c r="E239" s="12"/>
      <c r="F239" s="12"/>
      <c r="G239" s="12"/>
      <c r="H239" s="12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x14ac:dyDescent="0.25">
      <c r="A240" s="12">
        <v>2457159.1359999999</v>
      </c>
      <c r="B240" s="12" t="s">
        <v>764</v>
      </c>
      <c r="C240" s="12">
        <v>1.097</v>
      </c>
      <c r="D240" s="12"/>
      <c r="E240" s="12"/>
      <c r="F240" s="12"/>
      <c r="G240" s="12"/>
      <c r="H240" s="12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x14ac:dyDescent="0.25">
      <c r="A241" s="12">
        <v>2457159.1375000002</v>
      </c>
      <c r="B241" s="12" t="s">
        <v>764</v>
      </c>
      <c r="C241" s="12">
        <v>1.2390000000000001</v>
      </c>
      <c r="D241" s="12"/>
      <c r="E241" s="12"/>
      <c r="F241" s="12"/>
      <c r="G241" s="12"/>
      <c r="H241" s="12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x14ac:dyDescent="0.25">
      <c r="A242" s="12">
        <v>2457159.139</v>
      </c>
      <c r="B242" s="12" t="s">
        <v>764</v>
      </c>
      <c r="C242" s="12">
        <v>1.1100000000000001</v>
      </c>
      <c r="D242" s="12"/>
      <c r="E242" s="12"/>
      <c r="F242" s="12"/>
      <c r="G242" s="12"/>
      <c r="H242" s="12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x14ac:dyDescent="0.25">
      <c r="A243" s="12">
        <v>2457159.1405000002</v>
      </c>
      <c r="B243" s="12" t="s">
        <v>764</v>
      </c>
      <c r="C243" s="12">
        <v>0.9</v>
      </c>
      <c r="D243" s="12"/>
      <c r="E243" s="12"/>
      <c r="F243" s="12"/>
      <c r="G243" s="12"/>
      <c r="H243" s="12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x14ac:dyDescent="0.25">
      <c r="A244" s="12">
        <v>2457159.142</v>
      </c>
      <c r="B244" s="12" t="s">
        <v>764</v>
      </c>
      <c r="C244" s="12">
        <v>0.96799999999999997</v>
      </c>
      <c r="D244" s="12"/>
      <c r="E244" s="12"/>
      <c r="F244" s="12"/>
      <c r="G244" s="12"/>
      <c r="H244" s="12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x14ac:dyDescent="0.25">
      <c r="A245" s="12">
        <v>2457159.1434999998</v>
      </c>
      <c r="B245" s="12" t="s">
        <v>764</v>
      </c>
      <c r="C245" s="12">
        <v>1.4610000000000001</v>
      </c>
      <c r="D245" s="12"/>
      <c r="E245" s="12"/>
      <c r="F245" s="12"/>
      <c r="G245" s="12"/>
      <c r="H245" s="12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x14ac:dyDescent="0.25">
      <c r="A246" s="12">
        <v>2457159.145</v>
      </c>
      <c r="B246" s="12" t="s">
        <v>764</v>
      </c>
      <c r="C246" s="12">
        <v>1.101</v>
      </c>
      <c r="D246" s="12"/>
      <c r="E246" s="12"/>
      <c r="F246" s="12"/>
      <c r="G246" s="12"/>
      <c r="H246" s="12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x14ac:dyDescent="0.25">
      <c r="A247" s="12">
        <v>2457159.1475</v>
      </c>
      <c r="B247" s="12" t="s">
        <v>764</v>
      </c>
      <c r="C247" s="12">
        <v>0.64</v>
      </c>
      <c r="D247" s="12"/>
      <c r="E247" s="12"/>
      <c r="F247" s="12"/>
      <c r="G247" s="12"/>
      <c r="H247" s="12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x14ac:dyDescent="0.25">
      <c r="A248" s="12">
        <v>2457159.1485000001</v>
      </c>
      <c r="B248" s="12" t="s">
        <v>764</v>
      </c>
      <c r="C248" s="12">
        <v>1.393</v>
      </c>
      <c r="D248" s="12"/>
      <c r="E248" s="12"/>
      <c r="F248" s="12"/>
      <c r="G248" s="12"/>
      <c r="H248" s="12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x14ac:dyDescent="0.25">
      <c r="A249" s="12">
        <v>2457159.1515000002</v>
      </c>
      <c r="B249" s="12" t="s">
        <v>764</v>
      </c>
      <c r="C249" s="12">
        <v>0.83599999999999997</v>
      </c>
      <c r="D249" s="12"/>
      <c r="E249" s="12"/>
      <c r="F249" s="12"/>
      <c r="G249" s="12"/>
      <c r="H249" s="12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x14ac:dyDescent="0.25">
      <c r="A250" s="12">
        <v>2457159.1535</v>
      </c>
      <c r="B250" s="12" t="s">
        <v>764</v>
      </c>
      <c r="C250" s="12">
        <v>0.92900000000000005</v>
      </c>
      <c r="D250" s="12"/>
      <c r="E250" s="12"/>
      <c r="F250" s="12"/>
      <c r="G250" s="12"/>
      <c r="H250" s="12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x14ac:dyDescent="0.25">
      <c r="A251" s="12">
        <v>2457159.1549999998</v>
      </c>
      <c r="B251" s="12" t="s">
        <v>764</v>
      </c>
      <c r="C251" s="12">
        <v>1.165</v>
      </c>
      <c r="D251" s="12"/>
      <c r="E251" s="12"/>
      <c r="F251" s="12"/>
      <c r="G251" s="12"/>
      <c r="H251" s="12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x14ac:dyDescent="0.25">
      <c r="A252" s="12">
        <v>2457159.1565</v>
      </c>
      <c r="B252" s="12" t="s">
        <v>764</v>
      </c>
      <c r="C252" s="12">
        <v>1.361</v>
      </c>
      <c r="D252" s="12"/>
      <c r="E252" s="12"/>
      <c r="F252" s="12"/>
      <c r="G252" s="12"/>
      <c r="H252" s="12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x14ac:dyDescent="0.25">
      <c r="A253" s="12">
        <v>2457159.1579999998</v>
      </c>
      <c r="B253" s="12" t="s">
        <v>764</v>
      </c>
      <c r="C253" s="12">
        <v>0.78300000000000003</v>
      </c>
      <c r="D253" s="12"/>
      <c r="E253" s="12"/>
      <c r="F253" s="12"/>
      <c r="G253" s="12"/>
      <c r="H253" s="12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x14ac:dyDescent="0.25">
      <c r="A254" s="12">
        <v>2457159.1595000001</v>
      </c>
      <c r="B254" s="12" t="s">
        <v>764</v>
      </c>
      <c r="C254" s="12">
        <v>1.554</v>
      </c>
      <c r="D254" s="12"/>
      <c r="E254" s="12"/>
      <c r="F254" s="12"/>
      <c r="G254" s="12"/>
      <c r="H254" s="12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x14ac:dyDescent="0.25">
      <c r="A255" s="12">
        <v>2457159.1625000001</v>
      </c>
      <c r="B255" s="12" t="s">
        <v>764</v>
      </c>
      <c r="C255" s="12">
        <v>1.3240000000000001</v>
      </c>
      <c r="D255" s="12"/>
      <c r="E255" s="12"/>
      <c r="F255" s="12"/>
      <c r="G255" s="12"/>
      <c r="H255" s="12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x14ac:dyDescent="0.25">
      <c r="A256" s="12">
        <v>2457159.1639999999</v>
      </c>
      <c r="B256" s="12" t="s">
        <v>764</v>
      </c>
      <c r="C256" s="12">
        <v>1.165</v>
      </c>
      <c r="D256" s="12"/>
      <c r="E256" s="12"/>
      <c r="F256" s="12"/>
      <c r="G256" s="12"/>
      <c r="H256" s="12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x14ac:dyDescent="0.25">
      <c r="A257" s="12">
        <v>2457159.1655000001</v>
      </c>
      <c r="B257" s="12" t="s">
        <v>764</v>
      </c>
      <c r="C257" s="12">
        <v>2.145</v>
      </c>
      <c r="D257" s="12"/>
      <c r="E257" s="12"/>
      <c r="F257" s="12"/>
      <c r="G257" s="12"/>
      <c r="H257" s="12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12">
        <v>2457159.1675</v>
      </c>
      <c r="B258" s="12" t="s">
        <v>764</v>
      </c>
      <c r="C258" s="12">
        <v>1.2949999999999999</v>
      </c>
      <c r="D258" s="12"/>
      <c r="E258" s="12"/>
      <c r="F258" s="12"/>
      <c r="G258" s="12"/>
      <c r="H258" s="12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x14ac:dyDescent="0.25">
      <c r="A259" s="12">
        <v>2457159.1685000001</v>
      </c>
      <c r="B259" s="12" t="s">
        <v>764</v>
      </c>
      <c r="C259" s="12">
        <v>0.38900000000000001</v>
      </c>
      <c r="D259" s="12"/>
      <c r="E259" s="12"/>
      <c r="F259" s="12"/>
      <c r="G259" s="12"/>
      <c r="H259" s="12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x14ac:dyDescent="0.25">
      <c r="A260" s="12">
        <v>2457159.1745000002</v>
      </c>
      <c r="B260" s="12" t="s">
        <v>764</v>
      </c>
      <c r="C260" s="12">
        <v>0.93799999999999994</v>
      </c>
      <c r="D260" s="12"/>
      <c r="E260" s="12"/>
      <c r="F260" s="12"/>
      <c r="G260" s="12"/>
      <c r="H260" s="12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x14ac:dyDescent="0.25">
      <c r="A261" s="12">
        <v>2457159.1775000002</v>
      </c>
      <c r="B261" s="12" t="s">
        <v>764</v>
      </c>
      <c r="C261" s="12">
        <v>0.76200000000000001</v>
      </c>
      <c r="D261" s="12"/>
      <c r="E261" s="12"/>
      <c r="F261" s="12"/>
      <c r="G261" s="12"/>
      <c r="H261" s="12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x14ac:dyDescent="0.25">
      <c r="A262" s="12">
        <v>2457159.1795000001</v>
      </c>
      <c r="B262" s="12" t="s">
        <v>764</v>
      </c>
      <c r="C262" s="12">
        <v>0.92700000000000005</v>
      </c>
      <c r="D262" s="12"/>
      <c r="E262" s="12"/>
      <c r="F262" s="12"/>
      <c r="G262" s="12"/>
      <c r="H262" s="12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x14ac:dyDescent="0.25">
      <c r="A263" s="12">
        <v>2457159.1804999998</v>
      </c>
      <c r="B263" s="12" t="s">
        <v>764</v>
      </c>
      <c r="C263" s="12">
        <v>0.97299999999999998</v>
      </c>
      <c r="D263" s="12"/>
      <c r="E263" s="12"/>
      <c r="F263" s="12"/>
      <c r="G263" s="12"/>
      <c r="H263" s="12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x14ac:dyDescent="0.25">
      <c r="A264" s="12">
        <v>2457159.1825000001</v>
      </c>
      <c r="B264" s="12" t="s">
        <v>764</v>
      </c>
      <c r="C264" s="12">
        <v>0.86099999999999999</v>
      </c>
      <c r="D264" s="12"/>
      <c r="E264" s="12"/>
      <c r="F264" s="12"/>
      <c r="G264" s="12"/>
      <c r="H264" s="12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x14ac:dyDescent="0.25">
      <c r="A265" s="12">
        <v>2457159.1834999998</v>
      </c>
      <c r="B265" s="12" t="s">
        <v>764</v>
      </c>
      <c r="C265" s="12">
        <v>1.3360000000000001</v>
      </c>
      <c r="D265" s="12"/>
      <c r="E265" s="12"/>
      <c r="F265" s="12"/>
      <c r="G265" s="12"/>
      <c r="H265" s="12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x14ac:dyDescent="0.25">
      <c r="A266" s="12">
        <v>2457159.1855000001</v>
      </c>
      <c r="B266" s="12" t="s">
        <v>764</v>
      </c>
      <c r="C266" s="12">
        <v>1.2010000000000001</v>
      </c>
      <c r="D266" s="12"/>
      <c r="E266" s="12"/>
      <c r="F266" s="12"/>
      <c r="G266" s="12"/>
      <c r="H266" s="12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x14ac:dyDescent="0.25">
      <c r="A267" s="12">
        <v>2457159.1864999998</v>
      </c>
      <c r="B267" s="12" t="s">
        <v>764</v>
      </c>
      <c r="C267" s="12">
        <v>0.97299999999999998</v>
      </c>
      <c r="D267" s="12"/>
      <c r="E267" s="12"/>
      <c r="F267" s="12"/>
      <c r="G267" s="12"/>
      <c r="H267" s="12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x14ac:dyDescent="0.25">
      <c r="A268" s="12">
        <v>2457159.1885000002</v>
      </c>
      <c r="B268" s="12" t="s">
        <v>764</v>
      </c>
      <c r="C268" s="12">
        <v>0.99</v>
      </c>
      <c r="D268" s="12"/>
      <c r="E268" s="12"/>
      <c r="F268" s="12"/>
      <c r="G268" s="12"/>
      <c r="H268" s="12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x14ac:dyDescent="0.25">
      <c r="A269" s="12">
        <v>2457159.1894999999</v>
      </c>
      <c r="B269" s="12" t="s">
        <v>764</v>
      </c>
      <c r="C269" s="12">
        <v>1.018</v>
      </c>
      <c r="D269" s="12"/>
      <c r="E269" s="12"/>
      <c r="F269" s="12"/>
      <c r="G269" s="12"/>
      <c r="H269" s="12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x14ac:dyDescent="0.25">
      <c r="A270" s="12">
        <v>2457159.1915000002</v>
      </c>
      <c r="B270" s="12" t="s">
        <v>764</v>
      </c>
      <c r="C270" s="12">
        <v>1.0189999999999999</v>
      </c>
      <c r="D270" s="12"/>
      <c r="E270" s="12"/>
      <c r="F270" s="12"/>
      <c r="G270" s="12"/>
      <c r="H270" s="12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x14ac:dyDescent="0.25">
      <c r="A271" s="12">
        <v>2457159.1924999999</v>
      </c>
      <c r="B271" s="12" t="s">
        <v>764</v>
      </c>
      <c r="C271" s="12">
        <v>1.04</v>
      </c>
      <c r="D271" s="12"/>
      <c r="E271" s="12"/>
      <c r="F271" s="12"/>
      <c r="G271" s="12"/>
      <c r="H271" s="12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x14ac:dyDescent="0.25">
      <c r="A272" s="12">
        <v>2457159.1945000002</v>
      </c>
      <c r="B272" s="12" t="s">
        <v>764</v>
      </c>
      <c r="C272" s="12">
        <v>0.98299999999999998</v>
      </c>
      <c r="D272" s="12"/>
      <c r="E272" s="12"/>
      <c r="F272" s="12"/>
      <c r="G272" s="12"/>
      <c r="H272" s="12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x14ac:dyDescent="0.25">
      <c r="A273" s="12">
        <v>2457159.1954999999</v>
      </c>
      <c r="B273" s="12" t="s">
        <v>764</v>
      </c>
      <c r="C273" s="12">
        <v>1.014</v>
      </c>
      <c r="D273" s="12"/>
      <c r="E273" s="12"/>
      <c r="F273" s="12"/>
      <c r="G273" s="12"/>
      <c r="H273" s="12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x14ac:dyDescent="0.25">
      <c r="A274" s="12">
        <v>2457159.1974999998</v>
      </c>
      <c r="B274" s="12" t="s">
        <v>764</v>
      </c>
      <c r="C274" s="12">
        <v>1.1200000000000001</v>
      </c>
      <c r="D274" s="12"/>
      <c r="E274" s="12"/>
      <c r="F274" s="12"/>
      <c r="G274" s="12"/>
      <c r="H274" s="12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x14ac:dyDescent="0.25">
      <c r="A275" s="12">
        <v>2457159.1984999999</v>
      </c>
      <c r="B275" s="12" t="s">
        <v>764</v>
      </c>
      <c r="C275" s="12">
        <v>1.2110000000000001</v>
      </c>
      <c r="D275" s="12"/>
      <c r="E275" s="12"/>
      <c r="F275" s="12"/>
      <c r="G275" s="12"/>
      <c r="H275" s="12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x14ac:dyDescent="0.25">
      <c r="A276" s="12">
        <v>2457159.2004999998</v>
      </c>
      <c r="B276" s="12" t="s">
        <v>764</v>
      </c>
      <c r="C276" s="12">
        <v>1</v>
      </c>
      <c r="D276" s="12"/>
      <c r="E276" s="12"/>
      <c r="F276" s="12"/>
      <c r="G276" s="12"/>
      <c r="H276" s="12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x14ac:dyDescent="0.25">
      <c r="A277" s="12">
        <v>2457159.202</v>
      </c>
      <c r="B277" s="12" t="s">
        <v>764</v>
      </c>
      <c r="C277" s="12">
        <v>1.095</v>
      </c>
      <c r="D277" s="12"/>
      <c r="E277" s="12"/>
      <c r="F277" s="12"/>
      <c r="G277" s="12"/>
      <c r="H277" s="12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x14ac:dyDescent="0.25">
      <c r="A278" s="12">
        <v>2457159.2034999998</v>
      </c>
      <c r="B278" s="12" t="s">
        <v>764</v>
      </c>
      <c r="C278" s="12">
        <v>1.1020000000000001</v>
      </c>
      <c r="D278" s="12"/>
      <c r="E278" s="12"/>
      <c r="F278" s="12"/>
      <c r="G278" s="12"/>
      <c r="H278" s="12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x14ac:dyDescent="0.25">
      <c r="A279" s="12">
        <v>2457159.2050000001</v>
      </c>
      <c r="B279" s="12" t="s">
        <v>764</v>
      </c>
      <c r="C279" s="12">
        <v>1.2170000000000001</v>
      </c>
      <c r="D279" s="12"/>
      <c r="E279" s="12"/>
      <c r="F279" s="12"/>
      <c r="G279" s="12"/>
      <c r="H279" s="12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x14ac:dyDescent="0.25">
      <c r="A280" s="12">
        <v>2457159.2064999999</v>
      </c>
      <c r="B280" s="12" t="s">
        <v>764</v>
      </c>
      <c r="C280" s="12">
        <v>1.016</v>
      </c>
      <c r="D280" s="12"/>
      <c r="E280" s="12"/>
      <c r="F280" s="12"/>
      <c r="G280" s="12"/>
      <c r="H280" s="12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x14ac:dyDescent="0.25">
      <c r="A281" s="12">
        <v>2457159.2089999998</v>
      </c>
      <c r="B281" s="12" t="s">
        <v>764</v>
      </c>
      <c r="C281" s="12">
        <v>1.091</v>
      </c>
      <c r="D281" s="12"/>
      <c r="E281" s="12"/>
      <c r="F281" s="12"/>
      <c r="G281" s="12"/>
      <c r="H281" s="12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x14ac:dyDescent="0.25">
      <c r="A282" s="12">
        <v>2457159.21</v>
      </c>
      <c r="B282" s="12" t="s">
        <v>764</v>
      </c>
      <c r="C282" s="12">
        <v>1.095</v>
      </c>
      <c r="D282" s="12"/>
      <c r="E282" s="12"/>
      <c r="F282" s="12"/>
      <c r="G282" s="12"/>
      <c r="H282" s="12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x14ac:dyDescent="0.25">
      <c r="A283" s="12">
        <v>2457159.2119999998</v>
      </c>
      <c r="B283" s="12" t="s">
        <v>764</v>
      </c>
      <c r="C283" s="12">
        <v>1.349</v>
      </c>
      <c r="D283" s="12"/>
      <c r="E283" s="12"/>
      <c r="F283" s="12"/>
      <c r="G283" s="12"/>
      <c r="H283" s="12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x14ac:dyDescent="0.25">
      <c r="A284" s="12">
        <v>2457159.213</v>
      </c>
      <c r="B284" s="12" t="s">
        <v>764</v>
      </c>
      <c r="C284" s="12">
        <v>1.03</v>
      </c>
      <c r="D284" s="12"/>
      <c r="E284" s="12"/>
      <c r="F284" s="12"/>
      <c r="G284" s="12"/>
      <c r="H284" s="12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x14ac:dyDescent="0.25">
      <c r="A285" s="12">
        <v>2457159.2149999999</v>
      </c>
      <c r="B285" s="12" t="s">
        <v>764</v>
      </c>
      <c r="C285" s="12">
        <v>1.1279999999999999</v>
      </c>
      <c r="D285" s="12"/>
      <c r="E285" s="12"/>
      <c r="F285" s="12"/>
      <c r="G285" s="12"/>
      <c r="H285" s="12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x14ac:dyDescent="0.25">
      <c r="A286" s="12">
        <v>2457159.2165000001</v>
      </c>
      <c r="B286" s="12" t="s">
        <v>764</v>
      </c>
      <c r="C286" s="12">
        <v>1.1819999999999999</v>
      </c>
      <c r="D286" s="12"/>
      <c r="E286" s="12"/>
      <c r="F286" s="12"/>
      <c r="G286" s="12"/>
      <c r="H286" s="12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x14ac:dyDescent="0.25">
      <c r="A287" s="12">
        <v>2457159.2179999999</v>
      </c>
      <c r="B287" s="12" t="s">
        <v>764</v>
      </c>
      <c r="C287" s="12">
        <v>1.3029999999999999</v>
      </c>
      <c r="D287" s="12"/>
      <c r="E287" s="12"/>
      <c r="F287" s="12"/>
      <c r="G287" s="12"/>
      <c r="H287" s="12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x14ac:dyDescent="0.25">
      <c r="A288" s="12">
        <v>2457159.2195000001</v>
      </c>
      <c r="B288" s="12" t="s">
        <v>764</v>
      </c>
      <c r="C288" s="12">
        <v>1.127</v>
      </c>
      <c r="D288" s="12"/>
      <c r="E288" s="12"/>
      <c r="F288" s="12"/>
      <c r="G288" s="12"/>
      <c r="H288" s="12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x14ac:dyDescent="0.25">
      <c r="A289" s="12">
        <v>2457159.2209999999</v>
      </c>
      <c r="B289" s="12" t="s">
        <v>764</v>
      </c>
      <c r="C289" s="12">
        <v>1.105</v>
      </c>
      <c r="D289" s="12"/>
      <c r="E289" s="12"/>
      <c r="F289" s="12"/>
      <c r="G289" s="12"/>
      <c r="H289" s="12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x14ac:dyDescent="0.25">
      <c r="A290" s="12">
        <v>2457159.2225000001</v>
      </c>
      <c r="B290" s="12" t="s">
        <v>764</v>
      </c>
      <c r="C290" s="12">
        <v>1.147</v>
      </c>
      <c r="D290" s="12"/>
      <c r="E290" s="12"/>
      <c r="F290" s="12"/>
      <c r="G290" s="12"/>
      <c r="H290" s="12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x14ac:dyDescent="0.25">
      <c r="A291" s="12">
        <v>2457159.2239999999</v>
      </c>
      <c r="B291" s="12" t="s">
        <v>764</v>
      </c>
      <c r="C291" s="12">
        <v>0.94699999999999995</v>
      </c>
      <c r="D291" s="12"/>
      <c r="E291" s="12"/>
      <c r="F291" s="12"/>
      <c r="G291" s="12"/>
      <c r="H291" s="12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x14ac:dyDescent="0.25">
      <c r="A292" s="12">
        <v>2457159.2255000002</v>
      </c>
      <c r="B292" s="12" t="s">
        <v>764</v>
      </c>
      <c r="C292" s="12">
        <v>1.1240000000000001</v>
      </c>
      <c r="D292" s="12"/>
      <c r="E292" s="12"/>
      <c r="F292" s="12"/>
      <c r="G292" s="12"/>
      <c r="H292" s="12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x14ac:dyDescent="0.25">
      <c r="A293" s="12">
        <v>2457159.227</v>
      </c>
      <c r="B293" s="12" t="s">
        <v>764</v>
      </c>
      <c r="C293" s="12">
        <v>1.272</v>
      </c>
      <c r="D293" s="12"/>
      <c r="E293" s="12"/>
      <c r="F293" s="12"/>
      <c r="G293" s="12"/>
      <c r="H293" s="12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x14ac:dyDescent="0.25">
      <c r="A294" s="12">
        <v>2457159.2285000002</v>
      </c>
      <c r="B294" s="12" t="s">
        <v>764</v>
      </c>
      <c r="C294" s="12">
        <v>1.4690000000000001</v>
      </c>
      <c r="D294" s="12"/>
      <c r="E294" s="12"/>
      <c r="F294" s="12"/>
      <c r="G294" s="12"/>
      <c r="H294" s="12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x14ac:dyDescent="0.25">
      <c r="A295" s="12">
        <v>2457159.23</v>
      </c>
      <c r="B295" s="12" t="s">
        <v>764</v>
      </c>
      <c r="C295" s="12">
        <v>1.2490000000000001</v>
      </c>
      <c r="D295" s="12"/>
      <c r="E295" s="12"/>
      <c r="F295" s="12"/>
      <c r="G295" s="12"/>
      <c r="H295" s="12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x14ac:dyDescent="0.25">
      <c r="A296" s="12">
        <v>2457159.2315000002</v>
      </c>
      <c r="B296" s="12" t="s">
        <v>764</v>
      </c>
      <c r="C296" s="12">
        <v>1.054</v>
      </c>
      <c r="D296" s="12"/>
      <c r="E296" s="12"/>
      <c r="F296" s="12"/>
      <c r="G296" s="12"/>
      <c r="H296" s="12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x14ac:dyDescent="0.25">
      <c r="A297" s="12">
        <v>2457159.233</v>
      </c>
      <c r="B297" s="12" t="s">
        <v>764</v>
      </c>
      <c r="C297" s="12">
        <v>1.123</v>
      </c>
      <c r="D297" s="12"/>
      <c r="E297" s="12"/>
      <c r="F297" s="12"/>
      <c r="G297" s="12"/>
      <c r="H297" s="12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x14ac:dyDescent="0.25">
      <c r="A298" s="12">
        <v>2457159.2344999998</v>
      </c>
      <c r="B298" s="12" t="s">
        <v>764</v>
      </c>
      <c r="C298" s="12">
        <v>1.26</v>
      </c>
      <c r="D298" s="12"/>
      <c r="E298" s="12"/>
      <c r="F298" s="12"/>
      <c r="G298" s="12"/>
      <c r="H298" s="12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x14ac:dyDescent="0.25">
      <c r="A299" s="12">
        <v>2457159.236</v>
      </c>
      <c r="B299" s="12" t="s">
        <v>764</v>
      </c>
      <c r="C299" s="12">
        <v>1.0669999999999999</v>
      </c>
      <c r="D299" s="12"/>
      <c r="E299" s="12"/>
      <c r="F299" s="12"/>
      <c r="G299" s="12"/>
      <c r="H299" s="12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x14ac:dyDescent="0.25">
      <c r="A300" s="12">
        <v>2457159.2374999998</v>
      </c>
      <c r="B300" s="12" t="s">
        <v>764</v>
      </c>
      <c r="C300" s="12">
        <v>1.103</v>
      </c>
      <c r="D300" s="12"/>
      <c r="E300" s="12"/>
      <c r="F300" s="12"/>
      <c r="G300" s="12"/>
      <c r="H300" s="12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x14ac:dyDescent="0.25">
      <c r="A301" s="12">
        <v>2457159.2390000001</v>
      </c>
      <c r="B301" s="12" t="s">
        <v>764</v>
      </c>
      <c r="C301" s="12">
        <v>0.97599999999999998</v>
      </c>
      <c r="D301" s="12"/>
      <c r="E301" s="12"/>
      <c r="F301" s="12"/>
      <c r="G301" s="12"/>
      <c r="H301" s="12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x14ac:dyDescent="0.25">
      <c r="A302" s="12">
        <v>2457159.2404999998</v>
      </c>
      <c r="B302" s="12" t="s">
        <v>764</v>
      </c>
      <c r="C302" s="12">
        <v>1.0129999999999999</v>
      </c>
      <c r="D302" s="12"/>
      <c r="E302" s="12"/>
      <c r="F302" s="12"/>
      <c r="G302" s="12"/>
      <c r="H302" s="12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x14ac:dyDescent="0.25">
      <c r="A303" s="12">
        <v>2457159.2420000001</v>
      </c>
      <c r="B303" s="12" t="s">
        <v>764</v>
      </c>
      <c r="C303" s="12">
        <v>1.1870000000000001</v>
      </c>
      <c r="D303" s="12"/>
      <c r="E303" s="12"/>
      <c r="F303" s="12"/>
      <c r="G303" s="12"/>
      <c r="H303" s="12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x14ac:dyDescent="0.25">
      <c r="A304" s="12">
        <v>2457159.2434999999</v>
      </c>
      <c r="B304" s="12" t="s">
        <v>764</v>
      </c>
      <c r="C304" s="12">
        <v>1.452</v>
      </c>
      <c r="D304" s="12"/>
      <c r="E304" s="12"/>
      <c r="F304" s="12"/>
      <c r="G304" s="12"/>
      <c r="H304" s="12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x14ac:dyDescent="0.25">
      <c r="A305" s="12">
        <v>2457159.2450000001</v>
      </c>
      <c r="B305" s="12" t="s">
        <v>764</v>
      </c>
      <c r="C305" s="12">
        <v>1.0649999999999999</v>
      </c>
      <c r="D305" s="12"/>
      <c r="E305" s="12"/>
      <c r="F305" s="12"/>
      <c r="G305" s="12"/>
      <c r="H305" s="12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x14ac:dyDescent="0.25">
      <c r="A306" s="12">
        <v>2457159.2464999999</v>
      </c>
      <c r="B306" s="12" t="s">
        <v>764</v>
      </c>
      <c r="C306" s="12">
        <v>1.286</v>
      </c>
      <c r="D306" s="12"/>
      <c r="E306" s="12"/>
      <c r="F306" s="12"/>
      <c r="G306" s="12"/>
      <c r="H306" s="12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x14ac:dyDescent="0.25">
      <c r="A307" s="12">
        <v>2457159.2480000001</v>
      </c>
      <c r="B307" s="12" t="s">
        <v>764</v>
      </c>
      <c r="C307" s="12">
        <v>0.89800000000000002</v>
      </c>
      <c r="D307" s="12"/>
      <c r="E307" s="12"/>
      <c r="F307" s="12"/>
      <c r="G307" s="12"/>
      <c r="H307" s="12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x14ac:dyDescent="0.25">
      <c r="A308" s="12">
        <v>2457159.2505000001</v>
      </c>
      <c r="B308" s="12" t="s">
        <v>764</v>
      </c>
      <c r="C308" s="12">
        <v>1.179</v>
      </c>
      <c r="D308" s="12"/>
      <c r="E308" s="12"/>
      <c r="F308" s="12"/>
      <c r="G308" s="12"/>
      <c r="H308" s="12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x14ac:dyDescent="0.25">
      <c r="A309" s="12">
        <v>2457159.2514999998</v>
      </c>
      <c r="B309" s="12" t="s">
        <v>764</v>
      </c>
      <c r="C309" s="12">
        <v>1.149</v>
      </c>
      <c r="D309" s="12"/>
      <c r="E309" s="12"/>
      <c r="F309" s="12"/>
      <c r="G309" s="12"/>
      <c r="H309" s="12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x14ac:dyDescent="0.25">
      <c r="A310" s="12">
        <v>2457159.2535000001</v>
      </c>
      <c r="B310" s="12" t="s">
        <v>764</v>
      </c>
      <c r="C310" s="12">
        <v>1.2729999999999999</v>
      </c>
      <c r="D310" s="12"/>
      <c r="E310" s="12"/>
      <c r="F310" s="12"/>
      <c r="G310" s="12"/>
      <c r="H310" s="12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x14ac:dyDescent="0.25">
      <c r="A311" s="12">
        <v>2457159.2544999998</v>
      </c>
      <c r="B311" s="12" t="s">
        <v>764</v>
      </c>
      <c r="C311" s="12">
        <v>0.90800000000000003</v>
      </c>
      <c r="D311" s="12"/>
      <c r="E311" s="12"/>
      <c r="F311" s="12"/>
      <c r="G311" s="12"/>
      <c r="H311" s="12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x14ac:dyDescent="0.25">
      <c r="A312" s="12">
        <v>2457159.2565000001</v>
      </c>
      <c r="B312" s="12" t="s">
        <v>764</v>
      </c>
      <c r="C312" s="12">
        <v>1.0389999999999999</v>
      </c>
      <c r="D312" s="12"/>
      <c r="E312" s="12"/>
      <c r="F312" s="12"/>
      <c r="G312" s="12"/>
      <c r="H312" s="12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x14ac:dyDescent="0.25">
      <c r="A313" s="12">
        <v>2457159.2579999999</v>
      </c>
      <c r="B313" s="12" t="s">
        <v>764</v>
      </c>
      <c r="C313" s="12">
        <v>1.1579999999999999</v>
      </c>
      <c r="D313" s="12"/>
      <c r="E313" s="12"/>
      <c r="F313" s="12"/>
      <c r="G313" s="12"/>
      <c r="H313" s="12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x14ac:dyDescent="0.25">
      <c r="A314" s="12">
        <v>2457159.2609999999</v>
      </c>
      <c r="B314" s="12" t="s">
        <v>764</v>
      </c>
      <c r="C314" s="12">
        <v>0.84399999999999997</v>
      </c>
      <c r="D314" s="12"/>
      <c r="E314" s="12"/>
      <c r="F314" s="12"/>
      <c r="G314" s="12"/>
      <c r="H314" s="12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x14ac:dyDescent="0.25">
      <c r="A315" s="12">
        <v>2457159.264</v>
      </c>
      <c r="B315" s="12" t="s">
        <v>764</v>
      </c>
      <c r="C315" s="12">
        <v>0.72899999999999998</v>
      </c>
      <c r="D315" s="12"/>
      <c r="E315" s="12"/>
      <c r="F315" s="12"/>
      <c r="G315" s="12"/>
      <c r="H315" s="12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x14ac:dyDescent="0.25">
      <c r="A316" s="12">
        <v>2457159.2655000002</v>
      </c>
      <c r="B316" s="12" t="s">
        <v>764</v>
      </c>
      <c r="C316" s="12">
        <v>1.327</v>
      </c>
      <c r="D316" s="12"/>
      <c r="E316" s="12"/>
      <c r="F316" s="12"/>
      <c r="G316" s="12"/>
      <c r="H316" s="12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x14ac:dyDescent="0.25">
      <c r="A317" s="12">
        <v>2457159.267</v>
      </c>
      <c r="B317" s="12" t="s">
        <v>764</v>
      </c>
      <c r="C317" s="12">
        <v>1.0720000000000001</v>
      </c>
      <c r="D317" s="12"/>
      <c r="E317" s="12"/>
      <c r="F317" s="12"/>
      <c r="G317" s="12"/>
      <c r="H317" s="12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x14ac:dyDescent="0.25">
      <c r="A318" s="12">
        <v>2457159.2705000001</v>
      </c>
      <c r="B318" s="12" t="s">
        <v>764</v>
      </c>
      <c r="C318" s="12">
        <v>1.03</v>
      </c>
      <c r="D318" s="12"/>
      <c r="E318" s="12"/>
      <c r="F318" s="12"/>
      <c r="G318" s="12"/>
      <c r="H318" s="12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x14ac:dyDescent="0.25">
      <c r="A319" s="12">
        <v>2457159.2735000001</v>
      </c>
      <c r="B319" s="12" t="s">
        <v>764</v>
      </c>
      <c r="C319" s="12">
        <v>0.81200000000000006</v>
      </c>
      <c r="D319" s="12"/>
      <c r="E319" s="12"/>
      <c r="F319" s="12"/>
      <c r="G319" s="12"/>
      <c r="H319" s="12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x14ac:dyDescent="0.25">
      <c r="A320" s="12">
        <v>2457159.2774999999</v>
      </c>
      <c r="B320" s="12" t="s">
        <v>764</v>
      </c>
      <c r="C320" s="12">
        <v>0.80200000000000005</v>
      </c>
      <c r="D320" s="12"/>
      <c r="E320" s="12"/>
      <c r="F320" s="12"/>
      <c r="G320" s="12"/>
      <c r="H320" s="12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x14ac:dyDescent="0.25">
      <c r="A321" s="12">
        <v>2457159.2795000002</v>
      </c>
      <c r="B321" s="12" t="s">
        <v>764</v>
      </c>
      <c r="C321" s="12">
        <v>1.575</v>
      </c>
      <c r="D321" s="12"/>
      <c r="E321" s="12"/>
      <c r="F321" s="12"/>
      <c r="G321" s="12"/>
      <c r="H321" s="12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x14ac:dyDescent="0.25">
      <c r="A322" s="12">
        <v>2457159.2804999999</v>
      </c>
      <c r="B322" s="12" t="s">
        <v>764</v>
      </c>
      <c r="C322" s="12">
        <v>0.46100000000000002</v>
      </c>
      <c r="D322" s="12"/>
      <c r="E322" s="12"/>
      <c r="F322" s="12"/>
      <c r="G322" s="12"/>
      <c r="H322" s="12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x14ac:dyDescent="0.25">
      <c r="A323" s="12">
        <v>2457159.2825000002</v>
      </c>
      <c r="B323" s="12" t="s">
        <v>764</v>
      </c>
      <c r="C323" s="12">
        <v>1.3</v>
      </c>
      <c r="D323" s="12"/>
      <c r="E323" s="12"/>
      <c r="F323" s="12"/>
      <c r="G323" s="12"/>
      <c r="H323" s="12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x14ac:dyDescent="0.25">
      <c r="A324" s="12">
        <v>2457159.2834999999</v>
      </c>
      <c r="B324" s="12" t="s">
        <v>764</v>
      </c>
      <c r="C324" s="12">
        <v>1.3560000000000001</v>
      </c>
      <c r="D324" s="12"/>
      <c r="E324" s="12"/>
      <c r="F324" s="12"/>
      <c r="G324" s="12"/>
      <c r="H324" s="12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x14ac:dyDescent="0.25">
      <c r="A325" s="12">
        <v>2457159.2855000002</v>
      </c>
      <c r="B325" s="12" t="s">
        <v>764</v>
      </c>
      <c r="C325" s="12">
        <v>0.84</v>
      </c>
      <c r="D325" s="12"/>
      <c r="E325" s="12"/>
      <c r="F325" s="12"/>
      <c r="G325" s="12"/>
      <c r="H325" s="12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x14ac:dyDescent="0.25">
      <c r="A326" s="12">
        <v>2457159.2914999998</v>
      </c>
      <c r="B326" s="12" t="s">
        <v>764</v>
      </c>
      <c r="C326" s="12">
        <v>1.68</v>
      </c>
      <c r="D326" s="12"/>
      <c r="E326" s="12"/>
      <c r="F326" s="12"/>
      <c r="G326" s="12"/>
      <c r="H326" s="12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x14ac:dyDescent="0.25">
      <c r="A327" s="12">
        <v>2457159.2925</v>
      </c>
      <c r="B327" s="12" t="s">
        <v>764</v>
      </c>
      <c r="C327" s="12">
        <v>0.58799999999999997</v>
      </c>
      <c r="D327" s="12"/>
      <c r="E327" s="12"/>
      <c r="F327" s="12"/>
      <c r="G327" s="12"/>
      <c r="H327" s="12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x14ac:dyDescent="0.25">
      <c r="A328" s="12">
        <v>2457163.1705</v>
      </c>
      <c r="B328" s="12" t="s">
        <v>765</v>
      </c>
      <c r="C328" s="12">
        <v>1.0980000000000001</v>
      </c>
      <c r="D328" s="12"/>
      <c r="E328" s="12"/>
      <c r="F328" s="12"/>
      <c r="G328" s="12"/>
      <c r="H328" s="12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x14ac:dyDescent="0.25">
      <c r="A329" s="12">
        <v>2457163.1715000002</v>
      </c>
      <c r="B329" s="12" t="s">
        <v>765</v>
      </c>
      <c r="C329" s="12">
        <v>1.085</v>
      </c>
      <c r="D329" s="12"/>
      <c r="E329" s="12"/>
      <c r="F329" s="12"/>
      <c r="G329" s="12"/>
      <c r="H329" s="12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x14ac:dyDescent="0.25">
      <c r="A330" s="12">
        <v>2457163.1735</v>
      </c>
      <c r="B330" s="12" t="s">
        <v>765</v>
      </c>
      <c r="C330" s="12">
        <v>1.046</v>
      </c>
      <c r="D330" s="12"/>
      <c r="E330" s="12"/>
      <c r="F330" s="12"/>
      <c r="G330" s="12"/>
      <c r="H330" s="12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x14ac:dyDescent="0.25">
      <c r="A331" s="12">
        <v>2457163.1745000002</v>
      </c>
      <c r="B331" s="12" t="s">
        <v>765</v>
      </c>
      <c r="C331" s="12">
        <v>1.107</v>
      </c>
      <c r="D331" s="12"/>
      <c r="E331" s="12"/>
      <c r="F331" s="12"/>
      <c r="G331" s="12"/>
      <c r="H331" s="12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x14ac:dyDescent="0.25">
      <c r="A332" s="12">
        <v>2457163.1765000001</v>
      </c>
      <c r="B332" s="12" t="s">
        <v>765</v>
      </c>
      <c r="C332" s="12">
        <v>1.07</v>
      </c>
      <c r="D332" s="12"/>
      <c r="E332" s="12"/>
      <c r="F332" s="12"/>
      <c r="G332" s="12"/>
      <c r="H332" s="12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x14ac:dyDescent="0.25">
      <c r="A333" s="12">
        <v>2457163.1775000002</v>
      </c>
      <c r="B333" s="12" t="s">
        <v>765</v>
      </c>
      <c r="C333" s="12">
        <v>1.0629999999999999</v>
      </c>
      <c r="D333" s="12"/>
      <c r="E333" s="12"/>
      <c r="F333" s="12"/>
      <c r="G333" s="12"/>
      <c r="H333" s="12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x14ac:dyDescent="0.25">
      <c r="A334" s="12">
        <v>2457163.1795000001</v>
      </c>
      <c r="B334" s="12" t="s">
        <v>765</v>
      </c>
      <c r="C334" s="12">
        <v>1.1830000000000001</v>
      </c>
      <c r="D334" s="12"/>
      <c r="E334" s="12"/>
      <c r="F334" s="12"/>
      <c r="G334" s="12"/>
      <c r="H334" s="12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x14ac:dyDescent="0.25">
      <c r="A335" s="12">
        <v>2457163.1804999998</v>
      </c>
      <c r="B335" s="12" t="s">
        <v>765</v>
      </c>
      <c r="C335" s="12">
        <v>1.0629999999999999</v>
      </c>
      <c r="D335" s="12"/>
      <c r="E335" s="12"/>
      <c r="F335" s="12"/>
      <c r="G335" s="12"/>
      <c r="H335" s="12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x14ac:dyDescent="0.25">
      <c r="A336" s="12">
        <v>2457163.1825000001</v>
      </c>
      <c r="B336" s="12" t="s">
        <v>765</v>
      </c>
      <c r="C336" s="12">
        <v>1.1060000000000001</v>
      </c>
      <c r="D336" s="12"/>
      <c r="E336" s="12"/>
      <c r="F336" s="12"/>
      <c r="G336" s="12"/>
      <c r="H336" s="12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x14ac:dyDescent="0.25">
      <c r="A337" s="12">
        <v>2457163.1855000001</v>
      </c>
      <c r="B337" s="12" t="s">
        <v>765</v>
      </c>
      <c r="C337" s="12">
        <v>1.1140000000000001</v>
      </c>
      <c r="D337" s="12"/>
      <c r="E337" s="12"/>
      <c r="F337" s="12"/>
      <c r="G337" s="12"/>
      <c r="H337" s="12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x14ac:dyDescent="0.25">
      <c r="A338" s="12">
        <v>2457163.1864999998</v>
      </c>
      <c r="B338" s="12" t="s">
        <v>765</v>
      </c>
      <c r="C338" s="12">
        <v>0.83899999999999997</v>
      </c>
      <c r="D338" s="12"/>
      <c r="E338" s="12"/>
      <c r="F338" s="12"/>
      <c r="G338" s="12"/>
      <c r="H338" s="12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x14ac:dyDescent="0.25">
      <c r="A339" s="12">
        <v>2457163.1885000002</v>
      </c>
      <c r="B339" s="12" t="s">
        <v>765</v>
      </c>
      <c r="C339" s="12">
        <v>1.327</v>
      </c>
      <c r="D339" s="12"/>
      <c r="E339" s="12"/>
      <c r="F339" s="12"/>
      <c r="G339" s="12"/>
      <c r="H339" s="12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x14ac:dyDescent="0.25">
      <c r="A340" s="12">
        <v>2457163.19</v>
      </c>
      <c r="B340" s="12" t="s">
        <v>765</v>
      </c>
      <c r="C340" s="12">
        <v>0.95</v>
      </c>
      <c r="D340" s="12"/>
      <c r="E340" s="12"/>
      <c r="F340" s="12"/>
      <c r="G340" s="12"/>
      <c r="H340" s="12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x14ac:dyDescent="0.25">
      <c r="A341" s="12">
        <v>2457163.1915000002</v>
      </c>
      <c r="B341" s="12" t="s">
        <v>765</v>
      </c>
      <c r="C341" s="12">
        <v>1.022</v>
      </c>
      <c r="D341" s="12"/>
      <c r="E341" s="12"/>
      <c r="F341" s="12"/>
      <c r="G341" s="12"/>
      <c r="H341" s="12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x14ac:dyDescent="0.25">
      <c r="A342" s="12">
        <v>2457163.193</v>
      </c>
      <c r="B342" s="12" t="s">
        <v>765</v>
      </c>
      <c r="C342" s="12">
        <v>1.0189999999999999</v>
      </c>
      <c r="D342" s="12"/>
      <c r="E342" s="12"/>
      <c r="F342" s="12"/>
      <c r="G342" s="12"/>
      <c r="H342" s="12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x14ac:dyDescent="0.25">
      <c r="A343" s="12">
        <v>2457163.1945000002</v>
      </c>
      <c r="B343" s="12" t="s">
        <v>765</v>
      </c>
      <c r="C343" s="12">
        <v>1.056</v>
      </c>
      <c r="D343" s="12"/>
      <c r="E343" s="12"/>
      <c r="F343" s="12"/>
      <c r="G343" s="12"/>
      <c r="H343" s="12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x14ac:dyDescent="0.25">
      <c r="A344" s="12">
        <v>2457163.196</v>
      </c>
      <c r="B344" s="12" t="s">
        <v>765</v>
      </c>
      <c r="C344" s="12">
        <v>1.1379999999999999</v>
      </c>
      <c r="D344" s="12"/>
      <c r="E344" s="12"/>
      <c r="F344" s="12"/>
      <c r="G344" s="12"/>
      <c r="H344" s="12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x14ac:dyDescent="0.25">
      <c r="A345" s="12">
        <v>2457163.1974999998</v>
      </c>
      <c r="B345" s="12" t="s">
        <v>765</v>
      </c>
      <c r="C345" s="12">
        <v>1.177</v>
      </c>
      <c r="D345" s="12"/>
      <c r="E345" s="12"/>
      <c r="F345" s="12"/>
      <c r="G345" s="12"/>
      <c r="H345" s="12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x14ac:dyDescent="0.25">
      <c r="A346" s="12">
        <v>2457163.199</v>
      </c>
      <c r="B346" s="12" t="s">
        <v>765</v>
      </c>
      <c r="C346" s="12">
        <v>1.1419999999999999</v>
      </c>
      <c r="D346" s="12"/>
      <c r="E346" s="12"/>
      <c r="F346" s="12"/>
      <c r="G346" s="12"/>
      <c r="H346" s="12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x14ac:dyDescent="0.25">
      <c r="A347" s="12">
        <v>2457163.2004999998</v>
      </c>
      <c r="B347" s="12" t="s">
        <v>765</v>
      </c>
      <c r="C347" s="12">
        <v>1.1160000000000001</v>
      </c>
      <c r="D347" s="12"/>
      <c r="E347" s="12"/>
      <c r="F347" s="12"/>
      <c r="G347" s="12"/>
      <c r="H347" s="12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x14ac:dyDescent="0.25">
      <c r="A348" s="12">
        <v>2457163.2025000001</v>
      </c>
      <c r="B348" s="12" t="s">
        <v>765</v>
      </c>
      <c r="C348" s="12">
        <v>1.044</v>
      </c>
      <c r="D348" s="12"/>
      <c r="E348" s="12"/>
      <c r="F348" s="12"/>
      <c r="G348" s="12"/>
      <c r="H348" s="12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x14ac:dyDescent="0.25">
      <c r="A349" s="12">
        <v>2457163.2034999998</v>
      </c>
      <c r="B349" s="12" t="s">
        <v>765</v>
      </c>
      <c r="C349" s="12">
        <v>1.1000000000000001</v>
      </c>
      <c r="D349" s="12"/>
      <c r="E349" s="12"/>
      <c r="F349" s="12"/>
      <c r="G349" s="12"/>
      <c r="H349" s="12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x14ac:dyDescent="0.25">
      <c r="A350" s="12">
        <v>2457163.2055000002</v>
      </c>
      <c r="B350" s="12" t="s">
        <v>765</v>
      </c>
      <c r="C350" s="12">
        <v>1.095</v>
      </c>
      <c r="D350" s="12"/>
      <c r="E350" s="12"/>
      <c r="F350" s="12"/>
      <c r="G350" s="12"/>
      <c r="H350" s="12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x14ac:dyDescent="0.25">
      <c r="A351" s="12">
        <v>2457163.2064999999</v>
      </c>
      <c r="B351" s="12" t="s">
        <v>765</v>
      </c>
      <c r="C351" s="12">
        <v>1.0029999999999999</v>
      </c>
      <c r="D351" s="12"/>
      <c r="E351" s="12"/>
      <c r="F351" s="12"/>
      <c r="G351" s="12"/>
      <c r="H351" s="12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x14ac:dyDescent="0.25">
      <c r="A352" s="12">
        <v>2457163.2085000002</v>
      </c>
      <c r="B352" s="12" t="s">
        <v>765</v>
      </c>
      <c r="C352" s="12">
        <v>0.996</v>
      </c>
      <c r="D352" s="12"/>
      <c r="E352" s="12"/>
      <c r="F352" s="12"/>
      <c r="G352" s="12"/>
      <c r="H352" s="12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x14ac:dyDescent="0.25">
      <c r="A353" s="12">
        <v>2457163.2094999999</v>
      </c>
      <c r="B353" s="12" t="s">
        <v>765</v>
      </c>
      <c r="C353" s="12">
        <v>1.125</v>
      </c>
      <c r="D353" s="12"/>
      <c r="E353" s="12"/>
      <c r="F353" s="12"/>
      <c r="G353" s="12"/>
      <c r="H353" s="12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x14ac:dyDescent="0.25">
      <c r="A354" s="12">
        <v>2457163.2115000002</v>
      </c>
      <c r="B354" s="12" t="s">
        <v>765</v>
      </c>
      <c r="C354" s="12">
        <v>1.0900000000000001</v>
      </c>
      <c r="D354" s="12"/>
      <c r="E354" s="12"/>
      <c r="F354" s="12"/>
      <c r="G354" s="12"/>
      <c r="H354" s="12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x14ac:dyDescent="0.25">
      <c r="A355" s="12">
        <v>2457163.2124999999</v>
      </c>
      <c r="B355" s="12" t="s">
        <v>765</v>
      </c>
      <c r="C355" s="12">
        <v>1.256</v>
      </c>
      <c r="D355" s="12"/>
      <c r="E355" s="12"/>
      <c r="F355" s="12"/>
      <c r="G355" s="12"/>
      <c r="H355" s="12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x14ac:dyDescent="0.25">
      <c r="A356" s="12">
        <v>2457163.2144999998</v>
      </c>
      <c r="B356" s="12" t="s">
        <v>765</v>
      </c>
      <c r="C356" s="12">
        <v>1.093</v>
      </c>
      <c r="D356" s="12"/>
      <c r="E356" s="12"/>
      <c r="F356" s="12"/>
      <c r="G356" s="12"/>
      <c r="H356" s="12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x14ac:dyDescent="0.25">
      <c r="A357" s="12">
        <v>2457163.2154999999</v>
      </c>
      <c r="B357" s="12" t="s">
        <v>765</v>
      </c>
      <c r="C357" s="12">
        <v>1.0629999999999999</v>
      </c>
      <c r="D357" s="12"/>
      <c r="E357" s="12"/>
      <c r="F357" s="12"/>
      <c r="G357" s="12"/>
      <c r="H357" s="12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x14ac:dyDescent="0.25">
      <c r="A358" s="12">
        <v>2457163.2174999998</v>
      </c>
      <c r="B358" s="12" t="s">
        <v>765</v>
      </c>
      <c r="C358" s="12">
        <v>1.0740000000000001</v>
      </c>
      <c r="D358" s="12"/>
      <c r="E358" s="12"/>
      <c r="F358" s="12"/>
      <c r="G358" s="12"/>
      <c r="H358" s="12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x14ac:dyDescent="0.25">
      <c r="A359" s="12">
        <v>2457163.2185</v>
      </c>
      <c r="B359" s="12" t="s">
        <v>765</v>
      </c>
      <c r="C359" s="12">
        <v>1.1439999999999999</v>
      </c>
      <c r="D359" s="12"/>
      <c r="E359" s="12"/>
      <c r="F359" s="12"/>
      <c r="G359" s="12"/>
      <c r="H359" s="12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x14ac:dyDescent="0.25">
      <c r="A360" s="12">
        <v>2457163.2204999998</v>
      </c>
      <c r="B360" s="12" t="s">
        <v>765</v>
      </c>
      <c r="C360" s="12">
        <v>1.1419999999999999</v>
      </c>
      <c r="D360" s="12"/>
      <c r="E360" s="12"/>
      <c r="F360" s="12"/>
      <c r="G360" s="12"/>
      <c r="H360" s="12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x14ac:dyDescent="0.25">
      <c r="A361" s="12">
        <v>2457163.2215</v>
      </c>
      <c r="B361" s="12" t="s">
        <v>765</v>
      </c>
      <c r="C361" s="12">
        <v>1.0629999999999999</v>
      </c>
      <c r="D361" s="12"/>
      <c r="E361" s="12"/>
      <c r="F361" s="12"/>
      <c r="G361" s="12"/>
      <c r="H361" s="12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x14ac:dyDescent="0.25">
      <c r="A362" s="12">
        <v>2457163.2234999998</v>
      </c>
      <c r="B362" s="12" t="s">
        <v>765</v>
      </c>
      <c r="C362" s="12">
        <v>1.077</v>
      </c>
      <c r="D362" s="12"/>
      <c r="E362" s="12"/>
      <c r="F362" s="12"/>
      <c r="G362" s="12"/>
      <c r="H362" s="12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x14ac:dyDescent="0.25">
      <c r="A363" s="12">
        <v>2457163.2245</v>
      </c>
      <c r="B363" s="12" t="s">
        <v>765</v>
      </c>
      <c r="C363" s="12">
        <v>0.93100000000000005</v>
      </c>
      <c r="D363" s="12"/>
      <c r="E363" s="12"/>
      <c r="F363" s="12"/>
      <c r="G363" s="12"/>
      <c r="H363" s="12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x14ac:dyDescent="0.25">
      <c r="A364" s="12">
        <v>2457163.2264999999</v>
      </c>
      <c r="B364" s="12" t="s">
        <v>765</v>
      </c>
      <c r="C364" s="12">
        <v>1.2250000000000001</v>
      </c>
      <c r="D364" s="12"/>
      <c r="E364" s="12"/>
      <c r="F364" s="12"/>
      <c r="G364" s="12"/>
      <c r="H364" s="12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x14ac:dyDescent="0.25">
      <c r="A365" s="12">
        <v>2457163.2275</v>
      </c>
      <c r="B365" s="12" t="s">
        <v>765</v>
      </c>
      <c r="C365" s="12">
        <v>1.083</v>
      </c>
      <c r="D365" s="12"/>
      <c r="E365" s="12"/>
      <c r="F365" s="12"/>
      <c r="G365" s="12"/>
      <c r="H365" s="12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x14ac:dyDescent="0.25">
      <c r="A366" s="12">
        <v>2457163.2294999999</v>
      </c>
      <c r="B366" s="12" t="s">
        <v>765</v>
      </c>
      <c r="C366" s="12">
        <v>0.95</v>
      </c>
      <c r="D366" s="12"/>
      <c r="E366" s="12"/>
      <c r="F366" s="12"/>
      <c r="G366" s="12"/>
      <c r="H366" s="12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x14ac:dyDescent="0.25">
      <c r="A367" s="12">
        <v>2457163.2305000001</v>
      </c>
      <c r="B367" s="12" t="s">
        <v>765</v>
      </c>
      <c r="C367" s="12">
        <v>0.99299999999999999</v>
      </c>
      <c r="D367" s="12"/>
      <c r="E367" s="12"/>
      <c r="F367" s="12"/>
      <c r="G367" s="12"/>
      <c r="H367" s="12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x14ac:dyDescent="0.25">
      <c r="A368" s="12">
        <v>2457163.2324999999</v>
      </c>
      <c r="B368" s="12" t="s">
        <v>765</v>
      </c>
      <c r="C368" s="12">
        <v>0.94899999999999995</v>
      </c>
      <c r="D368" s="12"/>
      <c r="E368" s="12"/>
      <c r="F368" s="12"/>
      <c r="G368" s="12"/>
      <c r="H368" s="12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x14ac:dyDescent="0.25">
      <c r="A369" s="12">
        <v>2457163.2335000001</v>
      </c>
      <c r="B369" s="12" t="s">
        <v>765</v>
      </c>
      <c r="C369" s="12">
        <v>1.02</v>
      </c>
      <c r="D369" s="12"/>
      <c r="E369" s="12"/>
      <c r="F369" s="12"/>
      <c r="G369" s="12"/>
      <c r="H369" s="12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x14ac:dyDescent="0.25">
      <c r="A370" s="12">
        <v>2457163.2355</v>
      </c>
      <c r="B370" s="12" t="s">
        <v>765</v>
      </c>
      <c r="C370" s="12">
        <v>1.048</v>
      </c>
      <c r="D370" s="12"/>
      <c r="E370" s="12"/>
      <c r="F370" s="12"/>
      <c r="G370" s="12"/>
      <c r="H370" s="12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x14ac:dyDescent="0.25">
      <c r="A371" s="12">
        <v>2457163.2370000002</v>
      </c>
      <c r="B371" s="12" t="s">
        <v>765</v>
      </c>
      <c r="C371" s="12">
        <v>0.90200000000000002</v>
      </c>
      <c r="D371" s="12"/>
      <c r="E371" s="12"/>
      <c r="F371" s="12"/>
      <c r="G371" s="12"/>
      <c r="H371" s="12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x14ac:dyDescent="0.25">
      <c r="A372" s="12">
        <v>2457163.2385</v>
      </c>
      <c r="B372" s="12" t="s">
        <v>765</v>
      </c>
      <c r="C372" s="12">
        <v>1.0249999999999999</v>
      </c>
      <c r="D372" s="12"/>
      <c r="E372" s="12"/>
      <c r="F372" s="12"/>
      <c r="G372" s="12"/>
      <c r="H372" s="12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x14ac:dyDescent="0.25">
      <c r="A373" s="12">
        <v>2457163.2400000002</v>
      </c>
      <c r="B373" s="12" t="s">
        <v>765</v>
      </c>
      <c r="C373" s="12">
        <v>1.1000000000000001</v>
      </c>
      <c r="D373" s="12"/>
      <c r="E373" s="12"/>
      <c r="F373" s="12"/>
      <c r="G373" s="12"/>
      <c r="H373" s="12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x14ac:dyDescent="0.25">
      <c r="A374" s="12">
        <v>2457163.2415</v>
      </c>
      <c r="B374" s="12" t="s">
        <v>765</v>
      </c>
      <c r="C374" s="12">
        <v>1.109</v>
      </c>
      <c r="D374" s="12"/>
      <c r="E374" s="12"/>
      <c r="F374" s="12"/>
      <c r="G374" s="12"/>
      <c r="H374" s="12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x14ac:dyDescent="0.25">
      <c r="A375" s="12">
        <v>2457163.2429999998</v>
      </c>
      <c r="B375" s="12" t="s">
        <v>765</v>
      </c>
      <c r="C375" s="12">
        <v>1.002</v>
      </c>
      <c r="D375" s="12"/>
      <c r="E375" s="12"/>
      <c r="F375" s="12"/>
      <c r="G375" s="12"/>
      <c r="H375" s="12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x14ac:dyDescent="0.25">
      <c r="A376" s="12">
        <v>2457163.2445</v>
      </c>
      <c r="B376" s="12" t="s">
        <v>765</v>
      </c>
      <c r="C376" s="12">
        <v>0.98</v>
      </c>
      <c r="D376" s="12"/>
      <c r="E376" s="12"/>
      <c r="F376" s="12"/>
      <c r="G376" s="12"/>
      <c r="H376" s="12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x14ac:dyDescent="0.25">
      <c r="A377" s="12">
        <v>2457163.2459999998</v>
      </c>
      <c r="B377" s="12" t="s">
        <v>765</v>
      </c>
      <c r="C377" s="12">
        <v>1.0740000000000001</v>
      </c>
      <c r="D377" s="12"/>
      <c r="E377" s="12"/>
      <c r="F377" s="12"/>
      <c r="G377" s="12"/>
      <c r="H377" s="12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x14ac:dyDescent="0.25">
      <c r="A378" s="12">
        <v>2457163.2475000001</v>
      </c>
      <c r="B378" s="12" t="s">
        <v>765</v>
      </c>
      <c r="C378" s="12">
        <v>0.999</v>
      </c>
      <c r="D378" s="12"/>
      <c r="E378" s="12"/>
      <c r="F378" s="12"/>
      <c r="G378" s="12"/>
      <c r="H378" s="12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x14ac:dyDescent="0.25">
      <c r="A379" s="12">
        <v>2457163.2489999998</v>
      </c>
      <c r="B379" s="12" t="s">
        <v>765</v>
      </c>
      <c r="C379" s="12">
        <v>1.0429999999999999</v>
      </c>
      <c r="D379" s="12"/>
      <c r="E379" s="12"/>
      <c r="F379" s="12"/>
      <c r="G379" s="12"/>
      <c r="H379" s="12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x14ac:dyDescent="0.25">
      <c r="A380" s="12">
        <v>2457163.2505000001</v>
      </c>
      <c r="B380" s="12" t="s">
        <v>765</v>
      </c>
      <c r="C380" s="12">
        <v>1.0389999999999999</v>
      </c>
      <c r="D380" s="12"/>
      <c r="E380" s="12"/>
      <c r="F380" s="12"/>
      <c r="G380" s="12"/>
      <c r="H380" s="12"/>
      <c r="I380" s="1"/>
      <c r="J380" s="1"/>
      <c r="K380" s="1"/>
      <c r="L380" s="1"/>
      <c r="M380" s="1"/>
      <c r="N380" s="1"/>
      <c r="O380" s="1"/>
      <c r="P380" s="1"/>
      <c r="Q380" s="1"/>
      <c r="R380" s="1"/>
    </row>
    <row r="381" spans="1:18" x14ac:dyDescent="0.25">
      <c r="A381" s="12">
        <v>2457163.2524999999</v>
      </c>
      <c r="B381" s="12" t="s">
        <v>765</v>
      </c>
      <c r="C381" s="12">
        <v>0.98399999999999999</v>
      </c>
      <c r="D381" s="12"/>
      <c r="E381" s="12"/>
      <c r="F381" s="12"/>
      <c r="G381" s="12"/>
      <c r="H381" s="12"/>
    </row>
    <row r="382" spans="1:18" x14ac:dyDescent="0.25">
      <c r="A382" s="12">
        <v>2457163.2535000001</v>
      </c>
      <c r="B382" s="12" t="s">
        <v>765</v>
      </c>
      <c r="C382" s="12">
        <v>0.90600000000000003</v>
      </c>
      <c r="D382" s="12"/>
      <c r="E382" s="12"/>
      <c r="F382" s="12"/>
      <c r="G382" s="12"/>
      <c r="H382" s="12"/>
    </row>
    <row r="383" spans="1:18" x14ac:dyDescent="0.25">
      <c r="A383" s="12">
        <v>2457163.2555</v>
      </c>
      <c r="B383" s="12" t="s">
        <v>765</v>
      </c>
      <c r="C383" s="12">
        <v>1.0149999999999999</v>
      </c>
      <c r="D383" s="12"/>
      <c r="E383" s="12"/>
      <c r="F383" s="12"/>
      <c r="G383" s="12"/>
      <c r="H383" s="12"/>
    </row>
    <row r="384" spans="1:18" x14ac:dyDescent="0.25">
      <c r="A384" s="12">
        <v>2457163.2565000001</v>
      </c>
      <c r="B384" s="12" t="s">
        <v>765</v>
      </c>
      <c r="C384" s="12">
        <v>1.089</v>
      </c>
      <c r="D384" s="12"/>
      <c r="E384" s="12"/>
      <c r="F384" s="12"/>
      <c r="G384" s="12"/>
      <c r="H384" s="12"/>
    </row>
    <row r="385" spans="1:8" x14ac:dyDescent="0.25">
      <c r="A385" s="12">
        <v>2457163.2585</v>
      </c>
      <c r="B385" s="12" t="s">
        <v>765</v>
      </c>
      <c r="C385" s="12">
        <v>1.147</v>
      </c>
      <c r="D385" s="12"/>
      <c r="E385" s="12"/>
      <c r="F385" s="12"/>
      <c r="G385" s="12"/>
      <c r="H385" s="12"/>
    </row>
    <row r="386" spans="1:8" x14ac:dyDescent="0.25">
      <c r="A386" s="12">
        <v>2457163.2595000002</v>
      </c>
      <c r="B386" s="12" t="s">
        <v>765</v>
      </c>
      <c r="C386" s="12">
        <v>1.0720000000000001</v>
      </c>
      <c r="D386" s="12"/>
      <c r="E386" s="12"/>
      <c r="F386" s="12"/>
      <c r="G386" s="12"/>
      <c r="H386" s="12"/>
    </row>
    <row r="387" spans="1:8" x14ac:dyDescent="0.25">
      <c r="A387" s="12">
        <v>2457163.2615</v>
      </c>
      <c r="B387" s="12" t="s">
        <v>765</v>
      </c>
      <c r="C387" s="12">
        <v>0.999</v>
      </c>
      <c r="D387" s="12"/>
      <c r="E387" s="12"/>
      <c r="F387" s="12"/>
      <c r="G387" s="12"/>
      <c r="H387" s="12"/>
    </row>
    <row r="388" spans="1:8" x14ac:dyDescent="0.25">
      <c r="A388" s="12">
        <v>2457163.2625000002</v>
      </c>
      <c r="B388" s="12" t="s">
        <v>765</v>
      </c>
      <c r="C388" s="12">
        <v>1.139</v>
      </c>
      <c r="D388" s="12"/>
      <c r="E388" s="12"/>
      <c r="F388" s="12"/>
      <c r="G388" s="12"/>
      <c r="H388" s="12"/>
    </row>
    <row r="389" spans="1:8" x14ac:dyDescent="0.25">
      <c r="A389" s="12">
        <v>2457163.2645</v>
      </c>
      <c r="B389" s="12" t="s">
        <v>765</v>
      </c>
      <c r="C389" s="12">
        <v>1.1140000000000001</v>
      </c>
      <c r="D389" s="12"/>
      <c r="E389" s="12"/>
      <c r="F389" s="12"/>
      <c r="G389" s="12"/>
      <c r="H389" s="12"/>
    </row>
    <row r="390" spans="1:8" x14ac:dyDescent="0.25">
      <c r="A390" s="12">
        <v>2457163.2655000002</v>
      </c>
      <c r="B390" s="12" t="s">
        <v>765</v>
      </c>
      <c r="C390" s="12">
        <v>1.1479999999999999</v>
      </c>
      <c r="D390" s="12"/>
      <c r="E390" s="12"/>
      <c r="F390" s="12"/>
      <c r="G390" s="12"/>
      <c r="H390" s="12"/>
    </row>
    <row r="391" spans="1:8" x14ac:dyDescent="0.25">
      <c r="A391" s="12">
        <v>2457163.2675000001</v>
      </c>
      <c r="B391" s="12" t="s">
        <v>765</v>
      </c>
      <c r="C391" s="12">
        <v>1.0049999999999999</v>
      </c>
      <c r="D391" s="12"/>
      <c r="E391" s="12"/>
      <c r="F391" s="12"/>
      <c r="G391" s="12"/>
      <c r="H391" s="12"/>
    </row>
    <row r="392" spans="1:8" x14ac:dyDescent="0.25">
      <c r="A392" s="12">
        <v>2457163.2684999998</v>
      </c>
      <c r="B392" s="12" t="s">
        <v>765</v>
      </c>
      <c r="C392" s="12">
        <v>1.1679999999999999</v>
      </c>
      <c r="D392" s="12"/>
      <c r="E392" s="12"/>
      <c r="F392" s="12"/>
      <c r="G392" s="12"/>
      <c r="H392" s="12"/>
    </row>
    <row r="393" spans="1:8" x14ac:dyDescent="0.25">
      <c r="A393" s="12">
        <v>2457163.2705000001</v>
      </c>
      <c r="B393" s="12" t="s">
        <v>765</v>
      </c>
      <c r="C393" s="12">
        <v>1.198</v>
      </c>
      <c r="D393" s="12"/>
      <c r="E393" s="12"/>
      <c r="F393" s="12"/>
      <c r="G393" s="12"/>
      <c r="H393" s="12"/>
    </row>
    <row r="394" spans="1:8" x14ac:dyDescent="0.25">
      <c r="A394" s="12">
        <v>2457163.2714999998</v>
      </c>
      <c r="B394" s="12" t="s">
        <v>765</v>
      </c>
      <c r="C394" s="12">
        <v>1.0669999999999999</v>
      </c>
      <c r="D394" s="12"/>
      <c r="E394" s="12"/>
      <c r="F394" s="12"/>
      <c r="G394" s="12"/>
      <c r="H394" s="12"/>
    </row>
    <row r="395" spans="1:8" x14ac:dyDescent="0.25">
      <c r="A395" s="12">
        <v>2457163.2735000001</v>
      </c>
      <c r="B395" s="12" t="s">
        <v>765</v>
      </c>
      <c r="C395" s="12">
        <v>1.002</v>
      </c>
      <c r="D395" s="12"/>
      <c r="E395" s="12"/>
      <c r="F395" s="12"/>
      <c r="G395" s="12"/>
      <c r="H395" s="12"/>
    </row>
    <row r="396" spans="1:8" x14ac:dyDescent="0.25">
      <c r="A396" s="12">
        <v>2457163.2744999998</v>
      </c>
      <c r="B396" s="12" t="s">
        <v>765</v>
      </c>
      <c r="C396" s="12">
        <v>1.127</v>
      </c>
      <c r="D396" s="12"/>
      <c r="E396" s="12"/>
      <c r="F396" s="12"/>
      <c r="G396" s="12"/>
      <c r="H396" s="12"/>
    </row>
    <row r="397" spans="1:8" x14ac:dyDescent="0.25">
      <c r="A397" s="12">
        <v>2457163.2765000002</v>
      </c>
      <c r="B397" s="12" t="s">
        <v>765</v>
      </c>
      <c r="C397" s="12">
        <v>0.98699999999999999</v>
      </c>
      <c r="D397" s="12"/>
      <c r="E397" s="12"/>
      <c r="F397" s="12"/>
      <c r="G397" s="12"/>
      <c r="H397" s="12"/>
    </row>
    <row r="398" spans="1:8" x14ac:dyDescent="0.25">
      <c r="A398" s="12">
        <v>2457163.2774999999</v>
      </c>
      <c r="B398" s="12" t="s">
        <v>765</v>
      </c>
      <c r="C398" s="12">
        <v>1.0629999999999999</v>
      </c>
      <c r="D398" s="12"/>
      <c r="E398" s="12"/>
      <c r="F398" s="12"/>
      <c r="G398" s="12"/>
      <c r="H398" s="12"/>
    </row>
    <row r="399" spans="1:8" x14ac:dyDescent="0.25">
      <c r="A399" s="12">
        <v>2457163.2795000002</v>
      </c>
      <c r="B399" s="12" t="s">
        <v>765</v>
      </c>
      <c r="C399" s="12">
        <v>1.095</v>
      </c>
      <c r="D399" s="12"/>
      <c r="E399" s="12"/>
      <c r="F399" s="12"/>
      <c r="G399" s="12"/>
      <c r="H399" s="12"/>
    </row>
    <row r="400" spans="1:8" x14ac:dyDescent="0.25">
      <c r="A400" s="12">
        <v>2457163.2804999999</v>
      </c>
      <c r="B400" s="12" t="s">
        <v>765</v>
      </c>
      <c r="C400" s="12">
        <v>1.0209999999999999</v>
      </c>
      <c r="D400" s="12"/>
      <c r="E400" s="12"/>
      <c r="F400" s="12"/>
      <c r="G400" s="12"/>
      <c r="H400" s="12"/>
    </row>
    <row r="401" spans="1:8" x14ac:dyDescent="0.25">
      <c r="A401" s="12">
        <v>2457188.8341100002</v>
      </c>
      <c r="B401" s="12" t="s">
        <v>769</v>
      </c>
      <c r="C401" s="12">
        <v>1.3720000000000001</v>
      </c>
      <c r="D401" s="12"/>
      <c r="E401" s="12"/>
      <c r="F401" s="12"/>
      <c r="G401" s="12"/>
      <c r="H401" s="12"/>
    </row>
    <row r="402" spans="1:8" x14ac:dyDescent="0.25">
      <c r="A402" s="12">
        <v>2457540.8877900001</v>
      </c>
      <c r="B402" s="12" t="s">
        <v>7</v>
      </c>
      <c r="C402" s="12">
        <v>1.048</v>
      </c>
      <c r="D402" s="12"/>
      <c r="E402" s="12"/>
      <c r="F402" s="12"/>
      <c r="G402" s="12"/>
      <c r="H402" s="12"/>
    </row>
    <row r="403" spans="1:8" x14ac:dyDescent="0.25">
      <c r="A403" s="12">
        <v>2457894.6231</v>
      </c>
      <c r="B403" s="12" t="s">
        <v>787</v>
      </c>
      <c r="C403" s="12">
        <v>1.0629999999999999</v>
      </c>
      <c r="D403" s="12"/>
      <c r="E403" s="12"/>
      <c r="F403" s="12"/>
      <c r="G403" s="12"/>
      <c r="H403" s="12"/>
    </row>
    <row r="404" spans="1:8" x14ac:dyDescent="0.25">
      <c r="A404" s="12">
        <v>2457903.85084</v>
      </c>
      <c r="B404" s="12" t="s">
        <v>789</v>
      </c>
      <c r="C404" s="12">
        <v>0.96799999999999997</v>
      </c>
      <c r="D404" s="12"/>
      <c r="E404" s="12"/>
      <c r="F404" s="12"/>
      <c r="G404" s="12"/>
      <c r="H404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/>
  <dimension ref="A1:AA489"/>
  <sheetViews>
    <sheetView workbookViewId="0">
      <selection activeCell="D1" sqref="D1:D1048576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4" width="11.5703125" bestFit="1" customWidth="1"/>
  </cols>
  <sheetData>
    <row r="1" spans="1:27" x14ac:dyDescent="0.25">
      <c r="A1" s="12">
        <v>2453475.8081999999</v>
      </c>
      <c r="B1" s="12" t="s">
        <v>2444</v>
      </c>
      <c r="C1" s="12">
        <v>12.09</v>
      </c>
      <c r="D1" s="1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2">
        <v>2453522.8753999998</v>
      </c>
      <c r="B2" s="12" t="s">
        <v>271</v>
      </c>
      <c r="C2" s="12">
        <v>11.53</v>
      </c>
      <c r="D2" s="1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2">
        <v>2453541.7599999998</v>
      </c>
      <c r="B3" s="12" t="s">
        <v>277</v>
      </c>
      <c r="C3" s="12">
        <v>11.32</v>
      </c>
      <c r="D3" s="1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2">
        <v>2453555.7074000002</v>
      </c>
      <c r="B4" s="12" t="s">
        <v>2445</v>
      </c>
      <c r="C4" s="12">
        <v>11.65</v>
      </c>
      <c r="D4" s="1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2">
        <v>2453562.7149</v>
      </c>
      <c r="B5" s="12" t="s">
        <v>283</v>
      </c>
      <c r="C5" s="12">
        <v>11.62</v>
      </c>
      <c r="D5" s="12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2">
        <v>2453571.7467999998</v>
      </c>
      <c r="B6" s="12" t="s">
        <v>286</v>
      </c>
      <c r="C6" s="12">
        <v>11.81</v>
      </c>
      <c r="D6" s="12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2">
        <v>2453624.6540000001</v>
      </c>
      <c r="B7" s="12" t="s">
        <v>292</v>
      </c>
      <c r="C7" s="12">
        <v>12.46</v>
      </c>
      <c r="D7" s="12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2">
        <v>2453634.6395</v>
      </c>
      <c r="B8" s="12" t="s">
        <v>293</v>
      </c>
      <c r="C8" s="12">
        <v>12.52</v>
      </c>
      <c r="D8" s="12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2">
        <v>2453641.6110999999</v>
      </c>
      <c r="B9" s="12" t="s">
        <v>294</v>
      </c>
      <c r="C9" s="12">
        <v>12.16</v>
      </c>
      <c r="D9" s="1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2">
        <v>2453644.5081000002</v>
      </c>
      <c r="B10" s="12" t="s">
        <v>295</v>
      </c>
      <c r="C10" s="12">
        <v>11.88</v>
      </c>
      <c r="D10" s="12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2">
        <v>2453649.5888</v>
      </c>
      <c r="B11" s="12" t="s">
        <v>296</v>
      </c>
      <c r="C11" s="12">
        <v>11.99</v>
      </c>
      <c r="D11" s="12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2">
        <v>2453673.4811</v>
      </c>
      <c r="B12" s="12" t="s">
        <v>297</v>
      </c>
      <c r="C12" s="12">
        <v>11.78</v>
      </c>
      <c r="D12" s="12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2">
        <v>2453679.5350000001</v>
      </c>
      <c r="B13" s="12" t="s">
        <v>139</v>
      </c>
      <c r="C13" s="12">
        <v>10.92</v>
      </c>
      <c r="D13" s="12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2">
        <v>2453686.4960500002</v>
      </c>
      <c r="B14" s="12" t="s">
        <v>299</v>
      </c>
      <c r="C14" s="12">
        <v>11.744999999999999</v>
      </c>
      <c r="D14" s="1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2">
        <v>2453779.9826000002</v>
      </c>
      <c r="B15" s="12" t="s">
        <v>301</v>
      </c>
      <c r="C15" s="12">
        <v>5.71</v>
      </c>
      <c r="D15" s="1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2">
        <v>2453780.659</v>
      </c>
      <c r="B16" s="12" t="s">
        <v>302</v>
      </c>
      <c r="C16" s="12">
        <v>6.08</v>
      </c>
      <c r="D16" s="1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2">
        <v>2453782.9840000002</v>
      </c>
      <c r="B17" s="12" t="s">
        <v>303</v>
      </c>
      <c r="C17" s="12">
        <v>6.99</v>
      </c>
      <c r="D17" s="1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2">
        <v>2453786.9819</v>
      </c>
      <c r="B18" s="12" t="s">
        <v>304</v>
      </c>
      <c r="C18" s="12">
        <v>8.0299999999999994</v>
      </c>
      <c r="D18" s="1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2">
        <v>2453788.4750000001</v>
      </c>
      <c r="B19" s="12" t="s">
        <v>305</v>
      </c>
      <c r="C19" s="12">
        <v>8.0749999999999993</v>
      </c>
      <c r="D19" s="1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2">
        <v>2453790.9600999998</v>
      </c>
      <c r="B20" s="12" t="s">
        <v>306</v>
      </c>
      <c r="C20" s="12">
        <v>8.4700000000000006</v>
      </c>
      <c r="D20" s="1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2">
        <v>2453791.4750000001</v>
      </c>
      <c r="B21" s="12" t="s">
        <v>306</v>
      </c>
      <c r="C21" s="12">
        <v>8.4450000000000003</v>
      </c>
      <c r="D21" s="1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2">
        <v>2453792.9700000002</v>
      </c>
      <c r="B22" s="12" t="s">
        <v>2446</v>
      </c>
      <c r="C22" s="12">
        <v>8.41</v>
      </c>
      <c r="D22" s="1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2">
        <v>2453793.98</v>
      </c>
      <c r="B23" s="12" t="s">
        <v>308</v>
      </c>
      <c r="C23" s="12">
        <v>8.66</v>
      </c>
      <c r="D23" s="1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2">
        <v>2453795.6332299998</v>
      </c>
      <c r="B24" s="12" t="s">
        <v>2447</v>
      </c>
      <c r="C24" s="12">
        <v>8.7433329999999998</v>
      </c>
      <c r="D24" s="1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2">
        <v>2453798.45805</v>
      </c>
      <c r="B25" s="12" t="s">
        <v>311</v>
      </c>
      <c r="C25" s="12">
        <v>8.9700000000000006</v>
      </c>
      <c r="D25" s="1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2">
        <v>2453799.9740499998</v>
      </c>
      <c r="B26" s="12" t="s">
        <v>312</v>
      </c>
      <c r="C26" s="12">
        <v>9.08</v>
      </c>
      <c r="D26" s="1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2">
        <v>2453801.6460699998</v>
      </c>
      <c r="B27" s="12" t="s">
        <v>2448</v>
      </c>
      <c r="C27" s="12">
        <v>9.17</v>
      </c>
      <c r="D27" s="1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2">
        <v>2453802.98</v>
      </c>
      <c r="B28" s="12" t="s">
        <v>314</v>
      </c>
      <c r="C28" s="12">
        <v>9.3000000000000007</v>
      </c>
      <c r="D28" s="1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2">
        <v>2453812.9467000002</v>
      </c>
      <c r="B29" s="12" t="s">
        <v>316</v>
      </c>
      <c r="C29" s="12">
        <v>9.94</v>
      </c>
      <c r="D29" s="1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2">
        <v>2453824.8223999999</v>
      </c>
      <c r="B30" s="12" t="s">
        <v>320</v>
      </c>
      <c r="C30" s="12">
        <v>10.4</v>
      </c>
      <c r="D30" s="1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2">
        <v>2453836.8095</v>
      </c>
      <c r="B31" s="12" t="s">
        <v>325</v>
      </c>
      <c r="C31" s="12">
        <v>10.64</v>
      </c>
      <c r="D31" s="1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2">
        <v>2453841.8300999999</v>
      </c>
      <c r="B32" s="12" t="s">
        <v>327</v>
      </c>
      <c r="C32" s="12">
        <v>10.71</v>
      </c>
      <c r="D32" s="1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2">
        <v>2453844.8747</v>
      </c>
      <c r="B33" s="12" t="s">
        <v>329</v>
      </c>
      <c r="C33" s="12">
        <v>10.79</v>
      </c>
      <c r="D33" s="1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2">
        <v>2453854.9045000002</v>
      </c>
      <c r="B34" s="12" t="s">
        <v>333</v>
      </c>
      <c r="C34" s="12">
        <v>11.09</v>
      </c>
      <c r="D34" s="1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2">
        <v>2453860.7804</v>
      </c>
      <c r="B35" s="12" t="s">
        <v>337</v>
      </c>
      <c r="C35" s="12">
        <v>11.28</v>
      </c>
      <c r="D35" s="1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2">
        <v>2453863.7768999999</v>
      </c>
      <c r="B36" s="12" t="s">
        <v>141</v>
      </c>
      <c r="C36" s="12">
        <v>11.43</v>
      </c>
      <c r="D36" s="1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2">
        <v>2453879.8014000002</v>
      </c>
      <c r="B37" s="12" t="s">
        <v>344</v>
      </c>
      <c r="C37" s="12">
        <v>12.32</v>
      </c>
      <c r="D37" s="1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2">
        <v>2453883.8306999998</v>
      </c>
      <c r="B38" s="12" t="s">
        <v>347</v>
      </c>
      <c r="C38" s="12">
        <v>12.51</v>
      </c>
      <c r="D38" s="1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2">
        <v>2453897.7363999998</v>
      </c>
      <c r="B39" s="12" t="s">
        <v>352</v>
      </c>
      <c r="C39" s="12">
        <v>12.8</v>
      </c>
      <c r="D39" s="12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2">
        <v>2453916.7088500001</v>
      </c>
      <c r="B40" s="12" t="s">
        <v>358</v>
      </c>
      <c r="C40" s="12">
        <v>13.23</v>
      </c>
      <c r="D40" s="1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2">
        <v>2453922.7144999998</v>
      </c>
      <c r="B41" s="12" t="s">
        <v>361</v>
      </c>
      <c r="C41" s="12">
        <v>13.28</v>
      </c>
      <c r="D41" s="1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2">
        <v>2453936.7614000002</v>
      </c>
      <c r="B42" s="12" t="s">
        <v>365</v>
      </c>
      <c r="C42" s="12">
        <v>13.3</v>
      </c>
      <c r="D42" s="1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2">
        <v>2453957.1165999998</v>
      </c>
      <c r="B43" s="12" t="s">
        <v>372</v>
      </c>
      <c r="C43" s="12">
        <v>13.02</v>
      </c>
      <c r="D43" s="1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2">
        <v>2453979.6690400001</v>
      </c>
      <c r="B44" s="12" t="s">
        <v>380</v>
      </c>
      <c r="C44" s="12">
        <v>12.8874</v>
      </c>
      <c r="D44" s="1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2">
        <v>2453985.6347699999</v>
      </c>
      <c r="B45" s="12" t="s">
        <v>385</v>
      </c>
      <c r="C45" s="12">
        <v>13.118667</v>
      </c>
      <c r="D45" s="1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2">
        <v>2453987.6582599999</v>
      </c>
      <c r="B46" s="12" t="s">
        <v>387</v>
      </c>
      <c r="C46" s="12">
        <v>13.401</v>
      </c>
      <c r="D46" s="1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2">
        <v>2453990.4635999999</v>
      </c>
      <c r="B47" s="12" t="s">
        <v>388</v>
      </c>
      <c r="C47" s="12">
        <v>13.31</v>
      </c>
      <c r="D47" s="1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2">
        <v>2453995.4481700002</v>
      </c>
      <c r="B48" s="12" t="s">
        <v>392</v>
      </c>
      <c r="C48" s="12">
        <v>13.021750000000001</v>
      </c>
      <c r="D48" s="1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2">
        <v>2453996.6438899999</v>
      </c>
      <c r="B49" s="12" t="s">
        <v>394</v>
      </c>
      <c r="C49" s="12">
        <v>12.94125</v>
      </c>
      <c r="D49" s="1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2">
        <v>2453997.8320900002</v>
      </c>
      <c r="B50" s="12" t="s">
        <v>395</v>
      </c>
      <c r="C50" s="12">
        <v>12.95</v>
      </c>
      <c r="D50" s="1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2">
        <v>2453998.9756900002</v>
      </c>
      <c r="B51" s="12" t="s">
        <v>396</v>
      </c>
      <c r="C51" s="12">
        <v>12.9285</v>
      </c>
      <c r="D51" s="1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2">
        <v>2454000.1455999999</v>
      </c>
      <c r="B52" s="12" t="s">
        <v>397</v>
      </c>
      <c r="C52" s="12">
        <v>12.944667000000001</v>
      </c>
      <c r="D52" s="1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2">
        <v>2454001.1581299999</v>
      </c>
      <c r="B53" s="12" t="s">
        <v>398</v>
      </c>
      <c r="C53" s="12">
        <v>12.88775</v>
      </c>
      <c r="D53" s="1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2">
        <v>2454002.6260899999</v>
      </c>
      <c r="B54" s="12" t="s">
        <v>400</v>
      </c>
      <c r="C54" s="12">
        <v>12.922333</v>
      </c>
      <c r="D54" s="1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2">
        <v>2454003.9759999998</v>
      </c>
      <c r="B55" s="12" t="s">
        <v>401</v>
      </c>
      <c r="C55" s="12">
        <v>13.02</v>
      </c>
      <c r="D55" s="1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2">
        <v>2454005.2370600002</v>
      </c>
      <c r="B56" s="12" t="s">
        <v>2449</v>
      </c>
      <c r="C56" s="12">
        <v>12.914999999999999</v>
      </c>
      <c r="D56" s="12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2">
        <v>2454006.6132399999</v>
      </c>
      <c r="B57" s="12" t="s">
        <v>403</v>
      </c>
      <c r="C57" s="12">
        <v>12.903667</v>
      </c>
      <c r="D57" s="12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2">
        <v>2454007.3115900001</v>
      </c>
      <c r="B58" s="12" t="s">
        <v>403</v>
      </c>
      <c r="C58" s="12">
        <v>12.91</v>
      </c>
      <c r="D58" s="12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2">
        <v>2454009.5996699999</v>
      </c>
      <c r="B59" s="12" t="s">
        <v>405</v>
      </c>
      <c r="C59" s="12">
        <v>12.967000000000001</v>
      </c>
      <c r="D59" s="12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2">
        <v>2454010.1398800001</v>
      </c>
      <c r="B60" s="12" t="s">
        <v>405</v>
      </c>
      <c r="C60" s="12">
        <v>12.920500000000001</v>
      </c>
      <c r="D60" s="12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2">
        <v>2454011.43254</v>
      </c>
      <c r="B61" s="12" t="s">
        <v>406</v>
      </c>
      <c r="C61" s="12">
        <v>12.897399999999999</v>
      </c>
      <c r="D61" s="12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2">
        <v>2454015.5537999999</v>
      </c>
      <c r="B62" s="12" t="s">
        <v>408</v>
      </c>
      <c r="C62" s="12">
        <v>13.06</v>
      </c>
      <c r="D62" s="1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2">
        <v>2454030.5298000001</v>
      </c>
      <c r="B63" s="12" t="s">
        <v>410</v>
      </c>
      <c r="C63" s="12">
        <v>12.74</v>
      </c>
      <c r="D63" s="1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2">
        <v>2454061.4737</v>
      </c>
      <c r="B64" s="12" t="s">
        <v>415</v>
      </c>
      <c r="C64" s="12">
        <v>12.6</v>
      </c>
      <c r="D64" s="1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2">
        <v>2454189.9007999999</v>
      </c>
      <c r="B65" s="12" t="s">
        <v>2450</v>
      </c>
      <c r="C65" s="12">
        <v>12.69</v>
      </c>
      <c r="D65" s="1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2">
        <v>2454210.8906</v>
      </c>
      <c r="B66" s="12" t="s">
        <v>437</v>
      </c>
      <c r="C66" s="12">
        <v>12.52</v>
      </c>
      <c r="D66" s="1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2">
        <v>2454225.8580999998</v>
      </c>
      <c r="B67" s="12" t="s">
        <v>442</v>
      </c>
      <c r="C67" s="12">
        <v>12.26</v>
      </c>
      <c r="D67" s="1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2">
        <v>2454234.8461000002</v>
      </c>
      <c r="B68" s="12" t="s">
        <v>148</v>
      </c>
      <c r="C68" s="12">
        <v>12.31</v>
      </c>
      <c r="D68" s="12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2">
        <v>2454249.8509</v>
      </c>
      <c r="B69" s="12" t="s">
        <v>448</v>
      </c>
      <c r="C69" s="12">
        <v>12</v>
      </c>
      <c r="D69" s="12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2">
        <v>2454262.7637</v>
      </c>
      <c r="B70" s="12" t="s">
        <v>449</v>
      </c>
      <c r="C70" s="12">
        <v>11.93</v>
      </c>
      <c r="D70" s="12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2">
        <v>2454297.7873</v>
      </c>
      <c r="B71" s="12" t="s">
        <v>453</v>
      </c>
      <c r="C71" s="12">
        <v>11.95</v>
      </c>
      <c r="D71" s="1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2">
        <v>2454323.7285000002</v>
      </c>
      <c r="B72" s="12" t="s">
        <v>457</v>
      </c>
      <c r="C72" s="12">
        <v>11.83</v>
      </c>
      <c r="D72" s="12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2">
        <v>2454336.6694</v>
      </c>
      <c r="B73" s="12" t="s">
        <v>458</v>
      </c>
      <c r="C73" s="12">
        <v>12.12</v>
      </c>
      <c r="D73" s="12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2">
        <v>2454344.6729000001</v>
      </c>
      <c r="B74" s="12" t="s">
        <v>460</v>
      </c>
      <c r="C74" s="12">
        <v>12.04</v>
      </c>
      <c r="D74" s="12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2">
        <v>2454349.6546999998</v>
      </c>
      <c r="B75" s="12" t="s">
        <v>150</v>
      </c>
      <c r="C75" s="12">
        <v>12.41</v>
      </c>
      <c r="D75" s="12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2">
        <v>2454357.6422999999</v>
      </c>
      <c r="B76" s="12" t="s">
        <v>461</v>
      </c>
      <c r="C76" s="12">
        <v>11.88</v>
      </c>
      <c r="D76" s="1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2">
        <v>2454360.6201999998</v>
      </c>
      <c r="B77" s="12" t="s">
        <v>463</v>
      </c>
      <c r="C77" s="12">
        <v>11.89</v>
      </c>
      <c r="D77" s="1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2">
        <v>2454378.5731000002</v>
      </c>
      <c r="B78" s="12" t="s">
        <v>151</v>
      </c>
      <c r="C78" s="12">
        <v>12.22</v>
      </c>
      <c r="D78" s="12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2">
        <v>2454394.5417999998</v>
      </c>
      <c r="B79" s="12" t="s">
        <v>464</v>
      </c>
      <c r="C79" s="12">
        <v>12.17</v>
      </c>
      <c r="D79" s="1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2">
        <v>2454404.5118</v>
      </c>
      <c r="B80" s="12" t="s">
        <v>466</v>
      </c>
      <c r="C80" s="12">
        <v>12.59</v>
      </c>
      <c r="D80" s="12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2">
        <v>2454407.5205999999</v>
      </c>
      <c r="B81" s="12" t="s">
        <v>467</v>
      </c>
      <c r="C81" s="12">
        <v>12.06</v>
      </c>
      <c r="D81" s="1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2">
        <v>2454573.8627999998</v>
      </c>
      <c r="B82" s="12" t="s">
        <v>468</v>
      </c>
      <c r="C82" s="12">
        <v>12.71</v>
      </c>
      <c r="D82" s="12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2">
        <v>2454578.8690999998</v>
      </c>
      <c r="B83" s="12" t="s">
        <v>469</v>
      </c>
      <c r="C83" s="12">
        <v>12.42</v>
      </c>
      <c r="D83" s="1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2">
        <v>2454611.8741000001</v>
      </c>
      <c r="B84" s="12" t="s">
        <v>472</v>
      </c>
      <c r="C84" s="12">
        <v>12.13</v>
      </c>
      <c r="D84" s="12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2">
        <v>2454641.8424999998</v>
      </c>
      <c r="B85" s="12" t="s">
        <v>475</v>
      </c>
      <c r="C85" s="12">
        <v>12.01</v>
      </c>
      <c r="D85" s="12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2">
        <v>2454649.7727000001</v>
      </c>
      <c r="B86" s="12" t="s">
        <v>154</v>
      </c>
      <c r="C86" s="12">
        <v>12.19</v>
      </c>
      <c r="D86" s="12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2">
        <v>2454662.7348000002</v>
      </c>
      <c r="B87" s="12" t="s">
        <v>477</v>
      </c>
      <c r="C87" s="12">
        <v>12.23</v>
      </c>
      <c r="D87" s="12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2">
        <v>2454704.5888999999</v>
      </c>
      <c r="B88" s="12" t="s">
        <v>478</v>
      </c>
      <c r="C88" s="12">
        <v>12.1</v>
      </c>
      <c r="D88" s="12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2">
        <v>2454717.6282000002</v>
      </c>
      <c r="B89" s="12" t="s">
        <v>479</v>
      </c>
      <c r="C89" s="12">
        <v>12</v>
      </c>
      <c r="D89" s="12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2">
        <v>2454732.5943999998</v>
      </c>
      <c r="B90" s="12" t="s">
        <v>480</v>
      </c>
      <c r="C90" s="12">
        <v>12.05</v>
      </c>
      <c r="D90" s="12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2">
        <v>2454743.56</v>
      </c>
      <c r="B91" s="12" t="s">
        <v>481</v>
      </c>
      <c r="C91" s="12">
        <v>11.85</v>
      </c>
      <c r="D91" s="12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2">
        <v>2454770.5170999998</v>
      </c>
      <c r="B92" s="12" t="s">
        <v>482</v>
      </c>
      <c r="C92" s="12">
        <v>11.89</v>
      </c>
      <c r="D92" s="12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2">
        <v>2454907.9445000002</v>
      </c>
      <c r="B93" s="12" t="s">
        <v>483</v>
      </c>
      <c r="C93" s="12">
        <v>12.04</v>
      </c>
      <c r="D93" s="1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2">
        <v>2454933.861</v>
      </c>
      <c r="B94" s="12" t="s">
        <v>485</v>
      </c>
      <c r="C94" s="12">
        <v>12.14</v>
      </c>
      <c r="D94" s="12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2">
        <v>2454963.8262</v>
      </c>
      <c r="B95" s="12" t="s">
        <v>486</v>
      </c>
      <c r="C95" s="12">
        <v>11.97</v>
      </c>
      <c r="D95" s="12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2">
        <v>2454970.7962000002</v>
      </c>
      <c r="B96" s="12" t="s">
        <v>487</v>
      </c>
      <c r="C96" s="12">
        <v>11.83</v>
      </c>
      <c r="D96" s="12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2">
        <v>2454997.7108</v>
      </c>
      <c r="B97" s="12" t="s">
        <v>489</v>
      </c>
      <c r="C97" s="12">
        <v>11.95</v>
      </c>
      <c r="D97" s="12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2">
        <v>2455041.10635</v>
      </c>
      <c r="B98" s="12" t="s">
        <v>491</v>
      </c>
      <c r="C98" s="12">
        <v>11.682</v>
      </c>
      <c r="D98" s="12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2">
        <v>2455049.7130999998</v>
      </c>
      <c r="B99" s="12" t="s">
        <v>493</v>
      </c>
      <c r="C99" s="12">
        <v>11.61</v>
      </c>
      <c r="D99" s="12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2">
        <v>2455065.6815999998</v>
      </c>
      <c r="B100" s="12" t="s">
        <v>495</v>
      </c>
      <c r="C100" s="12">
        <v>11.36</v>
      </c>
      <c r="D100" s="12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2">
        <v>2455077.6499000001</v>
      </c>
      <c r="B101" s="12" t="s">
        <v>499</v>
      </c>
      <c r="C101" s="12">
        <v>11.89</v>
      </c>
      <c r="D101" s="12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2">
        <v>2455123.5491999998</v>
      </c>
      <c r="B102" s="12" t="s">
        <v>504</v>
      </c>
      <c r="C102" s="12">
        <v>12.01</v>
      </c>
      <c r="D102" s="12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2">
        <v>2455148.5003999998</v>
      </c>
      <c r="B103" s="12" t="s">
        <v>2451</v>
      </c>
      <c r="C103" s="12">
        <v>11.85</v>
      </c>
      <c r="D103" s="12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2">
        <v>2455252.9678000002</v>
      </c>
      <c r="B104" s="12" t="s">
        <v>508</v>
      </c>
      <c r="C104" s="12">
        <v>11.9</v>
      </c>
      <c r="D104" s="12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2">
        <v>2455301.8894000002</v>
      </c>
      <c r="B105" s="12" t="s">
        <v>158</v>
      </c>
      <c r="C105" s="12">
        <v>11.68</v>
      </c>
      <c r="D105" s="12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2">
        <v>2455321.8243</v>
      </c>
      <c r="B106" s="12" t="s">
        <v>513</v>
      </c>
      <c r="C106" s="12">
        <v>11.62</v>
      </c>
      <c r="D106" s="12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2">
        <v>2455343.8314</v>
      </c>
      <c r="B107" s="12" t="s">
        <v>514</v>
      </c>
      <c r="C107" s="12">
        <v>11.72</v>
      </c>
      <c r="D107" s="12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2">
        <v>2455373.6834</v>
      </c>
      <c r="B108" s="12" t="s">
        <v>515</v>
      </c>
      <c r="C108" s="12">
        <v>11.88</v>
      </c>
      <c r="D108" s="12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2">
        <v>2455417.7261000001</v>
      </c>
      <c r="B109" s="12" t="s">
        <v>518</v>
      </c>
      <c r="C109" s="12">
        <v>12.13</v>
      </c>
      <c r="D109" s="12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2">
        <v>2455436.6762000001</v>
      </c>
      <c r="B110" s="12" t="s">
        <v>520</v>
      </c>
      <c r="C110" s="12">
        <v>11.61</v>
      </c>
      <c r="D110" s="12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2">
        <v>2455438.6428999999</v>
      </c>
      <c r="B111" s="12" t="s">
        <v>521</v>
      </c>
      <c r="C111" s="12">
        <v>11.89</v>
      </c>
      <c r="D111" s="12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2">
        <v>2455477.5665000002</v>
      </c>
      <c r="B112" s="12" t="s">
        <v>523</v>
      </c>
      <c r="C112" s="12">
        <v>11.95</v>
      </c>
      <c r="D112" s="12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2">
        <v>2455479.5550000002</v>
      </c>
      <c r="B113" s="12" t="s">
        <v>524</v>
      </c>
      <c r="C113" s="12">
        <v>11.88</v>
      </c>
      <c r="D113" s="12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2">
        <v>2455492.5252999999</v>
      </c>
      <c r="B114" s="12" t="s">
        <v>525</v>
      </c>
      <c r="C114" s="12">
        <v>12.05</v>
      </c>
      <c r="D114" s="12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2">
        <v>2455509.4737</v>
      </c>
      <c r="B115" s="12" t="s">
        <v>526</v>
      </c>
      <c r="C115" s="12">
        <v>11.88</v>
      </c>
      <c r="D115" s="12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2">
        <v>2455618.96569</v>
      </c>
      <c r="B116" s="12" t="s">
        <v>528</v>
      </c>
      <c r="C116" s="12">
        <v>11.872</v>
      </c>
      <c r="D116" s="12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2">
        <v>2455622.45609</v>
      </c>
      <c r="B117" s="12" t="s">
        <v>529</v>
      </c>
      <c r="C117" s="12">
        <v>12.077</v>
      </c>
      <c r="D117" s="12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2">
        <v>2455624.4506799998</v>
      </c>
      <c r="B118" s="12" t="s">
        <v>530</v>
      </c>
      <c r="C118" s="12">
        <v>12.006</v>
      </c>
      <c r="D118" s="12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2">
        <v>2455630.4342800002</v>
      </c>
      <c r="B119" s="12" t="s">
        <v>531</v>
      </c>
      <c r="C119" s="12">
        <v>12.3475</v>
      </c>
      <c r="D119" s="12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2">
        <v>2455632.42881</v>
      </c>
      <c r="B120" s="12" t="s">
        <v>532</v>
      </c>
      <c r="C120" s="12">
        <v>12.2415</v>
      </c>
      <c r="D120" s="12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2">
        <v>2455634.92203</v>
      </c>
      <c r="B121" s="12" t="s">
        <v>533</v>
      </c>
      <c r="C121" s="12">
        <v>12.16</v>
      </c>
      <c r="D121" s="12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2">
        <v>2455638.4124599998</v>
      </c>
      <c r="B122" s="12" t="s">
        <v>534</v>
      </c>
      <c r="C122" s="12">
        <v>12.1645</v>
      </c>
      <c r="D122" s="12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2">
        <v>2455640.40699</v>
      </c>
      <c r="B123" s="12" t="s">
        <v>535</v>
      </c>
      <c r="C123" s="12">
        <v>11.923999999999999</v>
      </c>
      <c r="D123" s="12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2">
        <v>2455643.8973500002</v>
      </c>
      <c r="B124" s="12" t="s">
        <v>536</v>
      </c>
      <c r="C124" s="12">
        <v>11.944000000000001</v>
      </c>
      <c r="D124" s="12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2">
        <v>2455644.8987400001</v>
      </c>
      <c r="B125" s="12" t="s">
        <v>537</v>
      </c>
      <c r="C125" s="12">
        <v>12.311999999999999</v>
      </c>
      <c r="D125" s="12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2">
        <v>2455646.3946199999</v>
      </c>
      <c r="B126" s="12" t="s">
        <v>2452</v>
      </c>
      <c r="C126" s="12">
        <v>11.877000000000001</v>
      </c>
      <c r="D126" s="12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2">
        <v>2455649.8810999999</v>
      </c>
      <c r="B127" s="12" t="s">
        <v>539</v>
      </c>
      <c r="C127" s="12">
        <v>12.18</v>
      </c>
      <c r="D127" s="12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2">
        <v>2455654.9861300001</v>
      </c>
      <c r="B128" s="12" t="s">
        <v>540</v>
      </c>
      <c r="C128" s="12">
        <v>12.057</v>
      </c>
      <c r="D128" s="12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2">
        <v>2455660.9503199998</v>
      </c>
      <c r="B129" s="12" t="s">
        <v>541</v>
      </c>
      <c r="C129" s="12">
        <v>11.954000000000001</v>
      </c>
      <c r="D129" s="12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2">
        <v>2455665.9210600001</v>
      </c>
      <c r="B130" s="12" t="s">
        <v>542</v>
      </c>
      <c r="C130" s="12">
        <v>11.721</v>
      </c>
      <c r="D130" s="12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2">
        <v>2455669.9009099999</v>
      </c>
      <c r="B131" s="12" t="s">
        <v>543</v>
      </c>
      <c r="C131" s="12">
        <v>11.727</v>
      </c>
      <c r="D131" s="12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2">
        <v>2455673.8432800001</v>
      </c>
      <c r="B132" s="12" t="s">
        <v>544</v>
      </c>
      <c r="C132" s="12">
        <v>11.917999999999999</v>
      </c>
      <c r="D132" s="12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2">
        <v>2455677.8332099998</v>
      </c>
      <c r="B133" s="12" t="s">
        <v>545</v>
      </c>
      <c r="C133" s="12">
        <v>11.843</v>
      </c>
      <c r="D133" s="12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2">
        <v>2455684.8117399998</v>
      </c>
      <c r="B134" s="12" t="s">
        <v>546</v>
      </c>
      <c r="C134" s="12">
        <v>12.034000000000001</v>
      </c>
      <c r="D134" s="12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2">
        <v>2455688.8010399998</v>
      </c>
      <c r="B135" s="12" t="s">
        <v>547</v>
      </c>
      <c r="C135" s="12">
        <v>12.286</v>
      </c>
      <c r="D135" s="12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2">
        <v>2455693.7687499998</v>
      </c>
      <c r="B136" s="12" t="s">
        <v>548</v>
      </c>
      <c r="C136" s="12">
        <v>11.896000000000001</v>
      </c>
      <c r="D136" s="12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2">
        <v>2455697.75288</v>
      </c>
      <c r="B137" s="12" t="s">
        <v>549</v>
      </c>
      <c r="C137" s="12">
        <v>12.298</v>
      </c>
      <c r="D137" s="12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2">
        <v>2455710.7946899999</v>
      </c>
      <c r="B138" s="12" t="s">
        <v>2453</v>
      </c>
      <c r="C138" s="12">
        <v>12.105</v>
      </c>
      <c r="D138" s="12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2">
        <v>2455718.8284</v>
      </c>
      <c r="B139" s="12" t="s">
        <v>551</v>
      </c>
      <c r="C139" s="12">
        <v>12.63</v>
      </c>
      <c r="D139" s="12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2">
        <v>2455720.77458</v>
      </c>
      <c r="B140" s="12" t="s">
        <v>552</v>
      </c>
      <c r="C140" s="12">
        <v>12.430999999999999</v>
      </c>
      <c r="D140" s="12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2">
        <v>2455724.8059800002</v>
      </c>
      <c r="B141" s="12" t="s">
        <v>553</v>
      </c>
      <c r="C141" s="12">
        <v>12.756</v>
      </c>
      <c r="D141" s="12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2">
        <v>2455728.7455799999</v>
      </c>
      <c r="B142" s="12" t="s">
        <v>554</v>
      </c>
      <c r="C142" s="12">
        <v>12.553000000000001</v>
      </c>
      <c r="D142" s="12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2">
        <v>2455733.7919800002</v>
      </c>
      <c r="B143" s="12" t="s">
        <v>555</v>
      </c>
      <c r="C143" s="12">
        <v>12.382999999999999</v>
      </c>
      <c r="D143" s="12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2">
        <v>2455737.7813300001</v>
      </c>
      <c r="B144" s="12" t="s">
        <v>556</v>
      </c>
      <c r="C144" s="12">
        <v>12.256</v>
      </c>
      <c r="D144" s="12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2">
        <v>2455739.7985999999</v>
      </c>
      <c r="B145" s="12" t="s">
        <v>557</v>
      </c>
      <c r="C145" s="12">
        <v>12.4</v>
      </c>
      <c r="D145" s="12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2">
        <v>2455741.7752499999</v>
      </c>
      <c r="B146" s="12" t="s">
        <v>558</v>
      </c>
      <c r="C146" s="12">
        <v>12.179</v>
      </c>
      <c r="D146" s="12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2">
        <v>2455758.7459</v>
      </c>
      <c r="B147" s="12" t="s">
        <v>561</v>
      </c>
      <c r="C147" s="12">
        <v>12.06</v>
      </c>
      <c r="D147" s="12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2">
        <v>2455769.7061999999</v>
      </c>
      <c r="B148" s="12" t="s">
        <v>567</v>
      </c>
      <c r="C148" s="12">
        <v>12.22</v>
      </c>
      <c r="D148" s="12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2">
        <v>2455865.5542100002</v>
      </c>
      <c r="B149" s="12" t="s">
        <v>580</v>
      </c>
      <c r="C149" s="12">
        <v>12.45</v>
      </c>
      <c r="D149" s="12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2">
        <v>2455869.5565399998</v>
      </c>
      <c r="B150" s="12" t="s">
        <v>581</v>
      </c>
      <c r="C150" s="12">
        <v>12.592000000000001</v>
      </c>
      <c r="D150" s="12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2">
        <v>2455972.0256099999</v>
      </c>
      <c r="B151" s="12" t="s">
        <v>584</v>
      </c>
      <c r="C151" s="12">
        <v>12.334</v>
      </c>
      <c r="D151" s="12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2">
        <v>2455989.9712700001</v>
      </c>
      <c r="B152" s="12" t="s">
        <v>585</v>
      </c>
      <c r="C152" s="12">
        <v>12.635</v>
      </c>
      <c r="D152" s="12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2">
        <v>2456001.9193500001</v>
      </c>
      <c r="B153" s="12" t="s">
        <v>587</v>
      </c>
      <c r="C153" s="12">
        <v>12.587999999999999</v>
      </c>
      <c r="D153" s="12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2">
        <v>2456008.96478</v>
      </c>
      <c r="B154" s="12" t="s">
        <v>591</v>
      </c>
      <c r="C154" s="12">
        <v>12.253</v>
      </c>
      <c r="D154" s="12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2">
        <v>2456014.8943099999</v>
      </c>
      <c r="B155" s="12" t="s">
        <v>593</v>
      </c>
      <c r="C155" s="12">
        <v>12.042</v>
      </c>
      <c r="D155" s="12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2">
        <v>2456018.9253500002</v>
      </c>
      <c r="B156" s="12" t="s">
        <v>595</v>
      </c>
      <c r="C156" s="12">
        <v>12.426</v>
      </c>
      <c r="D156" s="12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2">
        <v>2456027.97853</v>
      </c>
      <c r="B157" s="12" t="s">
        <v>598</v>
      </c>
      <c r="C157" s="12">
        <v>12.156000000000001</v>
      </c>
      <c r="D157" s="12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2">
        <v>2456033.9585299999</v>
      </c>
      <c r="B158" s="12" t="s">
        <v>599</v>
      </c>
      <c r="C158" s="12">
        <v>12.131</v>
      </c>
      <c r="D158" s="12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2">
        <v>2456038.8285400001</v>
      </c>
      <c r="B159" s="12" t="s">
        <v>600</v>
      </c>
      <c r="C159" s="12">
        <v>12.132</v>
      </c>
      <c r="D159" s="12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2">
        <v>2456042.80608</v>
      </c>
      <c r="B160" s="12" t="s">
        <v>602</v>
      </c>
      <c r="C160" s="12">
        <v>12.409000000000001</v>
      </c>
      <c r="D160" s="12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2">
        <v>2456046.8033199999</v>
      </c>
      <c r="B161" s="12" t="s">
        <v>604</v>
      </c>
      <c r="C161" s="12">
        <v>12.465</v>
      </c>
      <c r="D161" s="12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2">
        <v>2456054.7802300001</v>
      </c>
      <c r="B162" s="12" t="s">
        <v>2454</v>
      </c>
      <c r="C162" s="12">
        <v>12.381</v>
      </c>
      <c r="D162" s="12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2">
        <v>2456066.7494199998</v>
      </c>
      <c r="B163" s="12" t="s">
        <v>612</v>
      </c>
      <c r="C163" s="12">
        <v>12.37</v>
      </c>
      <c r="D163" s="12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2">
        <v>2456070.7400699998</v>
      </c>
      <c r="B164" s="12" t="s">
        <v>2455</v>
      </c>
      <c r="C164" s="12">
        <v>12.164</v>
      </c>
      <c r="D164" s="12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2">
        <v>2456074.7382200002</v>
      </c>
      <c r="B165" s="12" t="s">
        <v>2456</v>
      </c>
      <c r="C165" s="12">
        <v>12.013</v>
      </c>
      <c r="D165" s="12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2">
        <v>2456085.9559800001</v>
      </c>
      <c r="B166" s="12" t="s">
        <v>619</v>
      </c>
      <c r="C166" s="12">
        <v>12.426</v>
      </c>
      <c r="D166" s="12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2">
        <v>2456090.78889</v>
      </c>
      <c r="B167" s="12" t="s">
        <v>622</v>
      </c>
      <c r="C167" s="12">
        <v>12.449</v>
      </c>
      <c r="D167" s="12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2">
        <v>2456096.85464</v>
      </c>
      <c r="B168" s="12" t="s">
        <v>626</v>
      </c>
      <c r="C168" s="12">
        <v>12.552</v>
      </c>
      <c r="D168" s="12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2">
        <v>2456102.7905199998</v>
      </c>
      <c r="B169" s="12" t="s">
        <v>629</v>
      </c>
      <c r="C169" s="12">
        <v>12.372</v>
      </c>
      <c r="D169" s="12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2">
        <v>2456106.7716799998</v>
      </c>
      <c r="B170" s="12" t="s">
        <v>631</v>
      </c>
      <c r="C170" s="12">
        <v>12.493</v>
      </c>
      <c r="D170" s="12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2">
        <v>2456181.5324300001</v>
      </c>
      <c r="B171" s="12" t="s">
        <v>647</v>
      </c>
      <c r="C171" s="12">
        <v>12.944000000000001</v>
      </c>
      <c r="D171" s="12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2">
        <v>2456184.5171099999</v>
      </c>
      <c r="B172" s="12" t="s">
        <v>2457</v>
      </c>
      <c r="C172" s="12">
        <v>12.612</v>
      </c>
      <c r="D172" s="12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2">
        <v>2456195.5034099999</v>
      </c>
      <c r="B173" s="12" t="s">
        <v>650</v>
      </c>
      <c r="C173" s="12">
        <v>12.853999999999999</v>
      </c>
      <c r="D173" s="12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2">
        <v>2456456.5684000002</v>
      </c>
      <c r="B174" s="12" t="s">
        <v>687</v>
      </c>
      <c r="C174" s="12">
        <v>12.13</v>
      </c>
      <c r="D174" s="12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2">
        <v>2456557.4160000002</v>
      </c>
      <c r="B175" s="12" t="s">
        <v>721</v>
      </c>
      <c r="C175" s="12">
        <v>11.87</v>
      </c>
      <c r="D175" s="12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2">
        <v>2456796.6425000001</v>
      </c>
      <c r="B176" s="12" t="s">
        <v>737</v>
      </c>
      <c r="C176" s="12">
        <v>12.14</v>
      </c>
      <c r="D176" s="12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2">
        <v>2456812.02795</v>
      </c>
      <c r="B177" s="12" t="s">
        <v>740</v>
      </c>
      <c r="C177" s="12">
        <v>12.595000000000001</v>
      </c>
      <c r="D177" s="12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2">
        <v>2456844.5166000002</v>
      </c>
      <c r="B178" s="12" t="s">
        <v>741</v>
      </c>
      <c r="C178" s="12">
        <v>12.33</v>
      </c>
      <c r="D178" s="12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2">
        <v>2456850.6247</v>
      </c>
      <c r="B179" s="12" t="s">
        <v>742</v>
      </c>
      <c r="C179" s="12">
        <v>12.388999999999999</v>
      </c>
      <c r="D179" s="12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2">
        <v>2456868.5167999999</v>
      </c>
      <c r="B180" s="12" t="s">
        <v>746</v>
      </c>
      <c r="C180" s="12">
        <v>12.41</v>
      </c>
      <c r="D180" s="12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2">
        <v>2457159.2014700002</v>
      </c>
      <c r="B181" s="12" t="s">
        <v>764</v>
      </c>
      <c r="C181" s="12">
        <v>12.455550000000001</v>
      </c>
      <c r="D181" s="12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2">
        <v>2457163.2259200001</v>
      </c>
      <c r="B182" s="12" t="s">
        <v>765</v>
      </c>
      <c r="C182" s="12">
        <v>12.338958999999999</v>
      </c>
      <c r="D182" s="12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2">
        <v>2457188.8351599998</v>
      </c>
      <c r="B183" s="12" t="s">
        <v>769</v>
      </c>
      <c r="C183" s="12">
        <v>13.055</v>
      </c>
      <c r="D183" s="12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2">
        <v>2457540.8882399998</v>
      </c>
      <c r="B184" s="12" t="s">
        <v>7</v>
      </c>
      <c r="C184" s="12">
        <v>12.33</v>
      </c>
      <c r="D184" s="12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2">
        <v>2457894.6233600001</v>
      </c>
      <c r="B185" s="12" t="s">
        <v>787</v>
      </c>
      <c r="C185" s="12">
        <v>11.75</v>
      </c>
      <c r="D185" s="12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2">
        <v>2457903.85127</v>
      </c>
      <c r="B186" s="12" t="s">
        <v>789</v>
      </c>
      <c r="C186" s="12">
        <v>11.861000000000001</v>
      </c>
      <c r="D186" s="12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"/>
  <dimension ref="B1:P38"/>
  <sheetViews>
    <sheetView showGridLines="0" topLeftCell="B1" workbookViewId="0">
      <selection activeCell="J14" sqref="J14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15</v>
      </c>
    </row>
    <row r="2" spans="2:16" x14ac:dyDescent="0.25">
      <c r="P2" t="s">
        <v>16</v>
      </c>
    </row>
    <row r="3" spans="2:16" x14ac:dyDescent="0.25">
      <c r="C3" s="5"/>
      <c r="D3" s="5" t="s">
        <v>17</v>
      </c>
      <c r="E3" s="5" t="s">
        <v>11</v>
      </c>
      <c r="F3" s="5" t="s">
        <v>81</v>
      </c>
      <c r="G3" s="5"/>
      <c r="H3" s="5"/>
      <c r="I3" s="5"/>
      <c r="J3" s="5"/>
      <c r="K3" s="5"/>
      <c r="L3" s="5"/>
      <c r="P3" t="s">
        <v>18</v>
      </c>
    </row>
    <row r="4" spans="2:16" x14ac:dyDescent="0.25">
      <c r="C4" s="5"/>
      <c r="D4" s="5" t="s">
        <v>19</v>
      </c>
      <c r="E4" s="5" t="str">
        <f>CONCATENATE("D:\SymbioticStudies\" &amp; E5&amp;F3)</f>
        <v>D:\SymbioticStudies\AGPeg\2016</v>
      </c>
      <c r="F4" s="5"/>
      <c r="G4" s="5"/>
      <c r="H4" s="5" t="str">
        <f>+CONCATENATE("D:\SITEWEB\SymbioticStars\Studies\" &amp; E5)</f>
        <v>D:\SITEWEB\SymbioticStars\Studies\AGPeg</v>
      </c>
      <c r="I4" s="5"/>
      <c r="J4" s="5"/>
      <c r="K4" s="5"/>
      <c r="L4" s="5"/>
      <c r="P4" t="s">
        <v>20</v>
      </c>
    </row>
    <row r="5" spans="2:16" x14ac:dyDescent="0.25">
      <c r="C5" s="5"/>
      <c r="D5" s="5" t="s">
        <v>21</v>
      </c>
      <c r="E5" s="5" t="str">
        <f>+SUBSTITUTE(E3," ","")</f>
        <v>AGPeg</v>
      </c>
      <c r="F5" s="5"/>
      <c r="G5" s="5"/>
      <c r="H5" s="5"/>
      <c r="I5" s="5"/>
      <c r="J5" s="5"/>
      <c r="K5" s="5"/>
      <c r="L5" s="5"/>
      <c r="P5" t="s">
        <v>22</v>
      </c>
    </row>
    <row r="6" spans="2:16" x14ac:dyDescent="0.25">
      <c r="P6" t="s">
        <v>23</v>
      </c>
    </row>
    <row r="7" spans="2:16" x14ac:dyDescent="0.25">
      <c r="C7" s="6" t="s">
        <v>24</v>
      </c>
      <c r="D7" s="6">
        <v>818.2</v>
      </c>
      <c r="F7" s="5" t="s">
        <v>25</v>
      </c>
      <c r="G7" s="5">
        <f>+VLOOKUP($J$9,$B$16:$G$37,5)</f>
        <v>2</v>
      </c>
      <c r="H7" s="5"/>
      <c r="P7" t="s">
        <v>26</v>
      </c>
    </row>
    <row r="8" spans="2:16" x14ac:dyDescent="0.25">
      <c r="C8" s="6" t="s">
        <v>27</v>
      </c>
      <c r="D8" s="6">
        <v>2450804</v>
      </c>
      <c r="F8" s="5" t="s">
        <v>28</v>
      </c>
      <c r="G8" s="5">
        <v>2000</v>
      </c>
      <c r="H8" s="5" t="s">
        <v>29</v>
      </c>
      <c r="P8" t="s">
        <v>30</v>
      </c>
    </row>
    <row r="9" spans="2:16" x14ac:dyDescent="0.25">
      <c r="C9" s="6" t="s">
        <v>31</v>
      </c>
      <c r="D9" s="6">
        <v>-15.9</v>
      </c>
      <c r="F9" s="5" t="s">
        <v>32</v>
      </c>
      <c r="G9" s="5">
        <f>+G8/2</f>
        <v>1000</v>
      </c>
      <c r="H9" s="5"/>
      <c r="J9">
        <v>21</v>
      </c>
      <c r="P9" t="s">
        <v>33</v>
      </c>
    </row>
    <row r="10" spans="2:16" x14ac:dyDescent="0.25">
      <c r="F10" s="5" t="s">
        <v>34</v>
      </c>
      <c r="G10" s="5">
        <f>+VLOOKUP($J$9,$B$16:$G$37,6)</f>
        <v>1</v>
      </c>
      <c r="H10" s="5"/>
      <c r="P10" t="s">
        <v>35</v>
      </c>
    </row>
    <row r="11" spans="2:16" x14ac:dyDescent="0.25">
      <c r="C11" s="5" t="s">
        <v>36</v>
      </c>
      <c r="D11" s="5">
        <v>250</v>
      </c>
      <c r="F11" s="5" t="s">
        <v>37</v>
      </c>
      <c r="G11" s="5"/>
      <c r="H11" s="5"/>
      <c r="P11" t="s">
        <v>38</v>
      </c>
    </row>
    <row r="12" spans="2:16" x14ac:dyDescent="0.25">
      <c r="C12" s="5" t="s">
        <v>39</v>
      </c>
      <c r="D12" s="5">
        <v>450</v>
      </c>
      <c r="F12" s="5" t="s">
        <v>40</v>
      </c>
      <c r="G12" s="5">
        <f>+VLOOKUP($J$9,$B$16:$H$37,7)</f>
        <v>20</v>
      </c>
      <c r="H12" s="5"/>
      <c r="P12" t="s">
        <v>41</v>
      </c>
    </row>
    <row r="13" spans="2:16" x14ac:dyDescent="0.25">
      <c r="C13" s="5" t="s">
        <v>42</v>
      </c>
      <c r="D13" s="7" t="str">
        <f>+VLOOKUP([3]Feuil1!A1,[3]Feuil1!A3:B6,2)</f>
        <v>b</v>
      </c>
      <c r="F13" s="5" t="s">
        <v>43</v>
      </c>
      <c r="G13" s="8">
        <f>+VLOOKUP($J$9,$B$16:$H$37,4)</f>
        <v>6830</v>
      </c>
      <c r="H13" s="5"/>
      <c r="P13" t="s">
        <v>44</v>
      </c>
    </row>
    <row r="14" spans="2:16" x14ac:dyDescent="0.25">
      <c r="F14" s="5" t="s">
        <v>45</v>
      </c>
      <c r="G14" s="9" t="str">
        <f>+VLOOKUP($J$9,$B$16:$H$37,2)</f>
        <v>Raman OVI</v>
      </c>
      <c r="H14" s="5"/>
      <c r="P14" t="s">
        <v>46</v>
      </c>
    </row>
    <row r="15" spans="2:16" x14ac:dyDescent="0.25">
      <c r="F15" s="10" t="s">
        <v>25</v>
      </c>
      <c r="G15" s="10" t="s">
        <v>34</v>
      </c>
      <c r="H15" s="10"/>
      <c r="P15" t="s">
        <v>47</v>
      </c>
    </row>
    <row r="16" spans="2:16" x14ac:dyDescent="0.25">
      <c r="B16" s="11">
        <v>1</v>
      </c>
      <c r="C16" s="11" t="str">
        <f>+CONCATENATE(D16 &amp; " " &amp; ROUND( E16,0))</f>
        <v>Ha 6563</v>
      </c>
      <c r="D16" t="s">
        <v>48</v>
      </c>
      <c r="E16">
        <v>6562.82</v>
      </c>
      <c r="F16" s="10">
        <v>10</v>
      </c>
      <c r="G16" s="10">
        <v>2</v>
      </c>
      <c r="H16" s="10">
        <v>130</v>
      </c>
      <c r="P16" t="s">
        <v>49</v>
      </c>
    </row>
    <row r="17" spans="2:16" x14ac:dyDescent="0.25">
      <c r="B17" s="11">
        <v>2</v>
      </c>
      <c r="C17" s="11" t="str">
        <f t="shared" ref="C17:C34" si="0">+CONCATENATE(D17 &amp; " " &amp; ROUND( E17,0))</f>
        <v>Hb 4861</v>
      </c>
      <c r="D17" t="s">
        <v>50</v>
      </c>
      <c r="E17">
        <v>4861.34</v>
      </c>
      <c r="F17" s="10">
        <v>10</v>
      </c>
      <c r="G17" s="10">
        <v>3</v>
      </c>
      <c r="H17" s="10">
        <v>140</v>
      </c>
      <c r="P17" t="s">
        <v>51</v>
      </c>
    </row>
    <row r="18" spans="2:16" x14ac:dyDescent="0.25">
      <c r="B18">
        <v>3</v>
      </c>
      <c r="C18" t="str">
        <f t="shared" si="0"/>
        <v>Hg 4340</v>
      </c>
      <c r="D18" t="s">
        <v>52</v>
      </c>
      <c r="E18">
        <v>4340</v>
      </c>
      <c r="F18" s="10">
        <v>1</v>
      </c>
      <c r="G18" s="10">
        <v>3</v>
      </c>
      <c r="H18" s="10">
        <v>25</v>
      </c>
      <c r="P18" t="s">
        <v>53</v>
      </c>
    </row>
    <row r="19" spans="2:16" x14ac:dyDescent="0.25">
      <c r="B19">
        <v>4</v>
      </c>
      <c r="C19" t="str">
        <f t="shared" si="0"/>
        <v>[OI] 6300</v>
      </c>
      <c r="D19" t="s">
        <v>54</v>
      </c>
      <c r="E19">
        <v>6300.32</v>
      </c>
      <c r="F19" s="10">
        <v>1</v>
      </c>
      <c r="G19" s="10">
        <v>0.5</v>
      </c>
      <c r="H19" s="10">
        <v>22</v>
      </c>
      <c r="P19" t="s">
        <v>55</v>
      </c>
    </row>
    <row r="20" spans="2:16" x14ac:dyDescent="0.25">
      <c r="B20">
        <v>5</v>
      </c>
      <c r="C20" t="str">
        <f t="shared" si="0"/>
        <v>[OI] 6363</v>
      </c>
      <c r="D20" t="s">
        <v>54</v>
      </c>
      <c r="E20">
        <v>6363</v>
      </c>
      <c r="F20" s="10"/>
      <c r="G20" s="10"/>
      <c r="H20" s="10"/>
      <c r="P20" t="s">
        <v>56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57</v>
      </c>
      <c r="E21">
        <v>5015.68</v>
      </c>
      <c r="F21" s="10">
        <v>1</v>
      </c>
      <c r="G21" s="10">
        <v>0.5</v>
      </c>
      <c r="H21" s="10">
        <v>25</v>
      </c>
      <c r="P21" t="s">
        <v>58</v>
      </c>
    </row>
    <row r="22" spans="2:16" x14ac:dyDescent="0.25">
      <c r="B22" s="11">
        <v>7</v>
      </c>
      <c r="C22" s="11" t="str">
        <f t="shared" si="0"/>
        <v>He I 5876</v>
      </c>
      <c r="D22" t="s">
        <v>57</v>
      </c>
      <c r="E22">
        <v>5875.65</v>
      </c>
      <c r="F22" s="10">
        <v>2</v>
      </c>
      <c r="G22" s="10">
        <v>0.5</v>
      </c>
      <c r="H22" s="10">
        <v>30</v>
      </c>
      <c r="P22" t="s">
        <v>59</v>
      </c>
    </row>
    <row r="23" spans="2:16" x14ac:dyDescent="0.25">
      <c r="B23">
        <v>8</v>
      </c>
      <c r="C23" t="str">
        <f t="shared" si="0"/>
        <v>He I 6678</v>
      </c>
      <c r="D23" t="s">
        <v>57</v>
      </c>
      <c r="E23">
        <v>6678.15</v>
      </c>
      <c r="F23" s="10">
        <v>1</v>
      </c>
      <c r="G23" s="10">
        <v>0.5</v>
      </c>
      <c r="H23" s="10">
        <v>15</v>
      </c>
      <c r="P23" t="s">
        <v>60</v>
      </c>
    </row>
    <row r="24" spans="2:16" x14ac:dyDescent="0.25">
      <c r="B24">
        <v>9</v>
      </c>
      <c r="C24" t="str">
        <f t="shared" si="0"/>
        <v>He I 7065</v>
      </c>
      <c r="D24" t="s">
        <v>57</v>
      </c>
      <c r="E24">
        <v>7065</v>
      </c>
      <c r="F24" s="10"/>
      <c r="G24" s="10"/>
      <c r="H24" s="10"/>
      <c r="P24" t="s">
        <v>61</v>
      </c>
    </row>
    <row r="25" spans="2:16" x14ac:dyDescent="0.25">
      <c r="B25">
        <v>10</v>
      </c>
      <c r="C25" t="str">
        <f t="shared" si="0"/>
        <v>He II 4686</v>
      </c>
      <c r="D25" t="s">
        <v>62</v>
      </c>
      <c r="E25">
        <v>4685.68</v>
      </c>
      <c r="F25" s="10">
        <v>10</v>
      </c>
      <c r="G25" s="10">
        <v>3</v>
      </c>
      <c r="H25" s="10">
        <v>150</v>
      </c>
      <c r="P25" t="s">
        <v>63</v>
      </c>
    </row>
    <row r="26" spans="2:16" x14ac:dyDescent="0.25">
      <c r="B26">
        <v>11</v>
      </c>
      <c r="C26" t="str">
        <f t="shared" si="0"/>
        <v>[O III] 5007</v>
      </c>
      <c r="D26" t="s">
        <v>64</v>
      </c>
      <c r="E26">
        <v>5006.84</v>
      </c>
      <c r="F26" s="10">
        <v>1</v>
      </c>
      <c r="G26" s="10">
        <v>0.5</v>
      </c>
      <c r="H26" s="10">
        <v>25</v>
      </c>
      <c r="P26" t="s">
        <v>65</v>
      </c>
    </row>
    <row r="27" spans="2:16" x14ac:dyDescent="0.25">
      <c r="B27">
        <v>12</v>
      </c>
      <c r="C27" t="str">
        <f t="shared" si="0"/>
        <v>[O III] 4959</v>
      </c>
      <c r="D27" t="s">
        <v>64</v>
      </c>
      <c r="E27">
        <v>4959</v>
      </c>
      <c r="F27" s="10"/>
      <c r="G27" s="10"/>
      <c r="H27" s="10"/>
      <c r="P27" t="s">
        <v>66</v>
      </c>
    </row>
    <row r="28" spans="2:16" x14ac:dyDescent="0.25">
      <c r="B28">
        <v>13</v>
      </c>
      <c r="C28" t="str">
        <f t="shared" si="0"/>
        <v>[O III] 4363</v>
      </c>
      <c r="D28" t="s">
        <v>64</v>
      </c>
      <c r="E28">
        <v>4363</v>
      </c>
      <c r="F28" s="10">
        <v>1</v>
      </c>
      <c r="G28" s="10">
        <v>0.5</v>
      </c>
      <c r="H28" s="10">
        <v>20</v>
      </c>
      <c r="P28" t="s">
        <v>67</v>
      </c>
    </row>
    <row r="29" spans="2:16" x14ac:dyDescent="0.25">
      <c r="B29">
        <v>14</v>
      </c>
      <c r="C29" t="str">
        <f t="shared" si="0"/>
        <v>Fe II 4924</v>
      </c>
      <c r="D29" t="s">
        <v>68</v>
      </c>
      <c r="E29">
        <v>4923.92</v>
      </c>
      <c r="F29" s="10">
        <v>1</v>
      </c>
      <c r="G29" s="10">
        <v>1</v>
      </c>
      <c r="H29" s="10">
        <v>25</v>
      </c>
      <c r="P29" t="s">
        <v>69</v>
      </c>
    </row>
    <row r="30" spans="2:16" x14ac:dyDescent="0.25">
      <c r="B30">
        <v>15</v>
      </c>
      <c r="C30" t="str">
        <f t="shared" si="0"/>
        <v>Fe II 5018</v>
      </c>
      <c r="D30" t="s">
        <v>68</v>
      </c>
      <c r="E30">
        <v>5018.43</v>
      </c>
      <c r="F30" s="10">
        <v>2</v>
      </c>
      <c r="G30" s="10">
        <v>1</v>
      </c>
      <c r="H30" s="10">
        <v>40</v>
      </c>
      <c r="P30" t="s">
        <v>70</v>
      </c>
    </row>
    <row r="31" spans="2:16" x14ac:dyDescent="0.25">
      <c r="B31">
        <v>16</v>
      </c>
      <c r="C31" t="str">
        <f t="shared" si="0"/>
        <v>NaI D 5890</v>
      </c>
      <c r="D31" t="s">
        <v>82</v>
      </c>
      <c r="E31">
        <v>5889.95</v>
      </c>
      <c r="F31" s="10">
        <v>0.01</v>
      </c>
      <c r="G31" s="10">
        <v>1</v>
      </c>
      <c r="H31" s="10">
        <v>2</v>
      </c>
      <c r="P31" t="s">
        <v>71</v>
      </c>
    </row>
    <row r="32" spans="2:16" x14ac:dyDescent="0.25">
      <c r="B32">
        <v>17</v>
      </c>
      <c r="C32" t="s">
        <v>14</v>
      </c>
      <c r="E32">
        <v>5018.43</v>
      </c>
      <c r="F32" s="10"/>
      <c r="G32" s="10"/>
      <c r="H32" s="10"/>
      <c r="P32" t="s">
        <v>72</v>
      </c>
    </row>
    <row r="33" spans="2:16" x14ac:dyDescent="0.25">
      <c r="B33">
        <v>18</v>
      </c>
      <c r="C33" t="str">
        <f t="shared" si="0"/>
        <v>[Fe VII] 6087</v>
      </c>
      <c r="D33" t="s">
        <v>73</v>
      </c>
      <c r="E33">
        <v>6087</v>
      </c>
      <c r="F33" s="10">
        <v>1</v>
      </c>
      <c r="G33" s="10">
        <v>0.5</v>
      </c>
      <c r="H33" s="10">
        <v>15</v>
      </c>
      <c r="P33" t="s">
        <v>74</v>
      </c>
    </row>
    <row r="34" spans="2:16" x14ac:dyDescent="0.25">
      <c r="B34">
        <v>19</v>
      </c>
      <c r="C34" t="str">
        <f t="shared" si="0"/>
        <v>[Fe VII] 5721</v>
      </c>
      <c r="D34" t="s">
        <v>73</v>
      </c>
      <c r="E34">
        <v>5721</v>
      </c>
      <c r="F34" s="10">
        <v>2</v>
      </c>
      <c r="G34" s="10">
        <v>1</v>
      </c>
      <c r="H34" s="10">
        <v>40</v>
      </c>
      <c r="P34" t="s">
        <v>75</v>
      </c>
    </row>
    <row r="35" spans="2:16" x14ac:dyDescent="0.25">
      <c r="B35">
        <v>20</v>
      </c>
      <c r="C35" t="s">
        <v>14</v>
      </c>
      <c r="D35" t="s">
        <v>73</v>
      </c>
      <c r="P35" t="s">
        <v>76</v>
      </c>
    </row>
    <row r="36" spans="2:16" x14ac:dyDescent="0.25">
      <c r="B36">
        <v>21</v>
      </c>
      <c r="C36" t="s">
        <v>77</v>
      </c>
      <c r="D36" t="s">
        <v>77</v>
      </c>
      <c r="E36">
        <v>6830</v>
      </c>
      <c r="F36" s="10">
        <v>2</v>
      </c>
      <c r="G36" s="10">
        <v>1</v>
      </c>
      <c r="H36" s="10">
        <v>20</v>
      </c>
      <c r="P36" t="s">
        <v>78</v>
      </c>
    </row>
    <row r="37" spans="2:16" x14ac:dyDescent="0.25">
      <c r="B37">
        <v>22</v>
      </c>
      <c r="C37" t="s">
        <v>14</v>
      </c>
      <c r="D37" t="s">
        <v>77</v>
      </c>
      <c r="P37" t="s">
        <v>79</v>
      </c>
    </row>
    <row r="38" spans="2:16" x14ac:dyDescent="0.25">
      <c r="P38" t="s">
        <v>80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4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4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Index</vt:lpstr>
      <vt:lpstr>Feuil1</vt:lpstr>
      <vt:lpstr>m_phot</vt:lpstr>
      <vt:lpstr>V</vt:lpstr>
      <vt:lpstr>Vis</vt:lpstr>
      <vt:lpstr>Feuil2</vt:lpstr>
      <vt:lpstr>B-V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2020-12-15T05:49:20Z</dcterms:modified>
</cp:coreProperties>
</file>