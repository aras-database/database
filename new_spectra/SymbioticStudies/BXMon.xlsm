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5D0DD34E-49F4-4C44-83E1-27836A76A89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Feuil1" sheetId="3" r:id="rId2"/>
    <sheet name="V" sheetId="1" r:id="rId3"/>
    <sheet name="Vis" sheetId="7" r:id="rId4"/>
    <sheet name="B-V" sheetId="8" r:id="rId5"/>
    <sheet name="B" sheetId="4" r:id="rId6"/>
    <sheet name="M" sheetId="6" r:id="rId7"/>
  </sheets>
  <externalReferences>
    <externalReference r:id="rId8"/>
    <externalReference r:id="rId9"/>
    <externalReference r:id="rId10"/>
    <externalReference r:id="rId11"/>
  </externalReferences>
  <definedNames>
    <definedName name="Date0">[1]SySt_Orb!$Q$30</definedName>
    <definedName name="JD0">[1]SySt_Orb!$Q$29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5" i="2" l="1"/>
  <c r="C105" i="2"/>
  <c r="D105" i="2"/>
  <c r="E105" i="2"/>
  <c r="F105" i="2"/>
  <c r="G105" i="2"/>
  <c r="H105" i="2"/>
  <c r="I105" i="2"/>
  <c r="J105" i="2"/>
  <c r="K105" i="2"/>
  <c r="L105" i="2"/>
  <c r="B106" i="2"/>
  <c r="C106" i="2"/>
  <c r="D106" i="2"/>
  <c r="E106" i="2"/>
  <c r="F106" i="2"/>
  <c r="G106" i="2"/>
  <c r="H106" i="2"/>
  <c r="I106" i="2"/>
  <c r="J106" i="2"/>
  <c r="K106" i="2"/>
  <c r="L106" i="2"/>
  <c r="B107" i="2"/>
  <c r="C107" i="2"/>
  <c r="D107" i="2"/>
  <c r="E107" i="2"/>
  <c r="F107" i="2"/>
  <c r="G107" i="2"/>
  <c r="H107" i="2"/>
  <c r="I107" i="2"/>
  <c r="J107" i="2"/>
  <c r="K107" i="2"/>
  <c r="L107" i="2"/>
  <c r="B108" i="2"/>
  <c r="C108" i="2"/>
  <c r="D108" i="2"/>
  <c r="E108" i="2"/>
  <c r="F108" i="2"/>
  <c r="G108" i="2"/>
  <c r="H108" i="2"/>
  <c r="I108" i="2"/>
  <c r="J108" i="2"/>
  <c r="K108" i="2"/>
  <c r="L108" i="2"/>
  <c r="B109" i="2"/>
  <c r="C109" i="2"/>
  <c r="D109" i="2"/>
  <c r="E109" i="2"/>
  <c r="F109" i="2"/>
  <c r="G109" i="2"/>
  <c r="H109" i="2"/>
  <c r="I109" i="2"/>
  <c r="J109" i="2"/>
  <c r="K109" i="2"/>
  <c r="L109" i="2"/>
  <c r="B110" i="2"/>
  <c r="C110" i="2"/>
  <c r="D110" i="2"/>
  <c r="E110" i="2"/>
  <c r="F110" i="2"/>
  <c r="G110" i="2"/>
  <c r="H110" i="2"/>
  <c r="I110" i="2"/>
  <c r="J110" i="2"/>
  <c r="K110" i="2"/>
  <c r="L110" i="2"/>
  <c r="B72" i="2"/>
  <c r="C72" i="2"/>
  <c r="D72" i="2"/>
  <c r="E72" i="2"/>
  <c r="F72" i="2"/>
  <c r="G72" i="2"/>
  <c r="H72" i="2"/>
  <c r="I72" i="2"/>
  <c r="J72" i="2"/>
  <c r="K72" i="2"/>
  <c r="L72" i="2"/>
  <c r="B73" i="2"/>
  <c r="C73" i="2"/>
  <c r="D73" i="2"/>
  <c r="E73" i="2"/>
  <c r="F73" i="2"/>
  <c r="G73" i="2"/>
  <c r="H73" i="2"/>
  <c r="I73" i="2"/>
  <c r="J73" i="2"/>
  <c r="K73" i="2"/>
  <c r="L73" i="2"/>
  <c r="B74" i="2"/>
  <c r="C74" i="2"/>
  <c r="D74" i="2"/>
  <c r="E74" i="2"/>
  <c r="F74" i="2"/>
  <c r="G74" i="2"/>
  <c r="H74" i="2"/>
  <c r="I74" i="2"/>
  <c r="J74" i="2"/>
  <c r="K74" i="2"/>
  <c r="L74" i="2"/>
  <c r="B75" i="2"/>
  <c r="C75" i="2"/>
  <c r="D75" i="2"/>
  <c r="E75" i="2"/>
  <c r="F75" i="2"/>
  <c r="G75" i="2"/>
  <c r="H75" i="2"/>
  <c r="I75" i="2"/>
  <c r="J75" i="2"/>
  <c r="K75" i="2"/>
  <c r="L75" i="2"/>
  <c r="B76" i="2"/>
  <c r="C76" i="2"/>
  <c r="D76" i="2"/>
  <c r="E76" i="2"/>
  <c r="F76" i="2"/>
  <c r="G76" i="2"/>
  <c r="H76" i="2"/>
  <c r="I76" i="2"/>
  <c r="J76" i="2"/>
  <c r="K76" i="2"/>
  <c r="L76" i="2"/>
  <c r="B77" i="2"/>
  <c r="C77" i="2"/>
  <c r="D77" i="2"/>
  <c r="E77" i="2"/>
  <c r="F77" i="2"/>
  <c r="G77" i="2"/>
  <c r="H77" i="2"/>
  <c r="I77" i="2"/>
  <c r="J77" i="2"/>
  <c r="K77" i="2"/>
  <c r="L77" i="2"/>
  <c r="B78" i="2"/>
  <c r="C78" i="2"/>
  <c r="D78" i="2"/>
  <c r="E78" i="2"/>
  <c r="F78" i="2"/>
  <c r="G78" i="2"/>
  <c r="H78" i="2"/>
  <c r="I78" i="2"/>
  <c r="J78" i="2"/>
  <c r="K78" i="2"/>
  <c r="L78" i="2"/>
  <c r="B79" i="2"/>
  <c r="C79" i="2"/>
  <c r="D79" i="2"/>
  <c r="E79" i="2"/>
  <c r="F79" i="2"/>
  <c r="G79" i="2"/>
  <c r="H79" i="2"/>
  <c r="I79" i="2"/>
  <c r="J79" i="2"/>
  <c r="K79" i="2"/>
  <c r="L79" i="2"/>
  <c r="B80" i="2"/>
  <c r="C80" i="2"/>
  <c r="D80" i="2"/>
  <c r="E80" i="2"/>
  <c r="F80" i="2"/>
  <c r="G80" i="2"/>
  <c r="H80" i="2"/>
  <c r="I80" i="2"/>
  <c r="J80" i="2"/>
  <c r="K80" i="2"/>
  <c r="L80" i="2"/>
  <c r="B81" i="2"/>
  <c r="C81" i="2"/>
  <c r="D81" i="2"/>
  <c r="E81" i="2"/>
  <c r="F81" i="2"/>
  <c r="G81" i="2"/>
  <c r="H81" i="2"/>
  <c r="I81" i="2"/>
  <c r="J81" i="2"/>
  <c r="K81" i="2"/>
  <c r="L81" i="2"/>
  <c r="B82" i="2"/>
  <c r="C82" i="2"/>
  <c r="D82" i="2"/>
  <c r="E82" i="2"/>
  <c r="F82" i="2"/>
  <c r="G82" i="2"/>
  <c r="H82" i="2"/>
  <c r="I82" i="2"/>
  <c r="J82" i="2"/>
  <c r="K82" i="2"/>
  <c r="L82" i="2"/>
  <c r="B83" i="2"/>
  <c r="C83" i="2"/>
  <c r="D83" i="2"/>
  <c r="E83" i="2"/>
  <c r="F83" i="2"/>
  <c r="G83" i="2"/>
  <c r="H83" i="2"/>
  <c r="I83" i="2"/>
  <c r="J83" i="2"/>
  <c r="K83" i="2"/>
  <c r="L83" i="2"/>
  <c r="B84" i="2"/>
  <c r="C84" i="2"/>
  <c r="D84" i="2"/>
  <c r="E84" i="2"/>
  <c r="F84" i="2"/>
  <c r="G84" i="2"/>
  <c r="H84" i="2"/>
  <c r="I84" i="2"/>
  <c r="J84" i="2"/>
  <c r="K84" i="2"/>
  <c r="L84" i="2"/>
  <c r="B85" i="2"/>
  <c r="C85" i="2"/>
  <c r="D85" i="2"/>
  <c r="E85" i="2"/>
  <c r="F85" i="2"/>
  <c r="G85" i="2"/>
  <c r="H85" i="2"/>
  <c r="I85" i="2"/>
  <c r="J85" i="2"/>
  <c r="K85" i="2"/>
  <c r="L85" i="2"/>
  <c r="B86" i="2"/>
  <c r="C86" i="2"/>
  <c r="D86" i="2"/>
  <c r="E86" i="2"/>
  <c r="F86" i="2"/>
  <c r="G86" i="2"/>
  <c r="H86" i="2"/>
  <c r="I86" i="2"/>
  <c r="J86" i="2"/>
  <c r="K86" i="2"/>
  <c r="L86" i="2"/>
  <c r="B87" i="2"/>
  <c r="C87" i="2"/>
  <c r="D87" i="2"/>
  <c r="E87" i="2"/>
  <c r="F87" i="2"/>
  <c r="G87" i="2"/>
  <c r="H87" i="2"/>
  <c r="I87" i="2"/>
  <c r="J87" i="2"/>
  <c r="K87" i="2"/>
  <c r="L87" i="2"/>
  <c r="B88" i="2"/>
  <c r="C88" i="2"/>
  <c r="D88" i="2"/>
  <c r="E88" i="2"/>
  <c r="F88" i="2"/>
  <c r="G88" i="2"/>
  <c r="H88" i="2"/>
  <c r="I88" i="2"/>
  <c r="J88" i="2"/>
  <c r="K88" i="2"/>
  <c r="L88" i="2"/>
  <c r="B89" i="2"/>
  <c r="C89" i="2"/>
  <c r="D89" i="2"/>
  <c r="E89" i="2"/>
  <c r="F89" i="2"/>
  <c r="G89" i="2"/>
  <c r="H89" i="2"/>
  <c r="I89" i="2"/>
  <c r="J89" i="2"/>
  <c r="K89" i="2"/>
  <c r="L89" i="2"/>
  <c r="B90" i="2"/>
  <c r="C90" i="2"/>
  <c r="D90" i="2"/>
  <c r="E90" i="2"/>
  <c r="F90" i="2"/>
  <c r="G90" i="2"/>
  <c r="H90" i="2"/>
  <c r="I90" i="2"/>
  <c r="J90" i="2"/>
  <c r="K90" i="2"/>
  <c r="L90" i="2"/>
  <c r="B91" i="2"/>
  <c r="C91" i="2"/>
  <c r="D91" i="2"/>
  <c r="E91" i="2"/>
  <c r="F91" i="2"/>
  <c r="G91" i="2"/>
  <c r="H91" i="2"/>
  <c r="I91" i="2"/>
  <c r="J91" i="2"/>
  <c r="K91" i="2"/>
  <c r="L91" i="2"/>
  <c r="B92" i="2"/>
  <c r="C92" i="2"/>
  <c r="D92" i="2"/>
  <c r="E92" i="2"/>
  <c r="F92" i="2"/>
  <c r="G92" i="2"/>
  <c r="H92" i="2"/>
  <c r="I92" i="2"/>
  <c r="J92" i="2"/>
  <c r="K92" i="2"/>
  <c r="L92" i="2"/>
  <c r="B93" i="2"/>
  <c r="C93" i="2"/>
  <c r="D93" i="2"/>
  <c r="E93" i="2"/>
  <c r="F93" i="2"/>
  <c r="G93" i="2"/>
  <c r="H93" i="2"/>
  <c r="I93" i="2"/>
  <c r="J93" i="2"/>
  <c r="K93" i="2"/>
  <c r="L93" i="2"/>
  <c r="B94" i="2"/>
  <c r="C94" i="2"/>
  <c r="D94" i="2"/>
  <c r="E94" i="2"/>
  <c r="F94" i="2"/>
  <c r="G94" i="2"/>
  <c r="H94" i="2"/>
  <c r="I94" i="2"/>
  <c r="J94" i="2"/>
  <c r="K94" i="2"/>
  <c r="L94" i="2"/>
  <c r="B95" i="2"/>
  <c r="C95" i="2"/>
  <c r="D95" i="2"/>
  <c r="E95" i="2"/>
  <c r="F95" i="2"/>
  <c r="G95" i="2"/>
  <c r="H95" i="2"/>
  <c r="I95" i="2"/>
  <c r="J95" i="2"/>
  <c r="K95" i="2"/>
  <c r="L95" i="2"/>
  <c r="B96" i="2"/>
  <c r="C96" i="2"/>
  <c r="D96" i="2"/>
  <c r="E96" i="2"/>
  <c r="F96" i="2"/>
  <c r="G96" i="2"/>
  <c r="H96" i="2"/>
  <c r="I96" i="2"/>
  <c r="J96" i="2"/>
  <c r="K96" i="2"/>
  <c r="L96" i="2"/>
  <c r="B97" i="2"/>
  <c r="C97" i="2"/>
  <c r="D97" i="2"/>
  <c r="E97" i="2"/>
  <c r="F97" i="2"/>
  <c r="G97" i="2"/>
  <c r="H97" i="2"/>
  <c r="I97" i="2"/>
  <c r="J97" i="2"/>
  <c r="K97" i="2"/>
  <c r="L97" i="2"/>
  <c r="B98" i="2"/>
  <c r="C98" i="2"/>
  <c r="D98" i="2"/>
  <c r="E98" i="2"/>
  <c r="F98" i="2"/>
  <c r="G98" i="2"/>
  <c r="H98" i="2"/>
  <c r="I98" i="2"/>
  <c r="J98" i="2"/>
  <c r="K98" i="2"/>
  <c r="L98" i="2"/>
  <c r="B99" i="2"/>
  <c r="C99" i="2"/>
  <c r="D99" i="2"/>
  <c r="E99" i="2"/>
  <c r="F99" i="2"/>
  <c r="G99" i="2"/>
  <c r="H99" i="2"/>
  <c r="I99" i="2"/>
  <c r="J99" i="2"/>
  <c r="K99" i="2"/>
  <c r="L99" i="2"/>
  <c r="B100" i="2"/>
  <c r="C100" i="2"/>
  <c r="D100" i="2"/>
  <c r="E100" i="2"/>
  <c r="F100" i="2"/>
  <c r="G100" i="2"/>
  <c r="H100" i="2"/>
  <c r="I100" i="2"/>
  <c r="J100" i="2"/>
  <c r="K100" i="2"/>
  <c r="L100" i="2"/>
  <c r="B101" i="2"/>
  <c r="C101" i="2"/>
  <c r="D101" i="2"/>
  <c r="E101" i="2"/>
  <c r="F101" i="2"/>
  <c r="G101" i="2"/>
  <c r="H101" i="2"/>
  <c r="I101" i="2"/>
  <c r="J101" i="2"/>
  <c r="K101" i="2"/>
  <c r="L101" i="2"/>
  <c r="B102" i="2"/>
  <c r="C102" i="2"/>
  <c r="D102" i="2"/>
  <c r="E102" i="2"/>
  <c r="F102" i="2"/>
  <c r="G102" i="2"/>
  <c r="H102" i="2"/>
  <c r="I102" i="2"/>
  <c r="J102" i="2"/>
  <c r="K102" i="2"/>
  <c r="L102" i="2"/>
  <c r="B103" i="2"/>
  <c r="C103" i="2"/>
  <c r="D103" i="2"/>
  <c r="E103" i="2"/>
  <c r="F103" i="2"/>
  <c r="G103" i="2"/>
  <c r="H103" i="2"/>
  <c r="I103" i="2"/>
  <c r="J103" i="2"/>
  <c r="K103" i="2"/>
  <c r="L103" i="2"/>
  <c r="B104" i="2"/>
  <c r="C104" i="2"/>
  <c r="D104" i="2"/>
  <c r="E104" i="2"/>
  <c r="F104" i="2"/>
  <c r="G104" i="2"/>
  <c r="H104" i="2"/>
  <c r="I104" i="2"/>
  <c r="J104" i="2"/>
  <c r="K104" i="2"/>
  <c r="L104" i="2"/>
  <c r="B61" i="2"/>
  <c r="C61" i="2"/>
  <c r="D61" i="2"/>
  <c r="E61" i="2"/>
  <c r="F61" i="2"/>
  <c r="G61" i="2"/>
  <c r="H61" i="2"/>
  <c r="I61" i="2"/>
  <c r="J61" i="2"/>
  <c r="K61" i="2"/>
  <c r="L61" i="2"/>
  <c r="B62" i="2"/>
  <c r="C62" i="2"/>
  <c r="D62" i="2"/>
  <c r="E62" i="2"/>
  <c r="F62" i="2"/>
  <c r="G62" i="2"/>
  <c r="H62" i="2"/>
  <c r="I62" i="2"/>
  <c r="J62" i="2"/>
  <c r="K62" i="2"/>
  <c r="L62" i="2"/>
  <c r="B63" i="2"/>
  <c r="C63" i="2"/>
  <c r="D63" i="2"/>
  <c r="E63" i="2"/>
  <c r="F63" i="2"/>
  <c r="G63" i="2"/>
  <c r="H63" i="2"/>
  <c r="I63" i="2"/>
  <c r="J63" i="2"/>
  <c r="K63" i="2"/>
  <c r="L63" i="2"/>
  <c r="B64" i="2"/>
  <c r="C64" i="2"/>
  <c r="D64" i="2"/>
  <c r="E64" i="2"/>
  <c r="F64" i="2"/>
  <c r="G64" i="2"/>
  <c r="H64" i="2"/>
  <c r="I64" i="2"/>
  <c r="J64" i="2"/>
  <c r="K64" i="2"/>
  <c r="L64" i="2"/>
  <c r="B65" i="2"/>
  <c r="C65" i="2"/>
  <c r="D65" i="2"/>
  <c r="E65" i="2"/>
  <c r="F65" i="2"/>
  <c r="G65" i="2"/>
  <c r="H65" i="2"/>
  <c r="I65" i="2"/>
  <c r="J65" i="2"/>
  <c r="K65" i="2"/>
  <c r="L65" i="2"/>
  <c r="B66" i="2"/>
  <c r="C66" i="2"/>
  <c r="D66" i="2"/>
  <c r="E66" i="2"/>
  <c r="F66" i="2"/>
  <c r="G66" i="2"/>
  <c r="H66" i="2"/>
  <c r="I66" i="2"/>
  <c r="J66" i="2"/>
  <c r="K66" i="2"/>
  <c r="L66" i="2"/>
  <c r="B67" i="2"/>
  <c r="C67" i="2"/>
  <c r="D67" i="2"/>
  <c r="E67" i="2"/>
  <c r="F67" i="2"/>
  <c r="G67" i="2"/>
  <c r="H67" i="2"/>
  <c r="I67" i="2"/>
  <c r="J67" i="2"/>
  <c r="K67" i="2"/>
  <c r="L67" i="2"/>
  <c r="B68" i="2"/>
  <c r="C68" i="2"/>
  <c r="D68" i="2"/>
  <c r="E68" i="2"/>
  <c r="F68" i="2"/>
  <c r="G68" i="2"/>
  <c r="H68" i="2"/>
  <c r="I68" i="2"/>
  <c r="J68" i="2"/>
  <c r="K68" i="2"/>
  <c r="L68" i="2"/>
  <c r="B69" i="2"/>
  <c r="C69" i="2"/>
  <c r="D69" i="2"/>
  <c r="E69" i="2"/>
  <c r="F69" i="2"/>
  <c r="G69" i="2"/>
  <c r="H69" i="2"/>
  <c r="I69" i="2"/>
  <c r="J69" i="2"/>
  <c r="K69" i="2"/>
  <c r="L69" i="2"/>
  <c r="B70" i="2"/>
  <c r="C70" i="2"/>
  <c r="D70" i="2"/>
  <c r="E70" i="2"/>
  <c r="F70" i="2"/>
  <c r="G70" i="2"/>
  <c r="H70" i="2"/>
  <c r="I70" i="2"/>
  <c r="J70" i="2"/>
  <c r="K70" i="2"/>
  <c r="L70" i="2"/>
  <c r="B71" i="2"/>
  <c r="C71" i="2"/>
  <c r="D71" i="2"/>
  <c r="E71" i="2"/>
  <c r="F71" i="2"/>
  <c r="G71" i="2"/>
  <c r="H71" i="2"/>
  <c r="I71" i="2"/>
  <c r="J71" i="2"/>
  <c r="K71" i="2"/>
  <c r="L71" i="2"/>
  <c r="B25" i="2" l="1"/>
  <c r="C25" i="2"/>
  <c r="D25" i="2"/>
  <c r="E25" i="2"/>
  <c r="F25" i="2"/>
  <c r="G25" i="2"/>
  <c r="H25" i="2"/>
  <c r="I25" i="2"/>
  <c r="J25" i="2"/>
  <c r="K25" i="2"/>
  <c r="L25" i="2"/>
  <c r="B26" i="2"/>
  <c r="C26" i="2"/>
  <c r="D26" i="2"/>
  <c r="E26" i="2"/>
  <c r="F26" i="2"/>
  <c r="G26" i="2"/>
  <c r="H26" i="2"/>
  <c r="I26" i="2"/>
  <c r="J26" i="2"/>
  <c r="K26" i="2"/>
  <c r="L26" i="2"/>
  <c r="B27" i="2"/>
  <c r="C27" i="2"/>
  <c r="D27" i="2"/>
  <c r="E27" i="2"/>
  <c r="F27" i="2"/>
  <c r="G27" i="2"/>
  <c r="H27" i="2"/>
  <c r="I27" i="2"/>
  <c r="J27" i="2"/>
  <c r="K27" i="2"/>
  <c r="L27" i="2"/>
  <c r="B28" i="2"/>
  <c r="C28" i="2"/>
  <c r="D28" i="2"/>
  <c r="E28" i="2"/>
  <c r="F28" i="2"/>
  <c r="G28" i="2"/>
  <c r="H28" i="2"/>
  <c r="I28" i="2"/>
  <c r="J28" i="2"/>
  <c r="K28" i="2"/>
  <c r="L28" i="2"/>
  <c r="B29" i="2"/>
  <c r="C29" i="2"/>
  <c r="D29" i="2"/>
  <c r="E29" i="2"/>
  <c r="F29" i="2"/>
  <c r="G29" i="2"/>
  <c r="H29" i="2"/>
  <c r="I29" i="2"/>
  <c r="J29" i="2"/>
  <c r="K29" i="2"/>
  <c r="L29" i="2"/>
  <c r="B30" i="2"/>
  <c r="C30" i="2"/>
  <c r="D30" i="2"/>
  <c r="E30" i="2"/>
  <c r="F30" i="2"/>
  <c r="G30" i="2"/>
  <c r="H30" i="2"/>
  <c r="I30" i="2"/>
  <c r="J30" i="2"/>
  <c r="K30" i="2"/>
  <c r="L30" i="2"/>
  <c r="B31" i="2"/>
  <c r="C31" i="2"/>
  <c r="D31" i="2"/>
  <c r="E31" i="2"/>
  <c r="F31" i="2"/>
  <c r="G31" i="2"/>
  <c r="H31" i="2"/>
  <c r="I31" i="2"/>
  <c r="J31" i="2"/>
  <c r="K31" i="2"/>
  <c r="L31" i="2"/>
  <c r="B32" i="2"/>
  <c r="C32" i="2"/>
  <c r="D32" i="2"/>
  <c r="E32" i="2"/>
  <c r="F32" i="2"/>
  <c r="G32" i="2"/>
  <c r="H32" i="2"/>
  <c r="I32" i="2"/>
  <c r="J32" i="2"/>
  <c r="K32" i="2"/>
  <c r="L32" i="2"/>
  <c r="B33" i="2"/>
  <c r="C33" i="2"/>
  <c r="D33" i="2"/>
  <c r="E33" i="2"/>
  <c r="F33" i="2"/>
  <c r="G33" i="2"/>
  <c r="H33" i="2"/>
  <c r="I33" i="2"/>
  <c r="J33" i="2"/>
  <c r="K33" i="2"/>
  <c r="L33" i="2"/>
  <c r="B34" i="2"/>
  <c r="C34" i="2"/>
  <c r="D34" i="2"/>
  <c r="E34" i="2"/>
  <c r="F34" i="2"/>
  <c r="G34" i="2"/>
  <c r="H34" i="2"/>
  <c r="I34" i="2"/>
  <c r="J34" i="2"/>
  <c r="K34" i="2"/>
  <c r="L34" i="2"/>
  <c r="B35" i="2"/>
  <c r="C35" i="2"/>
  <c r="D35" i="2"/>
  <c r="E35" i="2"/>
  <c r="F35" i="2"/>
  <c r="G35" i="2"/>
  <c r="H35" i="2"/>
  <c r="I35" i="2"/>
  <c r="J35" i="2"/>
  <c r="K35" i="2"/>
  <c r="L35" i="2"/>
  <c r="B36" i="2"/>
  <c r="C36" i="2"/>
  <c r="D36" i="2"/>
  <c r="E36" i="2"/>
  <c r="F36" i="2"/>
  <c r="G36" i="2"/>
  <c r="H36" i="2"/>
  <c r="I36" i="2"/>
  <c r="J36" i="2"/>
  <c r="K36" i="2"/>
  <c r="L36" i="2"/>
  <c r="B37" i="2"/>
  <c r="C37" i="2"/>
  <c r="D37" i="2"/>
  <c r="E37" i="2"/>
  <c r="F37" i="2"/>
  <c r="G37" i="2"/>
  <c r="H37" i="2"/>
  <c r="I37" i="2"/>
  <c r="J37" i="2"/>
  <c r="K37" i="2"/>
  <c r="L37" i="2"/>
  <c r="B38" i="2"/>
  <c r="C38" i="2"/>
  <c r="D38" i="2"/>
  <c r="E38" i="2"/>
  <c r="F38" i="2"/>
  <c r="G38" i="2"/>
  <c r="H38" i="2"/>
  <c r="I38" i="2"/>
  <c r="J38" i="2"/>
  <c r="K38" i="2"/>
  <c r="L38" i="2"/>
  <c r="B39" i="2"/>
  <c r="C39" i="2"/>
  <c r="D39" i="2"/>
  <c r="E39" i="2"/>
  <c r="F39" i="2"/>
  <c r="G39" i="2"/>
  <c r="H39" i="2"/>
  <c r="I39" i="2"/>
  <c r="J39" i="2"/>
  <c r="K39" i="2"/>
  <c r="L39" i="2"/>
  <c r="B40" i="2"/>
  <c r="C40" i="2"/>
  <c r="D40" i="2"/>
  <c r="E40" i="2"/>
  <c r="F40" i="2"/>
  <c r="G40" i="2"/>
  <c r="H40" i="2"/>
  <c r="I40" i="2"/>
  <c r="J40" i="2"/>
  <c r="K40" i="2"/>
  <c r="L40" i="2"/>
  <c r="B41" i="2"/>
  <c r="C41" i="2"/>
  <c r="D41" i="2"/>
  <c r="E41" i="2"/>
  <c r="F41" i="2"/>
  <c r="G41" i="2"/>
  <c r="H41" i="2"/>
  <c r="I41" i="2"/>
  <c r="J41" i="2"/>
  <c r="K41" i="2"/>
  <c r="L41" i="2"/>
  <c r="B42" i="2"/>
  <c r="C42" i="2"/>
  <c r="D42" i="2"/>
  <c r="E42" i="2"/>
  <c r="F42" i="2"/>
  <c r="G42" i="2"/>
  <c r="H42" i="2"/>
  <c r="I42" i="2"/>
  <c r="J42" i="2"/>
  <c r="K42" i="2"/>
  <c r="L42" i="2"/>
  <c r="B43" i="2"/>
  <c r="C43" i="2"/>
  <c r="D43" i="2"/>
  <c r="E43" i="2"/>
  <c r="F43" i="2"/>
  <c r="G43" i="2"/>
  <c r="H43" i="2"/>
  <c r="I43" i="2"/>
  <c r="J43" i="2"/>
  <c r="K43" i="2"/>
  <c r="L43" i="2"/>
  <c r="B44" i="2"/>
  <c r="C44" i="2"/>
  <c r="D44" i="2"/>
  <c r="E44" i="2"/>
  <c r="F44" i="2"/>
  <c r="G44" i="2"/>
  <c r="H44" i="2"/>
  <c r="I44" i="2"/>
  <c r="J44" i="2"/>
  <c r="K44" i="2"/>
  <c r="L44" i="2"/>
  <c r="B45" i="2"/>
  <c r="C45" i="2"/>
  <c r="D45" i="2"/>
  <c r="E45" i="2"/>
  <c r="F45" i="2"/>
  <c r="G45" i="2"/>
  <c r="H45" i="2"/>
  <c r="I45" i="2"/>
  <c r="J45" i="2"/>
  <c r="K45" i="2"/>
  <c r="L45" i="2"/>
  <c r="B46" i="2"/>
  <c r="C46" i="2"/>
  <c r="D46" i="2"/>
  <c r="E46" i="2"/>
  <c r="F46" i="2"/>
  <c r="G46" i="2"/>
  <c r="H46" i="2"/>
  <c r="I46" i="2"/>
  <c r="J46" i="2"/>
  <c r="K46" i="2"/>
  <c r="L46" i="2"/>
  <c r="B47" i="2"/>
  <c r="C47" i="2"/>
  <c r="D47" i="2"/>
  <c r="E47" i="2"/>
  <c r="F47" i="2"/>
  <c r="G47" i="2"/>
  <c r="H47" i="2"/>
  <c r="I47" i="2"/>
  <c r="J47" i="2"/>
  <c r="K47" i="2"/>
  <c r="L47" i="2"/>
  <c r="B48" i="2"/>
  <c r="C48" i="2"/>
  <c r="D48" i="2"/>
  <c r="E48" i="2"/>
  <c r="F48" i="2"/>
  <c r="G48" i="2"/>
  <c r="H48" i="2"/>
  <c r="I48" i="2"/>
  <c r="J48" i="2"/>
  <c r="K48" i="2"/>
  <c r="L48" i="2"/>
  <c r="B49" i="2"/>
  <c r="C49" i="2"/>
  <c r="D49" i="2"/>
  <c r="E49" i="2"/>
  <c r="F49" i="2"/>
  <c r="G49" i="2"/>
  <c r="H49" i="2"/>
  <c r="I49" i="2"/>
  <c r="J49" i="2"/>
  <c r="K49" i="2"/>
  <c r="L49" i="2"/>
  <c r="B50" i="2"/>
  <c r="C50" i="2"/>
  <c r="D50" i="2"/>
  <c r="E50" i="2"/>
  <c r="F50" i="2"/>
  <c r="G50" i="2"/>
  <c r="H50" i="2"/>
  <c r="I50" i="2"/>
  <c r="J50" i="2"/>
  <c r="K50" i="2"/>
  <c r="L50" i="2"/>
  <c r="B51" i="2"/>
  <c r="C51" i="2"/>
  <c r="D51" i="2"/>
  <c r="E51" i="2"/>
  <c r="F51" i="2"/>
  <c r="G51" i="2"/>
  <c r="H51" i="2"/>
  <c r="I51" i="2"/>
  <c r="J51" i="2"/>
  <c r="K51" i="2"/>
  <c r="L51" i="2"/>
  <c r="B52" i="2"/>
  <c r="C52" i="2"/>
  <c r="D52" i="2"/>
  <c r="E52" i="2"/>
  <c r="F52" i="2"/>
  <c r="G52" i="2"/>
  <c r="H52" i="2"/>
  <c r="I52" i="2"/>
  <c r="J52" i="2"/>
  <c r="K52" i="2"/>
  <c r="L52" i="2"/>
  <c r="B53" i="2"/>
  <c r="C53" i="2"/>
  <c r="D53" i="2"/>
  <c r="E53" i="2"/>
  <c r="F53" i="2"/>
  <c r="G53" i="2"/>
  <c r="H53" i="2"/>
  <c r="I53" i="2"/>
  <c r="J53" i="2"/>
  <c r="K53" i="2"/>
  <c r="L53" i="2"/>
  <c r="B54" i="2"/>
  <c r="C54" i="2"/>
  <c r="D54" i="2"/>
  <c r="E54" i="2"/>
  <c r="F54" i="2"/>
  <c r="G54" i="2"/>
  <c r="H54" i="2"/>
  <c r="I54" i="2"/>
  <c r="J54" i="2"/>
  <c r="K54" i="2"/>
  <c r="L54" i="2"/>
  <c r="B55" i="2"/>
  <c r="C55" i="2"/>
  <c r="D55" i="2"/>
  <c r="E55" i="2"/>
  <c r="F55" i="2"/>
  <c r="G55" i="2"/>
  <c r="H55" i="2"/>
  <c r="I55" i="2"/>
  <c r="J55" i="2"/>
  <c r="K55" i="2"/>
  <c r="L55" i="2"/>
  <c r="B56" i="2"/>
  <c r="C56" i="2"/>
  <c r="D56" i="2"/>
  <c r="E56" i="2"/>
  <c r="F56" i="2"/>
  <c r="G56" i="2"/>
  <c r="H56" i="2"/>
  <c r="I56" i="2"/>
  <c r="J56" i="2"/>
  <c r="K56" i="2"/>
  <c r="L56" i="2"/>
  <c r="B57" i="2"/>
  <c r="C57" i="2"/>
  <c r="D57" i="2"/>
  <c r="E57" i="2"/>
  <c r="F57" i="2"/>
  <c r="G57" i="2"/>
  <c r="H57" i="2"/>
  <c r="I57" i="2"/>
  <c r="J57" i="2"/>
  <c r="K57" i="2"/>
  <c r="L57" i="2"/>
  <c r="B58" i="2"/>
  <c r="C58" i="2"/>
  <c r="D58" i="2"/>
  <c r="E58" i="2"/>
  <c r="F58" i="2"/>
  <c r="G58" i="2"/>
  <c r="H58" i="2"/>
  <c r="I58" i="2"/>
  <c r="J58" i="2"/>
  <c r="K58" i="2"/>
  <c r="L58" i="2"/>
  <c r="B59" i="2"/>
  <c r="C59" i="2"/>
  <c r="D59" i="2"/>
  <c r="E59" i="2"/>
  <c r="F59" i="2"/>
  <c r="G59" i="2"/>
  <c r="H59" i="2"/>
  <c r="I59" i="2"/>
  <c r="J59" i="2"/>
  <c r="K59" i="2"/>
  <c r="L59" i="2"/>
  <c r="B60" i="2"/>
  <c r="C60" i="2"/>
  <c r="D60" i="2"/>
  <c r="E60" i="2"/>
  <c r="F60" i="2"/>
  <c r="G60" i="2"/>
  <c r="H60" i="2"/>
  <c r="I60" i="2"/>
  <c r="J60" i="2"/>
  <c r="K60" i="2"/>
  <c r="L60" i="2"/>
  <c r="L24" i="2"/>
  <c r="C24" i="2"/>
  <c r="D24" i="2"/>
  <c r="E24" i="2"/>
  <c r="F24" i="2"/>
  <c r="G24" i="2"/>
  <c r="H24" i="2"/>
  <c r="I24" i="2"/>
  <c r="J24" i="2"/>
  <c r="K24" i="2"/>
  <c r="B24" i="2"/>
  <c r="C31" i="6" l="1"/>
  <c r="D13" i="6" l="1"/>
  <c r="C34" i="6" l="1"/>
  <c r="C33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G14" i="6" s="1"/>
  <c r="G13" i="6"/>
  <c r="G12" i="6"/>
  <c r="G10" i="6"/>
  <c r="G9" i="6"/>
  <c r="G7" i="6"/>
  <c r="E5" i="6"/>
  <c r="H4" i="6" l="1"/>
  <c r="E4" i="6"/>
  <c r="J17" i="2" l="1"/>
</calcChain>
</file>

<file path=xl/sharedStrings.xml><?xml version="1.0" encoding="utf-8"?>
<sst xmlns="http://schemas.openxmlformats.org/spreadsheetml/2006/main" count="1544" uniqueCount="753">
  <si>
    <t>2015 APR 18</t>
  </si>
  <si>
    <t>date</t>
  </si>
  <si>
    <t>Johnson B</t>
  </si>
  <si>
    <t>BPO</t>
  </si>
  <si>
    <t>2014 DEC 26</t>
  </si>
  <si>
    <t>HQA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</si>
  <si>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</si>
  <si>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</si>
  <si>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</si>
  <si>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</si>
  <si>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</si>
  <si>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</si>
  <si>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</si>
  <si>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SBL</t>
  </si>
  <si>
    <t>2015 APR 12</t>
  </si>
  <si>
    <t>2015 MAY 21</t>
  </si>
  <si>
    <t>BDG</t>
  </si>
  <si>
    <t>2015 MAY 24</t>
  </si>
  <si>
    <t>2015 JUN 14</t>
  </si>
  <si>
    <t>2015 JUN 22</t>
  </si>
  <si>
    <t>2015 APR 16</t>
  </si>
  <si>
    <t>2015 MAY 23</t>
  </si>
  <si>
    <t>2015 JUN 7</t>
  </si>
  <si>
    <t>2015 JUL 22</t>
  </si>
  <si>
    <t>2015 SEP 25</t>
  </si>
  <si>
    <t>2015 MAY 14</t>
  </si>
  <si>
    <t>2015 MAY 15</t>
  </si>
  <si>
    <t>2015 JUN 24</t>
  </si>
  <si>
    <t>2015 JUN 25</t>
  </si>
  <si>
    <t>2015 JUN 26</t>
  </si>
  <si>
    <t>2015 JUN 27</t>
  </si>
  <si>
    <t>2015 JUN 28</t>
  </si>
  <si>
    <t>2015 JUN 29</t>
  </si>
  <si>
    <t>2015 JUN 30</t>
  </si>
  <si>
    <t>2015 JUL 1</t>
  </si>
  <si>
    <t>2015 JUL 2</t>
  </si>
  <si>
    <t>2015 JUL 3</t>
  </si>
  <si>
    <t>2015 JUL 5</t>
  </si>
  <si>
    <t>2015 JUL 7</t>
  </si>
  <si>
    <t>2015 JUL 8</t>
  </si>
  <si>
    <t>2015 JUL 9</t>
  </si>
  <si>
    <t>2015 JUL 11</t>
  </si>
  <si>
    <t>2015 JUL 12</t>
  </si>
  <si>
    <t>2015 JUL 14</t>
  </si>
  <si>
    <t>2015 JUL 15</t>
  </si>
  <si>
    <t>2015 JUL 17</t>
  </si>
  <si>
    <t>2015 JUL 18</t>
  </si>
  <si>
    <t>2015 JUL 20</t>
  </si>
  <si>
    <t>2015 JUL 23</t>
  </si>
  <si>
    <t>2015 JUL 26</t>
  </si>
  <si>
    <t>2015 JUL 28</t>
  </si>
  <si>
    <t>2015 JUL 30</t>
  </si>
  <si>
    <t>2015 JUL 31</t>
  </si>
  <si>
    <t>2015 AUG 2</t>
  </si>
  <si>
    <t>2015 AUG 3</t>
  </si>
  <si>
    <t>2015 AUG 4</t>
  </si>
  <si>
    <t>2015 AUG 5</t>
  </si>
  <si>
    <t>2015 AUG 6</t>
  </si>
  <si>
    <t>2015 AUG 10</t>
  </si>
  <si>
    <t>2015 AUG 12</t>
  </si>
  <si>
    <t>2015 AUG 13</t>
  </si>
  <si>
    <t>2015 AUG 14</t>
  </si>
  <si>
    <t>2015 AUG 15</t>
  </si>
  <si>
    <t>2015 AUG 16</t>
  </si>
  <si>
    <t>2015 AUG 17</t>
  </si>
  <si>
    <t>2015 AUG 18</t>
  </si>
  <si>
    <t>2015 AUG 20</t>
  </si>
  <si>
    <t>2015 AUG 28</t>
  </si>
  <si>
    <t>2015 AUG 30</t>
  </si>
  <si>
    <t>2015 AUG 31</t>
  </si>
  <si>
    <t>2015 SEP 5</t>
  </si>
  <si>
    <t>2015 SEP 6</t>
  </si>
  <si>
    <t>2015 SEP 7</t>
  </si>
  <si>
    <t>2015 SEP 10</t>
  </si>
  <si>
    <t>2015 SEP 14</t>
  </si>
  <si>
    <t>2015 SEP 15</t>
  </si>
  <si>
    <t>2015 SEP 16</t>
  </si>
  <si>
    <t>2015 SEP 17</t>
  </si>
  <si>
    <t>2015 SEP 19</t>
  </si>
  <si>
    <t>2015 SEP 20</t>
  </si>
  <si>
    <t>2015 SEP 21</t>
  </si>
  <si>
    <t>2015 SEP 22</t>
  </si>
  <si>
    <t>2015 OCT 1</t>
  </si>
  <si>
    <t>2015 OCT 6</t>
  </si>
  <si>
    <t>2015 OCT 7</t>
  </si>
  <si>
    <t>2015 OCT 8</t>
  </si>
  <si>
    <t>2015 OCT 9</t>
  </si>
  <si>
    <t>2015 OCT 10</t>
  </si>
  <si>
    <t>2015 OCT 11</t>
  </si>
  <si>
    <t>GKA</t>
  </si>
  <si>
    <t>2013 NOV 8</t>
  </si>
  <si>
    <t>CTIA</t>
  </si>
  <si>
    <t>2013 NOV 15</t>
  </si>
  <si>
    <t>2013 NOV 17</t>
  </si>
  <si>
    <t>2013 NOV 19</t>
  </si>
  <si>
    <t>2013 NOV 20</t>
  </si>
  <si>
    <t>2013 NOV 21</t>
  </si>
  <si>
    <t>2013 DEC 18</t>
  </si>
  <si>
    <t>2014 JAN 30</t>
  </si>
  <si>
    <t>2014 APR 17</t>
  </si>
  <si>
    <t>2014 AUG 27</t>
  </si>
  <si>
    <t>2014 AUG 28</t>
  </si>
  <si>
    <t>2014 AUG 29</t>
  </si>
  <si>
    <t>2014 SEP 2</t>
  </si>
  <si>
    <t>2014 SEP 4</t>
  </si>
  <si>
    <t>2014 SEP 13</t>
  </si>
  <si>
    <t>2014 SEP 14</t>
  </si>
  <si>
    <t>2014 SEP 18</t>
  </si>
  <si>
    <t>2014 SEP 20</t>
  </si>
  <si>
    <t>2014 SEP 23</t>
  </si>
  <si>
    <t>2014 SEP 24</t>
  </si>
  <si>
    <t>2014 SEP 27</t>
  </si>
  <si>
    <t>2014 SEP 28</t>
  </si>
  <si>
    <t>2014 SEP 29</t>
  </si>
  <si>
    <t>2014 OCT 6</t>
  </si>
  <si>
    <t>2014 OCT 7</t>
  </si>
  <si>
    <t>2014 OCT 9</t>
  </si>
  <si>
    <t>2014 OCT 10</t>
  </si>
  <si>
    <t>2014 OCT 13</t>
  </si>
  <si>
    <t>2014 OCT 15</t>
  </si>
  <si>
    <t>2014 OCT 18</t>
  </si>
  <si>
    <t>2014 OCT 27</t>
  </si>
  <si>
    <t>2014 DEC 14</t>
  </si>
  <si>
    <t>2014 DEC 15</t>
  </si>
  <si>
    <t>OCN</t>
  </si>
  <si>
    <t>PGD</t>
  </si>
  <si>
    <t>SFRA</t>
  </si>
  <si>
    <t>AHM</t>
  </si>
  <si>
    <t>SJGA</t>
  </si>
  <si>
    <t>BPAD</t>
  </si>
  <si>
    <t>TIA</t>
  </si>
  <si>
    <t>2015 SEP 12</t>
  </si>
  <si>
    <t>2015 SEP 24</t>
  </si>
  <si>
    <t>2015 SEP 26</t>
  </si>
  <si>
    <t>2015 SEP 27</t>
  </si>
  <si>
    <t>2015 OCT 12</t>
  </si>
  <si>
    <t>2015 OCT 13</t>
  </si>
  <si>
    <t>2015 OCT 14</t>
  </si>
  <si>
    <t>2015 OCT 15</t>
  </si>
  <si>
    <t>2015 OCT 17</t>
  </si>
  <si>
    <t>2015 OCT 18</t>
  </si>
  <si>
    <t>2015 OCT 19</t>
  </si>
  <si>
    <t>2015 OCT 20</t>
  </si>
  <si>
    <t>2015 OCT 25</t>
  </si>
  <si>
    <t>2015 OCT 26</t>
  </si>
  <si>
    <t>2015 SEP 28</t>
  </si>
  <si>
    <t>2016 APR 28</t>
  </si>
  <si>
    <t>AG Peg</t>
  </si>
  <si>
    <t>NA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</si>
  <si>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</si>
  <si>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</si>
  <si>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</si>
  <si>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</si>
  <si>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</si>
  <si>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</si>
  <si>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</si>
  <si>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</si>
  <si>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</si>
  <si>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</si>
  <si>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</si>
  <si>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</si>
  <si>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</si>
  <si>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</si>
  <si>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</si>
  <si>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</si>
  <si>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</si>
  <si>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</si>
  <si>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</si>
  <si>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</si>
  <si>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</si>
  <si>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</si>
  <si>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</si>
  <si>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</si>
  <si>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</si>
  <si>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</si>
  <si>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</si>
  <si>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</si>
  <si>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</si>
  <si>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</si>
  <si>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</si>
  <si>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</si>
  <si>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</si>
  <si>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</si>
  <si>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</si>
  <si>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</si>
  <si>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</si>
  <si>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</si>
  <si>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</si>
  <si>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</si>
  <si>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</si>
  <si>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</si>
  <si>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</si>
  <si>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</si>
  <si>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</si>
  <si>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</si>
  <si>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</si>
  <si>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</si>
  <si>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</si>
  <si>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</si>
  <si>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</si>
  <si>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</si>
  <si>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</si>
  <si>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</si>
  <si>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</si>
  <si>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</si>
  <si>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</si>
  <si>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</si>
  <si>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</si>
  <si>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</si>
  <si>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</si>
  <si>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</si>
  <si>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</si>
  <si>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</si>
  <si>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</si>
  <si>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</si>
  <si>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\2016</t>
  </si>
  <si>
    <t>NaI D</t>
  </si>
  <si>
    <t>1990 AUG 20</t>
  </si>
  <si>
    <t>1992 MAY 1</t>
  </si>
  <si>
    <t>1993 JUN 10</t>
  </si>
  <si>
    <t>1997 MAR 15</t>
  </si>
  <si>
    <t>1997 OCT 1</t>
  </si>
  <si>
    <t>1998 JAN 17</t>
  </si>
  <si>
    <t>1998 MAR 3</t>
  </si>
  <si>
    <t>1999 JAN 30</t>
  </si>
  <si>
    <t>2000 NOV 23</t>
  </si>
  <si>
    <t>2002 OCT 6</t>
  </si>
  <si>
    <t>2003 APR 12</t>
  </si>
  <si>
    <t>2005 JAN 11</t>
  </si>
  <si>
    <t>2005 MAR 27</t>
  </si>
  <si>
    <t>2006 JAN 24</t>
  </si>
  <si>
    <t>2007 NOV 5</t>
  </si>
  <si>
    <t>2008 JAN 26</t>
  </si>
  <si>
    <t>2009 APR 20</t>
  </si>
  <si>
    <t>2009 OCT 27</t>
  </si>
  <si>
    <t>2010 FEB 12</t>
  </si>
  <si>
    <t>2010 MAR 10</t>
  </si>
  <si>
    <t>2012 JAN 29</t>
  </si>
  <si>
    <t>2012 MAR 26</t>
  </si>
  <si>
    <t>2012 OCT 21</t>
  </si>
  <si>
    <t>2013 JAN 7</t>
  </si>
  <si>
    <t>2013 DEC 31</t>
  </si>
  <si>
    <t>2016 DEC 27</t>
  </si>
  <si>
    <t>2009 OCT 24</t>
  </si>
  <si>
    <t>2012 OCT 23</t>
  </si>
  <si>
    <t>2012 NOV 7</t>
  </si>
  <si>
    <t>1982 NOV 24</t>
  </si>
  <si>
    <t>1983 JAN 15</t>
  </si>
  <si>
    <t>1983 FEB 14</t>
  </si>
  <si>
    <t>1983 MAR 10</t>
  </si>
  <si>
    <t>1983 MAY 12</t>
  </si>
  <si>
    <t>1983 OCT 17</t>
  </si>
  <si>
    <t>1984 JAN 30</t>
  </si>
  <si>
    <t>1984 FEB 16</t>
  </si>
  <si>
    <t>1984 MAR 14</t>
  </si>
  <si>
    <t>1984 DEC 26</t>
  </si>
  <si>
    <t>1985 JAN 17</t>
  </si>
  <si>
    <t>1985 FEB 12</t>
  </si>
  <si>
    <t>1985 MAR 24</t>
  </si>
  <si>
    <t>1985 APR 17</t>
  </si>
  <si>
    <t>1985 OCT 17</t>
  </si>
  <si>
    <t>1985 DEC 18</t>
  </si>
  <si>
    <t>1986 MAR 4</t>
  </si>
  <si>
    <t>1986 APR 1</t>
  </si>
  <si>
    <t>1986 DEC 22</t>
  </si>
  <si>
    <t>1987 FEB 23</t>
  </si>
  <si>
    <t>1987 MAR 20</t>
  </si>
  <si>
    <t>1987 APR 24</t>
  </si>
  <si>
    <t>1987 SEP 26</t>
  </si>
  <si>
    <t>1988 JAN 12</t>
  </si>
  <si>
    <t>1988 JAN 22</t>
  </si>
  <si>
    <t>1988 FEB 22</t>
  </si>
  <si>
    <t>1988 MAR 11</t>
  </si>
  <si>
    <t>1988 APR 8</t>
  </si>
  <si>
    <t>1988 MAY 2</t>
  </si>
  <si>
    <t>1988 OCT 14</t>
  </si>
  <si>
    <t>1988 OCT 30</t>
  </si>
  <si>
    <t>1988 NOV 15</t>
  </si>
  <si>
    <t>1988 DEC 10</t>
  </si>
  <si>
    <t>1989 JAN 2</t>
  </si>
  <si>
    <t>1989 JAN 16</t>
  </si>
  <si>
    <t>1989 FEB 8</t>
  </si>
  <si>
    <t>1989 MAR 4</t>
  </si>
  <si>
    <t>1989 APR 1</t>
  </si>
  <si>
    <t>1989 MAY 7</t>
  </si>
  <si>
    <t>1989 SEP 10</t>
  </si>
  <si>
    <t>1989 OCT 6</t>
  </si>
  <si>
    <t>1989 OCT 28</t>
  </si>
  <si>
    <t>1989 DEC 1</t>
  </si>
  <si>
    <t>1989 DEC 18</t>
  </si>
  <si>
    <t>1990 FEB 5</t>
  </si>
  <si>
    <t>1990 FEB 21</t>
  </si>
  <si>
    <t>1990 MAR 17</t>
  </si>
  <si>
    <t>1990 APR 10</t>
  </si>
  <si>
    <t>1990 SEP 11</t>
  </si>
  <si>
    <t>1990 SEP 22</t>
  </si>
  <si>
    <t>1990 OCT 21</t>
  </si>
  <si>
    <t>1990 NOV 18</t>
  </si>
  <si>
    <t>1990 DEC 15</t>
  </si>
  <si>
    <t>1991 JAN 6</t>
  </si>
  <si>
    <t>1991 JAN 28</t>
  </si>
  <si>
    <t>1991 FEB 15</t>
  </si>
  <si>
    <t>1991 MAR 17</t>
  </si>
  <si>
    <t>1991 APR 5</t>
  </si>
  <si>
    <t>1991 APR 19</t>
  </si>
  <si>
    <t>1991 MAY 8</t>
  </si>
  <si>
    <t>1991 AUG 29</t>
  </si>
  <si>
    <t>1991 OCT 9</t>
  </si>
  <si>
    <t>1991 NOV 6</t>
  </si>
  <si>
    <t>1991 DEC 6</t>
  </si>
  <si>
    <t>1991 DEC 20</t>
  </si>
  <si>
    <t>1992 JAN 9</t>
  </si>
  <si>
    <t>1992 JAN 30</t>
  </si>
  <si>
    <t>1992 FEB 12</t>
  </si>
  <si>
    <t>1992 MAR 3</t>
  </si>
  <si>
    <t>1992 MAR 29</t>
  </si>
  <si>
    <t>1992 MAY 21</t>
  </si>
  <si>
    <t>1992 AUG 19</t>
  </si>
  <si>
    <t>1992 SEP 7</t>
  </si>
  <si>
    <t>1992 SEP 27</t>
  </si>
  <si>
    <t>1992 NOV 4</t>
  </si>
  <si>
    <t>1992 NOV 24</t>
  </si>
  <si>
    <t>1992 DEC 19</t>
  </si>
  <si>
    <t>1993 JAN 5</t>
  </si>
  <si>
    <t>1993 JAN 22</t>
  </si>
  <si>
    <t>1993 FEB 7</t>
  </si>
  <si>
    <t>1993 FEB 23</t>
  </si>
  <si>
    <t>1993 MAR 16</t>
  </si>
  <si>
    <t>1993 APR 2</t>
  </si>
  <si>
    <t>1993 APR 21</t>
  </si>
  <si>
    <t>1993 MAY 18</t>
  </si>
  <si>
    <t>1993 AUG 21</t>
  </si>
  <si>
    <t>1993 SEP 6</t>
  </si>
  <si>
    <t>1993 OCT 7</t>
  </si>
  <si>
    <t>1993 NOV 19</t>
  </si>
  <si>
    <t>1993 DEC 12</t>
  </si>
  <si>
    <t>1993 DEC 25</t>
  </si>
  <si>
    <t>1994 JAN 13</t>
  </si>
  <si>
    <t>1994 FEB 7</t>
  </si>
  <si>
    <t>1994 MAR 3</t>
  </si>
  <si>
    <t>1994 MAR 12</t>
  </si>
  <si>
    <t>1994 APR 3</t>
  </si>
  <si>
    <t>1994 MAY 2</t>
  </si>
  <si>
    <t>1994 MAY 20</t>
  </si>
  <si>
    <t>1994 AUG 13</t>
  </si>
  <si>
    <t>1994 AUG 30</t>
  </si>
  <si>
    <t>1994 SEP 27</t>
  </si>
  <si>
    <t>1994 OCT 12</t>
  </si>
  <si>
    <t>1994 NOV 2</t>
  </si>
  <si>
    <t>1994 NOV 28</t>
  </si>
  <si>
    <t>1994 DEC 7</t>
  </si>
  <si>
    <t>1994 DEC 30</t>
  </si>
  <si>
    <t>1995 JAN 11</t>
  </si>
  <si>
    <t>1995 JAN 30</t>
  </si>
  <si>
    <t>1995 FEB 15</t>
  </si>
  <si>
    <t>1995 MAR 3</t>
  </si>
  <si>
    <t>1995 MAR 19</t>
  </si>
  <si>
    <t>1995 APR 3</t>
  </si>
  <si>
    <t>1995 APR 30</t>
  </si>
  <si>
    <t>1995 MAY 18</t>
  </si>
  <si>
    <t>1995 JUN 5</t>
  </si>
  <si>
    <t>1995 AUG 24</t>
  </si>
  <si>
    <t>1995 SEP 15</t>
  </si>
  <si>
    <t>1995 OCT 7</t>
  </si>
  <si>
    <t>1995 OCT 21</t>
  </si>
  <si>
    <t>1995 NOV 5</t>
  </si>
  <si>
    <t>1995 NOV 21</t>
  </si>
  <si>
    <t>1995 DEC 10</t>
  </si>
  <si>
    <t>1995 DEC 24</t>
  </si>
  <si>
    <t>1996 JAN 17</t>
  </si>
  <si>
    <t>1996 JAN 31</t>
  </si>
  <si>
    <t>1996 FEB 18</t>
  </si>
  <si>
    <t>1996 MAR 6</t>
  </si>
  <si>
    <t>1996 MAR 23</t>
  </si>
  <si>
    <t>1996 APR 13</t>
  </si>
  <si>
    <t>1996 MAY 11</t>
  </si>
  <si>
    <t>1996 JUN 7</t>
  </si>
  <si>
    <t>1996 AUG 18</t>
  </si>
  <si>
    <t>1996 SEP 10</t>
  </si>
  <si>
    <t>1996 SEP 21</t>
  </si>
  <si>
    <t>1996 OCT 11</t>
  </si>
  <si>
    <t>1996 OCT 27</t>
  </si>
  <si>
    <t>1996 NOV 13</t>
  </si>
  <si>
    <t>1996 DEC 7</t>
  </si>
  <si>
    <t>1996 DEC 26</t>
  </si>
  <si>
    <t>1997 JAN 8</t>
  </si>
  <si>
    <t>1997 JAN 26</t>
  </si>
  <si>
    <t>1997 FEB 8</t>
  </si>
  <si>
    <t>1997 MAR 4</t>
  </si>
  <si>
    <t>1997 APR 3</t>
  </si>
  <si>
    <t>1997 APR 23</t>
  </si>
  <si>
    <t>1997 MAY 9</t>
  </si>
  <si>
    <t>1997 JUN 1</t>
  </si>
  <si>
    <t>1997 AUG 6</t>
  </si>
  <si>
    <t>1997 AUG 22</t>
  </si>
  <si>
    <t>1997 SEP 10</t>
  </si>
  <si>
    <t>1997 OCT 20</t>
  </si>
  <si>
    <t>1997 NOV 2</t>
  </si>
  <si>
    <t>1997 NOV 26</t>
  </si>
  <si>
    <t>1997 DEC 11</t>
  </si>
  <si>
    <t>1997 DEC 30</t>
  </si>
  <si>
    <t>1998 JAN 31</t>
  </si>
  <si>
    <t>1998 FEB 19</t>
  </si>
  <si>
    <t>1998 MAR 21</t>
  </si>
  <si>
    <t>1998 APR 5</t>
  </si>
  <si>
    <t>1998 APR 20</t>
  </si>
  <si>
    <t>1998 MAY 18</t>
  </si>
  <si>
    <t>1998 AUG 25</t>
  </si>
  <si>
    <t>1998 SEP 16</t>
  </si>
  <si>
    <t>1998 OCT 1</t>
  </si>
  <si>
    <t>1998 OCT 18</t>
  </si>
  <si>
    <t>1998 NOV 4</t>
  </si>
  <si>
    <t>1998 NOV 21</t>
  </si>
  <si>
    <t>1998 DEC 14</t>
  </si>
  <si>
    <t>1998 DEC 30</t>
  </si>
  <si>
    <t>1999 JAN 15</t>
  </si>
  <si>
    <t>1999 FEB 15</t>
  </si>
  <si>
    <t>1999 MAR 5</t>
  </si>
  <si>
    <t>1999 MAR 16</t>
  </si>
  <si>
    <t>1999 APR 7</t>
  </si>
  <si>
    <t>1999 APR 19</t>
  </si>
  <si>
    <t>1999 MAY 8</t>
  </si>
  <si>
    <t>1999 JUN 3</t>
  </si>
  <si>
    <t>1999 AUG 18</t>
  </si>
  <si>
    <t>1999 SEP 6</t>
  </si>
  <si>
    <t>1999 SEP 21</t>
  </si>
  <si>
    <t>1999 OCT 9</t>
  </si>
  <si>
    <t>1999 NOV 11</t>
  </si>
  <si>
    <t>1999 NOV 22</t>
  </si>
  <si>
    <t>1999 DEC 13</t>
  </si>
  <si>
    <t>2000 JAN 4</t>
  </si>
  <si>
    <t>2000 JAN 15</t>
  </si>
  <si>
    <t>2000 FEB 3</t>
  </si>
  <si>
    <t>2000 FEB 14</t>
  </si>
  <si>
    <t>2000 MAR 2</t>
  </si>
  <si>
    <t>2000 MAR 19</t>
  </si>
  <si>
    <t>2000 APR 2</t>
  </si>
  <si>
    <t>2000 APR 25</t>
  </si>
  <si>
    <t>2000 MAY 15</t>
  </si>
  <si>
    <t>2000 AUG 17</t>
  </si>
  <si>
    <t>2000 SEP 8</t>
  </si>
  <si>
    <t>2000 SEP 24</t>
  </si>
  <si>
    <t>2000 OCT 15</t>
  </si>
  <si>
    <t>2000 NOV 1</t>
  </si>
  <si>
    <t>2000 DEC 5</t>
  </si>
  <si>
    <t>2000 DEC 24</t>
  </si>
  <si>
    <t>2001 JAN 9</t>
  </si>
  <si>
    <t>2001 JAN 24</t>
  </si>
  <si>
    <t>2001 FEB 12</t>
  </si>
  <si>
    <t>2001 FEB 25</t>
  </si>
  <si>
    <t>2001 MAR 13</t>
  </si>
  <si>
    <t>2001 MAR 29</t>
  </si>
  <si>
    <t>2001 APR 13</t>
  </si>
  <si>
    <t>2001 MAY 12</t>
  </si>
  <si>
    <t>2001 SEP 12</t>
  </si>
  <si>
    <t>2001 SEP 28</t>
  </si>
  <si>
    <t>2001 OCT 17</t>
  </si>
  <si>
    <t>2001 NOV 25</t>
  </si>
  <si>
    <t>2001 DEC 19</t>
  </si>
  <si>
    <t>2002 JAN 10</t>
  </si>
  <si>
    <t>2002 JAN 18</t>
  </si>
  <si>
    <t>2002 FEB 9</t>
  </si>
  <si>
    <t>2002 FEB 25</t>
  </si>
  <si>
    <t>2002 MAR 11</t>
  </si>
  <si>
    <t>2002 MAR 28</t>
  </si>
  <si>
    <t>2002 APR 12</t>
  </si>
  <si>
    <t>2002 MAY 1</t>
  </si>
  <si>
    <t>2002 MAY 12</t>
  </si>
  <si>
    <t>2002 MAY 31</t>
  </si>
  <si>
    <t>2002 AUG 22</t>
  </si>
  <si>
    <t>2002 SEP 10</t>
  </si>
  <si>
    <t>2002 OCT 31</t>
  </si>
  <si>
    <t>2002 DEC 4</t>
  </si>
  <si>
    <t>2002 DEC 25</t>
  </si>
  <si>
    <t>2003 JAN 8</t>
  </si>
  <si>
    <t>2003 JAN 27</t>
  </si>
  <si>
    <t>2003 FEB 14</t>
  </si>
  <si>
    <t>2003 FEB 28</t>
  </si>
  <si>
    <t>2003 MAR 16</t>
  </si>
  <si>
    <t>2003 MAR 31</t>
  </si>
  <si>
    <t>2003 MAY 2</t>
  </si>
  <si>
    <t>2003 SEP 26</t>
  </si>
  <si>
    <t>2003 OCT 22</t>
  </si>
  <si>
    <t>2003 NOV 6</t>
  </si>
  <si>
    <t>2003 NOV 28</t>
  </si>
  <si>
    <t>2003 DEC 17</t>
  </si>
  <si>
    <t>2004 JAN 8</t>
  </si>
  <si>
    <t>2004 JAN 22</t>
  </si>
  <si>
    <t>2004 FEB 13</t>
  </si>
  <si>
    <t>2004 FEB 25</t>
  </si>
  <si>
    <t>2004 MAR 15</t>
  </si>
  <si>
    <t>2004 MAR 27</t>
  </si>
  <si>
    <t>2004 APR 13</t>
  </si>
  <si>
    <t>2004 MAY 18</t>
  </si>
  <si>
    <t>2004 AUG 23</t>
  </si>
  <si>
    <t>2004 SEP 25</t>
  </si>
  <si>
    <t>2004 OCT 16</t>
  </si>
  <si>
    <t>2004 NOV 18</t>
  </si>
  <si>
    <t>2004 DEC 10</t>
  </si>
  <si>
    <t>2004 DEC 25</t>
  </si>
  <si>
    <t>2005 JAN 29</t>
  </si>
  <si>
    <t>2005 FEB 19</t>
  </si>
  <si>
    <t>2005 MAR 5</t>
  </si>
  <si>
    <t>2005 APR 10</t>
  </si>
  <si>
    <t>2005 MAY 9</t>
  </si>
  <si>
    <t>2005 JUN 1</t>
  </si>
  <si>
    <t>2005 AUG 21</t>
  </si>
  <si>
    <t>2005 SEP 7</t>
  </si>
  <si>
    <t>2005 SEP 22</t>
  </si>
  <si>
    <t>2005 OCT 8</t>
  </si>
  <si>
    <t>2005 OCT 31</t>
  </si>
  <si>
    <t>2005 NOV 14</t>
  </si>
  <si>
    <t>2005 NOV 29</t>
  </si>
  <si>
    <t>2005 DEC 29</t>
  </si>
  <si>
    <t>2006 JAN 20</t>
  </si>
  <si>
    <t>2006 FEB 9</t>
  </si>
  <si>
    <t>2006 FEB 25</t>
  </si>
  <si>
    <t>2006 MAR 5</t>
  </si>
  <si>
    <t>2006 MAR 31</t>
  </si>
  <si>
    <t>2006 MAY 1</t>
  </si>
  <si>
    <t>2006 MAY 18</t>
  </si>
  <si>
    <t>2006 AUG 26</t>
  </si>
  <si>
    <t>2006 SEP 22</t>
  </si>
  <si>
    <t>2006 OCT 14</t>
  </si>
  <si>
    <t>2006 NOV 1</t>
  </si>
  <si>
    <t>2006 NOV 22</t>
  </si>
  <si>
    <t>2006 DEC 14</t>
  </si>
  <si>
    <t>2007 JAN 21</t>
  </si>
  <si>
    <t>2007 FEB 9</t>
  </si>
  <si>
    <t>2007 MAR 9</t>
  </si>
  <si>
    <t>2007 MAR 21</t>
  </si>
  <si>
    <t>2007 APR 10</t>
  </si>
  <si>
    <t>2007 AUG 20</t>
  </si>
  <si>
    <t>2007 SEP 13</t>
  </si>
  <si>
    <t>2007 OCT 13</t>
  </si>
  <si>
    <t>2007 DEC 9</t>
  </si>
  <si>
    <t>2008 JAN 4</t>
  </si>
  <si>
    <t>2008 JAN 14</t>
  </si>
  <si>
    <t>2008 FEB 4</t>
  </si>
  <si>
    <t>2008 FEB 19</t>
  </si>
  <si>
    <t>2008 MAR 6</t>
  </si>
  <si>
    <t>2008 MAR 22</t>
  </si>
  <si>
    <t>2008 APR 8</t>
  </si>
  <si>
    <t>2008 APR 25</t>
  </si>
  <si>
    <t>2008 MAY 14</t>
  </si>
  <si>
    <t>2008 MAY 22</t>
  </si>
  <si>
    <t>2008 OCT 9</t>
  </si>
  <si>
    <t>2008 NOV 2</t>
  </si>
  <si>
    <t>2008 DEC 5</t>
  </si>
  <si>
    <t>2008 DEC 25</t>
  </si>
  <si>
    <t>2009 JAN 9</t>
  </si>
  <si>
    <t>2009 JAN 24</t>
  </si>
  <si>
    <t>2009 FEB 10</t>
  </si>
  <si>
    <t>2009 FEB 28</t>
  </si>
  <si>
    <t>2009 MAR 17</t>
  </si>
  <si>
    <t>2009 MAR 31</t>
  </si>
  <si>
    <t>2009 APR 30</t>
  </si>
  <si>
    <t>2009 MAY 20</t>
  </si>
  <si>
    <t>2009 SEP 16</t>
  </si>
  <si>
    <t>2009 OCT 7</t>
  </si>
  <si>
    <t>2009 NOV 13</t>
  </si>
  <si>
    <t>2009 DEC 2</t>
  </si>
  <si>
    <t>2009 DEC 22</t>
  </si>
  <si>
    <t>2010 JAN 7</t>
  </si>
  <si>
    <t>2010 JAN 22</t>
  </si>
  <si>
    <t>2010 FEB 8</t>
  </si>
  <si>
    <t>2010 FEB 25</t>
  </si>
  <si>
    <t>2010 MAR 11</t>
  </si>
  <si>
    <t>2010 MAR 22</t>
  </si>
  <si>
    <t>2010 APR 12</t>
  </si>
  <si>
    <t>2010 APR 27</t>
  </si>
  <si>
    <t>2010 MAY 11</t>
  </si>
  <si>
    <t>2010 MAY 27</t>
  </si>
  <si>
    <t>2010 OCT 10</t>
  </si>
  <si>
    <t>2010 OCT 27</t>
  </si>
  <si>
    <t>2010 NOV 17</t>
  </si>
  <si>
    <t>2010 NOV 29</t>
  </si>
  <si>
    <t>2011 JAN 14</t>
  </si>
  <si>
    <t>2011 FEB 2</t>
  </si>
  <si>
    <t>2011 FEB 15</t>
  </si>
  <si>
    <t>2011 MAR 5</t>
  </si>
  <si>
    <t>2011 MAR 22</t>
  </si>
  <si>
    <t>2011 APR 7</t>
  </si>
  <si>
    <t>2011 APR 20</t>
  </si>
  <si>
    <t>2011 MAY 6</t>
  </si>
  <si>
    <t>2011 MAY 25</t>
  </si>
  <si>
    <t>2011 JUN 2</t>
  </si>
  <si>
    <t>2012 JAN 12</t>
  </si>
  <si>
    <t>2012 FEB 16</t>
  </si>
  <si>
    <t>2012 MAR 4</t>
  </si>
  <si>
    <t>2012 MAR 23</t>
  </si>
  <si>
    <t>2012 APR 4</t>
  </si>
  <si>
    <t>2012 APR 26</t>
  </si>
  <si>
    <t>2012 MAY 14</t>
  </si>
  <si>
    <t>2012 NOV 17</t>
  </si>
  <si>
    <t>2012 DEC 6</t>
  </si>
  <si>
    <t>2013 JAN 14</t>
  </si>
  <si>
    <t>2013 FEB 5</t>
  </si>
  <si>
    <t>2013 FEB 24</t>
  </si>
  <si>
    <t>2013 MAR 12</t>
  </si>
  <si>
    <t>2013 APR 1</t>
  </si>
  <si>
    <t>2013 APR 19</t>
  </si>
  <si>
    <t>2013 MAY 15</t>
  </si>
  <si>
    <t>2013 DEC 29</t>
  </si>
  <si>
    <t>2014 JAN 16</t>
  </si>
  <si>
    <t>2014 JAN 27</t>
  </si>
  <si>
    <t>2014 FEB 14</t>
  </si>
  <si>
    <t>2014 MAR 3</t>
  </si>
  <si>
    <t>2014 MAR 21</t>
  </si>
  <si>
    <t>2014 APR 6</t>
  </si>
  <si>
    <t>2014 APR 27</t>
  </si>
  <si>
    <t>2014 MAY 6</t>
  </si>
  <si>
    <t>2014 MAY 24</t>
  </si>
  <si>
    <t>2014 OCT 19</t>
  </si>
  <si>
    <t>2015 JAN 4</t>
  </si>
  <si>
    <t>2015 JAN 16</t>
  </si>
  <si>
    <t>2015 FEB 13</t>
  </si>
  <si>
    <t>2015 MAR 1</t>
  </si>
  <si>
    <t>2015 MAR 16</t>
  </si>
  <si>
    <t>2015 MAR 29</t>
  </si>
  <si>
    <t>2015 MAY 4</t>
  </si>
  <si>
    <t>2015 DEC 26</t>
  </si>
  <si>
    <t>2016 JAN 13</t>
  </si>
  <si>
    <t>2016 FEB 9</t>
  </si>
  <si>
    <t>2016 FEB 17</t>
  </si>
  <si>
    <t>2016 MAR 8</t>
  </si>
  <si>
    <t>2016 MAR 21</t>
  </si>
  <si>
    <t>2016 APR 3</t>
  </si>
  <si>
    <t>2005 FEB 9</t>
  </si>
  <si>
    <t>2005 DEC 8</t>
  </si>
  <si>
    <t>2005 DEC 10</t>
  </si>
  <si>
    <t>2005 DEC 18</t>
  </si>
  <si>
    <t>2006 JAN 3</t>
  </si>
  <si>
    <t>2006 JAN 7</t>
  </si>
  <si>
    <t>2006 JAN 18</t>
  </si>
  <si>
    <t>2006 FEB 2</t>
  </si>
  <si>
    <t>2006 FEB 5</t>
  </si>
  <si>
    <t>2006 FEB 10</t>
  </si>
  <si>
    <t>2006 FEB 17</t>
  </si>
  <si>
    <t>2006 MAR 2</t>
  </si>
  <si>
    <t>2006 MAR 11</t>
  </si>
  <si>
    <t>2006 MAR 29</t>
  </si>
  <si>
    <t>2007 DEC 27</t>
  </si>
  <si>
    <t>2007 DEC 31</t>
  </si>
  <si>
    <t>2008 JAN 22</t>
  </si>
  <si>
    <t>2008 FEB 5</t>
  </si>
  <si>
    <t>2008 FEB 7</t>
  </si>
  <si>
    <t>2008 NOV 27</t>
  </si>
  <si>
    <t>2008 DEC 20</t>
  </si>
  <si>
    <t>2008 DEC 24</t>
  </si>
  <si>
    <t>2008 DEC 27</t>
  </si>
  <si>
    <t>2009 JAN 5</t>
  </si>
  <si>
    <t>2009 JAN 29</t>
  </si>
  <si>
    <t>2009 FEB 8</t>
  </si>
  <si>
    <t>2009 FEB 11</t>
  </si>
  <si>
    <t>2009 FEB 13</t>
  </si>
  <si>
    <t>2009 FEB 21</t>
  </si>
  <si>
    <t>2009 FEB 23</t>
  </si>
  <si>
    <t>2009 MAR 7</t>
  </si>
  <si>
    <t>2009 MAR 13</t>
  </si>
  <si>
    <t>2009 MAR 21</t>
  </si>
  <si>
    <t>2009 MAR 25</t>
  </si>
  <si>
    <t>2009 OCT 14</t>
  </si>
  <si>
    <t>2009 NOV 12</t>
  </si>
  <si>
    <t>2009 DEC 18</t>
  </si>
  <si>
    <t>2009 DEC 26</t>
  </si>
  <si>
    <t>2010 JAN 2</t>
  </si>
  <si>
    <t>2010 JAN 16</t>
  </si>
  <si>
    <t>2010 JAN 23</t>
  </si>
  <si>
    <t>2010 JAN 30</t>
  </si>
  <si>
    <t>2010 FEB 7</t>
  </si>
  <si>
    <t>2010 FEB 20</t>
  </si>
  <si>
    <t>2010 FEB 22</t>
  </si>
  <si>
    <t>2010 FEB 26</t>
  </si>
  <si>
    <t>2010 MAR 6</t>
  </si>
  <si>
    <t>2010 APR 2</t>
  </si>
  <si>
    <t>2010 DEC 9</t>
  </si>
  <si>
    <t>2011 JAN 25</t>
  </si>
  <si>
    <t>2011 FEB 18</t>
  </si>
  <si>
    <t>2011 MAR 20</t>
  </si>
  <si>
    <t>2011 NOV 15</t>
  </si>
  <si>
    <t>2011 NOV 18</t>
  </si>
  <si>
    <t>2011 NOV 25</t>
  </si>
  <si>
    <t>2011 DEC 23</t>
  </si>
  <si>
    <t>2012 FEB 14</t>
  </si>
  <si>
    <t>2012 FEB 21</t>
  </si>
  <si>
    <t>2012 FEB 25</t>
  </si>
  <si>
    <t>2012 FEB 29</t>
  </si>
  <si>
    <t>2012 MAR 9</t>
  </si>
  <si>
    <t>2012 MAR 11</t>
  </si>
  <si>
    <t>2012 MAR 13</t>
  </si>
  <si>
    <t>2012 MAR 15</t>
  </si>
  <si>
    <t>2012 MAR 22</t>
  </si>
  <si>
    <t>2012 MAR 24</t>
  </si>
  <si>
    <t>2012 MAR 28</t>
  </si>
  <si>
    <t>2012 NOV 21</t>
  </si>
  <si>
    <t>2012 DEC 3</t>
  </si>
  <si>
    <t>2012 DEC 11</t>
  </si>
  <si>
    <t>2012 DEC 29</t>
  </si>
  <si>
    <t>2013 JAN 5</t>
  </si>
  <si>
    <t>2013 JAN 29</t>
  </si>
  <si>
    <t>2013 FEB 13</t>
  </si>
  <si>
    <t>2013 FEB 15</t>
  </si>
  <si>
    <t>2013 FEB 28</t>
  </si>
  <si>
    <t>2013 MAR 15</t>
  </si>
  <si>
    <t>2013 APR 3</t>
  </si>
  <si>
    <t>2013 DEC 7</t>
  </si>
  <si>
    <t>2013 DEC 13</t>
  </si>
  <si>
    <t>2014 FEB 23</t>
  </si>
  <si>
    <t>2014 FEB 24</t>
  </si>
  <si>
    <t>2014 MAR 7</t>
  </si>
  <si>
    <t>2014 MAR 30</t>
  </si>
  <si>
    <t>2016 FEB 10</t>
  </si>
  <si>
    <t>2016 APR 5</t>
  </si>
  <si>
    <t>2016 DEC 24</t>
  </si>
  <si>
    <t>2017 JAN 1</t>
  </si>
  <si>
    <t>2017 JAN 3</t>
  </si>
  <si>
    <t>2017 JAN 7</t>
  </si>
  <si>
    <t>2017 JAN 9</t>
  </si>
  <si>
    <t>2017 JAN 20</t>
  </si>
  <si>
    <t>2017 JAN 23</t>
  </si>
  <si>
    <t>2017 JAN 26</t>
  </si>
  <si>
    <t>B-V</t>
  </si>
  <si>
    <t>2005 DEC 21</t>
  </si>
  <si>
    <t>2005 DEC 30</t>
  </si>
  <si>
    <t>2006 JAN 9</t>
  </si>
  <si>
    <t>2006 FEB 1</t>
  </si>
  <si>
    <t>2007 DEC 20</t>
  </si>
  <si>
    <t>2008 NOV 23</t>
  </si>
  <si>
    <t>2008 DEC 7</t>
  </si>
  <si>
    <t>2010 MAR 16</t>
  </si>
  <si>
    <t>2011 DEC 27</t>
  </si>
  <si>
    <t>2018 AUG 10</t>
  </si>
  <si>
    <t>2018 AUG 11</t>
  </si>
  <si>
    <t>2018 AUG 12</t>
  </si>
  <si>
    <t>2018 AUG 13</t>
  </si>
  <si>
    <t>2018 AUG 15</t>
  </si>
  <si>
    <t>2018 AUG 16</t>
  </si>
  <si>
    <t>2018 AUG 18</t>
  </si>
  <si>
    <t>2018 AUG 19</t>
  </si>
  <si>
    <t>2018 AUG 20</t>
  </si>
  <si>
    <t>2018 AUG 21</t>
  </si>
  <si>
    <t>2018 AUG 22</t>
  </si>
  <si>
    <t>2018 AUG 24</t>
  </si>
  <si>
    <t>2018 AUG 25</t>
  </si>
  <si>
    <t>2018 AUG 27</t>
  </si>
  <si>
    <t>2018 AUG 28</t>
  </si>
  <si>
    <t>2018 AUG 29</t>
  </si>
  <si>
    <t>2018 AUG 30</t>
  </si>
  <si>
    <t>2018 SEP 1</t>
  </si>
  <si>
    <t>2018 SEP 2</t>
  </si>
  <si>
    <t>2018 SEP 3</t>
  </si>
  <si>
    <t>Vend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</si>
</sst>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ill="1"/>
    <xf numFmtId="1" fontId="0" fillId="2" borderId="1" xfId="0" applyNumberForma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5" borderId="0" xfId="0" applyFill="1"/>
    <xf numFmtId="14" fontId="0" fillId="0" borderId="0" xfId="0" applyNumberFormat="1"/>
    <xf numFmtId="14" fontId="0" fillId="2" borderId="1" xfId="0" applyNumberFormat="1" applyFill="1" applyBorder="1" applyAlignment="1">
      <alignment horizontal="center"/>
    </xf>
    <xf numFmtId="17" fontId="0" fillId="0" borderId="0" xfId="0" applyNumberFormat="1" applyAlignment="1">
      <alignment vertical="center" wrapText="1"/>
    </xf>
    <xf numFmtId="164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Vend 47</c:v>
            </c:pt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V!$A$1:$A$1022</c:f>
              <c:numCache>
                <c:formatCode>General</c:formatCode>
                <c:ptCount val="1022"/>
                <c:pt idx="0">
                  <c:v>2458340.5248500002</c:v>
                </c:pt>
                <c:pt idx="1">
                  <c:v>2458342.3945800001</c:v>
                </c:pt>
                <c:pt idx="2">
                  <c:v>2458342.7296500001</c:v>
                </c:pt>
                <c:pt idx="3">
                  <c:v>2458344.1444100002</c:v>
                </c:pt>
                <c:pt idx="4">
                  <c:v>2458345.5617499999</c:v>
                </c:pt>
                <c:pt idx="5">
                  <c:v>2458346.7238099999</c:v>
                </c:pt>
                <c:pt idx="6">
                  <c:v>2458347.1771</c:v>
                </c:pt>
                <c:pt idx="7">
                  <c:v>2458349.2095400002</c:v>
                </c:pt>
                <c:pt idx="8">
                  <c:v>2458350.0518800002</c:v>
                </c:pt>
                <c:pt idx="9">
                  <c:v>2458351.0505599999</c:v>
                </c:pt>
                <c:pt idx="10">
                  <c:v>2458351.9253699998</c:v>
                </c:pt>
                <c:pt idx="11">
                  <c:v>2458353.3407800002</c:v>
                </c:pt>
                <c:pt idx="12">
                  <c:v>2458355.1016600002</c:v>
                </c:pt>
                <c:pt idx="13">
                  <c:v>2458356.3453799998</c:v>
                </c:pt>
                <c:pt idx="14">
                  <c:v>2458357.6807800001</c:v>
                </c:pt>
                <c:pt idx="15">
                  <c:v>2458359.0671600001</c:v>
                </c:pt>
                <c:pt idx="16">
                  <c:v>2458359.8729599998</c:v>
                </c:pt>
                <c:pt idx="17">
                  <c:v>2458361.0391299999</c:v>
                </c:pt>
                <c:pt idx="18">
                  <c:v>2458362.5576999998</c:v>
                </c:pt>
                <c:pt idx="19">
                  <c:v>2458364.36069</c:v>
                </c:pt>
                <c:pt idx="20">
                  <c:v>2458364.6107000001</c:v>
                </c:pt>
              </c:numCache>
            </c:numRef>
          </c:xVal>
          <c:yVal>
            <c:numRef>
              <c:f>V!$C$1:$C$1022</c:f>
              <c:numCache>
                <c:formatCode>General</c:formatCode>
                <c:ptCount val="1022"/>
                <c:pt idx="0">
                  <c:v>10.8622</c:v>
                </c:pt>
                <c:pt idx="1">
                  <c:v>10.823499999999999</c:v>
                </c:pt>
                <c:pt idx="2">
                  <c:v>10.975478000000001</c:v>
                </c:pt>
                <c:pt idx="3">
                  <c:v>10.923921</c:v>
                </c:pt>
                <c:pt idx="4">
                  <c:v>10.814864</c:v>
                </c:pt>
                <c:pt idx="5">
                  <c:v>10.918628999999999</c:v>
                </c:pt>
                <c:pt idx="6">
                  <c:v>10.897333</c:v>
                </c:pt>
                <c:pt idx="7">
                  <c:v>10.985333000000001</c:v>
                </c:pt>
                <c:pt idx="8">
                  <c:v>10.881500000000001</c:v>
                </c:pt>
                <c:pt idx="9">
                  <c:v>10.874750000000001</c:v>
                </c:pt>
                <c:pt idx="10">
                  <c:v>10.918286</c:v>
                </c:pt>
                <c:pt idx="11">
                  <c:v>10.969374999999999</c:v>
                </c:pt>
                <c:pt idx="12">
                  <c:v>10.926</c:v>
                </c:pt>
                <c:pt idx="13">
                  <c:v>10.968999999999999</c:v>
                </c:pt>
                <c:pt idx="14">
                  <c:v>10.951454999999999</c:v>
                </c:pt>
                <c:pt idx="15">
                  <c:v>10.99</c:v>
                </c:pt>
                <c:pt idx="16">
                  <c:v>11.066599999999999</c:v>
                </c:pt>
                <c:pt idx="17">
                  <c:v>11.033625000000001</c:v>
                </c:pt>
                <c:pt idx="18">
                  <c:v>11.129286</c:v>
                </c:pt>
                <c:pt idx="19">
                  <c:v>11.135723</c:v>
                </c:pt>
                <c:pt idx="20">
                  <c:v>11.190300000000001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AA-4952-BE19-8CB2FF4544E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Index!$M$24:$M$61</c:f>
              <c:numCache>
                <c:formatCode>General</c:formatCode>
                <c:ptCount val="38"/>
              </c:numCache>
            </c:numRef>
          </c:xVal>
          <c:yVal>
            <c:numRef>
              <c:f>Index!$N$24:$N$61</c:f>
              <c:numCache>
                <c:formatCode>General</c:formatCode>
                <c:ptCount val="3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AA-4952-BE19-8CB2FF4544E7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Index!$I$16:$I$17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Index!$J$16:$J$17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AA-4952-BE19-8CB2FF454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0216"/>
        <c:axId val="514191392"/>
      </c:scatterChart>
      <c:valAx>
        <c:axId val="514190216"/>
        <c:scaling>
          <c:orientation val="minMax"/>
          <c:max val="2457420"/>
          <c:min val="245718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1392"/>
        <c:crosses val="max"/>
        <c:crossBetween val="midCat"/>
        <c:majorUnit val="60"/>
      </c:valAx>
      <c:valAx>
        <c:axId val="514191392"/>
        <c:scaling>
          <c:orientation val="maxMin"/>
          <c:max val="8.5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021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Vend 47</c:v>
            </c:pt>
          </c:strCache>
        </c:strRef>
      </c:tx>
      <c:layout>
        <c:manualLayout>
          <c:xMode val="edge"/>
          <c:yMode val="edge"/>
          <c:x val="0.10269280032051629"/>
          <c:y val="9.420522969388187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V!$A$1:$A$1022</c:f>
              <c:numCache>
                <c:formatCode>General</c:formatCode>
                <c:ptCount val="1022"/>
                <c:pt idx="0">
                  <c:v>2458340.5248500002</c:v>
                </c:pt>
                <c:pt idx="1">
                  <c:v>2458342.3945800001</c:v>
                </c:pt>
                <c:pt idx="2">
                  <c:v>2458342.7296500001</c:v>
                </c:pt>
                <c:pt idx="3">
                  <c:v>2458344.1444100002</c:v>
                </c:pt>
                <c:pt idx="4">
                  <c:v>2458345.5617499999</c:v>
                </c:pt>
                <c:pt idx="5">
                  <c:v>2458346.7238099999</c:v>
                </c:pt>
                <c:pt idx="6">
                  <c:v>2458347.1771</c:v>
                </c:pt>
                <c:pt idx="7">
                  <c:v>2458349.2095400002</c:v>
                </c:pt>
                <c:pt idx="8">
                  <c:v>2458350.0518800002</c:v>
                </c:pt>
                <c:pt idx="9">
                  <c:v>2458351.0505599999</c:v>
                </c:pt>
                <c:pt idx="10">
                  <c:v>2458351.9253699998</c:v>
                </c:pt>
                <c:pt idx="11">
                  <c:v>2458353.3407800002</c:v>
                </c:pt>
                <c:pt idx="12">
                  <c:v>2458355.1016600002</c:v>
                </c:pt>
                <c:pt idx="13">
                  <c:v>2458356.3453799998</c:v>
                </c:pt>
                <c:pt idx="14">
                  <c:v>2458357.6807800001</c:v>
                </c:pt>
                <c:pt idx="15">
                  <c:v>2458359.0671600001</c:v>
                </c:pt>
                <c:pt idx="16">
                  <c:v>2458359.8729599998</c:v>
                </c:pt>
                <c:pt idx="17">
                  <c:v>2458361.0391299999</c:v>
                </c:pt>
                <c:pt idx="18">
                  <c:v>2458362.5576999998</c:v>
                </c:pt>
                <c:pt idx="19">
                  <c:v>2458364.36069</c:v>
                </c:pt>
                <c:pt idx="20">
                  <c:v>2458364.6107000001</c:v>
                </c:pt>
              </c:numCache>
            </c:numRef>
          </c:xVal>
          <c:yVal>
            <c:numRef>
              <c:f>V!$C$1:$C$1022</c:f>
              <c:numCache>
                <c:formatCode>General</c:formatCode>
                <c:ptCount val="1022"/>
                <c:pt idx="0">
                  <c:v>10.8622</c:v>
                </c:pt>
                <c:pt idx="1">
                  <c:v>10.823499999999999</c:v>
                </c:pt>
                <c:pt idx="2">
                  <c:v>10.975478000000001</c:v>
                </c:pt>
                <c:pt idx="3">
                  <c:v>10.923921</c:v>
                </c:pt>
                <c:pt idx="4">
                  <c:v>10.814864</c:v>
                </c:pt>
                <c:pt idx="5">
                  <c:v>10.918628999999999</c:v>
                </c:pt>
                <c:pt idx="6">
                  <c:v>10.897333</c:v>
                </c:pt>
                <c:pt idx="7">
                  <c:v>10.985333000000001</c:v>
                </c:pt>
                <c:pt idx="8">
                  <c:v>10.881500000000001</c:v>
                </c:pt>
                <c:pt idx="9">
                  <c:v>10.874750000000001</c:v>
                </c:pt>
                <c:pt idx="10">
                  <c:v>10.918286</c:v>
                </c:pt>
                <c:pt idx="11">
                  <c:v>10.969374999999999</c:v>
                </c:pt>
                <c:pt idx="12">
                  <c:v>10.926</c:v>
                </c:pt>
                <c:pt idx="13">
                  <c:v>10.968999999999999</c:v>
                </c:pt>
                <c:pt idx="14">
                  <c:v>10.951454999999999</c:v>
                </c:pt>
                <c:pt idx="15">
                  <c:v>10.99</c:v>
                </c:pt>
                <c:pt idx="16">
                  <c:v>11.066599999999999</c:v>
                </c:pt>
                <c:pt idx="17">
                  <c:v>11.033625000000001</c:v>
                </c:pt>
                <c:pt idx="18">
                  <c:v>11.129286</c:v>
                </c:pt>
                <c:pt idx="19">
                  <c:v>11.135723</c:v>
                </c:pt>
                <c:pt idx="20">
                  <c:v>11.190300000000001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3-4F9C-B4C9-20D8F312D67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Index!$M$71:$M$76</c:f>
              <c:numCache>
                <c:formatCode>General</c:formatCode>
                <c:ptCount val="6"/>
              </c:numCache>
            </c:numRef>
          </c:xVal>
          <c:yVal>
            <c:numRef>
              <c:f>Index!$N$71:$N$76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3-4F9C-B4C9-20D8F312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2568"/>
        <c:axId val="514192960"/>
      </c:scatterChart>
      <c:valAx>
        <c:axId val="514192568"/>
        <c:scaling>
          <c:orientation val="minMax"/>
          <c:max val="2458380"/>
          <c:min val="245833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960"/>
        <c:crosses val="max"/>
        <c:crossBetween val="midCat"/>
        <c:majorUnit val="10"/>
      </c:valAx>
      <c:valAx>
        <c:axId val="514192960"/>
        <c:scaling>
          <c:orientation val="maxMin"/>
          <c:min val="10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5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Vend 47</c:v>
            </c:pt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V!$A$1:$A$1022</c:f>
              <c:numCache>
                <c:formatCode>General</c:formatCode>
                <c:ptCount val="1022"/>
                <c:pt idx="0">
                  <c:v>2458340.5248500002</c:v>
                </c:pt>
                <c:pt idx="1">
                  <c:v>2458342.3945800001</c:v>
                </c:pt>
                <c:pt idx="2">
                  <c:v>2458342.7296500001</c:v>
                </c:pt>
                <c:pt idx="3">
                  <c:v>2458344.1444100002</c:v>
                </c:pt>
                <c:pt idx="4">
                  <c:v>2458345.5617499999</c:v>
                </c:pt>
                <c:pt idx="5">
                  <c:v>2458346.7238099999</c:v>
                </c:pt>
                <c:pt idx="6">
                  <c:v>2458347.1771</c:v>
                </c:pt>
                <c:pt idx="7">
                  <c:v>2458349.2095400002</c:v>
                </c:pt>
                <c:pt idx="8">
                  <c:v>2458350.0518800002</c:v>
                </c:pt>
                <c:pt idx="9">
                  <c:v>2458351.0505599999</c:v>
                </c:pt>
                <c:pt idx="10">
                  <c:v>2458351.9253699998</c:v>
                </c:pt>
                <c:pt idx="11">
                  <c:v>2458353.3407800002</c:v>
                </c:pt>
                <c:pt idx="12">
                  <c:v>2458355.1016600002</c:v>
                </c:pt>
                <c:pt idx="13">
                  <c:v>2458356.3453799998</c:v>
                </c:pt>
                <c:pt idx="14">
                  <c:v>2458357.6807800001</c:v>
                </c:pt>
                <c:pt idx="15">
                  <c:v>2458359.0671600001</c:v>
                </c:pt>
                <c:pt idx="16">
                  <c:v>2458359.8729599998</c:v>
                </c:pt>
                <c:pt idx="17">
                  <c:v>2458361.0391299999</c:v>
                </c:pt>
                <c:pt idx="18">
                  <c:v>2458362.5576999998</c:v>
                </c:pt>
                <c:pt idx="19">
                  <c:v>2458364.36069</c:v>
                </c:pt>
                <c:pt idx="20">
                  <c:v>2458364.6107000001</c:v>
                </c:pt>
              </c:numCache>
            </c:numRef>
          </c:xVal>
          <c:yVal>
            <c:numRef>
              <c:f>V!$C$1:$C$1022</c:f>
              <c:numCache>
                <c:formatCode>General</c:formatCode>
                <c:ptCount val="1022"/>
                <c:pt idx="0">
                  <c:v>10.8622</c:v>
                </c:pt>
                <c:pt idx="1">
                  <c:v>10.823499999999999</c:v>
                </c:pt>
                <c:pt idx="2">
                  <c:v>10.975478000000001</c:v>
                </c:pt>
                <c:pt idx="3">
                  <c:v>10.923921</c:v>
                </c:pt>
                <c:pt idx="4">
                  <c:v>10.814864</c:v>
                </c:pt>
                <c:pt idx="5">
                  <c:v>10.918628999999999</c:v>
                </c:pt>
                <c:pt idx="6">
                  <c:v>10.897333</c:v>
                </c:pt>
                <c:pt idx="7">
                  <c:v>10.985333000000001</c:v>
                </c:pt>
                <c:pt idx="8">
                  <c:v>10.881500000000001</c:v>
                </c:pt>
                <c:pt idx="9">
                  <c:v>10.874750000000001</c:v>
                </c:pt>
                <c:pt idx="10">
                  <c:v>10.918286</c:v>
                </c:pt>
                <c:pt idx="11">
                  <c:v>10.969374999999999</c:v>
                </c:pt>
                <c:pt idx="12">
                  <c:v>10.926</c:v>
                </c:pt>
                <c:pt idx="13">
                  <c:v>10.968999999999999</c:v>
                </c:pt>
                <c:pt idx="14">
                  <c:v>10.951454999999999</c:v>
                </c:pt>
                <c:pt idx="15">
                  <c:v>10.99</c:v>
                </c:pt>
                <c:pt idx="16">
                  <c:v>11.066599999999999</c:v>
                </c:pt>
                <c:pt idx="17">
                  <c:v>11.033625000000001</c:v>
                </c:pt>
                <c:pt idx="18">
                  <c:v>11.129286</c:v>
                </c:pt>
                <c:pt idx="19">
                  <c:v>11.135723</c:v>
                </c:pt>
                <c:pt idx="20">
                  <c:v>11.190300000000001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D-4497-A46B-B418782901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Index!$M$24:$M$61</c:f>
              <c:numCache>
                <c:formatCode>General</c:formatCode>
                <c:ptCount val="38"/>
              </c:numCache>
            </c:numRef>
          </c:xVal>
          <c:yVal>
            <c:numRef>
              <c:f>Index!$N$24:$N$61</c:f>
              <c:numCache>
                <c:formatCode>General</c:formatCode>
                <c:ptCount val="3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2D-4497-A46B-B41878290143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Index!$I$16:$I$17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Index!$J$16:$J$17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2D-4497-A46B-B41878290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90120"/>
        <c:axId val="539588944"/>
      </c:scatterChart>
      <c:valAx>
        <c:axId val="539590120"/>
        <c:scaling>
          <c:orientation val="minMax"/>
          <c:max val="2457380"/>
          <c:min val="24571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944"/>
        <c:crosses val="max"/>
        <c:crossBetween val="midCat"/>
        <c:majorUnit val="30"/>
      </c:valAx>
      <c:valAx>
        <c:axId val="539588944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90120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Vend 47</c:v>
            </c:pt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dLbls>
            <c:dLbl>
              <c:idx val="47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FB-4D22-868E-1D5DA813970E}"/>
                </c:ext>
              </c:extLst>
            </c:dLbl>
            <c:dLbl>
              <c:idx val="164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FB-4D22-868E-1D5DA813970E}"/>
                </c:ext>
              </c:extLst>
            </c:dLbl>
            <c:dLbl>
              <c:idx val="405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FB-4D22-868E-1D5DA813970E}"/>
                </c:ext>
              </c:extLst>
            </c:dLbl>
            <c:dLbl>
              <c:idx val="484"/>
              <c:layout>
                <c:manualLayout>
                  <c:x val="-8.3229296712442787E-3"/>
                  <c:y val="-8.09146877748460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FB-4D22-868E-1D5DA813970E}"/>
                </c:ext>
              </c:extLst>
            </c:dLbl>
            <c:dLbl>
              <c:idx val="566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FB-4D22-868E-1D5DA81397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V!$A$1:$A$1022</c:f>
              <c:numCache>
                <c:formatCode>General</c:formatCode>
                <c:ptCount val="1022"/>
                <c:pt idx="0">
                  <c:v>2458340.5248500002</c:v>
                </c:pt>
                <c:pt idx="1">
                  <c:v>2458342.3945800001</c:v>
                </c:pt>
                <c:pt idx="2">
                  <c:v>2458342.7296500001</c:v>
                </c:pt>
                <c:pt idx="3">
                  <c:v>2458344.1444100002</c:v>
                </c:pt>
                <c:pt idx="4">
                  <c:v>2458345.5617499999</c:v>
                </c:pt>
                <c:pt idx="5">
                  <c:v>2458346.7238099999</c:v>
                </c:pt>
                <c:pt idx="6">
                  <c:v>2458347.1771</c:v>
                </c:pt>
                <c:pt idx="7">
                  <c:v>2458349.2095400002</c:v>
                </c:pt>
                <c:pt idx="8">
                  <c:v>2458350.0518800002</c:v>
                </c:pt>
                <c:pt idx="9">
                  <c:v>2458351.0505599999</c:v>
                </c:pt>
                <c:pt idx="10">
                  <c:v>2458351.9253699998</c:v>
                </c:pt>
                <c:pt idx="11">
                  <c:v>2458353.3407800002</c:v>
                </c:pt>
                <c:pt idx="12">
                  <c:v>2458355.1016600002</c:v>
                </c:pt>
                <c:pt idx="13">
                  <c:v>2458356.3453799998</c:v>
                </c:pt>
                <c:pt idx="14">
                  <c:v>2458357.6807800001</c:v>
                </c:pt>
                <c:pt idx="15">
                  <c:v>2458359.0671600001</c:v>
                </c:pt>
                <c:pt idx="16">
                  <c:v>2458359.8729599998</c:v>
                </c:pt>
                <c:pt idx="17">
                  <c:v>2458361.0391299999</c:v>
                </c:pt>
                <c:pt idx="18">
                  <c:v>2458362.5576999998</c:v>
                </c:pt>
                <c:pt idx="19">
                  <c:v>2458364.36069</c:v>
                </c:pt>
                <c:pt idx="20">
                  <c:v>2458364.6107000001</c:v>
                </c:pt>
              </c:numCache>
            </c:numRef>
          </c:xVal>
          <c:yVal>
            <c:numRef>
              <c:f>V!$C$1:$C$1022</c:f>
              <c:numCache>
                <c:formatCode>General</c:formatCode>
                <c:ptCount val="1022"/>
                <c:pt idx="0">
                  <c:v>10.8622</c:v>
                </c:pt>
                <c:pt idx="1">
                  <c:v>10.823499999999999</c:v>
                </c:pt>
                <c:pt idx="2">
                  <c:v>10.975478000000001</c:v>
                </c:pt>
                <c:pt idx="3">
                  <c:v>10.923921</c:v>
                </c:pt>
                <c:pt idx="4">
                  <c:v>10.814864</c:v>
                </c:pt>
                <c:pt idx="5">
                  <c:v>10.918628999999999</c:v>
                </c:pt>
                <c:pt idx="6">
                  <c:v>10.897333</c:v>
                </c:pt>
                <c:pt idx="7">
                  <c:v>10.985333000000001</c:v>
                </c:pt>
                <c:pt idx="8">
                  <c:v>10.881500000000001</c:v>
                </c:pt>
                <c:pt idx="9">
                  <c:v>10.874750000000001</c:v>
                </c:pt>
                <c:pt idx="10">
                  <c:v>10.918286</c:v>
                </c:pt>
                <c:pt idx="11">
                  <c:v>10.969374999999999</c:v>
                </c:pt>
                <c:pt idx="12">
                  <c:v>10.926</c:v>
                </c:pt>
                <c:pt idx="13">
                  <c:v>10.968999999999999</c:v>
                </c:pt>
                <c:pt idx="14">
                  <c:v>10.951454999999999</c:v>
                </c:pt>
                <c:pt idx="15">
                  <c:v>10.99</c:v>
                </c:pt>
                <c:pt idx="16">
                  <c:v>11.066599999999999</c:v>
                </c:pt>
                <c:pt idx="17">
                  <c:v>11.033625000000001</c:v>
                </c:pt>
                <c:pt idx="18">
                  <c:v>11.129286</c:v>
                </c:pt>
                <c:pt idx="19">
                  <c:v>11.135723</c:v>
                </c:pt>
                <c:pt idx="20">
                  <c:v>11.190300000000001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B-4D22-868E-1D5DA813970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Index!$M$24:$M$61</c:f>
              <c:numCache>
                <c:formatCode>General</c:formatCode>
                <c:ptCount val="38"/>
              </c:numCache>
            </c:numRef>
          </c:xVal>
          <c:yVal>
            <c:numRef>
              <c:f>Index!$N$24:$N$61</c:f>
              <c:numCache>
                <c:formatCode>General</c:formatCode>
                <c:ptCount val="3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B-4D22-868E-1D5DA813970E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Index!$I$16:$I$17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Index!$J$16:$J$17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B-4D22-868E-1D5DA8139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87768"/>
        <c:axId val="539588552"/>
      </c:scatterChart>
      <c:valAx>
        <c:axId val="539587768"/>
        <c:scaling>
          <c:orientation val="minMax"/>
          <c:max val="2457380"/>
          <c:min val="24571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552"/>
        <c:crosses val="max"/>
        <c:crossBetween val="midCat"/>
        <c:majorUnit val="30"/>
      </c:valAx>
      <c:valAx>
        <c:axId val="539588552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77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542925</xdr:colOff>
      <xdr:row>3</xdr:row>
      <xdr:rowOff>123825</xdr:rowOff>
    </xdr:from>
    <xdr:to>
      <xdr:col>15</xdr:col>
      <xdr:colOff>447675</xdr:colOff>
      <xdr:row>14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5</xdr:row>
      <xdr:rowOff>0</xdr:rowOff>
    </xdr:from>
    <xdr:to>
      <xdr:col>7</xdr:col>
      <xdr:colOff>256724</xdr:colOff>
      <xdr:row>14</xdr:row>
      <xdr:rowOff>66675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11</xdr:col>
      <xdr:colOff>9525</xdr:colOff>
      <xdr:row>20</xdr:row>
      <xdr:rowOff>180975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85725</xdr:colOff>
      <xdr:row>14</xdr:row>
      <xdr:rowOff>161925</xdr:rowOff>
    </xdr:from>
    <xdr:to>
      <xdr:col>4</xdr:col>
      <xdr:colOff>95250</xdr:colOff>
      <xdr:row>15</xdr:row>
      <xdr:rowOff>66675</xdr:rowOff>
    </xdr:to>
    <xdr:cxnSp macro="">
      <xdr:nvCxnSpPr>
        <xdr:cNvPr id="4" name="Connecteur droi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2371725" y="2828925"/>
          <a:ext cx="771525" cy="95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</xdr:row>
      <xdr:rowOff>180975</xdr:rowOff>
    </xdr:from>
    <xdr:to>
      <xdr:col>4</xdr:col>
      <xdr:colOff>647700</xdr:colOff>
      <xdr:row>14</xdr:row>
      <xdr:rowOff>161925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3133725" y="1133475"/>
          <a:ext cx="561975" cy="1695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647700</xdr:colOff>
      <xdr:row>5</xdr:row>
      <xdr:rowOff>180975</xdr:rowOff>
    </xdr:from>
    <xdr:to>
      <xdr:col>7</xdr:col>
      <xdr:colOff>723900</xdr:colOff>
      <xdr:row>12</xdr:row>
      <xdr:rowOff>85725</xdr:rowOff>
    </xdr:to>
    <xdr:sp macro="" textlink="">
      <xdr:nvSpPr>
        <xdr:cNvPr id="8" name="Forme lib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5700" y="1133475"/>
          <a:ext cx="2362200" cy="1238250"/>
        </a:xfrm>
        <a:custGeom>
          <a:avLst/>
          <a:gdLst>
            <a:gd name="connsiteX0" fmla="*/ 0 w 2362200"/>
            <a:gd name="connsiteY0" fmla="*/ 0 h 1238250"/>
            <a:gd name="connsiteX1" fmla="*/ 714375 w 2362200"/>
            <a:gd name="connsiteY1" fmla="*/ 619125 h 1238250"/>
            <a:gd name="connsiteX2" fmla="*/ 1304925 w 2362200"/>
            <a:gd name="connsiteY2" fmla="*/ 962025 h 1238250"/>
            <a:gd name="connsiteX3" fmla="*/ 2362200 w 2362200"/>
            <a:gd name="connsiteY3" fmla="*/ 1238250 h 1238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362200" h="1238250">
              <a:moveTo>
                <a:pt x="0" y="0"/>
              </a:moveTo>
              <a:cubicBezTo>
                <a:pt x="248444" y="229394"/>
                <a:pt x="496888" y="458788"/>
                <a:pt x="714375" y="619125"/>
              </a:cubicBezTo>
              <a:cubicBezTo>
                <a:pt x="931862" y="779462"/>
                <a:pt x="1030288" y="858838"/>
                <a:pt x="1304925" y="962025"/>
              </a:cubicBezTo>
              <a:cubicBezTo>
                <a:pt x="1579562" y="1065212"/>
                <a:pt x="1970881" y="1151731"/>
                <a:pt x="2362200" y="123825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11</xdr:col>
      <xdr:colOff>9525</xdr:colOff>
      <xdr:row>40</xdr:row>
      <xdr:rowOff>180975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0.69413</cdr:x>
      <cdr:y>0.36412</cdr:y>
    </cdr:from>
    <cdr:to>
      <cdr:x>0.71411</cdr:x>
      <cdr:y>0.55409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CD5D3362-2D7F-40DD-877F-4475CB23F235}"/>
            </a:ext>
          </a:extLst>
        </cdr:cNvPr>
        <cdr:cNvCxnSpPr/>
      </cdr:nvCxnSpPr>
      <cdr:spPr>
        <a:xfrm xmlns:a="http://schemas.openxmlformats.org/drawingml/2006/main" flipV="1">
          <a:off x="5295900" y="1314450"/>
          <a:ext cx="152400" cy="685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0.7166</cdr:x>
      <cdr:y>0.3562</cdr:y>
    </cdr:from>
    <cdr:to>
      <cdr:x>0.83521</cdr:x>
      <cdr:y>0.40106</cdr:y>
    </cdr:to>
    <cdr:cxnSp macro="">
      <cdr:nvCxnSpPr>
        <cdr:cNvPr id="5" name="Connecteur droit 4">
          <a:extLst xmlns:a="http://schemas.openxmlformats.org/drawingml/2006/main">
            <a:ext uri="{FF2B5EF4-FFF2-40B4-BE49-F238E27FC236}">
              <a16:creationId xmlns:a16="http://schemas.microsoft.com/office/drawing/2014/main" id="{477BD66A-2593-45E7-ADD2-6FE40F92FB53}"/>
            </a:ext>
          </a:extLst>
        </cdr:cNvPr>
        <cdr:cNvCxnSpPr/>
      </cdr:nvCxnSpPr>
      <cdr:spPr>
        <a:xfrm xmlns:a="http://schemas.openxmlformats.org/drawingml/2006/main">
          <a:off x="5467350" y="1285875"/>
          <a:ext cx="904875" cy="16192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0.83521</cdr:x>
      <cdr:y>0.39314</cdr:y>
    </cdr:from>
    <cdr:to>
      <cdr:x>0.93009</cdr:x>
      <cdr:y>0.53562</cdr:y>
    </cdr:to>
    <cdr:sp macro="" textlink="">
      <cdr:nvSpPr>
        <cdr:cNvPr id="7" name="Forme libre 6">
          <a:extLst xmlns:a="http://schemas.openxmlformats.org/drawingml/2006/main">
            <a:ext uri="{FF2B5EF4-FFF2-40B4-BE49-F238E27FC236}">
              <a16:creationId xmlns:a16="http://schemas.microsoft.com/office/drawing/2014/main" id="{3E56497F-AF46-482C-A0AB-9B662B9EF196}"/>
            </a:ext>
          </a:extLst>
        </cdr:cNvPr>
        <cdr:cNvSpPr/>
      </cdr:nvSpPr>
      <cdr:spPr>
        <a:xfrm xmlns:a="http://schemas.openxmlformats.org/drawingml/2006/main">
          <a:off x="6372225" y="1419225"/>
          <a:ext cx="723900" cy="514350"/>
        </a:xfrm>
        <a:custGeom xmlns:a="http://schemas.openxmlformats.org/drawingml/2006/main">
          <a:avLst/>
          <a:gdLst>
            <a:gd name="connsiteX0" fmla="*/ 0 w 723900"/>
            <a:gd name="connsiteY0" fmla="*/ 0 h 514350"/>
            <a:gd name="connsiteX1" fmla="*/ 466725 w 723900"/>
            <a:gd name="connsiteY1" fmla="*/ 390525 h 514350"/>
            <a:gd name="connsiteX2" fmla="*/ 723900 w 723900"/>
            <a:gd name="connsiteY2" fmla="*/ 514350 h 514350"/>
            <a:gd name="connsiteX3" fmla="*/ 723900 w 723900"/>
            <a:gd name="connsiteY3" fmla="*/ 514350 h 514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23900" h="514350">
              <a:moveTo>
                <a:pt x="0" y="0"/>
              </a:moveTo>
              <a:cubicBezTo>
                <a:pt x="173037" y="152400"/>
                <a:pt x="346075" y="304800"/>
                <a:pt x="466725" y="390525"/>
              </a:cubicBezTo>
              <a:cubicBezTo>
                <a:pt x="587375" y="476250"/>
                <a:pt x="723900" y="514350"/>
                <a:pt x="723900" y="514350"/>
              </a:cubicBezTo>
              <a:lnTo>
                <a:pt x="723900" y="51435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ySt_Orb"/>
      <sheetName val="Refs"/>
      <sheetName val="Phase"/>
      <sheetName val="Ext"/>
      <sheetName val="d"/>
      <sheetName val="CS"/>
      <sheetName val="Ref"/>
      <sheetName val="Feuil1"/>
      <sheetName val="Feuil3"/>
      <sheetName val="Hot"/>
    </sheetNames>
    <sheetDataSet>
      <sheetData sheetId="0"/>
      <sheetData sheetId="1">
        <row r="29">
          <cell r="Q29">
            <v>2457275</v>
          </cell>
        </row>
        <row r="30">
          <cell r="Q30">
            <v>42256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ListCall"/>
      <sheetName val="Export"/>
      <sheetName val="Call"/>
      <sheetName val="NewSpectra"/>
      <sheetName val="Data"/>
      <sheetName val="f1"/>
      <sheetName val="MAJ"/>
      <sheetName val="Alias"/>
      <sheetName val="Sites"/>
      <sheetName val="AliasNom"/>
      <sheetName val="AliasSite"/>
      <sheetName val="AliasInstrum"/>
      <sheetName val="Suspected"/>
      <sheetName val="SuspectedLog"/>
      <sheetName val="AGDra"/>
      <sheetName val="AGPeg"/>
      <sheetName val="AS210"/>
      <sheetName val="AS245"/>
      <sheetName val="AS270"/>
      <sheetName val="AS289"/>
      <sheetName val="AS323"/>
      <sheetName val="AXPer"/>
      <sheetName val="BDCam"/>
      <sheetName val="EFAql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69"/>
      <sheetName val="StHa180"/>
      <sheetName val="StHa190"/>
      <sheetName val="SULyn"/>
      <sheetName val="TCrB"/>
      <sheetName val="TCPJ19544251+1722281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Index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3">
          <cell r="C13">
            <v>40820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>
        <row r="13">
          <cell r="B13">
            <v>1</v>
          </cell>
          <cell r="C13">
            <v>43321</v>
          </cell>
          <cell r="D13">
            <v>0.83951388888888889</v>
          </cell>
          <cell r="E13">
            <v>2458340.3563000001</v>
          </cell>
          <cell r="F13" t="str">
            <v>BER</v>
          </cell>
          <cell r="G13" t="str">
            <v>BVO-IT</v>
          </cell>
          <cell r="H13" t="str">
            <v>SC9+LHIREIII_600+SXVR-H694</v>
          </cell>
          <cell r="I13">
            <v>611</v>
          </cell>
          <cell r="J13"/>
          <cell r="K13"/>
          <cell r="M13"/>
        </row>
        <row r="14">
          <cell r="B14">
            <v>2</v>
          </cell>
          <cell r="C14">
            <v>43322</v>
          </cell>
          <cell r="D14">
            <v>0.84519675925925919</v>
          </cell>
          <cell r="E14">
            <v>2458341.4078000002</v>
          </cell>
          <cell r="F14" t="str">
            <v>OGA</v>
          </cell>
          <cell r="G14" t="str">
            <v>OTO-FR</v>
          </cell>
          <cell r="H14" t="str">
            <v>RC400+eShel+ATIK460EX</v>
          </cell>
          <cell r="I14">
            <v>11000</v>
          </cell>
          <cell r="J14"/>
          <cell r="K14"/>
          <cell r="M14"/>
        </row>
        <row r="15">
          <cell r="B15">
            <v>3</v>
          </cell>
          <cell r="C15">
            <v>43322</v>
          </cell>
          <cell r="D15">
            <v>0.87663194444444448</v>
          </cell>
          <cell r="E15">
            <v>2458341.4161</v>
          </cell>
          <cell r="F15" t="str">
            <v>BER</v>
          </cell>
          <cell r="G15" t="str">
            <v>BVO-IT</v>
          </cell>
          <cell r="H15" t="str">
            <v>Lhires3C9SXVR-H69</v>
          </cell>
          <cell r="I15">
            <v>17124</v>
          </cell>
          <cell r="J15"/>
          <cell r="K15"/>
          <cell r="M15"/>
        </row>
        <row r="16">
          <cell r="B16">
            <v>4</v>
          </cell>
          <cell r="C16">
            <v>43322</v>
          </cell>
          <cell r="D16">
            <v>0.87765046296296301</v>
          </cell>
          <cell r="E16">
            <v>2458341.3988000001</v>
          </cell>
          <cell r="F16" t="str">
            <v>SOL</v>
          </cell>
          <cell r="G16" t="str">
            <v>AQL-IT</v>
          </cell>
          <cell r="H16" t="str">
            <v>SC8+Alpy600+SBIGST8300</v>
          </cell>
          <cell r="I16">
            <v>1615</v>
          </cell>
          <cell r="J16"/>
          <cell r="K16"/>
          <cell r="M16"/>
        </row>
        <row r="17">
          <cell r="B17">
            <v>5</v>
          </cell>
          <cell r="C17">
            <v>43322</v>
          </cell>
          <cell r="D17">
            <v>0.93225694444444451</v>
          </cell>
          <cell r="E17">
            <v>2458341.4679</v>
          </cell>
          <cell r="F17" t="str">
            <v>BUI</v>
          </cell>
          <cell r="G17" t="str">
            <v>CAS-FR</v>
          </cell>
          <cell r="H17" t="str">
            <v>RC10UVEX2ASI183</v>
          </cell>
          <cell r="I17">
            <v>1136</v>
          </cell>
          <cell r="J17"/>
          <cell r="K17"/>
          <cell r="M17"/>
        </row>
        <row r="18">
          <cell r="B18">
            <v>6</v>
          </cell>
          <cell r="C18">
            <v>43322</v>
          </cell>
          <cell r="D18">
            <v>0.97440972222222222</v>
          </cell>
          <cell r="E18">
            <v>2458341.5098999999</v>
          </cell>
          <cell r="F18" t="str">
            <v>BAGU</v>
          </cell>
          <cell r="G18" t="str">
            <v>CAL-FR</v>
          </cell>
          <cell r="H18" t="str">
            <v>SC14+Lisa+ATIK314L</v>
          </cell>
          <cell r="I18">
            <v>860</v>
          </cell>
          <cell r="J18"/>
          <cell r="K18"/>
          <cell r="M18"/>
        </row>
        <row r="19">
          <cell r="B19">
            <v>7</v>
          </cell>
          <cell r="C19">
            <v>43323</v>
          </cell>
          <cell r="D19">
            <v>0.8263194444444445</v>
          </cell>
          <cell r="E19">
            <v>2458342.3958999999</v>
          </cell>
          <cell r="F19" t="str">
            <v>OGA</v>
          </cell>
          <cell r="G19" t="str">
            <v>OTO-FR</v>
          </cell>
          <cell r="H19" t="str">
            <v>RC400+eShel+ATIK460EX</v>
          </cell>
          <cell r="I19">
            <v>11000</v>
          </cell>
          <cell r="J19"/>
          <cell r="K19"/>
          <cell r="M19"/>
        </row>
        <row r="20">
          <cell r="B20">
            <v>8</v>
          </cell>
          <cell r="C20">
            <v>43323</v>
          </cell>
          <cell r="D20">
            <v>0.8531481481481481</v>
          </cell>
          <cell r="E20">
            <v>2458342.3982000002</v>
          </cell>
          <cell r="F20" t="str">
            <v>BER</v>
          </cell>
          <cell r="G20" t="str">
            <v>BVO-IT</v>
          </cell>
          <cell r="H20" t="str">
            <v>SC9+LHIREIII_600+SXVR-H694</v>
          </cell>
          <cell r="I20">
            <v>1851</v>
          </cell>
          <cell r="J20"/>
          <cell r="K20"/>
          <cell r="M20"/>
        </row>
        <row r="21">
          <cell r="B21">
            <v>9</v>
          </cell>
          <cell r="C21">
            <v>43323</v>
          </cell>
          <cell r="D21">
            <v>0.8968287037037036</v>
          </cell>
          <cell r="E21">
            <v>2458342.3895</v>
          </cell>
          <cell r="F21" t="str">
            <v>PSO</v>
          </cell>
          <cell r="G21" t="str">
            <v>TAT-HU</v>
          </cell>
          <cell r="H21" t="str">
            <v>T300+LhiresIII_2400_35+ATIK428esm</v>
          </cell>
          <cell r="I21">
            <v>13021</v>
          </cell>
          <cell r="J21"/>
          <cell r="K21"/>
          <cell r="M21"/>
        </row>
        <row r="22">
          <cell r="B22">
            <v>10</v>
          </cell>
          <cell r="C22">
            <v>43323</v>
          </cell>
          <cell r="D22">
            <v>0.91464120370370372</v>
          </cell>
          <cell r="E22">
            <v>2458342.4374000002</v>
          </cell>
          <cell r="F22" t="str">
            <v>CBO</v>
          </cell>
          <cell r="G22" t="str">
            <v>OCT-FR</v>
          </cell>
          <cell r="H22" t="str">
            <v>N200+Alpy600</v>
          </cell>
          <cell r="I22">
            <v>502</v>
          </cell>
          <cell r="J22"/>
          <cell r="K22"/>
          <cell r="M22"/>
        </row>
        <row r="23">
          <cell r="B23">
            <v>11</v>
          </cell>
          <cell r="C23">
            <v>43323</v>
          </cell>
          <cell r="D23">
            <v>0.94550925925925933</v>
          </cell>
          <cell r="E23">
            <v>2458342.4454999999</v>
          </cell>
          <cell r="F23" t="str">
            <v>PSO</v>
          </cell>
          <cell r="G23" t="str">
            <v>TAT-HU</v>
          </cell>
          <cell r="H23" t="str">
            <v>T300+LhiresIII_2400_35+ATIK428esm</v>
          </cell>
          <cell r="I23">
            <v>8420</v>
          </cell>
          <cell r="J23"/>
          <cell r="K23"/>
          <cell r="M23"/>
        </row>
        <row r="24">
          <cell r="B24">
            <v>12</v>
          </cell>
          <cell r="C24">
            <v>43323</v>
          </cell>
          <cell r="D24">
            <v>0.97215277777777775</v>
          </cell>
          <cell r="E24">
            <v>2458342.5040000002</v>
          </cell>
          <cell r="F24" t="str">
            <v>BUI</v>
          </cell>
          <cell r="G24" t="str">
            <v>CAS-FR</v>
          </cell>
          <cell r="H24" t="str">
            <v>RC10+UVEX2+ASI600</v>
          </cell>
          <cell r="I24">
            <v>1289</v>
          </cell>
          <cell r="J24"/>
          <cell r="K24"/>
          <cell r="M24"/>
        </row>
        <row r="25">
          <cell r="B25">
            <v>13</v>
          </cell>
          <cell r="C25">
            <v>43323</v>
          </cell>
          <cell r="D25">
            <v>0.98903935185185177</v>
          </cell>
          <cell r="E25">
            <v>2458342.4890000001</v>
          </cell>
          <cell r="F25" t="str">
            <v>PSO</v>
          </cell>
          <cell r="G25" t="str">
            <v>TAT-HU</v>
          </cell>
          <cell r="H25" t="str">
            <v>T300+LhiresIII_2400_35+ATIK428esm</v>
          </cell>
          <cell r="I25">
            <v>9398</v>
          </cell>
          <cell r="J25"/>
          <cell r="K25"/>
          <cell r="M25"/>
        </row>
        <row r="26">
          <cell r="B26">
            <v>14</v>
          </cell>
          <cell r="C26">
            <v>43324</v>
          </cell>
          <cell r="D26">
            <v>5.2916666666666667E-2</v>
          </cell>
          <cell r="E26">
            <v>2458342.5386000001</v>
          </cell>
          <cell r="F26" t="str">
            <v>PSO</v>
          </cell>
          <cell r="G26" t="str">
            <v>TAT-HU</v>
          </cell>
          <cell r="H26" t="str">
            <v>T300+LhiresIII_2400_35+ATIK428esm</v>
          </cell>
          <cell r="I26">
            <v>9420</v>
          </cell>
          <cell r="J26"/>
          <cell r="K26"/>
          <cell r="M26"/>
        </row>
        <row r="27">
          <cell r="B27">
            <v>15</v>
          </cell>
          <cell r="C27">
            <v>43324</v>
          </cell>
          <cell r="D27">
            <v>0.11719907407407408</v>
          </cell>
          <cell r="E27">
            <v>2458342.6381000001</v>
          </cell>
          <cell r="F27" t="str">
            <v>GKA</v>
          </cell>
          <cell r="G27" t="str">
            <v>MAN-US</v>
          </cell>
          <cell r="H27" t="str">
            <v>SC10"+Alpy600+ATIK314L</v>
          </cell>
          <cell r="I27">
            <v>572</v>
          </cell>
          <cell r="J27"/>
          <cell r="K27"/>
          <cell r="M27"/>
        </row>
        <row r="28">
          <cell r="B28">
            <v>16</v>
          </cell>
          <cell r="C28">
            <v>43324</v>
          </cell>
          <cell r="D28">
            <v>0.85241898148148154</v>
          </cell>
          <cell r="E28">
            <v>2458342.5386000001</v>
          </cell>
          <cell r="F28" t="str">
            <v>PSO</v>
          </cell>
          <cell r="G28" t="str">
            <v>TAT-HU</v>
          </cell>
          <cell r="H28" t="str">
            <v>T300+LhiresIII_2400_35+ATIK428esm</v>
          </cell>
          <cell r="I28">
            <v>8352</v>
          </cell>
          <cell r="J28"/>
          <cell r="K28"/>
          <cell r="M28"/>
        </row>
        <row r="29">
          <cell r="B29">
            <v>17</v>
          </cell>
          <cell r="C29">
            <v>43324</v>
          </cell>
          <cell r="D29">
            <v>0.85241898148148154</v>
          </cell>
          <cell r="E29">
            <v>2458343.3160999999</v>
          </cell>
          <cell r="F29" t="str">
            <v>PSO</v>
          </cell>
          <cell r="G29" t="str">
            <v>TAT-HU</v>
          </cell>
          <cell r="H29" t="str">
            <v>T300+LhiresIII_2400_35+ATIK428esm</v>
          </cell>
          <cell r="I29">
            <v>8352</v>
          </cell>
          <cell r="J29"/>
          <cell r="K29"/>
          <cell r="M29"/>
        </row>
        <row r="30">
          <cell r="B30">
            <v>18</v>
          </cell>
          <cell r="C30">
            <v>43324</v>
          </cell>
          <cell r="D30">
            <v>0.8627893518518519</v>
          </cell>
          <cell r="E30">
            <v>2458343.3909999998</v>
          </cell>
          <cell r="F30" t="str">
            <v>DPV</v>
          </cell>
          <cell r="G30" t="str">
            <v>KOL-SK</v>
          </cell>
          <cell r="H30" t="str">
            <v>C11+LISA+ATIK460EX</v>
          </cell>
          <cell r="I30">
            <v>568</v>
          </cell>
          <cell r="J30"/>
          <cell r="K30"/>
          <cell r="M30"/>
        </row>
        <row r="31">
          <cell r="B31">
            <v>19</v>
          </cell>
          <cell r="C31">
            <v>43325</v>
          </cell>
          <cell r="D31">
            <v>0.81929398148148147</v>
          </cell>
          <cell r="E31">
            <v>2458344.3700999999</v>
          </cell>
          <cell r="F31" t="str">
            <v>BER</v>
          </cell>
          <cell r="G31" t="str">
            <v>BVO-IT</v>
          </cell>
          <cell r="H31" t="str">
            <v>SC9+LHIREIII_600+SXVR-H694</v>
          </cell>
          <cell r="I31">
            <v>2084</v>
          </cell>
          <cell r="J31"/>
          <cell r="K31"/>
          <cell r="M31"/>
        </row>
        <row r="32">
          <cell r="B32">
            <v>20</v>
          </cell>
          <cell r="C32">
            <v>43325</v>
          </cell>
          <cell r="D32">
            <v>0.91085648148148157</v>
          </cell>
          <cell r="E32">
            <v>2458344.4336000001</v>
          </cell>
          <cell r="F32" t="str">
            <v>CBO</v>
          </cell>
          <cell r="G32" t="str">
            <v>OCT-FR</v>
          </cell>
          <cell r="H32" t="str">
            <v>N200+Alpy600</v>
          </cell>
          <cell r="I32">
            <v>504</v>
          </cell>
          <cell r="J32"/>
          <cell r="K32"/>
          <cell r="M32"/>
        </row>
        <row r="33">
          <cell r="B33">
            <v>21</v>
          </cell>
          <cell r="C33">
            <v>43325</v>
          </cell>
          <cell r="D33">
            <v>0.92355324074074074</v>
          </cell>
          <cell r="E33">
            <v>2458344.4588000001</v>
          </cell>
          <cell r="F33" t="str">
            <v>DPV</v>
          </cell>
          <cell r="G33" t="str">
            <v>KOL-SK</v>
          </cell>
          <cell r="H33" t="str">
            <v>C11+LISA+ATIK460EX</v>
          </cell>
          <cell r="I33">
            <v>599</v>
          </cell>
          <cell r="J33"/>
          <cell r="K33"/>
          <cell r="M33"/>
        </row>
        <row r="34">
          <cell r="B34">
            <v>22</v>
          </cell>
          <cell r="C34">
            <v>43327</v>
          </cell>
          <cell r="D34">
            <v>0.85246527777777781</v>
          </cell>
          <cell r="E34">
            <v>2458346.4221000001</v>
          </cell>
          <cell r="F34" t="str">
            <v>OGA</v>
          </cell>
          <cell r="G34" t="str">
            <v>OTO-FR</v>
          </cell>
          <cell r="H34" t="str">
            <v>RC400+eShel+ATIK460EX</v>
          </cell>
          <cell r="I34">
            <v>11000</v>
          </cell>
          <cell r="J34"/>
          <cell r="K34"/>
          <cell r="M34"/>
        </row>
        <row r="35">
          <cell r="B35">
            <v>23</v>
          </cell>
          <cell r="C35">
            <v>43327</v>
          </cell>
          <cell r="D35">
            <v>0.8881134259259259</v>
          </cell>
          <cell r="E35">
            <v>2458346.4142999998</v>
          </cell>
          <cell r="F35" t="str">
            <v>CBO</v>
          </cell>
          <cell r="G35" t="str">
            <v>OCT-FR</v>
          </cell>
          <cell r="H35" t="str">
            <v>N200+Alpy600</v>
          </cell>
          <cell r="I35">
            <v>505</v>
          </cell>
          <cell r="J35"/>
          <cell r="K35"/>
          <cell r="M35"/>
        </row>
        <row r="36">
          <cell r="B36">
            <v>24</v>
          </cell>
          <cell r="C36">
            <v>43328</v>
          </cell>
          <cell r="D36">
            <v>0.87464120370370368</v>
          </cell>
          <cell r="E36">
            <v>2458347.3977000001</v>
          </cell>
          <cell r="F36" t="str">
            <v>DBO</v>
          </cell>
          <cell r="G36" t="str">
            <v>WCO-UK</v>
          </cell>
          <cell r="H36" t="str">
            <v>C11+Lisa+SXVR-H694</v>
          </cell>
          <cell r="I36">
            <v>1070</v>
          </cell>
          <cell r="J36"/>
          <cell r="K36"/>
          <cell r="M36"/>
        </row>
        <row r="37">
          <cell r="B37">
            <v>25</v>
          </cell>
          <cell r="C37">
            <v>43328</v>
          </cell>
          <cell r="D37">
            <v>0.88148148148148142</v>
          </cell>
          <cell r="E37">
            <v>2458347.4095999999</v>
          </cell>
          <cell r="F37" t="str">
            <v>DPV</v>
          </cell>
          <cell r="G37" t="str">
            <v>KOL-SK</v>
          </cell>
          <cell r="H37" t="str">
            <v>C11+LISA+ATIK460EX</v>
          </cell>
          <cell r="I37">
            <v>573</v>
          </cell>
          <cell r="J37"/>
          <cell r="K37"/>
          <cell r="M37"/>
        </row>
        <row r="38">
          <cell r="B38">
            <v>26</v>
          </cell>
          <cell r="C38">
            <v>43329</v>
          </cell>
          <cell r="D38">
            <v>6.957175925925925E-2</v>
          </cell>
          <cell r="E38">
            <v>2458347.6264</v>
          </cell>
          <cell r="F38" t="str">
            <v>LES</v>
          </cell>
          <cell r="G38" t="str">
            <v>MRO-CA</v>
          </cell>
          <cell r="H38" t="str">
            <v>DK310+Echelle_ESSAT</v>
          </cell>
          <cell r="I38">
            <v>12000</v>
          </cell>
          <cell r="J38"/>
          <cell r="K38"/>
          <cell r="M38"/>
        </row>
        <row r="39">
          <cell r="B39">
            <v>27</v>
          </cell>
          <cell r="C39">
            <v>43329</v>
          </cell>
          <cell r="D39">
            <v>0.85590277777777779</v>
          </cell>
          <cell r="E39">
            <v>2458348.3627999998</v>
          </cell>
          <cell r="F39" t="str">
            <v>PSO</v>
          </cell>
          <cell r="G39" t="str">
            <v>TAT-HU</v>
          </cell>
          <cell r="H39" t="str">
            <v>T300+LhiresIII_2400_35+ATIK428esm</v>
          </cell>
          <cell r="I39">
            <v>8623</v>
          </cell>
          <cell r="J39"/>
          <cell r="K39"/>
          <cell r="M39"/>
        </row>
        <row r="40">
          <cell r="B40">
            <v>28</v>
          </cell>
          <cell r="C40">
            <v>43329</v>
          </cell>
          <cell r="D40">
            <v>0.90244212962962955</v>
          </cell>
          <cell r="E40">
            <v>2458348.4271</v>
          </cell>
          <cell r="F40" t="str">
            <v>DPV</v>
          </cell>
          <cell r="G40" t="str">
            <v>KOL-SK</v>
          </cell>
          <cell r="H40" t="str">
            <v>C11+LISA+ATIK460EX</v>
          </cell>
          <cell r="I40">
            <v>595</v>
          </cell>
          <cell r="J40"/>
          <cell r="K40"/>
          <cell r="M40"/>
        </row>
        <row r="41">
          <cell r="B41">
            <v>29</v>
          </cell>
          <cell r="C41">
            <v>43330</v>
          </cell>
          <cell r="D41">
            <v>0.8442708333333333</v>
          </cell>
          <cell r="E41">
            <v>2458349.3297999999</v>
          </cell>
          <cell r="F41" t="str">
            <v>PSO</v>
          </cell>
          <cell r="G41" t="str">
            <v>TAT-HU</v>
          </cell>
          <cell r="H41" t="str">
            <v>T300+LhiresIII_2400_35+ATIK428esm</v>
          </cell>
          <cell r="I41">
            <v>8125</v>
          </cell>
          <cell r="J41"/>
          <cell r="K41"/>
          <cell r="M41"/>
        </row>
        <row r="42">
          <cell r="B42">
            <v>30</v>
          </cell>
          <cell r="C42">
            <v>43330</v>
          </cell>
          <cell r="D42">
            <v>0.87306712962962962</v>
          </cell>
          <cell r="E42">
            <v>2458349.4082999998</v>
          </cell>
          <cell r="F42" t="str">
            <v>DPV</v>
          </cell>
          <cell r="G42" t="str">
            <v>KOL-SK</v>
          </cell>
          <cell r="H42" t="str">
            <v>C11+LISA+ATIK460EX</v>
          </cell>
          <cell r="I42">
            <v>607</v>
          </cell>
          <cell r="J42"/>
          <cell r="K42"/>
          <cell r="M42"/>
        </row>
        <row r="43">
          <cell r="B43">
            <v>31</v>
          </cell>
          <cell r="C43">
            <v>43330</v>
          </cell>
          <cell r="D43">
            <v>0.89577546296296295</v>
          </cell>
          <cell r="E43">
            <v>2458349.4237000002</v>
          </cell>
          <cell r="F43" t="str">
            <v>CBO</v>
          </cell>
          <cell r="G43" t="str">
            <v>OCT-FR</v>
          </cell>
          <cell r="H43" t="str">
            <v>N200+Alpy600</v>
          </cell>
          <cell r="I43">
            <v>509</v>
          </cell>
          <cell r="J43"/>
          <cell r="K43"/>
          <cell r="M43"/>
        </row>
        <row r="44">
          <cell r="B44">
            <v>32</v>
          </cell>
          <cell r="C44">
            <v>43330</v>
          </cell>
          <cell r="D44">
            <v>0.91949074074074078</v>
          </cell>
          <cell r="E44">
            <v>2458349.4051000001</v>
          </cell>
          <cell r="F44" t="str">
            <v>PSO</v>
          </cell>
          <cell r="G44" t="str">
            <v>TAT-HU</v>
          </cell>
          <cell r="H44" t="str">
            <v>T300+LhiresIII_2400_35+ATIK428esm</v>
          </cell>
          <cell r="I44">
            <v>9376</v>
          </cell>
          <cell r="J44"/>
          <cell r="K44"/>
          <cell r="M44"/>
        </row>
        <row r="45">
          <cell r="B45">
            <v>33</v>
          </cell>
          <cell r="C45">
            <v>43331</v>
          </cell>
          <cell r="D45">
            <v>0.89282407407407405</v>
          </cell>
          <cell r="E45">
            <v>2458350.3783999998</v>
          </cell>
          <cell r="F45" t="str">
            <v>PSO</v>
          </cell>
          <cell r="G45" t="str">
            <v>TAT-HU</v>
          </cell>
          <cell r="H45" t="str">
            <v>T300+LhiresIII_2400_35+ATIK428esm</v>
          </cell>
          <cell r="I45">
            <v>8390</v>
          </cell>
          <cell r="J45"/>
          <cell r="K45"/>
          <cell r="M45"/>
        </row>
        <row r="46">
          <cell r="B46">
            <v>34</v>
          </cell>
          <cell r="C46">
            <v>43331</v>
          </cell>
          <cell r="D46">
            <v>0.9412962962962963</v>
          </cell>
          <cell r="E46">
            <v>2458350.4764999999</v>
          </cell>
          <cell r="F46" t="str">
            <v>DPV</v>
          </cell>
          <cell r="G46" t="str">
            <v>KOL-SK</v>
          </cell>
          <cell r="H46" t="str">
            <v>C11+LISA+ATIK460EX</v>
          </cell>
          <cell r="I46">
            <v>564</v>
          </cell>
          <cell r="J46"/>
          <cell r="K46"/>
          <cell r="M46"/>
        </row>
        <row r="47">
          <cell r="B47">
            <v>35</v>
          </cell>
          <cell r="C47">
            <v>43332</v>
          </cell>
          <cell r="D47">
            <v>6.0138888888888888E-2</v>
          </cell>
          <cell r="E47">
            <v>2458350.6241000001</v>
          </cell>
          <cell r="F47" t="str">
            <v>LES</v>
          </cell>
          <cell r="G47" t="str">
            <v>MRO-CA</v>
          </cell>
          <cell r="H47" t="str">
            <v>DK310+Echelle_ESSAT</v>
          </cell>
          <cell r="I47">
            <v>12000</v>
          </cell>
          <cell r="J47"/>
          <cell r="K47"/>
          <cell r="M47"/>
        </row>
        <row r="48">
          <cell r="B48">
            <v>36</v>
          </cell>
          <cell r="C48">
            <v>43332</v>
          </cell>
          <cell r="D48">
            <v>0.10902777777777778</v>
          </cell>
          <cell r="E48">
            <v>2458350.63</v>
          </cell>
          <cell r="F48" t="str">
            <v>GKA</v>
          </cell>
          <cell r="G48" t="str">
            <v>MAN-US</v>
          </cell>
          <cell r="H48" t="str">
            <v>SC10"+Alpy600+ATIK314L</v>
          </cell>
          <cell r="I48">
            <v>560</v>
          </cell>
          <cell r="J48"/>
          <cell r="K48"/>
          <cell r="M48"/>
        </row>
        <row r="49">
          <cell r="B49">
            <v>37</v>
          </cell>
          <cell r="C49">
            <v>43332</v>
          </cell>
          <cell r="D49">
            <v>0.82234953703703706</v>
          </cell>
          <cell r="E49">
            <v>2458351.3292999999</v>
          </cell>
          <cell r="F49" t="str">
            <v>PSO</v>
          </cell>
          <cell r="G49" t="str">
            <v>TAT-HU</v>
          </cell>
          <cell r="H49" t="str">
            <v>T300+LhiresIII_2400_35+ATIK428esm</v>
          </cell>
          <cell r="I49">
            <v>6882</v>
          </cell>
          <cell r="J49"/>
          <cell r="K49"/>
          <cell r="M49"/>
        </row>
        <row r="50">
          <cell r="B50">
            <v>38</v>
          </cell>
          <cell r="C50">
            <v>43332</v>
          </cell>
          <cell r="D50">
            <v>0.87202546296296291</v>
          </cell>
          <cell r="E50">
            <v>2458351.372</v>
          </cell>
          <cell r="F50" t="str">
            <v>PSO</v>
          </cell>
          <cell r="G50" t="str">
            <v>TAT-HU</v>
          </cell>
          <cell r="H50" t="str">
            <v>T300+LhiresIII_2400_35+ATIK428esm</v>
          </cell>
          <cell r="I50">
            <v>9057</v>
          </cell>
          <cell r="J50"/>
          <cell r="K50"/>
          <cell r="M50"/>
        </row>
        <row r="51">
          <cell r="B51">
            <v>39</v>
          </cell>
          <cell r="C51">
            <v>43332</v>
          </cell>
          <cell r="D51">
            <v>0.92254629629629636</v>
          </cell>
          <cell r="E51">
            <v>2458351.4578</v>
          </cell>
          <cell r="F51" t="str">
            <v>DPV</v>
          </cell>
          <cell r="G51" t="str">
            <v>KOL-SK</v>
          </cell>
          <cell r="H51" t="str">
            <v>C11+LISA+ATIK460EX</v>
          </cell>
          <cell r="I51">
            <v>576</v>
          </cell>
          <cell r="J51"/>
          <cell r="K51"/>
          <cell r="M51"/>
        </row>
        <row r="52">
          <cell r="B52">
            <v>40</v>
          </cell>
          <cell r="C52">
            <v>43337</v>
          </cell>
          <cell r="D52">
            <v>0.91266203703703708</v>
          </cell>
          <cell r="E52">
            <v>2458356.4301</v>
          </cell>
          <cell r="F52" t="str">
            <v>CBO</v>
          </cell>
          <cell r="G52" t="str">
            <v>OCT-FR</v>
          </cell>
          <cell r="H52" t="str">
            <v>N200+Alpy600</v>
          </cell>
          <cell r="I52">
            <v>523</v>
          </cell>
          <cell r="J52"/>
          <cell r="K52"/>
          <cell r="M52"/>
        </row>
        <row r="53">
          <cell r="B53">
            <v>41</v>
          </cell>
          <cell r="C53">
            <v>43340</v>
          </cell>
          <cell r="D53">
            <v>0.79483796296296294</v>
          </cell>
          <cell r="E53">
            <v>2458359.3399</v>
          </cell>
          <cell r="F53" t="str">
            <v>BER</v>
          </cell>
          <cell r="G53" t="str">
            <v>BVO-IT</v>
          </cell>
          <cell r="H53" t="str">
            <v>SC9+LHIREIII_600+SXVR-H694</v>
          </cell>
          <cell r="I53">
            <v>2095</v>
          </cell>
          <cell r="J53"/>
          <cell r="K53"/>
          <cell r="M53"/>
        </row>
        <row r="54">
          <cell r="B54">
            <v>42</v>
          </cell>
          <cell r="C54">
            <v>43340</v>
          </cell>
          <cell r="D54">
            <v>0.85990740740740745</v>
          </cell>
          <cell r="E54">
            <v>2458359.3807000001</v>
          </cell>
          <cell r="F54" t="str">
            <v>FRA</v>
          </cell>
          <cell r="G54" t="str">
            <v>BVO-IT</v>
          </cell>
          <cell r="H54" t="str">
            <v>SC8_F/5+Alpy600</v>
          </cell>
          <cell r="I54">
            <v>530</v>
          </cell>
          <cell r="J54"/>
          <cell r="K54"/>
          <cell r="M54"/>
        </row>
        <row r="55">
          <cell r="B55">
            <v>43</v>
          </cell>
          <cell r="C55">
            <v>43340</v>
          </cell>
          <cell r="D55">
            <v>0.87898148148148147</v>
          </cell>
          <cell r="E55">
            <v>2458359.4185000001</v>
          </cell>
          <cell r="F55" t="str">
            <v>SOL</v>
          </cell>
          <cell r="G55" t="str">
            <v>AQL-IT</v>
          </cell>
          <cell r="H55" t="str">
            <v>SC9+Spectro_JGF1+SbigST-8300</v>
          </cell>
          <cell r="I55">
            <v>7167</v>
          </cell>
          <cell r="J55"/>
          <cell r="K55"/>
          <cell r="M55"/>
        </row>
        <row r="56">
          <cell r="B56">
            <v>44</v>
          </cell>
          <cell r="C56">
            <v>43342</v>
          </cell>
          <cell r="D56">
            <v>0.79214120370370367</v>
          </cell>
          <cell r="E56">
            <v>2458361.3273999998</v>
          </cell>
          <cell r="F56" t="str">
            <v>DPV</v>
          </cell>
          <cell r="G56" t="str">
            <v>KOL-SK</v>
          </cell>
          <cell r="H56" t="str">
            <v>C11+LISA+ATIK460EX</v>
          </cell>
          <cell r="I56">
            <v>573</v>
          </cell>
          <cell r="J56"/>
          <cell r="K56"/>
          <cell r="M56"/>
        </row>
        <row r="57">
          <cell r="B57">
            <v>45</v>
          </cell>
          <cell r="C57">
            <v>43344</v>
          </cell>
          <cell r="D57">
            <v>0.90001157407407406</v>
          </cell>
          <cell r="E57">
            <v>2458363.4210000001</v>
          </cell>
          <cell r="F57" t="str">
            <v>CBO</v>
          </cell>
          <cell r="G57" t="str">
            <v>OCT-FR</v>
          </cell>
          <cell r="H57" t="str">
            <v>N200+Alpy600</v>
          </cell>
          <cell r="I57">
            <v>507</v>
          </cell>
          <cell r="J57"/>
          <cell r="K57"/>
          <cell r="M57"/>
        </row>
        <row r="58">
          <cell r="B58">
            <v>46</v>
          </cell>
          <cell r="C58">
            <v>43350</v>
          </cell>
          <cell r="D58">
            <v>0.17761574074074074</v>
          </cell>
          <cell r="E58">
            <v>2458368.6951000001</v>
          </cell>
          <cell r="F58" t="str">
            <v>FAS</v>
          </cell>
          <cell r="G58" t="str">
            <v>DCO-US</v>
          </cell>
          <cell r="H58" t="str">
            <v>DK14+Lisa+ATIK414ex</v>
          </cell>
          <cell r="I58">
            <v>1023</v>
          </cell>
          <cell r="J58"/>
          <cell r="K58"/>
          <cell r="M58"/>
        </row>
        <row r="59">
          <cell r="B59">
            <v>47</v>
          </cell>
          <cell r="C59">
            <v>43350</v>
          </cell>
          <cell r="D59">
            <v>0.88619212962962957</v>
          </cell>
          <cell r="E59">
            <v>2458369.4123999998</v>
          </cell>
          <cell r="F59" t="str">
            <v>CBO</v>
          </cell>
          <cell r="G59" t="str">
            <v>OCT-FR</v>
          </cell>
          <cell r="H59" t="str">
            <v>N200+Alpy600</v>
          </cell>
          <cell r="I59">
            <v>506</v>
          </cell>
          <cell r="J59"/>
          <cell r="K59"/>
          <cell r="M59"/>
        </row>
        <row r="60">
          <cell r="B60">
            <v>48</v>
          </cell>
          <cell r="C60">
            <v>43351</v>
          </cell>
          <cell r="D60">
            <v>0.88526620370370368</v>
          </cell>
          <cell r="E60">
            <v>2458370.3742999998</v>
          </cell>
          <cell r="F60" t="str">
            <v>PSO</v>
          </cell>
          <cell r="G60" t="str">
            <v>TAT-HU</v>
          </cell>
          <cell r="H60" t="str">
            <v>T300+LhiresIII_2400_35+ATIK428esm</v>
          </cell>
          <cell r="I60">
            <v>12381</v>
          </cell>
          <cell r="J60"/>
          <cell r="K60"/>
          <cell r="M60"/>
        </row>
        <row r="61">
          <cell r="B61">
            <v>49</v>
          </cell>
          <cell r="C61">
            <v>43353</v>
          </cell>
          <cell r="D61">
            <v>0.86002314814814806</v>
          </cell>
          <cell r="E61">
            <v>2458372.3881999999</v>
          </cell>
          <cell r="F61" t="str">
            <v>SOL</v>
          </cell>
          <cell r="G61" t="str">
            <v>AQL-IT</v>
          </cell>
          <cell r="H61" t="str">
            <v>SC9+Spectro_JGF1+SbigST-8300</v>
          </cell>
          <cell r="I61">
            <v>8022</v>
          </cell>
          <cell r="J61"/>
          <cell r="K61"/>
          <cell r="M61"/>
        </row>
        <row r="62">
          <cell r="B62">
            <v>50</v>
          </cell>
          <cell r="C62">
            <v>43354</v>
          </cell>
          <cell r="D62">
            <v>0.90255787037037039</v>
          </cell>
          <cell r="E62">
            <v>2458373.4235</v>
          </cell>
          <cell r="F62" t="str">
            <v>CBO</v>
          </cell>
          <cell r="G62" t="str">
            <v>OCT-FR</v>
          </cell>
          <cell r="H62" t="str">
            <v>N200+Alpy600</v>
          </cell>
          <cell r="I62">
            <v>504</v>
          </cell>
          <cell r="J62"/>
          <cell r="K62"/>
          <cell r="M62"/>
        </row>
        <row r="63">
          <cell r="B63">
            <v>51</v>
          </cell>
          <cell r="C63">
            <v>43355</v>
          </cell>
          <cell r="D63">
            <v>0.83262731481481478</v>
          </cell>
          <cell r="E63">
            <v>2458374.3036000002</v>
          </cell>
          <cell r="F63" t="str">
            <v>PSO</v>
          </cell>
          <cell r="G63" t="str">
            <v>TAT-HU</v>
          </cell>
          <cell r="H63" t="str">
            <v>T300+LhiresIII_600_35+Atik428esm</v>
          </cell>
          <cell r="I63">
            <v>2691</v>
          </cell>
          <cell r="J63"/>
          <cell r="K63"/>
          <cell r="M63"/>
        </row>
        <row r="64">
          <cell r="B64">
            <v>52</v>
          </cell>
          <cell r="C64">
            <v>43358</v>
          </cell>
          <cell r="D64">
            <v>0.91090277777777784</v>
          </cell>
          <cell r="E64">
            <v>2458377.4319000002</v>
          </cell>
          <cell r="F64" t="str">
            <v>CBO</v>
          </cell>
          <cell r="G64" t="str">
            <v>OCT-FR</v>
          </cell>
          <cell r="H64" t="str">
            <v>N200+Alpy600</v>
          </cell>
          <cell r="I64">
            <v>505</v>
          </cell>
          <cell r="J64"/>
          <cell r="K64"/>
          <cell r="M64"/>
        </row>
        <row r="65">
          <cell r="B65">
            <v>53</v>
          </cell>
          <cell r="C65">
            <v>43359</v>
          </cell>
          <cell r="D65">
            <v>0.85021990740740738</v>
          </cell>
          <cell r="E65">
            <v>2458378.3053000001</v>
          </cell>
          <cell r="F65" t="str">
            <v>PSO</v>
          </cell>
          <cell r="G65" t="str">
            <v>TAT-HU</v>
          </cell>
          <cell r="H65" t="str">
            <v>T300+LhiresIII_600_35+Atik428esm</v>
          </cell>
          <cell r="I65">
            <v>2718</v>
          </cell>
          <cell r="J65"/>
          <cell r="K65"/>
          <cell r="M65"/>
        </row>
        <row r="66">
          <cell r="B66">
            <v>54</v>
          </cell>
          <cell r="C66">
            <v>43359</v>
          </cell>
          <cell r="D66">
            <v>0.88930555555555557</v>
          </cell>
          <cell r="E66">
            <v>2458378.4034000002</v>
          </cell>
          <cell r="F66" t="str">
            <v>DPV</v>
          </cell>
          <cell r="G66" t="str">
            <v>KOL-SK</v>
          </cell>
          <cell r="H66" t="str">
            <v>C11+LISA+ATIK460EX</v>
          </cell>
          <cell r="I66">
            <v>571</v>
          </cell>
          <cell r="J66"/>
          <cell r="K66"/>
          <cell r="M66"/>
        </row>
        <row r="67">
          <cell r="B67">
            <v>55</v>
          </cell>
          <cell r="C67">
            <v>43360</v>
          </cell>
          <cell r="D67">
            <v>0.75959490740740743</v>
          </cell>
          <cell r="E67">
            <v>2458379.2947999998</v>
          </cell>
          <cell r="F67" t="str">
            <v>DPV</v>
          </cell>
          <cell r="G67" t="str">
            <v>KOL-SK</v>
          </cell>
          <cell r="H67" t="str">
            <v>C11+LISA+ATIK460EX</v>
          </cell>
          <cell r="I67">
            <v>561</v>
          </cell>
          <cell r="J67"/>
          <cell r="K67"/>
          <cell r="M67"/>
        </row>
        <row r="68">
          <cell r="B68">
            <v>56</v>
          </cell>
          <cell r="C68">
            <v>43362</v>
          </cell>
          <cell r="D68">
            <v>0.82677083333333334</v>
          </cell>
          <cell r="E68">
            <v>2458381.3588</v>
          </cell>
          <cell r="F68" t="str">
            <v>BUI</v>
          </cell>
          <cell r="G68" t="str">
            <v>CAS-FR</v>
          </cell>
          <cell r="H68" t="str">
            <v>RC10+UVEX2+Atick414EX</v>
          </cell>
          <cell r="I68">
            <v>600</v>
          </cell>
          <cell r="J68"/>
          <cell r="K68"/>
          <cell r="M68"/>
        </row>
        <row r="69">
          <cell r="B69">
            <v>57</v>
          </cell>
          <cell r="C69">
            <v>43365</v>
          </cell>
          <cell r="D69">
            <v>0.80844907407407407</v>
          </cell>
          <cell r="E69">
            <v>2458384.3330999999</v>
          </cell>
          <cell r="F69" t="str">
            <v>BUI</v>
          </cell>
          <cell r="G69" t="str">
            <v>CAS-FR</v>
          </cell>
          <cell r="H69" t="str">
            <v>RC10+UVEX2+Atick414EX</v>
          </cell>
          <cell r="I69">
            <v>1353</v>
          </cell>
          <cell r="J69"/>
          <cell r="K69"/>
          <cell r="M69"/>
        </row>
        <row r="70">
          <cell r="B70">
            <v>58</v>
          </cell>
          <cell r="C70">
            <v>43368</v>
          </cell>
          <cell r="D70">
            <v>0.91182870370370372</v>
          </cell>
          <cell r="E70">
            <v>2458387.4257999999</v>
          </cell>
          <cell r="F70" t="str">
            <v>CBO</v>
          </cell>
          <cell r="G70" t="str">
            <v>OCT-FR</v>
          </cell>
          <cell r="H70" t="str">
            <v>N200+Alpy600</v>
          </cell>
          <cell r="I70">
            <v>509</v>
          </cell>
          <cell r="J70"/>
          <cell r="K70"/>
          <cell r="M70"/>
        </row>
        <row r="71">
          <cell r="B71">
            <v>59</v>
          </cell>
          <cell r="C71">
            <v>43369</v>
          </cell>
          <cell r="D71">
            <v>0.82935185185185178</v>
          </cell>
          <cell r="E71">
            <v>2458388.3612000002</v>
          </cell>
          <cell r="F71" t="str">
            <v>DBO</v>
          </cell>
          <cell r="G71" t="str">
            <v>WCO-UK</v>
          </cell>
          <cell r="H71" t="str">
            <v>C11+Lisa+SXVR-H694</v>
          </cell>
          <cell r="I71">
            <v>966</v>
          </cell>
          <cell r="J71"/>
          <cell r="K71"/>
          <cell r="M71"/>
        </row>
        <row r="72">
          <cell r="B72">
            <v>61</v>
          </cell>
          <cell r="C72">
            <v>43371</v>
          </cell>
          <cell r="D72">
            <v>0.91089120370370369</v>
          </cell>
          <cell r="E72">
            <v>2458390.4230999998</v>
          </cell>
          <cell r="F72" t="str">
            <v>CBO</v>
          </cell>
          <cell r="G72" t="str">
            <v>OCT-FR</v>
          </cell>
          <cell r="H72" t="str">
            <v>N200+Alpy600</v>
          </cell>
          <cell r="I72">
            <v>507</v>
          </cell>
          <cell r="J72"/>
          <cell r="K72"/>
          <cell r="M72"/>
        </row>
        <row r="73">
          <cell r="B73">
            <v>62</v>
          </cell>
          <cell r="C73">
            <v>43372</v>
          </cell>
          <cell r="D73">
            <v>0.88486111111111121</v>
          </cell>
          <cell r="E73">
            <v>2458391.3629999999</v>
          </cell>
          <cell r="F73" t="str">
            <v>PSO</v>
          </cell>
          <cell r="G73" t="str">
            <v>TAT-HU</v>
          </cell>
          <cell r="H73" t="str">
            <v>T300+LhiresIII_600_35+Atik428esm</v>
          </cell>
          <cell r="I73">
            <v>2220</v>
          </cell>
          <cell r="J73"/>
          <cell r="K73"/>
          <cell r="M73"/>
        </row>
        <row r="74">
          <cell r="B74">
            <v>64</v>
          </cell>
          <cell r="C74">
            <v>43373</v>
          </cell>
          <cell r="D74">
            <v>0.87283564814814818</v>
          </cell>
          <cell r="E74">
            <v>2458392.3437999999</v>
          </cell>
          <cell r="F74" t="str">
            <v>PSO</v>
          </cell>
          <cell r="G74" t="str">
            <v>TAT-HU</v>
          </cell>
          <cell r="H74" t="str">
            <v>T300+LhiresIII_600_35+Atik428esm</v>
          </cell>
          <cell r="I74">
            <v>2655</v>
          </cell>
          <cell r="J74"/>
          <cell r="K74"/>
          <cell r="M74"/>
        </row>
        <row r="75">
          <cell r="B75">
            <v>63</v>
          </cell>
          <cell r="C75">
            <v>43377</v>
          </cell>
          <cell r="D75">
            <v>0.86547453703703703</v>
          </cell>
          <cell r="E75">
            <v>2458396.3961999998</v>
          </cell>
          <cell r="F75" t="str">
            <v>GMYB</v>
          </cell>
          <cell r="G75" t="str">
            <v>OSM-FR</v>
          </cell>
          <cell r="H75" t="str">
            <v>SC11+Lisa+QSI583wsg</v>
          </cell>
          <cell r="I75">
            <v>1116</v>
          </cell>
          <cell r="J75"/>
          <cell r="K75"/>
          <cell r="M75"/>
        </row>
        <row r="76">
          <cell r="B76">
            <v>64</v>
          </cell>
          <cell r="C76">
            <v>43378</v>
          </cell>
          <cell r="D76">
            <v>2.0462962962962964E-2</v>
          </cell>
          <cell r="E76">
            <v>2458396.5484000002</v>
          </cell>
          <cell r="F76" t="str">
            <v>GKA</v>
          </cell>
          <cell r="G76" t="str">
            <v>MAN-US</v>
          </cell>
          <cell r="H76" t="str">
            <v>SC10+Alpy600+Atik314L</v>
          </cell>
          <cell r="I76">
            <v>555</v>
          </cell>
          <cell r="J76"/>
          <cell r="K76"/>
          <cell r="M76"/>
        </row>
        <row r="77">
          <cell r="B77">
            <v>65</v>
          </cell>
          <cell r="C77">
            <v>43385</v>
          </cell>
          <cell r="D77">
            <v>0.72693287037037047</v>
          </cell>
          <cell r="E77">
            <v>2458404.2607</v>
          </cell>
          <cell r="F77" t="str">
            <v>BER</v>
          </cell>
          <cell r="G77" t="str">
            <v>BVO-IT</v>
          </cell>
          <cell r="H77" t="str">
            <v>LHIRES3600C9SXVR-H694</v>
          </cell>
          <cell r="I77">
            <v>1919</v>
          </cell>
          <cell r="J77"/>
          <cell r="K77"/>
          <cell r="M77"/>
        </row>
        <row r="78">
          <cell r="B78">
            <v>66</v>
          </cell>
          <cell r="C78">
            <v>43385</v>
          </cell>
          <cell r="D78">
            <v>0.75118055555555552</v>
          </cell>
          <cell r="E78">
            <v>2458404.2906999998</v>
          </cell>
          <cell r="F78" t="str">
            <v>SOL</v>
          </cell>
          <cell r="G78" t="str">
            <v>AQL-IT</v>
          </cell>
          <cell r="H78" t="str">
            <v>SC9+Spectro_JGF1+SbigST-8300</v>
          </cell>
          <cell r="I78">
            <v>8422</v>
          </cell>
          <cell r="J78"/>
          <cell r="K78"/>
          <cell r="M78"/>
        </row>
        <row r="79">
          <cell r="B79">
            <v>67</v>
          </cell>
          <cell r="C79">
            <v>43386</v>
          </cell>
          <cell r="D79">
            <v>0.81571759259259258</v>
          </cell>
          <cell r="E79">
            <v>2458405.2873999998</v>
          </cell>
          <cell r="F79" t="str">
            <v>DPV</v>
          </cell>
          <cell r="G79" t="str">
            <v>KOL-SK</v>
          </cell>
          <cell r="H79" t="str">
            <v>C11+LISA+ATIK460EX</v>
          </cell>
          <cell r="I79">
            <v>581</v>
          </cell>
          <cell r="J79"/>
          <cell r="K79"/>
          <cell r="M79"/>
        </row>
        <row r="80">
          <cell r="B80">
            <v>68</v>
          </cell>
          <cell r="C80">
            <v>43387</v>
          </cell>
          <cell r="D80">
            <v>0.82543981481481488</v>
          </cell>
          <cell r="E80">
            <v>2458406.3500999999</v>
          </cell>
          <cell r="F80" t="str">
            <v>DPV</v>
          </cell>
          <cell r="G80" t="str">
            <v>KOL-SK</v>
          </cell>
          <cell r="H80" t="str">
            <v>C11+LISA+ATIK460EX</v>
          </cell>
          <cell r="I80">
            <v>500</v>
          </cell>
          <cell r="J80"/>
          <cell r="K80"/>
          <cell r="M80"/>
        </row>
        <row r="81">
          <cell r="B81">
            <v>69</v>
          </cell>
          <cell r="C81">
            <v>43390</v>
          </cell>
          <cell r="D81">
            <v>0.71383101851851849</v>
          </cell>
          <cell r="E81">
            <v>2458409.2628000001</v>
          </cell>
          <cell r="F81" t="str">
            <v>DPV</v>
          </cell>
          <cell r="G81" t="str">
            <v>KOL-SK</v>
          </cell>
          <cell r="H81" t="str">
            <v>C11+LISA+ATIK460EX</v>
          </cell>
          <cell r="I81">
            <v>551</v>
          </cell>
          <cell r="J81"/>
          <cell r="K81"/>
          <cell r="M81"/>
        </row>
        <row r="82">
          <cell r="B82">
            <v>70</v>
          </cell>
          <cell r="C82">
            <v>43391</v>
          </cell>
          <cell r="D82">
            <v>0.79706018518518518</v>
          </cell>
          <cell r="E82">
            <v>2458410.3327000001</v>
          </cell>
          <cell r="F82" t="str">
            <v>SCH</v>
          </cell>
          <cell r="G82" t="str">
            <v>DUR-FR</v>
          </cell>
          <cell r="H82" t="str">
            <v>T500+eShel+Atik460EX</v>
          </cell>
          <cell r="I82">
            <v>11000</v>
          </cell>
          <cell r="J82"/>
          <cell r="K82"/>
          <cell r="M82"/>
        </row>
        <row r="83">
          <cell r="B83">
            <v>71</v>
          </cell>
          <cell r="C83">
            <v>43392</v>
          </cell>
          <cell r="D83">
            <v>0.73474537037037047</v>
          </cell>
          <cell r="E83">
            <v>2458411.2684999998</v>
          </cell>
          <cell r="F83" t="str">
            <v>BER</v>
          </cell>
          <cell r="G83" t="str">
            <v>BVO-IT</v>
          </cell>
          <cell r="H83" t="str">
            <v>LHIRES31200C9SXVR-H694</v>
          </cell>
          <cell r="I83">
            <v>5307</v>
          </cell>
          <cell r="J83"/>
          <cell r="K83"/>
          <cell r="M83"/>
        </row>
        <row r="84">
          <cell r="B84">
            <v>72</v>
          </cell>
          <cell r="C84">
            <v>43404</v>
          </cell>
          <cell r="D84">
            <v>0.69964120370370375</v>
          </cell>
          <cell r="E84">
            <v>2458423.2415999998</v>
          </cell>
          <cell r="F84" t="str">
            <v>DPV</v>
          </cell>
          <cell r="G84" t="str">
            <v>KOL-SK</v>
          </cell>
          <cell r="H84" t="str">
            <v>C11+LISA+ATIK460EX</v>
          </cell>
          <cell r="I84">
            <v>503</v>
          </cell>
          <cell r="J84"/>
          <cell r="K84"/>
          <cell r="M84"/>
        </row>
        <row r="85">
          <cell r="B85">
            <v>73</v>
          </cell>
          <cell r="C85">
            <v>43404</v>
          </cell>
          <cell r="D85">
            <v>0.82326388888888891</v>
          </cell>
          <cell r="E85">
            <v>2458423.3091000002</v>
          </cell>
          <cell r="F85" t="str">
            <v>PSO</v>
          </cell>
          <cell r="G85" t="str">
            <v>TAT-HU</v>
          </cell>
          <cell r="H85" t="str">
            <v>T300+LhiresIII_600_35+Atik428esm</v>
          </cell>
          <cell r="I85">
            <v>2409</v>
          </cell>
          <cell r="J85"/>
          <cell r="K85"/>
          <cell r="M85"/>
        </row>
        <row r="86">
          <cell r="B86">
            <v>74</v>
          </cell>
          <cell r="C86">
            <v>43409</v>
          </cell>
          <cell r="D86">
            <v>0.70187499999999992</v>
          </cell>
          <cell r="E86">
            <v>2458428.2368000001</v>
          </cell>
          <cell r="F86" t="str">
            <v>DPV</v>
          </cell>
          <cell r="G86" t="str">
            <v>KOL-SK</v>
          </cell>
          <cell r="H86" t="str">
            <v>C11+LISA</v>
          </cell>
          <cell r="I86">
            <v>635</v>
          </cell>
          <cell r="J86"/>
          <cell r="K86"/>
          <cell r="M86"/>
        </row>
        <row r="87">
          <cell r="B87">
            <v>75</v>
          </cell>
          <cell r="C87">
            <v>43411</v>
          </cell>
          <cell r="D87">
            <v>0.69835648148148144</v>
          </cell>
          <cell r="E87">
            <v>2458430.2193</v>
          </cell>
          <cell r="F87" t="str">
            <v>DPV</v>
          </cell>
          <cell r="G87" t="str">
            <v>KOL-SK</v>
          </cell>
          <cell r="H87" t="str">
            <v>C11+LISA</v>
          </cell>
          <cell r="I87">
            <v>522</v>
          </cell>
          <cell r="J87"/>
          <cell r="K87"/>
          <cell r="M87"/>
        </row>
        <row r="88">
          <cell r="B88">
            <v>76</v>
          </cell>
          <cell r="C88">
            <v>43413</v>
          </cell>
          <cell r="D88">
            <v>0.72667824074074072</v>
          </cell>
          <cell r="E88">
            <v>2458432.2502000001</v>
          </cell>
          <cell r="F88" t="str">
            <v>DPV</v>
          </cell>
          <cell r="G88" t="str">
            <v>KOL-SK</v>
          </cell>
          <cell r="H88" t="str">
            <v>C11+LISA</v>
          </cell>
          <cell r="I88">
            <v>565</v>
          </cell>
          <cell r="J88"/>
          <cell r="K88"/>
          <cell r="M88"/>
        </row>
        <row r="89">
          <cell r="B89">
            <v>77</v>
          </cell>
          <cell r="C89">
            <v>43639</v>
          </cell>
          <cell r="D89">
            <v>0.87210648148148151</v>
          </cell>
          <cell r="E89">
            <v>2458658.4070000001</v>
          </cell>
          <cell r="F89" t="str">
            <v>DPV</v>
          </cell>
          <cell r="G89" t="str">
            <v>KOL-SK</v>
          </cell>
          <cell r="H89" t="str">
            <v>C11+LISA+ATIK460EX</v>
          </cell>
          <cell r="I89">
            <v>674</v>
          </cell>
          <cell r="J89"/>
          <cell r="K89"/>
          <cell r="M89"/>
        </row>
        <row r="90">
          <cell r="B90">
            <v>78</v>
          </cell>
          <cell r="C90">
            <v>43641</v>
          </cell>
          <cell r="D90">
            <v>0.93122685185185183</v>
          </cell>
          <cell r="E90">
            <v>2458660.4660999998</v>
          </cell>
          <cell r="F90" t="str">
            <v>DPV</v>
          </cell>
          <cell r="G90" t="str">
            <v>KOL-SK</v>
          </cell>
          <cell r="H90" t="str">
            <v>C11+LISA+ATIK460EX</v>
          </cell>
          <cell r="I90">
            <v>688</v>
          </cell>
          <cell r="J90"/>
          <cell r="K90"/>
          <cell r="M90"/>
        </row>
        <row r="91">
          <cell r="B91">
            <v>79</v>
          </cell>
          <cell r="C91">
            <v>43715</v>
          </cell>
          <cell r="D91">
            <v>0.19137731481481482</v>
          </cell>
          <cell r="E91">
            <v>2458733.7105999999</v>
          </cell>
          <cell r="F91" t="str">
            <v>FAS</v>
          </cell>
          <cell r="G91" t="str">
            <v>DCO-US</v>
          </cell>
          <cell r="H91" t="str">
            <v>CDK14LISAATIK414EX</v>
          </cell>
          <cell r="I91">
            <v>1036</v>
          </cell>
          <cell r="J91"/>
          <cell r="K91"/>
          <cell r="M91"/>
        </row>
        <row r="92">
          <cell r="B92">
            <v>80</v>
          </cell>
          <cell r="C92">
            <v>43720</v>
          </cell>
          <cell r="D92">
            <v>0.23337962962962963</v>
          </cell>
          <cell r="E92">
            <v>2458738.7491000001</v>
          </cell>
          <cell r="F92" t="str">
            <v>FAS</v>
          </cell>
          <cell r="G92" t="str">
            <v>DCO-US</v>
          </cell>
          <cell r="H92" t="str">
            <v>CDK14LISAATIK414EX</v>
          </cell>
          <cell r="I92">
            <v>1063</v>
          </cell>
          <cell r="J92"/>
          <cell r="K92"/>
          <cell r="M92"/>
        </row>
        <row r="93">
          <cell r="B93">
            <v>81</v>
          </cell>
          <cell r="C93">
            <v>43743</v>
          </cell>
          <cell r="D93">
            <v>0.11174768518518519</v>
          </cell>
          <cell r="E93">
            <v>2458761.6348999999</v>
          </cell>
          <cell r="F93" t="str">
            <v>FAS</v>
          </cell>
          <cell r="G93" t="str">
            <v>DCO-US</v>
          </cell>
          <cell r="H93" t="str">
            <v>CDK14LISAATIK414EX</v>
          </cell>
          <cell r="I93">
            <v>1073</v>
          </cell>
          <cell r="J93"/>
          <cell r="K93"/>
          <cell r="M93"/>
        </row>
        <row r="94">
          <cell r="B94"/>
          <cell r="C94"/>
          <cell r="D94"/>
          <cell r="E94"/>
          <cell r="H94"/>
          <cell r="I94"/>
        </row>
        <row r="95">
          <cell r="B95"/>
          <cell r="C95"/>
          <cell r="D95"/>
          <cell r="E95"/>
          <cell r="H95"/>
          <cell r="I95"/>
        </row>
        <row r="96">
          <cell r="B96"/>
          <cell r="C96"/>
          <cell r="D96"/>
          <cell r="E96"/>
          <cell r="I96"/>
        </row>
        <row r="97">
          <cell r="B97"/>
          <cell r="C97"/>
          <cell r="D97"/>
          <cell r="E97"/>
          <cell r="I97"/>
        </row>
        <row r="98">
          <cell r="B98"/>
          <cell r="C98"/>
          <cell r="D98"/>
          <cell r="E98"/>
          <cell r="I98"/>
        </row>
        <row r="99">
          <cell r="B99"/>
          <cell r="C99"/>
          <cell r="D99"/>
          <cell r="E99"/>
          <cell r="I99"/>
        </row>
      </sheetData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 refreshError="1"/>
      <sheetData sheetId="8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Tri"/>
      <sheetName val="V"/>
      <sheetName val="B"/>
      <sheetName val="M"/>
      <sheetName val="Feuil1"/>
      <sheetName val="Ech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O110"/>
  <sheetViews>
    <sheetView showGridLines="0" tabSelected="1" topLeftCell="A87" workbookViewId="0">
      <selection activeCell="E104" sqref="E104"/>
    </sheetView>
  </sheetViews>
  <sheetFormatPr baseColWidth="10" defaultRowHeight="15" x14ac:dyDescent="0.25"/>
  <cols>
    <col min="3" max="3" width="11.85546875" style="12" bestFit="1" customWidth="1"/>
    <col min="5" max="5" width="13" bestFit="1" customWidth="1"/>
    <col min="12" max="12" width="41.85546875" bestFit="1" customWidth="1"/>
  </cols>
  <sheetData>
    <row r="3" spans="9:13" x14ac:dyDescent="0.25">
      <c r="M3" t="s">
        <v>752</v>
      </c>
    </row>
    <row r="16" spans="9:13" x14ac:dyDescent="0.25">
      <c r="I16">
        <v>2457200</v>
      </c>
      <c r="J16">
        <v>10</v>
      </c>
    </row>
    <row r="17" spans="2:15" x14ac:dyDescent="0.25">
      <c r="I17">
        <v>2457330</v>
      </c>
      <c r="J17">
        <f>+J16</f>
        <v>10</v>
      </c>
    </row>
    <row r="21" spans="2:15" x14ac:dyDescent="0.25">
      <c r="C21" s="12" t="s">
        <v>1</v>
      </c>
    </row>
    <row r="22" spans="2:15" x14ac:dyDescent="0.25">
      <c r="N22">
        <v>9</v>
      </c>
      <c r="O22">
        <v>8</v>
      </c>
    </row>
    <row r="24" spans="2:15" x14ac:dyDescent="0.25">
      <c r="B24" s="4">
        <f>+'[2]TCPJ19544251+1722281'!B13</f>
        <v>1</v>
      </c>
      <c r="C24" s="13">
        <f>+'[2]TCPJ19544251+1722281'!C13</f>
        <v>43321</v>
      </c>
      <c r="D24" s="15">
        <f>+'[2]TCPJ19544251+1722281'!D13</f>
        <v>0.83951388888888889</v>
      </c>
      <c r="E24" s="4">
        <f>+'[2]TCPJ19544251+1722281'!E13</f>
        <v>2458340.3563000001</v>
      </c>
      <c r="F24" s="4" t="str">
        <f>+'[2]TCPJ19544251+1722281'!F13</f>
        <v>BER</v>
      </c>
      <c r="G24" s="4" t="str">
        <f>+'[2]TCPJ19544251+1722281'!G13</f>
        <v>BVO-IT</v>
      </c>
      <c r="H24" s="4" t="str">
        <f>+'[2]TCPJ19544251+1722281'!H13</f>
        <v>SC9+LHIREIII_600+SXVR-H694</v>
      </c>
      <c r="I24" s="4">
        <f>+'[2]TCPJ19544251+1722281'!I13</f>
        <v>611</v>
      </c>
      <c r="J24" s="4">
        <f>+'[2]TCPJ19544251+1722281'!J13</f>
        <v>0</v>
      </c>
      <c r="K24" s="4">
        <f>+'[2]TCPJ19544251+1722281'!K13</f>
        <v>0</v>
      </c>
      <c r="L24" s="4">
        <f>+'[2]TCPJ19544251+1722281'!$M13</f>
        <v>0</v>
      </c>
    </row>
    <row r="25" spans="2:15" x14ac:dyDescent="0.25">
      <c r="B25" s="4">
        <f>+'[2]TCPJ19544251+1722281'!B14</f>
        <v>2</v>
      </c>
      <c r="C25" s="13">
        <f>+'[2]TCPJ19544251+1722281'!C14</f>
        <v>43322</v>
      </c>
      <c r="D25" s="15">
        <f>+'[2]TCPJ19544251+1722281'!D14</f>
        <v>0.84519675925925919</v>
      </c>
      <c r="E25" s="4">
        <f>+'[2]TCPJ19544251+1722281'!E14</f>
        <v>2458341.4078000002</v>
      </c>
      <c r="F25" s="4" t="str">
        <f>+'[2]TCPJ19544251+1722281'!F14</f>
        <v>OGA</v>
      </c>
      <c r="G25" s="4" t="str">
        <f>+'[2]TCPJ19544251+1722281'!G14</f>
        <v>OTO-FR</v>
      </c>
      <c r="H25" s="4" t="str">
        <f>+'[2]TCPJ19544251+1722281'!H14</f>
        <v>RC400+eShel+ATIK460EX</v>
      </c>
      <c r="I25" s="4">
        <f>+'[2]TCPJ19544251+1722281'!I14</f>
        <v>11000</v>
      </c>
      <c r="J25" s="4">
        <f>+'[2]TCPJ19544251+1722281'!J14</f>
        <v>0</v>
      </c>
      <c r="K25" s="4">
        <f>+'[2]TCPJ19544251+1722281'!K14</f>
        <v>0</v>
      </c>
      <c r="L25" s="4">
        <f>+'[2]TCPJ19544251+1722281'!$M14</f>
        <v>0</v>
      </c>
    </row>
    <row r="26" spans="2:15" x14ac:dyDescent="0.25">
      <c r="B26" s="4">
        <f>+'[2]TCPJ19544251+1722281'!B15</f>
        <v>3</v>
      </c>
      <c r="C26" s="13">
        <f>+'[2]TCPJ19544251+1722281'!C15</f>
        <v>43322</v>
      </c>
      <c r="D26" s="15">
        <f>+'[2]TCPJ19544251+1722281'!D15</f>
        <v>0.87663194444444448</v>
      </c>
      <c r="E26" s="4">
        <f>+'[2]TCPJ19544251+1722281'!E15</f>
        <v>2458341.4161</v>
      </c>
      <c r="F26" s="4" t="str">
        <f>+'[2]TCPJ19544251+1722281'!F15</f>
        <v>BER</v>
      </c>
      <c r="G26" s="4" t="str">
        <f>+'[2]TCPJ19544251+1722281'!G15</f>
        <v>BVO-IT</v>
      </c>
      <c r="H26" s="4" t="str">
        <f>+'[2]TCPJ19544251+1722281'!H15</f>
        <v>Lhires3C9SXVR-H69</v>
      </c>
      <c r="I26" s="4">
        <f>+'[2]TCPJ19544251+1722281'!I15</f>
        <v>17124</v>
      </c>
      <c r="J26" s="4">
        <f>+'[2]TCPJ19544251+1722281'!J15</f>
        <v>0</v>
      </c>
      <c r="K26" s="4">
        <f>+'[2]TCPJ19544251+1722281'!K15</f>
        <v>0</v>
      </c>
      <c r="L26" s="4">
        <f>+'[2]TCPJ19544251+1722281'!$M15</f>
        <v>0</v>
      </c>
    </row>
    <row r="27" spans="2:15" x14ac:dyDescent="0.25">
      <c r="B27" s="4">
        <f>+'[2]TCPJ19544251+1722281'!B16</f>
        <v>4</v>
      </c>
      <c r="C27" s="13">
        <f>+'[2]TCPJ19544251+1722281'!C16</f>
        <v>43322</v>
      </c>
      <c r="D27" s="15">
        <f>+'[2]TCPJ19544251+1722281'!D16</f>
        <v>0.87765046296296301</v>
      </c>
      <c r="E27" s="4">
        <f>+'[2]TCPJ19544251+1722281'!E16</f>
        <v>2458341.3988000001</v>
      </c>
      <c r="F27" s="4" t="str">
        <f>+'[2]TCPJ19544251+1722281'!F16</f>
        <v>SOL</v>
      </c>
      <c r="G27" s="4" t="str">
        <f>+'[2]TCPJ19544251+1722281'!G16</f>
        <v>AQL-IT</v>
      </c>
      <c r="H27" s="4" t="str">
        <f>+'[2]TCPJ19544251+1722281'!H16</f>
        <v>SC8+Alpy600+SBIGST8300</v>
      </c>
      <c r="I27" s="4">
        <f>+'[2]TCPJ19544251+1722281'!I16</f>
        <v>1615</v>
      </c>
      <c r="J27" s="4">
        <f>+'[2]TCPJ19544251+1722281'!J16</f>
        <v>0</v>
      </c>
      <c r="K27" s="4">
        <f>+'[2]TCPJ19544251+1722281'!K16</f>
        <v>0</v>
      </c>
      <c r="L27" s="4">
        <f>+'[2]TCPJ19544251+1722281'!$M16</f>
        <v>0</v>
      </c>
    </row>
    <row r="28" spans="2:15" x14ac:dyDescent="0.25">
      <c r="B28" s="4">
        <f>+'[2]TCPJ19544251+1722281'!B17</f>
        <v>5</v>
      </c>
      <c r="C28" s="13">
        <f>+'[2]TCPJ19544251+1722281'!C17</f>
        <v>43322</v>
      </c>
      <c r="D28" s="15">
        <f>+'[2]TCPJ19544251+1722281'!D17</f>
        <v>0.93225694444444451</v>
      </c>
      <c r="E28" s="4">
        <f>+'[2]TCPJ19544251+1722281'!E17</f>
        <v>2458341.4679</v>
      </c>
      <c r="F28" s="4" t="str">
        <f>+'[2]TCPJ19544251+1722281'!F17</f>
        <v>BUI</v>
      </c>
      <c r="G28" s="4" t="str">
        <f>+'[2]TCPJ19544251+1722281'!G17</f>
        <v>CAS-FR</v>
      </c>
      <c r="H28" s="4" t="str">
        <f>+'[2]TCPJ19544251+1722281'!H17</f>
        <v>RC10UVEX2ASI183</v>
      </c>
      <c r="I28" s="4">
        <f>+'[2]TCPJ19544251+1722281'!I17</f>
        <v>1136</v>
      </c>
      <c r="J28" s="4">
        <f>+'[2]TCPJ19544251+1722281'!J17</f>
        <v>0</v>
      </c>
      <c r="K28" s="4">
        <f>+'[2]TCPJ19544251+1722281'!K17</f>
        <v>0</v>
      </c>
      <c r="L28" s="4">
        <f>+'[2]TCPJ19544251+1722281'!$M17</f>
        <v>0</v>
      </c>
    </row>
    <row r="29" spans="2:15" x14ac:dyDescent="0.25">
      <c r="B29" s="4">
        <f>+'[2]TCPJ19544251+1722281'!B18</f>
        <v>6</v>
      </c>
      <c r="C29" s="13">
        <f>+'[2]TCPJ19544251+1722281'!C18</f>
        <v>43322</v>
      </c>
      <c r="D29" s="15">
        <f>+'[2]TCPJ19544251+1722281'!D18</f>
        <v>0.97440972222222222</v>
      </c>
      <c r="E29" s="4">
        <f>+'[2]TCPJ19544251+1722281'!E18</f>
        <v>2458341.5098999999</v>
      </c>
      <c r="F29" s="4" t="str">
        <f>+'[2]TCPJ19544251+1722281'!F18</f>
        <v>BAGU</v>
      </c>
      <c r="G29" s="4" t="str">
        <f>+'[2]TCPJ19544251+1722281'!G18</f>
        <v>CAL-FR</v>
      </c>
      <c r="H29" s="4" t="str">
        <f>+'[2]TCPJ19544251+1722281'!H18</f>
        <v>SC14+Lisa+ATIK314L</v>
      </c>
      <c r="I29" s="4">
        <f>+'[2]TCPJ19544251+1722281'!I18</f>
        <v>860</v>
      </c>
      <c r="J29" s="4">
        <f>+'[2]TCPJ19544251+1722281'!J18</f>
        <v>0</v>
      </c>
      <c r="K29" s="4">
        <f>+'[2]TCPJ19544251+1722281'!K18</f>
        <v>0</v>
      </c>
      <c r="L29" s="4">
        <f>+'[2]TCPJ19544251+1722281'!$M18</f>
        <v>0</v>
      </c>
    </row>
    <row r="30" spans="2:15" x14ac:dyDescent="0.25">
      <c r="B30" s="4">
        <f>+'[2]TCPJ19544251+1722281'!B19</f>
        <v>7</v>
      </c>
      <c r="C30" s="13">
        <f>+'[2]TCPJ19544251+1722281'!C19</f>
        <v>43323</v>
      </c>
      <c r="D30" s="15">
        <f>+'[2]TCPJ19544251+1722281'!D19</f>
        <v>0.8263194444444445</v>
      </c>
      <c r="E30" s="4">
        <f>+'[2]TCPJ19544251+1722281'!E19</f>
        <v>2458342.3958999999</v>
      </c>
      <c r="F30" s="4" t="str">
        <f>+'[2]TCPJ19544251+1722281'!F19</f>
        <v>OGA</v>
      </c>
      <c r="G30" s="4" t="str">
        <f>+'[2]TCPJ19544251+1722281'!G19</f>
        <v>OTO-FR</v>
      </c>
      <c r="H30" s="4" t="str">
        <f>+'[2]TCPJ19544251+1722281'!H19</f>
        <v>RC400+eShel+ATIK460EX</v>
      </c>
      <c r="I30" s="4">
        <f>+'[2]TCPJ19544251+1722281'!I19</f>
        <v>11000</v>
      </c>
      <c r="J30" s="4">
        <f>+'[2]TCPJ19544251+1722281'!J19</f>
        <v>0</v>
      </c>
      <c r="K30" s="4">
        <f>+'[2]TCPJ19544251+1722281'!K19</f>
        <v>0</v>
      </c>
      <c r="L30" s="4">
        <f>+'[2]TCPJ19544251+1722281'!$M19</f>
        <v>0</v>
      </c>
      <c r="M30" s="3"/>
    </row>
    <row r="31" spans="2:15" x14ac:dyDescent="0.25">
      <c r="B31" s="4">
        <f>+'[2]TCPJ19544251+1722281'!B20</f>
        <v>8</v>
      </c>
      <c r="C31" s="13">
        <f>+'[2]TCPJ19544251+1722281'!C20</f>
        <v>43323</v>
      </c>
      <c r="D31" s="15">
        <f>+'[2]TCPJ19544251+1722281'!D20</f>
        <v>0.8531481481481481</v>
      </c>
      <c r="E31" s="4">
        <f>+'[2]TCPJ19544251+1722281'!E20</f>
        <v>2458342.3982000002</v>
      </c>
      <c r="F31" s="4" t="str">
        <f>+'[2]TCPJ19544251+1722281'!F20</f>
        <v>BER</v>
      </c>
      <c r="G31" s="4" t="str">
        <f>+'[2]TCPJ19544251+1722281'!G20</f>
        <v>BVO-IT</v>
      </c>
      <c r="H31" s="4" t="str">
        <f>+'[2]TCPJ19544251+1722281'!H20</f>
        <v>SC9+LHIREIII_600+SXVR-H694</v>
      </c>
      <c r="I31" s="4">
        <f>+'[2]TCPJ19544251+1722281'!I20</f>
        <v>1851</v>
      </c>
      <c r="J31" s="4">
        <f>+'[2]TCPJ19544251+1722281'!J20</f>
        <v>0</v>
      </c>
      <c r="K31" s="4">
        <f>+'[2]TCPJ19544251+1722281'!K20</f>
        <v>0</v>
      </c>
      <c r="L31" s="4">
        <f>+'[2]TCPJ19544251+1722281'!$M20</f>
        <v>0</v>
      </c>
      <c r="M31" s="3"/>
    </row>
    <row r="32" spans="2:15" x14ac:dyDescent="0.25">
      <c r="B32" s="4">
        <f>+'[2]TCPJ19544251+1722281'!B21</f>
        <v>9</v>
      </c>
      <c r="C32" s="13">
        <f>+'[2]TCPJ19544251+1722281'!C21</f>
        <v>43323</v>
      </c>
      <c r="D32" s="15">
        <f>+'[2]TCPJ19544251+1722281'!D21</f>
        <v>0.8968287037037036</v>
      </c>
      <c r="E32" s="4">
        <f>+'[2]TCPJ19544251+1722281'!E21</f>
        <v>2458342.3895</v>
      </c>
      <c r="F32" s="4" t="str">
        <f>+'[2]TCPJ19544251+1722281'!F21</f>
        <v>PSO</v>
      </c>
      <c r="G32" s="4" t="str">
        <f>+'[2]TCPJ19544251+1722281'!G21</f>
        <v>TAT-HU</v>
      </c>
      <c r="H32" s="4" t="str">
        <f>+'[2]TCPJ19544251+1722281'!H21</f>
        <v>T300+LhiresIII_2400_35+ATIK428esm</v>
      </c>
      <c r="I32" s="4">
        <f>+'[2]TCPJ19544251+1722281'!I21</f>
        <v>13021</v>
      </c>
      <c r="J32" s="4">
        <f>+'[2]TCPJ19544251+1722281'!J21</f>
        <v>0</v>
      </c>
      <c r="K32" s="4">
        <f>+'[2]TCPJ19544251+1722281'!K21</f>
        <v>0</v>
      </c>
      <c r="L32" s="4">
        <f>+'[2]TCPJ19544251+1722281'!$M21</f>
        <v>0</v>
      </c>
      <c r="M32" s="3"/>
    </row>
    <row r="33" spans="2:13" x14ac:dyDescent="0.25">
      <c r="B33" s="4">
        <f>+'[2]TCPJ19544251+1722281'!B22</f>
        <v>10</v>
      </c>
      <c r="C33" s="13">
        <f>+'[2]TCPJ19544251+1722281'!C22</f>
        <v>43323</v>
      </c>
      <c r="D33" s="15">
        <f>+'[2]TCPJ19544251+1722281'!D22</f>
        <v>0.91464120370370372</v>
      </c>
      <c r="E33" s="4">
        <f>+'[2]TCPJ19544251+1722281'!E22</f>
        <v>2458342.4374000002</v>
      </c>
      <c r="F33" s="4" t="str">
        <f>+'[2]TCPJ19544251+1722281'!F22</f>
        <v>CBO</v>
      </c>
      <c r="G33" s="4" t="str">
        <f>+'[2]TCPJ19544251+1722281'!G22</f>
        <v>OCT-FR</v>
      </c>
      <c r="H33" s="4" t="str">
        <f>+'[2]TCPJ19544251+1722281'!H22</f>
        <v>N200+Alpy600</v>
      </c>
      <c r="I33" s="4">
        <f>+'[2]TCPJ19544251+1722281'!I22</f>
        <v>502</v>
      </c>
      <c r="J33" s="4">
        <f>+'[2]TCPJ19544251+1722281'!J22</f>
        <v>0</v>
      </c>
      <c r="K33" s="4">
        <f>+'[2]TCPJ19544251+1722281'!K22</f>
        <v>0</v>
      </c>
      <c r="L33" s="4">
        <f>+'[2]TCPJ19544251+1722281'!$M22</f>
        <v>0</v>
      </c>
      <c r="M33" s="3"/>
    </row>
    <row r="34" spans="2:13" x14ac:dyDescent="0.25">
      <c r="B34" s="4">
        <f>+'[2]TCPJ19544251+1722281'!B23</f>
        <v>11</v>
      </c>
      <c r="C34" s="13">
        <f>+'[2]TCPJ19544251+1722281'!C23</f>
        <v>43323</v>
      </c>
      <c r="D34" s="15">
        <f>+'[2]TCPJ19544251+1722281'!D23</f>
        <v>0.94550925925925933</v>
      </c>
      <c r="E34" s="4">
        <f>+'[2]TCPJ19544251+1722281'!E23</f>
        <v>2458342.4454999999</v>
      </c>
      <c r="F34" s="4" t="str">
        <f>+'[2]TCPJ19544251+1722281'!F23</f>
        <v>PSO</v>
      </c>
      <c r="G34" s="4" t="str">
        <f>+'[2]TCPJ19544251+1722281'!G23</f>
        <v>TAT-HU</v>
      </c>
      <c r="H34" s="4" t="str">
        <f>+'[2]TCPJ19544251+1722281'!H23</f>
        <v>T300+LhiresIII_2400_35+ATIK428esm</v>
      </c>
      <c r="I34" s="4">
        <f>+'[2]TCPJ19544251+1722281'!I23</f>
        <v>8420</v>
      </c>
      <c r="J34" s="4">
        <f>+'[2]TCPJ19544251+1722281'!J23</f>
        <v>0</v>
      </c>
      <c r="K34" s="4">
        <f>+'[2]TCPJ19544251+1722281'!K23</f>
        <v>0</v>
      </c>
      <c r="L34" s="4">
        <f>+'[2]TCPJ19544251+1722281'!$M23</f>
        <v>0</v>
      </c>
    </row>
    <row r="35" spans="2:13" x14ac:dyDescent="0.25">
      <c r="B35" s="4">
        <f>+'[2]TCPJ19544251+1722281'!B24</f>
        <v>12</v>
      </c>
      <c r="C35" s="13">
        <f>+'[2]TCPJ19544251+1722281'!C24</f>
        <v>43323</v>
      </c>
      <c r="D35" s="15">
        <f>+'[2]TCPJ19544251+1722281'!D24</f>
        <v>0.97215277777777775</v>
      </c>
      <c r="E35" s="4">
        <f>+'[2]TCPJ19544251+1722281'!E24</f>
        <v>2458342.5040000002</v>
      </c>
      <c r="F35" s="4" t="str">
        <f>+'[2]TCPJ19544251+1722281'!F24</f>
        <v>BUI</v>
      </c>
      <c r="G35" s="4" t="str">
        <f>+'[2]TCPJ19544251+1722281'!G24</f>
        <v>CAS-FR</v>
      </c>
      <c r="H35" s="4" t="str">
        <f>+'[2]TCPJ19544251+1722281'!H24</f>
        <v>RC10+UVEX2+ASI600</v>
      </c>
      <c r="I35" s="4">
        <f>+'[2]TCPJ19544251+1722281'!I24</f>
        <v>1289</v>
      </c>
      <c r="J35" s="4">
        <f>+'[2]TCPJ19544251+1722281'!J24</f>
        <v>0</v>
      </c>
      <c r="K35" s="4">
        <f>+'[2]TCPJ19544251+1722281'!K24</f>
        <v>0</v>
      </c>
      <c r="L35" s="4">
        <f>+'[2]TCPJ19544251+1722281'!$M24</f>
        <v>0</v>
      </c>
    </row>
    <row r="36" spans="2:13" x14ac:dyDescent="0.25">
      <c r="B36" s="4">
        <f>+'[2]TCPJ19544251+1722281'!B25</f>
        <v>13</v>
      </c>
      <c r="C36" s="13">
        <f>+'[2]TCPJ19544251+1722281'!C25</f>
        <v>43323</v>
      </c>
      <c r="D36" s="15">
        <f>+'[2]TCPJ19544251+1722281'!D25</f>
        <v>0.98903935185185177</v>
      </c>
      <c r="E36" s="4">
        <f>+'[2]TCPJ19544251+1722281'!E25</f>
        <v>2458342.4890000001</v>
      </c>
      <c r="F36" s="4" t="str">
        <f>+'[2]TCPJ19544251+1722281'!F25</f>
        <v>PSO</v>
      </c>
      <c r="G36" s="4" t="str">
        <f>+'[2]TCPJ19544251+1722281'!G25</f>
        <v>TAT-HU</v>
      </c>
      <c r="H36" s="4" t="str">
        <f>+'[2]TCPJ19544251+1722281'!H25</f>
        <v>T300+LhiresIII_2400_35+ATIK428esm</v>
      </c>
      <c r="I36" s="4">
        <f>+'[2]TCPJ19544251+1722281'!I25</f>
        <v>9398</v>
      </c>
      <c r="J36" s="4">
        <f>+'[2]TCPJ19544251+1722281'!J25</f>
        <v>0</v>
      </c>
      <c r="K36" s="4">
        <f>+'[2]TCPJ19544251+1722281'!K25</f>
        <v>0</v>
      </c>
      <c r="L36" s="4">
        <f>+'[2]TCPJ19544251+1722281'!$M25</f>
        <v>0</v>
      </c>
      <c r="M36" s="3"/>
    </row>
    <row r="37" spans="2:13" x14ac:dyDescent="0.25">
      <c r="B37" s="4">
        <f>+'[2]TCPJ19544251+1722281'!B26</f>
        <v>14</v>
      </c>
      <c r="C37" s="13">
        <f>+'[2]TCPJ19544251+1722281'!C26</f>
        <v>43324</v>
      </c>
      <c r="D37" s="15">
        <f>+'[2]TCPJ19544251+1722281'!D26</f>
        <v>5.2916666666666667E-2</v>
      </c>
      <c r="E37" s="4">
        <f>+'[2]TCPJ19544251+1722281'!E26</f>
        <v>2458342.5386000001</v>
      </c>
      <c r="F37" s="4" t="str">
        <f>+'[2]TCPJ19544251+1722281'!F26</f>
        <v>PSO</v>
      </c>
      <c r="G37" s="4" t="str">
        <f>+'[2]TCPJ19544251+1722281'!G26</f>
        <v>TAT-HU</v>
      </c>
      <c r="H37" s="4" t="str">
        <f>+'[2]TCPJ19544251+1722281'!H26</f>
        <v>T300+LhiresIII_2400_35+ATIK428esm</v>
      </c>
      <c r="I37" s="4">
        <f>+'[2]TCPJ19544251+1722281'!I26</f>
        <v>9420</v>
      </c>
      <c r="J37" s="4">
        <f>+'[2]TCPJ19544251+1722281'!J26</f>
        <v>0</v>
      </c>
      <c r="K37" s="4">
        <f>+'[2]TCPJ19544251+1722281'!K26</f>
        <v>0</v>
      </c>
      <c r="L37" s="4">
        <f>+'[2]TCPJ19544251+1722281'!$M26</f>
        <v>0</v>
      </c>
      <c r="M37" s="2"/>
    </row>
    <row r="38" spans="2:13" x14ac:dyDescent="0.25">
      <c r="B38" s="4">
        <f>+'[2]TCPJ19544251+1722281'!B27</f>
        <v>15</v>
      </c>
      <c r="C38" s="13">
        <f>+'[2]TCPJ19544251+1722281'!C27</f>
        <v>43324</v>
      </c>
      <c r="D38" s="15">
        <f>+'[2]TCPJ19544251+1722281'!D27</f>
        <v>0.11719907407407408</v>
      </c>
      <c r="E38" s="4">
        <f>+'[2]TCPJ19544251+1722281'!E27</f>
        <v>2458342.6381000001</v>
      </c>
      <c r="F38" s="4" t="str">
        <f>+'[2]TCPJ19544251+1722281'!F27</f>
        <v>GKA</v>
      </c>
      <c r="G38" s="4" t="str">
        <f>+'[2]TCPJ19544251+1722281'!G27</f>
        <v>MAN-US</v>
      </c>
      <c r="H38" s="4" t="str">
        <f>+'[2]TCPJ19544251+1722281'!H27</f>
        <v>SC10"+Alpy600+ATIK314L</v>
      </c>
      <c r="I38" s="4">
        <f>+'[2]TCPJ19544251+1722281'!I27</f>
        <v>572</v>
      </c>
      <c r="J38" s="4">
        <f>+'[2]TCPJ19544251+1722281'!J27</f>
        <v>0</v>
      </c>
      <c r="K38" s="4">
        <f>+'[2]TCPJ19544251+1722281'!K27</f>
        <v>0</v>
      </c>
      <c r="L38" s="4">
        <f>+'[2]TCPJ19544251+1722281'!$M27</f>
        <v>0</v>
      </c>
      <c r="M38" s="2"/>
    </row>
    <row r="39" spans="2:13" x14ac:dyDescent="0.25">
      <c r="B39" s="4">
        <f>+'[2]TCPJ19544251+1722281'!B28</f>
        <v>16</v>
      </c>
      <c r="C39" s="13">
        <f>+'[2]TCPJ19544251+1722281'!C28</f>
        <v>43324</v>
      </c>
      <c r="D39" s="15">
        <f>+'[2]TCPJ19544251+1722281'!D28</f>
        <v>0.85241898148148154</v>
      </c>
      <c r="E39" s="4">
        <f>+'[2]TCPJ19544251+1722281'!E28</f>
        <v>2458342.5386000001</v>
      </c>
      <c r="F39" s="4" t="str">
        <f>+'[2]TCPJ19544251+1722281'!F28</f>
        <v>PSO</v>
      </c>
      <c r="G39" s="4" t="str">
        <f>+'[2]TCPJ19544251+1722281'!G28</f>
        <v>TAT-HU</v>
      </c>
      <c r="H39" s="4" t="str">
        <f>+'[2]TCPJ19544251+1722281'!H28</f>
        <v>T300+LhiresIII_2400_35+ATIK428esm</v>
      </c>
      <c r="I39" s="4">
        <f>+'[2]TCPJ19544251+1722281'!I28</f>
        <v>8352</v>
      </c>
      <c r="J39" s="4">
        <f>+'[2]TCPJ19544251+1722281'!J28</f>
        <v>0</v>
      </c>
      <c r="K39" s="4">
        <f>+'[2]TCPJ19544251+1722281'!K28</f>
        <v>0</v>
      </c>
      <c r="L39" s="4">
        <f>+'[2]TCPJ19544251+1722281'!$M28</f>
        <v>0</v>
      </c>
      <c r="M39" s="2"/>
    </row>
    <row r="40" spans="2:13" x14ac:dyDescent="0.25">
      <c r="B40" s="4">
        <f>+'[2]TCPJ19544251+1722281'!B29</f>
        <v>17</v>
      </c>
      <c r="C40" s="13">
        <f>+'[2]TCPJ19544251+1722281'!C29</f>
        <v>43324</v>
      </c>
      <c r="D40" s="15">
        <f>+'[2]TCPJ19544251+1722281'!D29</f>
        <v>0.85241898148148154</v>
      </c>
      <c r="E40" s="4">
        <f>+'[2]TCPJ19544251+1722281'!E29</f>
        <v>2458343.3160999999</v>
      </c>
      <c r="F40" s="4" t="str">
        <f>+'[2]TCPJ19544251+1722281'!F29</f>
        <v>PSO</v>
      </c>
      <c r="G40" s="4" t="str">
        <f>+'[2]TCPJ19544251+1722281'!G29</f>
        <v>TAT-HU</v>
      </c>
      <c r="H40" s="4" t="str">
        <f>+'[2]TCPJ19544251+1722281'!H29</f>
        <v>T300+LhiresIII_2400_35+ATIK428esm</v>
      </c>
      <c r="I40" s="4">
        <f>+'[2]TCPJ19544251+1722281'!I29</f>
        <v>8352</v>
      </c>
      <c r="J40" s="4">
        <f>+'[2]TCPJ19544251+1722281'!J29</f>
        <v>0</v>
      </c>
      <c r="K40" s="4">
        <f>+'[2]TCPJ19544251+1722281'!K29</f>
        <v>0</v>
      </c>
      <c r="L40" s="4">
        <f>+'[2]TCPJ19544251+1722281'!$M29</f>
        <v>0</v>
      </c>
      <c r="M40" s="2"/>
    </row>
    <row r="41" spans="2:13" x14ac:dyDescent="0.25">
      <c r="B41" s="4">
        <f>+'[2]TCPJ19544251+1722281'!B30</f>
        <v>18</v>
      </c>
      <c r="C41" s="13">
        <f>+'[2]TCPJ19544251+1722281'!C30</f>
        <v>43324</v>
      </c>
      <c r="D41" s="15">
        <f>+'[2]TCPJ19544251+1722281'!D30</f>
        <v>0.8627893518518519</v>
      </c>
      <c r="E41" s="4">
        <f>+'[2]TCPJ19544251+1722281'!E30</f>
        <v>2458343.3909999998</v>
      </c>
      <c r="F41" s="4" t="str">
        <f>+'[2]TCPJ19544251+1722281'!F30</f>
        <v>DPV</v>
      </c>
      <c r="G41" s="4" t="str">
        <f>+'[2]TCPJ19544251+1722281'!G30</f>
        <v>KOL-SK</v>
      </c>
      <c r="H41" s="4" t="str">
        <f>+'[2]TCPJ19544251+1722281'!H30</f>
        <v>C11+LISA+ATIK460EX</v>
      </c>
      <c r="I41" s="4">
        <f>+'[2]TCPJ19544251+1722281'!I30</f>
        <v>568</v>
      </c>
      <c r="J41" s="4">
        <f>+'[2]TCPJ19544251+1722281'!J30</f>
        <v>0</v>
      </c>
      <c r="K41" s="4">
        <f>+'[2]TCPJ19544251+1722281'!K30</f>
        <v>0</v>
      </c>
      <c r="L41" s="4">
        <f>+'[2]TCPJ19544251+1722281'!$M30</f>
        <v>0</v>
      </c>
      <c r="M41" s="2"/>
    </row>
    <row r="42" spans="2:13" x14ac:dyDescent="0.25">
      <c r="B42" s="4">
        <f>+'[2]TCPJ19544251+1722281'!B31</f>
        <v>19</v>
      </c>
      <c r="C42" s="13">
        <f>+'[2]TCPJ19544251+1722281'!C31</f>
        <v>43325</v>
      </c>
      <c r="D42" s="15">
        <f>+'[2]TCPJ19544251+1722281'!D31</f>
        <v>0.81929398148148147</v>
      </c>
      <c r="E42" s="4">
        <f>+'[2]TCPJ19544251+1722281'!E31</f>
        <v>2458344.3700999999</v>
      </c>
      <c r="F42" s="4" t="str">
        <f>+'[2]TCPJ19544251+1722281'!F31</f>
        <v>BER</v>
      </c>
      <c r="G42" s="4" t="str">
        <f>+'[2]TCPJ19544251+1722281'!G31</f>
        <v>BVO-IT</v>
      </c>
      <c r="H42" s="4" t="str">
        <f>+'[2]TCPJ19544251+1722281'!H31</f>
        <v>SC9+LHIREIII_600+SXVR-H694</v>
      </c>
      <c r="I42" s="4">
        <f>+'[2]TCPJ19544251+1722281'!I31</f>
        <v>2084</v>
      </c>
      <c r="J42" s="4">
        <f>+'[2]TCPJ19544251+1722281'!J31</f>
        <v>0</v>
      </c>
      <c r="K42" s="4">
        <f>+'[2]TCPJ19544251+1722281'!K31</f>
        <v>0</v>
      </c>
      <c r="L42" s="4">
        <f>+'[2]TCPJ19544251+1722281'!$M31</f>
        <v>0</v>
      </c>
      <c r="M42" s="2"/>
    </row>
    <row r="43" spans="2:13" x14ac:dyDescent="0.25">
      <c r="B43" s="4">
        <f>+'[2]TCPJ19544251+1722281'!B32</f>
        <v>20</v>
      </c>
      <c r="C43" s="13">
        <f>+'[2]TCPJ19544251+1722281'!C32</f>
        <v>43325</v>
      </c>
      <c r="D43" s="15">
        <f>+'[2]TCPJ19544251+1722281'!D32</f>
        <v>0.91085648148148157</v>
      </c>
      <c r="E43" s="4">
        <f>+'[2]TCPJ19544251+1722281'!E32</f>
        <v>2458344.4336000001</v>
      </c>
      <c r="F43" s="4" t="str">
        <f>+'[2]TCPJ19544251+1722281'!F32</f>
        <v>CBO</v>
      </c>
      <c r="G43" s="4" t="str">
        <f>+'[2]TCPJ19544251+1722281'!G32</f>
        <v>OCT-FR</v>
      </c>
      <c r="H43" s="4" t="str">
        <f>+'[2]TCPJ19544251+1722281'!H32</f>
        <v>N200+Alpy600</v>
      </c>
      <c r="I43" s="4">
        <f>+'[2]TCPJ19544251+1722281'!I32</f>
        <v>504</v>
      </c>
      <c r="J43" s="4">
        <f>+'[2]TCPJ19544251+1722281'!J32</f>
        <v>0</v>
      </c>
      <c r="K43" s="4">
        <f>+'[2]TCPJ19544251+1722281'!K32</f>
        <v>0</v>
      </c>
      <c r="L43" s="4">
        <f>+'[2]TCPJ19544251+1722281'!$M32</f>
        <v>0</v>
      </c>
      <c r="M43" s="2"/>
    </row>
    <row r="44" spans="2:13" x14ac:dyDescent="0.25">
      <c r="B44" s="4">
        <f>+'[2]TCPJ19544251+1722281'!B33</f>
        <v>21</v>
      </c>
      <c r="C44" s="13">
        <f>+'[2]TCPJ19544251+1722281'!C33</f>
        <v>43325</v>
      </c>
      <c r="D44" s="15">
        <f>+'[2]TCPJ19544251+1722281'!D33</f>
        <v>0.92355324074074074</v>
      </c>
      <c r="E44" s="4">
        <f>+'[2]TCPJ19544251+1722281'!E33</f>
        <v>2458344.4588000001</v>
      </c>
      <c r="F44" s="4" t="str">
        <f>+'[2]TCPJ19544251+1722281'!F33</f>
        <v>DPV</v>
      </c>
      <c r="G44" s="4" t="str">
        <f>+'[2]TCPJ19544251+1722281'!G33</f>
        <v>KOL-SK</v>
      </c>
      <c r="H44" s="4" t="str">
        <f>+'[2]TCPJ19544251+1722281'!H33</f>
        <v>C11+LISA+ATIK460EX</v>
      </c>
      <c r="I44" s="4">
        <f>+'[2]TCPJ19544251+1722281'!I33</f>
        <v>599</v>
      </c>
      <c r="J44" s="4">
        <f>+'[2]TCPJ19544251+1722281'!J33</f>
        <v>0</v>
      </c>
      <c r="K44" s="4">
        <f>+'[2]TCPJ19544251+1722281'!K33</f>
        <v>0</v>
      </c>
      <c r="L44" s="4">
        <f>+'[2]TCPJ19544251+1722281'!$M33</f>
        <v>0</v>
      </c>
      <c r="M44" s="2"/>
    </row>
    <row r="45" spans="2:13" x14ac:dyDescent="0.25">
      <c r="B45" s="4">
        <f>+'[2]TCPJ19544251+1722281'!B34</f>
        <v>22</v>
      </c>
      <c r="C45" s="13">
        <f>+'[2]TCPJ19544251+1722281'!C34</f>
        <v>43327</v>
      </c>
      <c r="D45" s="15">
        <f>+'[2]TCPJ19544251+1722281'!D34</f>
        <v>0.85246527777777781</v>
      </c>
      <c r="E45" s="4">
        <f>+'[2]TCPJ19544251+1722281'!E34</f>
        <v>2458346.4221000001</v>
      </c>
      <c r="F45" s="4" t="str">
        <f>+'[2]TCPJ19544251+1722281'!F34</f>
        <v>OGA</v>
      </c>
      <c r="G45" s="4" t="str">
        <f>+'[2]TCPJ19544251+1722281'!G34</f>
        <v>OTO-FR</v>
      </c>
      <c r="H45" s="4" t="str">
        <f>+'[2]TCPJ19544251+1722281'!H34</f>
        <v>RC400+eShel+ATIK460EX</v>
      </c>
      <c r="I45" s="4">
        <f>+'[2]TCPJ19544251+1722281'!I34</f>
        <v>11000</v>
      </c>
      <c r="J45" s="4">
        <f>+'[2]TCPJ19544251+1722281'!J34</f>
        <v>0</v>
      </c>
      <c r="K45" s="4">
        <f>+'[2]TCPJ19544251+1722281'!K34</f>
        <v>0</v>
      </c>
      <c r="L45" s="4">
        <f>+'[2]TCPJ19544251+1722281'!$M34</f>
        <v>0</v>
      </c>
      <c r="M45" s="2"/>
    </row>
    <row r="46" spans="2:13" x14ac:dyDescent="0.25">
      <c r="B46" s="4">
        <f>+'[2]TCPJ19544251+1722281'!B35</f>
        <v>23</v>
      </c>
      <c r="C46" s="13">
        <f>+'[2]TCPJ19544251+1722281'!C35</f>
        <v>43327</v>
      </c>
      <c r="D46" s="15">
        <f>+'[2]TCPJ19544251+1722281'!D35</f>
        <v>0.8881134259259259</v>
      </c>
      <c r="E46" s="4">
        <f>+'[2]TCPJ19544251+1722281'!E35</f>
        <v>2458346.4142999998</v>
      </c>
      <c r="F46" s="4" t="str">
        <f>+'[2]TCPJ19544251+1722281'!F35</f>
        <v>CBO</v>
      </c>
      <c r="G46" s="4" t="str">
        <f>+'[2]TCPJ19544251+1722281'!G35</f>
        <v>OCT-FR</v>
      </c>
      <c r="H46" s="4" t="str">
        <f>+'[2]TCPJ19544251+1722281'!H35</f>
        <v>N200+Alpy600</v>
      </c>
      <c r="I46" s="4">
        <f>+'[2]TCPJ19544251+1722281'!I35</f>
        <v>505</v>
      </c>
      <c r="J46" s="4">
        <f>+'[2]TCPJ19544251+1722281'!J35</f>
        <v>0</v>
      </c>
      <c r="K46" s="4">
        <f>+'[2]TCPJ19544251+1722281'!K35</f>
        <v>0</v>
      </c>
      <c r="L46" s="4">
        <f>+'[2]TCPJ19544251+1722281'!$M35</f>
        <v>0</v>
      </c>
      <c r="M46" s="2"/>
    </row>
    <row r="47" spans="2:13" x14ac:dyDescent="0.25">
      <c r="B47" s="4">
        <f>+'[2]TCPJ19544251+1722281'!B36</f>
        <v>24</v>
      </c>
      <c r="C47" s="13">
        <f>+'[2]TCPJ19544251+1722281'!C36</f>
        <v>43328</v>
      </c>
      <c r="D47" s="15">
        <f>+'[2]TCPJ19544251+1722281'!D36</f>
        <v>0.87464120370370368</v>
      </c>
      <c r="E47" s="4">
        <f>+'[2]TCPJ19544251+1722281'!E36</f>
        <v>2458347.3977000001</v>
      </c>
      <c r="F47" s="4" t="str">
        <f>+'[2]TCPJ19544251+1722281'!F36</f>
        <v>DBO</v>
      </c>
      <c r="G47" s="4" t="str">
        <f>+'[2]TCPJ19544251+1722281'!G36</f>
        <v>WCO-UK</v>
      </c>
      <c r="H47" s="4" t="str">
        <f>+'[2]TCPJ19544251+1722281'!H36</f>
        <v>C11+Lisa+SXVR-H694</v>
      </c>
      <c r="I47" s="4">
        <f>+'[2]TCPJ19544251+1722281'!I36</f>
        <v>1070</v>
      </c>
      <c r="J47" s="4">
        <f>+'[2]TCPJ19544251+1722281'!J36</f>
        <v>0</v>
      </c>
      <c r="K47" s="4">
        <f>+'[2]TCPJ19544251+1722281'!K36</f>
        <v>0</v>
      </c>
      <c r="L47" s="4">
        <f>+'[2]TCPJ19544251+1722281'!$M36</f>
        <v>0</v>
      </c>
      <c r="M47" s="2"/>
    </row>
    <row r="48" spans="2:13" x14ac:dyDescent="0.25">
      <c r="B48" s="4">
        <f>+'[2]TCPJ19544251+1722281'!B37</f>
        <v>25</v>
      </c>
      <c r="C48" s="13">
        <f>+'[2]TCPJ19544251+1722281'!C37</f>
        <v>43328</v>
      </c>
      <c r="D48" s="15">
        <f>+'[2]TCPJ19544251+1722281'!D37</f>
        <v>0.88148148148148142</v>
      </c>
      <c r="E48" s="4">
        <f>+'[2]TCPJ19544251+1722281'!E37</f>
        <v>2458347.4095999999</v>
      </c>
      <c r="F48" s="4" t="str">
        <f>+'[2]TCPJ19544251+1722281'!F37</f>
        <v>DPV</v>
      </c>
      <c r="G48" s="4" t="str">
        <f>+'[2]TCPJ19544251+1722281'!G37</f>
        <v>KOL-SK</v>
      </c>
      <c r="H48" s="4" t="str">
        <f>+'[2]TCPJ19544251+1722281'!H37</f>
        <v>C11+LISA+ATIK460EX</v>
      </c>
      <c r="I48" s="4">
        <f>+'[2]TCPJ19544251+1722281'!I37</f>
        <v>573</v>
      </c>
      <c r="J48" s="4">
        <f>+'[2]TCPJ19544251+1722281'!J37</f>
        <v>0</v>
      </c>
      <c r="K48" s="4">
        <f>+'[2]TCPJ19544251+1722281'!K37</f>
        <v>0</v>
      </c>
      <c r="L48" s="4">
        <f>+'[2]TCPJ19544251+1722281'!$M37</f>
        <v>0</v>
      </c>
      <c r="M48" s="2"/>
    </row>
    <row r="49" spans="2:13" x14ac:dyDescent="0.25">
      <c r="B49" s="4">
        <f>+'[2]TCPJ19544251+1722281'!B38</f>
        <v>26</v>
      </c>
      <c r="C49" s="13">
        <f>+'[2]TCPJ19544251+1722281'!C38</f>
        <v>43329</v>
      </c>
      <c r="D49" s="15">
        <f>+'[2]TCPJ19544251+1722281'!D38</f>
        <v>6.957175925925925E-2</v>
      </c>
      <c r="E49" s="4">
        <f>+'[2]TCPJ19544251+1722281'!E38</f>
        <v>2458347.6264</v>
      </c>
      <c r="F49" s="4" t="str">
        <f>+'[2]TCPJ19544251+1722281'!F38</f>
        <v>LES</v>
      </c>
      <c r="G49" s="4" t="str">
        <f>+'[2]TCPJ19544251+1722281'!G38</f>
        <v>MRO-CA</v>
      </c>
      <c r="H49" s="4" t="str">
        <f>+'[2]TCPJ19544251+1722281'!H38</f>
        <v>DK310+Echelle_ESSAT</v>
      </c>
      <c r="I49" s="4">
        <f>+'[2]TCPJ19544251+1722281'!I38</f>
        <v>12000</v>
      </c>
      <c r="J49" s="4">
        <f>+'[2]TCPJ19544251+1722281'!J38</f>
        <v>0</v>
      </c>
      <c r="K49" s="4">
        <f>+'[2]TCPJ19544251+1722281'!K38</f>
        <v>0</v>
      </c>
      <c r="L49" s="4">
        <f>+'[2]TCPJ19544251+1722281'!$M38</f>
        <v>0</v>
      </c>
      <c r="M49" s="2"/>
    </row>
    <row r="50" spans="2:13" x14ac:dyDescent="0.25">
      <c r="B50" s="4">
        <f>+'[2]TCPJ19544251+1722281'!B39</f>
        <v>27</v>
      </c>
      <c r="C50" s="13">
        <f>+'[2]TCPJ19544251+1722281'!C39</f>
        <v>43329</v>
      </c>
      <c r="D50" s="15">
        <f>+'[2]TCPJ19544251+1722281'!D39</f>
        <v>0.85590277777777779</v>
      </c>
      <c r="E50" s="4">
        <f>+'[2]TCPJ19544251+1722281'!E39</f>
        <v>2458348.3627999998</v>
      </c>
      <c r="F50" s="4" t="str">
        <f>+'[2]TCPJ19544251+1722281'!F39</f>
        <v>PSO</v>
      </c>
      <c r="G50" s="4" t="str">
        <f>+'[2]TCPJ19544251+1722281'!G39</f>
        <v>TAT-HU</v>
      </c>
      <c r="H50" s="4" t="str">
        <f>+'[2]TCPJ19544251+1722281'!H39</f>
        <v>T300+LhiresIII_2400_35+ATIK428esm</v>
      </c>
      <c r="I50" s="4">
        <f>+'[2]TCPJ19544251+1722281'!I39</f>
        <v>8623</v>
      </c>
      <c r="J50" s="4">
        <f>+'[2]TCPJ19544251+1722281'!J39</f>
        <v>0</v>
      </c>
      <c r="K50" s="4">
        <f>+'[2]TCPJ19544251+1722281'!K39</f>
        <v>0</v>
      </c>
      <c r="L50" s="4">
        <f>+'[2]TCPJ19544251+1722281'!$M39</f>
        <v>0</v>
      </c>
      <c r="M50" s="2"/>
    </row>
    <row r="51" spans="2:13" x14ac:dyDescent="0.25">
      <c r="B51" s="4">
        <f>+'[2]TCPJ19544251+1722281'!B40</f>
        <v>28</v>
      </c>
      <c r="C51" s="13">
        <f>+'[2]TCPJ19544251+1722281'!C40</f>
        <v>43329</v>
      </c>
      <c r="D51" s="15">
        <f>+'[2]TCPJ19544251+1722281'!D40</f>
        <v>0.90244212962962955</v>
      </c>
      <c r="E51" s="4">
        <f>+'[2]TCPJ19544251+1722281'!E40</f>
        <v>2458348.4271</v>
      </c>
      <c r="F51" s="4" t="str">
        <f>+'[2]TCPJ19544251+1722281'!F40</f>
        <v>DPV</v>
      </c>
      <c r="G51" s="4" t="str">
        <f>+'[2]TCPJ19544251+1722281'!G40</f>
        <v>KOL-SK</v>
      </c>
      <c r="H51" s="4" t="str">
        <f>+'[2]TCPJ19544251+1722281'!H40</f>
        <v>C11+LISA+ATIK460EX</v>
      </c>
      <c r="I51" s="4">
        <f>+'[2]TCPJ19544251+1722281'!I40</f>
        <v>595</v>
      </c>
      <c r="J51" s="4">
        <f>+'[2]TCPJ19544251+1722281'!J40</f>
        <v>0</v>
      </c>
      <c r="K51" s="4">
        <f>+'[2]TCPJ19544251+1722281'!K40</f>
        <v>0</v>
      </c>
      <c r="L51" s="4">
        <f>+'[2]TCPJ19544251+1722281'!$M40</f>
        <v>0</v>
      </c>
      <c r="M51" s="2"/>
    </row>
    <row r="52" spans="2:13" x14ac:dyDescent="0.25">
      <c r="B52" s="4">
        <f>+'[2]TCPJ19544251+1722281'!B41</f>
        <v>29</v>
      </c>
      <c r="C52" s="13">
        <f>+'[2]TCPJ19544251+1722281'!C41</f>
        <v>43330</v>
      </c>
      <c r="D52" s="15">
        <f>+'[2]TCPJ19544251+1722281'!D41</f>
        <v>0.8442708333333333</v>
      </c>
      <c r="E52" s="4">
        <f>+'[2]TCPJ19544251+1722281'!E41</f>
        <v>2458349.3297999999</v>
      </c>
      <c r="F52" s="4" t="str">
        <f>+'[2]TCPJ19544251+1722281'!F41</f>
        <v>PSO</v>
      </c>
      <c r="G52" s="4" t="str">
        <f>+'[2]TCPJ19544251+1722281'!G41</f>
        <v>TAT-HU</v>
      </c>
      <c r="H52" s="4" t="str">
        <f>+'[2]TCPJ19544251+1722281'!H41</f>
        <v>T300+LhiresIII_2400_35+ATIK428esm</v>
      </c>
      <c r="I52" s="4">
        <f>+'[2]TCPJ19544251+1722281'!I41</f>
        <v>8125</v>
      </c>
      <c r="J52" s="4">
        <f>+'[2]TCPJ19544251+1722281'!J41</f>
        <v>0</v>
      </c>
      <c r="K52" s="4">
        <f>+'[2]TCPJ19544251+1722281'!K41</f>
        <v>0</v>
      </c>
      <c r="L52" s="4">
        <f>+'[2]TCPJ19544251+1722281'!$M41</f>
        <v>0</v>
      </c>
      <c r="M52" s="2"/>
    </row>
    <row r="53" spans="2:13" x14ac:dyDescent="0.25">
      <c r="B53" s="4">
        <f>+'[2]TCPJ19544251+1722281'!B42</f>
        <v>30</v>
      </c>
      <c r="C53" s="13">
        <f>+'[2]TCPJ19544251+1722281'!C42</f>
        <v>43330</v>
      </c>
      <c r="D53" s="15">
        <f>+'[2]TCPJ19544251+1722281'!D42</f>
        <v>0.87306712962962962</v>
      </c>
      <c r="E53" s="4">
        <f>+'[2]TCPJ19544251+1722281'!E42</f>
        <v>2458349.4082999998</v>
      </c>
      <c r="F53" s="4" t="str">
        <f>+'[2]TCPJ19544251+1722281'!F42</f>
        <v>DPV</v>
      </c>
      <c r="G53" s="4" t="str">
        <f>+'[2]TCPJ19544251+1722281'!G42</f>
        <v>KOL-SK</v>
      </c>
      <c r="H53" s="4" t="str">
        <f>+'[2]TCPJ19544251+1722281'!H42</f>
        <v>C11+LISA+ATIK460EX</v>
      </c>
      <c r="I53" s="4">
        <f>+'[2]TCPJ19544251+1722281'!I42</f>
        <v>607</v>
      </c>
      <c r="J53" s="4">
        <f>+'[2]TCPJ19544251+1722281'!J42</f>
        <v>0</v>
      </c>
      <c r="K53" s="4">
        <f>+'[2]TCPJ19544251+1722281'!K42</f>
        <v>0</v>
      </c>
      <c r="L53" s="4">
        <f>+'[2]TCPJ19544251+1722281'!$M42</f>
        <v>0</v>
      </c>
      <c r="M53" s="2"/>
    </row>
    <row r="54" spans="2:13" x14ac:dyDescent="0.25">
      <c r="B54" s="4">
        <f>+'[2]TCPJ19544251+1722281'!B43</f>
        <v>31</v>
      </c>
      <c r="C54" s="13">
        <f>+'[2]TCPJ19544251+1722281'!C43</f>
        <v>43330</v>
      </c>
      <c r="D54" s="15">
        <f>+'[2]TCPJ19544251+1722281'!D43</f>
        <v>0.89577546296296295</v>
      </c>
      <c r="E54" s="4">
        <f>+'[2]TCPJ19544251+1722281'!E43</f>
        <v>2458349.4237000002</v>
      </c>
      <c r="F54" s="4" t="str">
        <f>+'[2]TCPJ19544251+1722281'!F43</f>
        <v>CBO</v>
      </c>
      <c r="G54" s="4" t="str">
        <f>+'[2]TCPJ19544251+1722281'!G43</f>
        <v>OCT-FR</v>
      </c>
      <c r="H54" s="4" t="str">
        <f>+'[2]TCPJ19544251+1722281'!H43</f>
        <v>N200+Alpy600</v>
      </c>
      <c r="I54" s="4">
        <f>+'[2]TCPJ19544251+1722281'!I43</f>
        <v>509</v>
      </c>
      <c r="J54" s="4">
        <f>+'[2]TCPJ19544251+1722281'!J43</f>
        <v>0</v>
      </c>
      <c r="K54" s="4">
        <f>+'[2]TCPJ19544251+1722281'!K43</f>
        <v>0</v>
      </c>
      <c r="L54" s="4">
        <f>+'[2]TCPJ19544251+1722281'!$M43</f>
        <v>0</v>
      </c>
      <c r="M54" s="2"/>
    </row>
    <row r="55" spans="2:13" x14ac:dyDescent="0.25">
      <c r="B55" s="4">
        <f>+'[2]TCPJ19544251+1722281'!B44</f>
        <v>32</v>
      </c>
      <c r="C55" s="13">
        <f>+'[2]TCPJ19544251+1722281'!C44</f>
        <v>43330</v>
      </c>
      <c r="D55" s="15">
        <f>+'[2]TCPJ19544251+1722281'!D44</f>
        <v>0.91949074074074078</v>
      </c>
      <c r="E55" s="4">
        <f>+'[2]TCPJ19544251+1722281'!E44</f>
        <v>2458349.4051000001</v>
      </c>
      <c r="F55" s="4" t="str">
        <f>+'[2]TCPJ19544251+1722281'!F44</f>
        <v>PSO</v>
      </c>
      <c r="G55" s="4" t="str">
        <f>+'[2]TCPJ19544251+1722281'!G44</f>
        <v>TAT-HU</v>
      </c>
      <c r="H55" s="4" t="str">
        <f>+'[2]TCPJ19544251+1722281'!H44</f>
        <v>T300+LhiresIII_2400_35+ATIK428esm</v>
      </c>
      <c r="I55" s="4">
        <f>+'[2]TCPJ19544251+1722281'!I44</f>
        <v>9376</v>
      </c>
      <c r="J55" s="4">
        <f>+'[2]TCPJ19544251+1722281'!J44</f>
        <v>0</v>
      </c>
      <c r="K55" s="4">
        <f>+'[2]TCPJ19544251+1722281'!K44</f>
        <v>0</v>
      </c>
      <c r="L55" s="4">
        <f>+'[2]TCPJ19544251+1722281'!$M44</f>
        <v>0</v>
      </c>
      <c r="M55" s="2"/>
    </row>
    <row r="56" spans="2:13" x14ac:dyDescent="0.25">
      <c r="B56" s="4">
        <f>+'[2]TCPJ19544251+1722281'!B45</f>
        <v>33</v>
      </c>
      <c r="C56" s="13">
        <f>+'[2]TCPJ19544251+1722281'!C45</f>
        <v>43331</v>
      </c>
      <c r="D56" s="15">
        <f>+'[2]TCPJ19544251+1722281'!D45</f>
        <v>0.89282407407407405</v>
      </c>
      <c r="E56" s="4">
        <f>+'[2]TCPJ19544251+1722281'!E45</f>
        <v>2458350.3783999998</v>
      </c>
      <c r="F56" s="4" t="str">
        <f>+'[2]TCPJ19544251+1722281'!F45</f>
        <v>PSO</v>
      </c>
      <c r="G56" s="4" t="str">
        <f>+'[2]TCPJ19544251+1722281'!G45</f>
        <v>TAT-HU</v>
      </c>
      <c r="H56" s="4" t="str">
        <f>+'[2]TCPJ19544251+1722281'!H45</f>
        <v>T300+LhiresIII_2400_35+ATIK428esm</v>
      </c>
      <c r="I56" s="4">
        <f>+'[2]TCPJ19544251+1722281'!I45</f>
        <v>8390</v>
      </c>
      <c r="J56" s="4">
        <f>+'[2]TCPJ19544251+1722281'!J45</f>
        <v>0</v>
      </c>
      <c r="K56" s="4">
        <f>+'[2]TCPJ19544251+1722281'!K45</f>
        <v>0</v>
      </c>
      <c r="L56" s="4">
        <f>+'[2]TCPJ19544251+1722281'!$M45</f>
        <v>0</v>
      </c>
      <c r="M56" s="2"/>
    </row>
    <row r="57" spans="2:13" x14ac:dyDescent="0.25">
      <c r="B57" s="4">
        <f>+'[2]TCPJ19544251+1722281'!B46</f>
        <v>34</v>
      </c>
      <c r="C57" s="13">
        <f>+'[2]TCPJ19544251+1722281'!C46</f>
        <v>43331</v>
      </c>
      <c r="D57" s="15">
        <f>+'[2]TCPJ19544251+1722281'!D46</f>
        <v>0.9412962962962963</v>
      </c>
      <c r="E57" s="4">
        <f>+'[2]TCPJ19544251+1722281'!E46</f>
        <v>2458350.4764999999</v>
      </c>
      <c r="F57" s="4" t="str">
        <f>+'[2]TCPJ19544251+1722281'!F46</f>
        <v>DPV</v>
      </c>
      <c r="G57" s="4" t="str">
        <f>+'[2]TCPJ19544251+1722281'!G46</f>
        <v>KOL-SK</v>
      </c>
      <c r="H57" s="4" t="str">
        <f>+'[2]TCPJ19544251+1722281'!H46</f>
        <v>C11+LISA+ATIK460EX</v>
      </c>
      <c r="I57" s="4">
        <f>+'[2]TCPJ19544251+1722281'!I46</f>
        <v>564</v>
      </c>
      <c r="J57" s="4">
        <f>+'[2]TCPJ19544251+1722281'!J46</f>
        <v>0</v>
      </c>
      <c r="K57" s="4">
        <f>+'[2]TCPJ19544251+1722281'!K46</f>
        <v>0</v>
      </c>
      <c r="L57" s="4">
        <f>+'[2]TCPJ19544251+1722281'!$M46</f>
        <v>0</v>
      </c>
      <c r="M57" s="2"/>
    </row>
    <row r="58" spans="2:13" x14ac:dyDescent="0.25">
      <c r="B58" s="4">
        <f>+'[2]TCPJ19544251+1722281'!B47</f>
        <v>35</v>
      </c>
      <c r="C58" s="13">
        <f>+'[2]TCPJ19544251+1722281'!C47</f>
        <v>43332</v>
      </c>
      <c r="D58" s="15">
        <f>+'[2]TCPJ19544251+1722281'!D47</f>
        <v>6.0138888888888888E-2</v>
      </c>
      <c r="E58" s="4">
        <f>+'[2]TCPJ19544251+1722281'!E47</f>
        <v>2458350.6241000001</v>
      </c>
      <c r="F58" s="4" t="str">
        <f>+'[2]TCPJ19544251+1722281'!F47</f>
        <v>LES</v>
      </c>
      <c r="G58" s="4" t="str">
        <f>+'[2]TCPJ19544251+1722281'!G47</f>
        <v>MRO-CA</v>
      </c>
      <c r="H58" s="4" t="str">
        <f>+'[2]TCPJ19544251+1722281'!H47</f>
        <v>DK310+Echelle_ESSAT</v>
      </c>
      <c r="I58" s="4">
        <f>+'[2]TCPJ19544251+1722281'!I47</f>
        <v>12000</v>
      </c>
      <c r="J58" s="4">
        <f>+'[2]TCPJ19544251+1722281'!J47</f>
        <v>0</v>
      </c>
      <c r="K58" s="4">
        <f>+'[2]TCPJ19544251+1722281'!K47</f>
        <v>0</v>
      </c>
      <c r="L58" s="4">
        <f>+'[2]TCPJ19544251+1722281'!$M47</f>
        <v>0</v>
      </c>
      <c r="M58" s="2"/>
    </row>
    <row r="59" spans="2:13" x14ac:dyDescent="0.25">
      <c r="B59" s="4">
        <f>+'[2]TCPJ19544251+1722281'!B48</f>
        <v>36</v>
      </c>
      <c r="C59" s="13">
        <f>+'[2]TCPJ19544251+1722281'!C48</f>
        <v>43332</v>
      </c>
      <c r="D59" s="15">
        <f>+'[2]TCPJ19544251+1722281'!D48</f>
        <v>0.10902777777777778</v>
      </c>
      <c r="E59" s="4">
        <f>+'[2]TCPJ19544251+1722281'!E48</f>
        <v>2458350.63</v>
      </c>
      <c r="F59" s="4" t="str">
        <f>+'[2]TCPJ19544251+1722281'!F48</f>
        <v>GKA</v>
      </c>
      <c r="G59" s="4" t="str">
        <f>+'[2]TCPJ19544251+1722281'!G48</f>
        <v>MAN-US</v>
      </c>
      <c r="H59" s="4" t="str">
        <f>+'[2]TCPJ19544251+1722281'!H48</f>
        <v>SC10"+Alpy600+ATIK314L</v>
      </c>
      <c r="I59" s="4">
        <f>+'[2]TCPJ19544251+1722281'!I48</f>
        <v>560</v>
      </c>
      <c r="J59" s="4">
        <f>+'[2]TCPJ19544251+1722281'!J48</f>
        <v>0</v>
      </c>
      <c r="K59" s="4">
        <f>+'[2]TCPJ19544251+1722281'!K48</f>
        <v>0</v>
      </c>
      <c r="L59" s="4">
        <f>+'[2]TCPJ19544251+1722281'!$M48</f>
        <v>0</v>
      </c>
      <c r="M59" s="2"/>
    </row>
    <row r="60" spans="2:13" x14ac:dyDescent="0.25">
      <c r="B60" s="4">
        <f>+'[2]TCPJ19544251+1722281'!B49</f>
        <v>37</v>
      </c>
      <c r="C60" s="13">
        <f>+'[2]TCPJ19544251+1722281'!C49</f>
        <v>43332</v>
      </c>
      <c r="D60" s="15">
        <f>+'[2]TCPJ19544251+1722281'!D49</f>
        <v>0.82234953703703706</v>
      </c>
      <c r="E60" s="4">
        <f>+'[2]TCPJ19544251+1722281'!E49</f>
        <v>2458351.3292999999</v>
      </c>
      <c r="F60" s="4" t="str">
        <f>+'[2]TCPJ19544251+1722281'!F49</f>
        <v>PSO</v>
      </c>
      <c r="G60" s="4" t="str">
        <f>+'[2]TCPJ19544251+1722281'!G49</f>
        <v>TAT-HU</v>
      </c>
      <c r="H60" s="4" t="str">
        <f>+'[2]TCPJ19544251+1722281'!H49</f>
        <v>T300+LhiresIII_2400_35+ATIK428esm</v>
      </c>
      <c r="I60" s="4">
        <f>+'[2]TCPJ19544251+1722281'!I49</f>
        <v>6882</v>
      </c>
      <c r="J60" s="4">
        <f>+'[2]TCPJ19544251+1722281'!J49</f>
        <v>0</v>
      </c>
      <c r="K60" s="4">
        <f>+'[2]TCPJ19544251+1722281'!K49</f>
        <v>0</v>
      </c>
      <c r="L60" s="4">
        <f>+'[2]TCPJ19544251+1722281'!$M49</f>
        <v>0</v>
      </c>
      <c r="M60" s="2"/>
    </row>
    <row r="61" spans="2:13" x14ac:dyDescent="0.25">
      <c r="B61" s="4">
        <f>+'[2]TCPJ19544251+1722281'!B50</f>
        <v>38</v>
      </c>
      <c r="C61" s="13">
        <f>+'[2]TCPJ19544251+1722281'!C50</f>
        <v>43332</v>
      </c>
      <c r="D61" s="15">
        <f>+'[2]TCPJ19544251+1722281'!D50</f>
        <v>0.87202546296296291</v>
      </c>
      <c r="E61" s="4">
        <f>+'[2]TCPJ19544251+1722281'!E50</f>
        <v>2458351.372</v>
      </c>
      <c r="F61" s="4" t="str">
        <f>+'[2]TCPJ19544251+1722281'!F50</f>
        <v>PSO</v>
      </c>
      <c r="G61" s="4" t="str">
        <f>+'[2]TCPJ19544251+1722281'!G50</f>
        <v>TAT-HU</v>
      </c>
      <c r="H61" s="4" t="str">
        <f>+'[2]TCPJ19544251+1722281'!H50</f>
        <v>T300+LhiresIII_2400_35+ATIK428esm</v>
      </c>
      <c r="I61" s="4">
        <f>+'[2]TCPJ19544251+1722281'!I50</f>
        <v>9057</v>
      </c>
      <c r="J61" s="4">
        <f>+'[2]TCPJ19544251+1722281'!J50</f>
        <v>0</v>
      </c>
      <c r="K61" s="4">
        <f>+'[2]TCPJ19544251+1722281'!K50</f>
        <v>0</v>
      </c>
      <c r="L61" s="4">
        <f>+'[2]TCPJ19544251+1722281'!$M50</f>
        <v>0</v>
      </c>
      <c r="M61" s="2"/>
    </row>
    <row r="62" spans="2:13" x14ac:dyDescent="0.25">
      <c r="B62" s="4">
        <f>+'[2]TCPJ19544251+1722281'!B51</f>
        <v>39</v>
      </c>
      <c r="C62" s="13">
        <f>+'[2]TCPJ19544251+1722281'!C51</f>
        <v>43332</v>
      </c>
      <c r="D62" s="15">
        <f>+'[2]TCPJ19544251+1722281'!D51</f>
        <v>0.92254629629629636</v>
      </c>
      <c r="E62" s="4">
        <f>+'[2]TCPJ19544251+1722281'!E51</f>
        <v>2458351.4578</v>
      </c>
      <c r="F62" s="4" t="str">
        <f>+'[2]TCPJ19544251+1722281'!F51</f>
        <v>DPV</v>
      </c>
      <c r="G62" s="4" t="str">
        <f>+'[2]TCPJ19544251+1722281'!G51</f>
        <v>KOL-SK</v>
      </c>
      <c r="H62" s="4" t="str">
        <f>+'[2]TCPJ19544251+1722281'!H51</f>
        <v>C11+LISA+ATIK460EX</v>
      </c>
      <c r="I62" s="4">
        <f>+'[2]TCPJ19544251+1722281'!I51</f>
        <v>576</v>
      </c>
      <c r="J62" s="4">
        <f>+'[2]TCPJ19544251+1722281'!J51</f>
        <v>0</v>
      </c>
      <c r="K62" s="4">
        <f>+'[2]TCPJ19544251+1722281'!K51</f>
        <v>0</v>
      </c>
      <c r="L62" s="4">
        <f>+'[2]TCPJ19544251+1722281'!$M51</f>
        <v>0</v>
      </c>
      <c r="M62" s="2"/>
    </row>
    <row r="63" spans="2:13" x14ac:dyDescent="0.25">
      <c r="B63" s="4">
        <f>+'[2]TCPJ19544251+1722281'!B52</f>
        <v>40</v>
      </c>
      <c r="C63" s="13">
        <f>+'[2]TCPJ19544251+1722281'!C52</f>
        <v>43337</v>
      </c>
      <c r="D63" s="15">
        <f>+'[2]TCPJ19544251+1722281'!D52</f>
        <v>0.91266203703703708</v>
      </c>
      <c r="E63" s="4">
        <f>+'[2]TCPJ19544251+1722281'!E52</f>
        <v>2458356.4301</v>
      </c>
      <c r="F63" s="4" t="str">
        <f>+'[2]TCPJ19544251+1722281'!F52</f>
        <v>CBO</v>
      </c>
      <c r="G63" s="4" t="str">
        <f>+'[2]TCPJ19544251+1722281'!G52</f>
        <v>OCT-FR</v>
      </c>
      <c r="H63" s="4" t="str">
        <f>+'[2]TCPJ19544251+1722281'!H52</f>
        <v>N200+Alpy600</v>
      </c>
      <c r="I63" s="4">
        <f>+'[2]TCPJ19544251+1722281'!I52</f>
        <v>523</v>
      </c>
      <c r="J63" s="4">
        <f>+'[2]TCPJ19544251+1722281'!J52</f>
        <v>0</v>
      </c>
      <c r="K63" s="4">
        <f>+'[2]TCPJ19544251+1722281'!K52</f>
        <v>0</v>
      </c>
      <c r="L63" s="4">
        <f>+'[2]TCPJ19544251+1722281'!$M52</f>
        <v>0</v>
      </c>
      <c r="M63" s="2"/>
    </row>
    <row r="64" spans="2:13" x14ac:dyDescent="0.25">
      <c r="B64" s="4">
        <f>+'[2]TCPJ19544251+1722281'!B53</f>
        <v>41</v>
      </c>
      <c r="C64" s="13">
        <f>+'[2]TCPJ19544251+1722281'!C53</f>
        <v>43340</v>
      </c>
      <c r="D64" s="15">
        <f>+'[2]TCPJ19544251+1722281'!D53</f>
        <v>0.79483796296296294</v>
      </c>
      <c r="E64" s="4">
        <f>+'[2]TCPJ19544251+1722281'!E53</f>
        <v>2458359.3399</v>
      </c>
      <c r="F64" s="4" t="str">
        <f>+'[2]TCPJ19544251+1722281'!F53</f>
        <v>BER</v>
      </c>
      <c r="G64" s="4" t="str">
        <f>+'[2]TCPJ19544251+1722281'!G53</f>
        <v>BVO-IT</v>
      </c>
      <c r="H64" s="4" t="str">
        <f>+'[2]TCPJ19544251+1722281'!H53</f>
        <v>SC9+LHIREIII_600+SXVR-H694</v>
      </c>
      <c r="I64" s="4">
        <f>+'[2]TCPJ19544251+1722281'!I53</f>
        <v>2095</v>
      </c>
      <c r="J64" s="4">
        <f>+'[2]TCPJ19544251+1722281'!J53</f>
        <v>0</v>
      </c>
      <c r="K64" s="4">
        <f>+'[2]TCPJ19544251+1722281'!K53</f>
        <v>0</v>
      </c>
      <c r="L64" s="4">
        <f>+'[2]TCPJ19544251+1722281'!$M53</f>
        <v>0</v>
      </c>
      <c r="M64" s="2"/>
    </row>
    <row r="65" spans="2:13" x14ac:dyDescent="0.25">
      <c r="B65" s="4">
        <f>+'[2]TCPJ19544251+1722281'!B54</f>
        <v>42</v>
      </c>
      <c r="C65" s="13">
        <f>+'[2]TCPJ19544251+1722281'!C54</f>
        <v>43340</v>
      </c>
      <c r="D65" s="15">
        <f>+'[2]TCPJ19544251+1722281'!D54</f>
        <v>0.85990740740740745</v>
      </c>
      <c r="E65" s="4">
        <f>+'[2]TCPJ19544251+1722281'!E54</f>
        <v>2458359.3807000001</v>
      </c>
      <c r="F65" s="4" t="str">
        <f>+'[2]TCPJ19544251+1722281'!F54</f>
        <v>FRA</v>
      </c>
      <c r="G65" s="4" t="str">
        <f>+'[2]TCPJ19544251+1722281'!G54</f>
        <v>BVO-IT</v>
      </c>
      <c r="H65" s="4" t="str">
        <f>+'[2]TCPJ19544251+1722281'!H54</f>
        <v>SC8_F/5+Alpy600</v>
      </c>
      <c r="I65" s="4">
        <f>+'[2]TCPJ19544251+1722281'!I54</f>
        <v>530</v>
      </c>
      <c r="J65" s="4">
        <f>+'[2]TCPJ19544251+1722281'!J54</f>
        <v>0</v>
      </c>
      <c r="K65" s="4">
        <f>+'[2]TCPJ19544251+1722281'!K54</f>
        <v>0</v>
      </c>
      <c r="L65" s="4">
        <f>+'[2]TCPJ19544251+1722281'!$M54</f>
        <v>0</v>
      </c>
      <c r="M65" s="2"/>
    </row>
    <row r="66" spans="2:13" x14ac:dyDescent="0.25">
      <c r="B66" s="4">
        <f>+'[2]TCPJ19544251+1722281'!B55</f>
        <v>43</v>
      </c>
      <c r="C66" s="13">
        <f>+'[2]TCPJ19544251+1722281'!C55</f>
        <v>43340</v>
      </c>
      <c r="D66" s="15">
        <f>+'[2]TCPJ19544251+1722281'!D55</f>
        <v>0.87898148148148147</v>
      </c>
      <c r="E66" s="4">
        <f>+'[2]TCPJ19544251+1722281'!E55</f>
        <v>2458359.4185000001</v>
      </c>
      <c r="F66" s="4" t="str">
        <f>+'[2]TCPJ19544251+1722281'!F55</f>
        <v>SOL</v>
      </c>
      <c r="G66" s="4" t="str">
        <f>+'[2]TCPJ19544251+1722281'!G55</f>
        <v>AQL-IT</v>
      </c>
      <c r="H66" s="4" t="str">
        <f>+'[2]TCPJ19544251+1722281'!H55</f>
        <v>SC9+Spectro_JGF1+SbigST-8300</v>
      </c>
      <c r="I66" s="4">
        <f>+'[2]TCPJ19544251+1722281'!I55</f>
        <v>7167</v>
      </c>
      <c r="J66" s="4">
        <f>+'[2]TCPJ19544251+1722281'!J55</f>
        <v>0</v>
      </c>
      <c r="K66" s="4">
        <f>+'[2]TCPJ19544251+1722281'!K55</f>
        <v>0</v>
      </c>
      <c r="L66" s="4">
        <f>+'[2]TCPJ19544251+1722281'!$M55</f>
        <v>0</v>
      </c>
      <c r="M66" s="2"/>
    </row>
    <row r="67" spans="2:13" x14ac:dyDescent="0.25">
      <c r="B67" s="4">
        <f>+'[2]TCPJ19544251+1722281'!B56</f>
        <v>44</v>
      </c>
      <c r="C67" s="13">
        <f>+'[2]TCPJ19544251+1722281'!C56</f>
        <v>43342</v>
      </c>
      <c r="D67" s="15">
        <f>+'[2]TCPJ19544251+1722281'!D56</f>
        <v>0.79214120370370367</v>
      </c>
      <c r="E67" s="4">
        <f>+'[2]TCPJ19544251+1722281'!E56</f>
        <v>2458361.3273999998</v>
      </c>
      <c r="F67" s="4" t="str">
        <f>+'[2]TCPJ19544251+1722281'!F56</f>
        <v>DPV</v>
      </c>
      <c r="G67" s="4" t="str">
        <f>+'[2]TCPJ19544251+1722281'!G56</f>
        <v>KOL-SK</v>
      </c>
      <c r="H67" s="4" t="str">
        <f>+'[2]TCPJ19544251+1722281'!H56</f>
        <v>C11+LISA+ATIK460EX</v>
      </c>
      <c r="I67" s="4">
        <f>+'[2]TCPJ19544251+1722281'!I56</f>
        <v>573</v>
      </c>
      <c r="J67" s="4">
        <f>+'[2]TCPJ19544251+1722281'!J56</f>
        <v>0</v>
      </c>
      <c r="K67" s="4">
        <f>+'[2]TCPJ19544251+1722281'!K56</f>
        <v>0</v>
      </c>
      <c r="L67" s="4">
        <f>+'[2]TCPJ19544251+1722281'!$M56</f>
        <v>0</v>
      </c>
      <c r="M67" s="2"/>
    </row>
    <row r="68" spans="2:13" x14ac:dyDescent="0.25">
      <c r="B68" s="4">
        <f>+'[2]TCPJ19544251+1722281'!B57</f>
        <v>45</v>
      </c>
      <c r="C68" s="13">
        <f>+'[2]TCPJ19544251+1722281'!C57</f>
        <v>43344</v>
      </c>
      <c r="D68" s="15">
        <f>+'[2]TCPJ19544251+1722281'!D57</f>
        <v>0.90001157407407406</v>
      </c>
      <c r="E68" s="4">
        <f>+'[2]TCPJ19544251+1722281'!E57</f>
        <v>2458363.4210000001</v>
      </c>
      <c r="F68" s="4" t="str">
        <f>+'[2]TCPJ19544251+1722281'!F57</f>
        <v>CBO</v>
      </c>
      <c r="G68" s="4" t="str">
        <f>+'[2]TCPJ19544251+1722281'!G57</f>
        <v>OCT-FR</v>
      </c>
      <c r="H68" s="4" t="str">
        <f>+'[2]TCPJ19544251+1722281'!H57</f>
        <v>N200+Alpy600</v>
      </c>
      <c r="I68" s="4">
        <f>+'[2]TCPJ19544251+1722281'!I57</f>
        <v>507</v>
      </c>
      <c r="J68" s="4">
        <f>+'[2]TCPJ19544251+1722281'!J57</f>
        <v>0</v>
      </c>
      <c r="K68" s="4">
        <f>+'[2]TCPJ19544251+1722281'!K57</f>
        <v>0</v>
      </c>
      <c r="L68" s="4">
        <f>+'[2]TCPJ19544251+1722281'!$M57</f>
        <v>0</v>
      </c>
      <c r="M68" s="2"/>
    </row>
    <row r="69" spans="2:13" x14ac:dyDescent="0.25">
      <c r="B69" s="4">
        <f>+'[2]TCPJ19544251+1722281'!B58</f>
        <v>46</v>
      </c>
      <c r="C69" s="13">
        <f>+'[2]TCPJ19544251+1722281'!C58</f>
        <v>43350</v>
      </c>
      <c r="D69" s="15">
        <f>+'[2]TCPJ19544251+1722281'!D58</f>
        <v>0.17761574074074074</v>
      </c>
      <c r="E69" s="4">
        <f>+'[2]TCPJ19544251+1722281'!E58</f>
        <v>2458368.6951000001</v>
      </c>
      <c r="F69" s="4" t="str">
        <f>+'[2]TCPJ19544251+1722281'!F58</f>
        <v>FAS</v>
      </c>
      <c r="G69" s="4" t="str">
        <f>+'[2]TCPJ19544251+1722281'!G58</f>
        <v>DCO-US</v>
      </c>
      <c r="H69" s="4" t="str">
        <f>+'[2]TCPJ19544251+1722281'!H58</f>
        <v>DK14+Lisa+ATIK414ex</v>
      </c>
      <c r="I69" s="4">
        <f>+'[2]TCPJ19544251+1722281'!I58</f>
        <v>1023</v>
      </c>
      <c r="J69" s="4">
        <f>+'[2]TCPJ19544251+1722281'!J58</f>
        <v>0</v>
      </c>
      <c r="K69" s="4">
        <f>+'[2]TCPJ19544251+1722281'!K58</f>
        <v>0</v>
      </c>
      <c r="L69" s="4">
        <f>+'[2]TCPJ19544251+1722281'!$M58</f>
        <v>0</v>
      </c>
      <c r="M69" s="2"/>
    </row>
    <row r="70" spans="2:13" x14ac:dyDescent="0.25">
      <c r="B70" s="4">
        <f>+'[2]TCPJ19544251+1722281'!B59</f>
        <v>47</v>
      </c>
      <c r="C70" s="13">
        <f>+'[2]TCPJ19544251+1722281'!C59</f>
        <v>43350</v>
      </c>
      <c r="D70" s="15">
        <f>+'[2]TCPJ19544251+1722281'!D59</f>
        <v>0.88619212962962957</v>
      </c>
      <c r="E70" s="4">
        <f>+'[2]TCPJ19544251+1722281'!E59</f>
        <v>2458369.4123999998</v>
      </c>
      <c r="F70" s="4" t="str">
        <f>+'[2]TCPJ19544251+1722281'!F59</f>
        <v>CBO</v>
      </c>
      <c r="G70" s="4" t="str">
        <f>+'[2]TCPJ19544251+1722281'!G59</f>
        <v>OCT-FR</v>
      </c>
      <c r="H70" s="4" t="str">
        <f>+'[2]TCPJ19544251+1722281'!H59</f>
        <v>N200+Alpy600</v>
      </c>
      <c r="I70" s="4">
        <f>+'[2]TCPJ19544251+1722281'!I59</f>
        <v>506</v>
      </c>
      <c r="J70" s="4">
        <f>+'[2]TCPJ19544251+1722281'!J59</f>
        <v>0</v>
      </c>
      <c r="K70" s="4">
        <f>+'[2]TCPJ19544251+1722281'!K59</f>
        <v>0</v>
      </c>
      <c r="L70" s="4">
        <f>+'[2]TCPJ19544251+1722281'!$M59</f>
        <v>0</v>
      </c>
      <c r="M70" s="2"/>
    </row>
    <row r="71" spans="2:13" x14ac:dyDescent="0.25">
      <c r="B71" s="4">
        <f>+'[2]TCPJ19544251+1722281'!B60</f>
        <v>48</v>
      </c>
      <c r="C71" s="13">
        <f>+'[2]TCPJ19544251+1722281'!C60</f>
        <v>43351</v>
      </c>
      <c r="D71" s="15">
        <f>+'[2]TCPJ19544251+1722281'!D60</f>
        <v>0.88526620370370368</v>
      </c>
      <c r="E71" s="4">
        <f>+'[2]TCPJ19544251+1722281'!E60</f>
        <v>2458370.3742999998</v>
      </c>
      <c r="F71" s="4" t="str">
        <f>+'[2]TCPJ19544251+1722281'!F60</f>
        <v>PSO</v>
      </c>
      <c r="G71" s="4" t="str">
        <f>+'[2]TCPJ19544251+1722281'!G60</f>
        <v>TAT-HU</v>
      </c>
      <c r="H71" s="4" t="str">
        <f>+'[2]TCPJ19544251+1722281'!H60</f>
        <v>T300+LhiresIII_2400_35+ATIK428esm</v>
      </c>
      <c r="I71" s="4">
        <f>+'[2]TCPJ19544251+1722281'!I60</f>
        <v>12381</v>
      </c>
      <c r="J71" s="4">
        <f>+'[2]TCPJ19544251+1722281'!J60</f>
        <v>0</v>
      </c>
      <c r="K71" s="4">
        <f>+'[2]TCPJ19544251+1722281'!K60</f>
        <v>0</v>
      </c>
      <c r="L71" s="4">
        <f>+'[2]TCPJ19544251+1722281'!$M60</f>
        <v>0</v>
      </c>
      <c r="M71" s="2"/>
    </row>
    <row r="72" spans="2:13" x14ac:dyDescent="0.25">
      <c r="B72" s="4">
        <f>+'[2]TCPJ19544251+1722281'!B61</f>
        <v>49</v>
      </c>
      <c r="C72" s="13">
        <f>+'[2]TCPJ19544251+1722281'!C61</f>
        <v>43353</v>
      </c>
      <c r="D72" s="15">
        <f>+'[2]TCPJ19544251+1722281'!D61</f>
        <v>0.86002314814814806</v>
      </c>
      <c r="E72" s="4">
        <f>+'[2]TCPJ19544251+1722281'!E61</f>
        <v>2458372.3881999999</v>
      </c>
      <c r="F72" s="4" t="str">
        <f>+'[2]TCPJ19544251+1722281'!F61</f>
        <v>SOL</v>
      </c>
      <c r="G72" s="4" t="str">
        <f>+'[2]TCPJ19544251+1722281'!G61</f>
        <v>AQL-IT</v>
      </c>
      <c r="H72" s="4" t="str">
        <f>+'[2]TCPJ19544251+1722281'!H61</f>
        <v>SC9+Spectro_JGF1+SbigST-8300</v>
      </c>
      <c r="I72" s="4">
        <f>+'[2]TCPJ19544251+1722281'!I61</f>
        <v>8022</v>
      </c>
      <c r="J72" s="4">
        <f>+'[2]TCPJ19544251+1722281'!J61</f>
        <v>0</v>
      </c>
      <c r="K72" s="4">
        <f>+'[2]TCPJ19544251+1722281'!K61</f>
        <v>0</v>
      </c>
      <c r="L72" s="4">
        <f>+'[2]TCPJ19544251+1722281'!$M61</f>
        <v>0</v>
      </c>
      <c r="M72" s="2"/>
    </row>
    <row r="73" spans="2:13" x14ac:dyDescent="0.25">
      <c r="B73" s="4">
        <f>+'[2]TCPJ19544251+1722281'!B62</f>
        <v>50</v>
      </c>
      <c r="C73" s="13">
        <f>+'[2]TCPJ19544251+1722281'!C62</f>
        <v>43354</v>
      </c>
      <c r="D73" s="15">
        <f>+'[2]TCPJ19544251+1722281'!D62</f>
        <v>0.90255787037037039</v>
      </c>
      <c r="E73" s="4">
        <f>+'[2]TCPJ19544251+1722281'!E62</f>
        <v>2458373.4235</v>
      </c>
      <c r="F73" s="4" t="str">
        <f>+'[2]TCPJ19544251+1722281'!F62</f>
        <v>CBO</v>
      </c>
      <c r="G73" s="4" t="str">
        <f>+'[2]TCPJ19544251+1722281'!G62</f>
        <v>OCT-FR</v>
      </c>
      <c r="H73" s="4" t="str">
        <f>+'[2]TCPJ19544251+1722281'!H62</f>
        <v>N200+Alpy600</v>
      </c>
      <c r="I73" s="4">
        <f>+'[2]TCPJ19544251+1722281'!I62</f>
        <v>504</v>
      </c>
      <c r="J73" s="4">
        <f>+'[2]TCPJ19544251+1722281'!J62</f>
        <v>0</v>
      </c>
      <c r="K73" s="4">
        <f>+'[2]TCPJ19544251+1722281'!K62</f>
        <v>0</v>
      </c>
      <c r="L73" s="4">
        <f>+'[2]TCPJ19544251+1722281'!$M62</f>
        <v>0</v>
      </c>
      <c r="M73" s="2"/>
    </row>
    <row r="74" spans="2:13" x14ac:dyDescent="0.25">
      <c r="B74" s="4">
        <f>+'[2]TCPJ19544251+1722281'!B63</f>
        <v>51</v>
      </c>
      <c r="C74" s="13">
        <f>+'[2]TCPJ19544251+1722281'!C63</f>
        <v>43355</v>
      </c>
      <c r="D74" s="15">
        <f>+'[2]TCPJ19544251+1722281'!D63</f>
        <v>0.83262731481481478</v>
      </c>
      <c r="E74" s="4">
        <f>+'[2]TCPJ19544251+1722281'!E63</f>
        <v>2458374.3036000002</v>
      </c>
      <c r="F74" s="4" t="str">
        <f>+'[2]TCPJ19544251+1722281'!F63</f>
        <v>PSO</v>
      </c>
      <c r="G74" s="4" t="str">
        <f>+'[2]TCPJ19544251+1722281'!G63</f>
        <v>TAT-HU</v>
      </c>
      <c r="H74" s="4" t="str">
        <f>+'[2]TCPJ19544251+1722281'!H63</f>
        <v>T300+LhiresIII_600_35+Atik428esm</v>
      </c>
      <c r="I74" s="4">
        <f>+'[2]TCPJ19544251+1722281'!I63</f>
        <v>2691</v>
      </c>
      <c r="J74" s="4">
        <f>+'[2]TCPJ19544251+1722281'!J63</f>
        <v>0</v>
      </c>
      <c r="K74" s="4">
        <f>+'[2]TCPJ19544251+1722281'!K63</f>
        <v>0</v>
      </c>
      <c r="L74" s="4">
        <f>+'[2]TCPJ19544251+1722281'!$M63</f>
        <v>0</v>
      </c>
      <c r="M74" s="2"/>
    </row>
    <row r="75" spans="2:13" x14ac:dyDescent="0.25">
      <c r="B75" s="4">
        <f>+'[2]TCPJ19544251+1722281'!B64</f>
        <v>52</v>
      </c>
      <c r="C75" s="13">
        <f>+'[2]TCPJ19544251+1722281'!C64</f>
        <v>43358</v>
      </c>
      <c r="D75" s="15">
        <f>+'[2]TCPJ19544251+1722281'!D64</f>
        <v>0.91090277777777784</v>
      </c>
      <c r="E75" s="4">
        <f>+'[2]TCPJ19544251+1722281'!E64</f>
        <v>2458377.4319000002</v>
      </c>
      <c r="F75" s="4" t="str">
        <f>+'[2]TCPJ19544251+1722281'!F64</f>
        <v>CBO</v>
      </c>
      <c r="G75" s="4" t="str">
        <f>+'[2]TCPJ19544251+1722281'!G64</f>
        <v>OCT-FR</v>
      </c>
      <c r="H75" s="4" t="str">
        <f>+'[2]TCPJ19544251+1722281'!H64</f>
        <v>N200+Alpy600</v>
      </c>
      <c r="I75" s="4">
        <f>+'[2]TCPJ19544251+1722281'!I64</f>
        <v>505</v>
      </c>
      <c r="J75" s="4">
        <f>+'[2]TCPJ19544251+1722281'!J64</f>
        <v>0</v>
      </c>
      <c r="K75" s="4">
        <f>+'[2]TCPJ19544251+1722281'!K64</f>
        <v>0</v>
      </c>
      <c r="L75" s="4">
        <f>+'[2]TCPJ19544251+1722281'!$M64</f>
        <v>0</v>
      </c>
      <c r="M75" s="2"/>
    </row>
    <row r="76" spans="2:13" x14ac:dyDescent="0.25">
      <c r="B76" s="4">
        <f>+'[2]TCPJ19544251+1722281'!B65</f>
        <v>53</v>
      </c>
      <c r="C76" s="13">
        <f>+'[2]TCPJ19544251+1722281'!C65</f>
        <v>43359</v>
      </c>
      <c r="D76" s="15">
        <f>+'[2]TCPJ19544251+1722281'!D65</f>
        <v>0.85021990740740738</v>
      </c>
      <c r="E76" s="4">
        <f>+'[2]TCPJ19544251+1722281'!E65</f>
        <v>2458378.3053000001</v>
      </c>
      <c r="F76" s="4" t="str">
        <f>+'[2]TCPJ19544251+1722281'!F65</f>
        <v>PSO</v>
      </c>
      <c r="G76" s="4" t="str">
        <f>+'[2]TCPJ19544251+1722281'!G65</f>
        <v>TAT-HU</v>
      </c>
      <c r="H76" s="4" t="str">
        <f>+'[2]TCPJ19544251+1722281'!H65</f>
        <v>T300+LhiresIII_600_35+Atik428esm</v>
      </c>
      <c r="I76" s="4">
        <f>+'[2]TCPJ19544251+1722281'!I65</f>
        <v>2718</v>
      </c>
      <c r="J76" s="4">
        <f>+'[2]TCPJ19544251+1722281'!J65</f>
        <v>0</v>
      </c>
      <c r="K76" s="4">
        <f>+'[2]TCPJ19544251+1722281'!K65</f>
        <v>0</v>
      </c>
      <c r="L76" s="4">
        <f>+'[2]TCPJ19544251+1722281'!$M65</f>
        <v>0</v>
      </c>
      <c r="M76" s="2"/>
    </row>
    <row r="77" spans="2:13" x14ac:dyDescent="0.25">
      <c r="B77" s="4">
        <f>+'[2]TCPJ19544251+1722281'!B66</f>
        <v>54</v>
      </c>
      <c r="C77" s="13">
        <f>+'[2]TCPJ19544251+1722281'!C66</f>
        <v>43359</v>
      </c>
      <c r="D77" s="15">
        <f>+'[2]TCPJ19544251+1722281'!D66</f>
        <v>0.88930555555555557</v>
      </c>
      <c r="E77" s="4">
        <f>+'[2]TCPJ19544251+1722281'!E66</f>
        <v>2458378.4034000002</v>
      </c>
      <c r="F77" s="4" t="str">
        <f>+'[2]TCPJ19544251+1722281'!F66</f>
        <v>DPV</v>
      </c>
      <c r="G77" s="4" t="str">
        <f>+'[2]TCPJ19544251+1722281'!G66</f>
        <v>KOL-SK</v>
      </c>
      <c r="H77" s="4" t="str">
        <f>+'[2]TCPJ19544251+1722281'!H66</f>
        <v>C11+LISA+ATIK460EX</v>
      </c>
      <c r="I77" s="4">
        <f>+'[2]TCPJ19544251+1722281'!I66</f>
        <v>571</v>
      </c>
      <c r="J77" s="4">
        <f>+'[2]TCPJ19544251+1722281'!J66</f>
        <v>0</v>
      </c>
      <c r="K77" s="4">
        <f>+'[2]TCPJ19544251+1722281'!K66</f>
        <v>0</v>
      </c>
      <c r="L77" s="4">
        <f>+'[2]TCPJ19544251+1722281'!$M66</f>
        <v>0</v>
      </c>
      <c r="M77" s="2"/>
    </row>
    <row r="78" spans="2:13" x14ac:dyDescent="0.25">
      <c r="B78" s="4">
        <f>+'[2]TCPJ19544251+1722281'!B67</f>
        <v>55</v>
      </c>
      <c r="C78" s="13">
        <f>+'[2]TCPJ19544251+1722281'!C67</f>
        <v>43360</v>
      </c>
      <c r="D78" s="15">
        <f>+'[2]TCPJ19544251+1722281'!D67</f>
        <v>0.75959490740740743</v>
      </c>
      <c r="E78" s="4">
        <f>+'[2]TCPJ19544251+1722281'!E67</f>
        <v>2458379.2947999998</v>
      </c>
      <c r="F78" s="4" t="str">
        <f>+'[2]TCPJ19544251+1722281'!F67</f>
        <v>DPV</v>
      </c>
      <c r="G78" s="4" t="str">
        <f>+'[2]TCPJ19544251+1722281'!G67</f>
        <v>KOL-SK</v>
      </c>
      <c r="H78" s="4" t="str">
        <f>+'[2]TCPJ19544251+1722281'!H67</f>
        <v>C11+LISA+ATIK460EX</v>
      </c>
      <c r="I78" s="4">
        <f>+'[2]TCPJ19544251+1722281'!I67</f>
        <v>561</v>
      </c>
      <c r="J78" s="4">
        <f>+'[2]TCPJ19544251+1722281'!J67</f>
        <v>0</v>
      </c>
      <c r="K78" s="4">
        <f>+'[2]TCPJ19544251+1722281'!K67</f>
        <v>0</v>
      </c>
      <c r="L78" s="4">
        <f>+'[2]TCPJ19544251+1722281'!$M67</f>
        <v>0</v>
      </c>
      <c r="M78" s="2"/>
    </row>
    <row r="79" spans="2:13" x14ac:dyDescent="0.25">
      <c r="B79" s="4">
        <f>+'[2]TCPJ19544251+1722281'!B68</f>
        <v>56</v>
      </c>
      <c r="C79" s="13">
        <f>+'[2]TCPJ19544251+1722281'!C68</f>
        <v>43362</v>
      </c>
      <c r="D79" s="15">
        <f>+'[2]TCPJ19544251+1722281'!D68</f>
        <v>0.82677083333333334</v>
      </c>
      <c r="E79" s="4">
        <f>+'[2]TCPJ19544251+1722281'!E68</f>
        <v>2458381.3588</v>
      </c>
      <c r="F79" s="4" t="str">
        <f>+'[2]TCPJ19544251+1722281'!F68</f>
        <v>BUI</v>
      </c>
      <c r="G79" s="4" t="str">
        <f>+'[2]TCPJ19544251+1722281'!G68</f>
        <v>CAS-FR</v>
      </c>
      <c r="H79" s="4" t="str">
        <f>+'[2]TCPJ19544251+1722281'!H68</f>
        <v>RC10+UVEX2+Atick414EX</v>
      </c>
      <c r="I79" s="4">
        <f>+'[2]TCPJ19544251+1722281'!I68</f>
        <v>600</v>
      </c>
      <c r="J79" s="4">
        <f>+'[2]TCPJ19544251+1722281'!J68</f>
        <v>0</v>
      </c>
      <c r="K79" s="4">
        <f>+'[2]TCPJ19544251+1722281'!K68</f>
        <v>0</v>
      </c>
      <c r="L79" s="4">
        <f>+'[2]TCPJ19544251+1722281'!$M68</f>
        <v>0</v>
      </c>
      <c r="M79" s="2"/>
    </row>
    <row r="80" spans="2:13" x14ac:dyDescent="0.25">
      <c r="B80" s="4">
        <f>+'[2]TCPJ19544251+1722281'!B69</f>
        <v>57</v>
      </c>
      <c r="C80" s="13">
        <f>+'[2]TCPJ19544251+1722281'!C69</f>
        <v>43365</v>
      </c>
      <c r="D80" s="15">
        <f>+'[2]TCPJ19544251+1722281'!D69</f>
        <v>0.80844907407407407</v>
      </c>
      <c r="E80" s="4">
        <f>+'[2]TCPJ19544251+1722281'!E69</f>
        <v>2458384.3330999999</v>
      </c>
      <c r="F80" s="4" t="str">
        <f>+'[2]TCPJ19544251+1722281'!F69</f>
        <v>BUI</v>
      </c>
      <c r="G80" s="4" t="str">
        <f>+'[2]TCPJ19544251+1722281'!G69</f>
        <v>CAS-FR</v>
      </c>
      <c r="H80" s="4" t="str">
        <f>+'[2]TCPJ19544251+1722281'!H69</f>
        <v>RC10+UVEX2+Atick414EX</v>
      </c>
      <c r="I80" s="4">
        <f>+'[2]TCPJ19544251+1722281'!I69</f>
        <v>1353</v>
      </c>
      <c r="J80" s="4">
        <f>+'[2]TCPJ19544251+1722281'!J69</f>
        <v>0</v>
      </c>
      <c r="K80" s="4">
        <f>+'[2]TCPJ19544251+1722281'!K69</f>
        <v>0</v>
      </c>
      <c r="L80" s="4">
        <f>+'[2]TCPJ19544251+1722281'!$M69</f>
        <v>0</v>
      </c>
      <c r="M80" s="2"/>
    </row>
    <row r="81" spans="2:13" x14ac:dyDescent="0.25">
      <c r="B81" s="4">
        <f>+'[2]TCPJ19544251+1722281'!B70</f>
        <v>58</v>
      </c>
      <c r="C81" s="13">
        <f>+'[2]TCPJ19544251+1722281'!C70</f>
        <v>43368</v>
      </c>
      <c r="D81" s="15">
        <f>+'[2]TCPJ19544251+1722281'!D70</f>
        <v>0.91182870370370372</v>
      </c>
      <c r="E81" s="4">
        <f>+'[2]TCPJ19544251+1722281'!E70</f>
        <v>2458387.4257999999</v>
      </c>
      <c r="F81" s="4" t="str">
        <f>+'[2]TCPJ19544251+1722281'!F70</f>
        <v>CBO</v>
      </c>
      <c r="G81" s="4" t="str">
        <f>+'[2]TCPJ19544251+1722281'!G70</f>
        <v>OCT-FR</v>
      </c>
      <c r="H81" s="4" t="str">
        <f>+'[2]TCPJ19544251+1722281'!H70</f>
        <v>N200+Alpy600</v>
      </c>
      <c r="I81" s="4">
        <f>+'[2]TCPJ19544251+1722281'!I70</f>
        <v>509</v>
      </c>
      <c r="J81" s="4">
        <f>+'[2]TCPJ19544251+1722281'!J70</f>
        <v>0</v>
      </c>
      <c r="K81" s="4">
        <f>+'[2]TCPJ19544251+1722281'!K70</f>
        <v>0</v>
      </c>
      <c r="L81" s="4">
        <f>+'[2]TCPJ19544251+1722281'!$M70</f>
        <v>0</v>
      </c>
      <c r="M81" s="2"/>
    </row>
    <row r="82" spans="2:13" x14ac:dyDescent="0.25">
      <c r="B82" s="4">
        <f>+'[2]TCPJ19544251+1722281'!B71</f>
        <v>59</v>
      </c>
      <c r="C82" s="13">
        <f>+'[2]TCPJ19544251+1722281'!C71</f>
        <v>43369</v>
      </c>
      <c r="D82" s="15">
        <f>+'[2]TCPJ19544251+1722281'!D71</f>
        <v>0.82935185185185178</v>
      </c>
      <c r="E82" s="4">
        <f>+'[2]TCPJ19544251+1722281'!E71</f>
        <v>2458388.3612000002</v>
      </c>
      <c r="F82" s="4" t="str">
        <f>+'[2]TCPJ19544251+1722281'!F71</f>
        <v>DBO</v>
      </c>
      <c r="G82" s="4" t="str">
        <f>+'[2]TCPJ19544251+1722281'!G71</f>
        <v>WCO-UK</v>
      </c>
      <c r="H82" s="4" t="str">
        <f>+'[2]TCPJ19544251+1722281'!H71</f>
        <v>C11+Lisa+SXVR-H694</v>
      </c>
      <c r="I82" s="4">
        <f>+'[2]TCPJ19544251+1722281'!I71</f>
        <v>966</v>
      </c>
      <c r="J82" s="4">
        <f>+'[2]TCPJ19544251+1722281'!J71</f>
        <v>0</v>
      </c>
      <c r="K82" s="4">
        <f>+'[2]TCPJ19544251+1722281'!K71</f>
        <v>0</v>
      </c>
      <c r="L82" s="4">
        <f>+'[2]TCPJ19544251+1722281'!$M71</f>
        <v>0</v>
      </c>
    </row>
    <row r="83" spans="2:13" x14ac:dyDescent="0.25">
      <c r="B83" s="4">
        <f>+'[2]TCPJ19544251+1722281'!B72</f>
        <v>61</v>
      </c>
      <c r="C83" s="13">
        <f>+'[2]TCPJ19544251+1722281'!C72</f>
        <v>43371</v>
      </c>
      <c r="D83" s="15">
        <f>+'[2]TCPJ19544251+1722281'!D72</f>
        <v>0.91089120370370369</v>
      </c>
      <c r="E83" s="4">
        <f>+'[2]TCPJ19544251+1722281'!E72</f>
        <v>2458390.4230999998</v>
      </c>
      <c r="F83" s="4" t="str">
        <f>+'[2]TCPJ19544251+1722281'!F72</f>
        <v>CBO</v>
      </c>
      <c r="G83" s="4" t="str">
        <f>+'[2]TCPJ19544251+1722281'!G72</f>
        <v>OCT-FR</v>
      </c>
      <c r="H83" s="4" t="str">
        <f>+'[2]TCPJ19544251+1722281'!H72</f>
        <v>N200+Alpy600</v>
      </c>
      <c r="I83" s="4">
        <f>+'[2]TCPJ19544251+1722281'!I72</f>
        <v>507</v>
      </c>
      <c r="J83" s="4">
        <f>+'[2]TCPJ19544251+1722281'!J72</f>
        <v>0</v>
      </c>
      <c r="K83" s="4">
        <f>+'[2]TCPJ19544251+1722281'!K72</f>
        <v>0</v>
      </c>
      <c r="L83" s="4">
        <f>+'[2]TCPJ19544251+1722281'!$M72</f>
        <v>0</v>
      </c>
    </row>
    <row r="84" spans="2:13" x14ac:dyDescent="0.25">
      <c r="B84" s="4">
        <f>+'[2]TCPJ19544251+1722281'!B73</f>
        <v>62</v>
      </c>
      <c r="C84" s="13">
        <f>+'[2]TCPJ19544251+1722281'!C73</f>
        <v>43372</v>
      </c>
      <c r="D84" s="15">
        <f>+'[2]TCPJ19544251+1722281'!D73</f>
        <v>0.88486111111111121</v>
      </c>
      <c r="E84" s="4">
        <f>+'[2]TCPJ19544251+1722281'!E73</f>
        <v>2458391.3629999999</v>
      </c>
      <c r="F84" s="4" t="str">
        <f>+'[2]TCPJ19544251+1722281'!F73</f>
        <v>PSO</v>
      </c>
      <c r="G84" s="4" t="str">
        <f>+'[2]TCPJ19544251+1722281'!G73</f>
        <v>TAT-HU</v>
      </c>
      <c r="H84" s="4" t="str">
        <f>+'[2]TCPJ19544251+1722281'!H73</f>
        <v>T300+LhiresIII_600_35+Atik428esm</v>
      </c>
      <c r="I84" s="4">
        <f>+'[2]TCPJ19544251+1722281'!I73</f>
        <v>2220</v>
      </c>
      <c r="J84" s="4">
        <f>+'[2]TCPJ19544251+1722281'!J73</f>
        <v>0</v>
      </c>
      <c r="K84" s="4">
        <f>+'[2]TCPJ19544251+1722281'!K73</f>
        <v>0</v>
      </c>
      <c r="L84" s="4">
        <f>+'[2]TCPJ19544251+1722281'!$M73</f>
        <v>0</v>
      </c>
    </row>
    <row r="85" spans="2:13" x14ac:dyDescent="0.25">
      <c r="B85" s="4">
        <f>+'[2]TCPJ19544251+1722281'!B74</f>
        <v>64</v>
      </c>
      <c r="C85" s="13">
        <f>+'[2]TCPJ19544251+1722281'!C74</f>
        <v>43373</v>
      </c>
      <c r="D85" s="15">
        <f>+'[2]TCPJ19544251+1722281'!D74</f>
        <v>0.87283564814814818</v>
      </c>
      <c r="E85" s="4">
        <f>+'[2]TCPJ19544251+1722281'!E74</f>
        <v>2458392.3437999999</v>
      </c>
      <c r="F85" s="4" t="str">
        <f>+'[2]TCPJ19544251+1722281'!F74</f>
        <v>PSO</v>
      </c>
      <c r="G85" s="4" t="str">
        <f>+'[2]TCPJ19544251+1722281'!G74</f>
        <v>TAT-HU</v>
      </c>
      <c r="H85" s="4" t="str">
        <f>+'[2]TCPJ19544251+1722281'!H74</f>
        <v>T300+LhiresIII_600_35+Atik428esm</v>
      </c>
      <c r="I85" s="4">
        <f>+'[2]TCPJ19544251+1722281'!I74</f>
        <v>2655</v>
      </c>
      <c r="J85" s="4">
        <f>+'[2]TCPJ19544251+1722281'!J74</f>
        <v>0</v>
      </c>
      <c r="K85" s="4">
        <f>+'[2]TCPJ19544251+1722281'!K74</f>
        <v>0</v>
      </c>
      <c r="L85" s="4">
        <f>+'[2]TCPJ19544251+1722281'!$M74</f>
        <v>0</v>
      </c>
    </row>
    <row r="86" spans="2:13" x14ac:dyDescent="0.25">
      <c r="B86" s="4">
        <f>+'[2]TCPJ19544251+1722281'!B75</f>
        <v>63</v>
      </c>
      <c r="C86" s="13">
        <f>+'[2]TCPJ19544251+1722281'!C75</f>
        <v>43377</v>
      </c>
      <c r="D86" s="15">
        <f>+'[2]TCPJ19544251+1722281'!D75</f>
        <v>0.86547453703703703</v>
      </c>
      <c r="E86" s="4">
        <f>+'[2]TCPJ19544251+1722281'!E75</f>
        <v>2458396.3961999998</v>
      </c>
      <c r="F86" s="4" t="str">
        <f>+'[2]TCPJ19544251+1722281'!F75</f>
        <v>GMYB</v>
      </c>
      <c r="G86" s="4" t="str">
        <f>+'[2]TCPJ19544251+1722281'!G75</f>
        <v>OSM-FR</v>
      </c>
      <c r="H86" s="4" t="str">
        <f>+'[2]TCPJ19544251+1722281'!H75</f>
        <v>SC11+Lisa+QSI583wsg</v>
      </c>
      <c r="I86" s="4">
        <f>+'[2]TCPJ19544251+1722281'!I75</f>
        <v>1116</v>
      </c>
      <c r="J86" s="4">
        <f>+'[2]TCPJ19544251+1722281'!J75</f>
        <v>0</v>
      </c>
      <c r="K86" s="4">
        <f>+'[2]TCPJ19544251+1722281'!K75</f>
        <v>0</v>
      </c>
      <c r="L86" s="4">
        <f>+'[2]TCPJ19544251+1722281'!$M75</f>
        <v>0</v>
      </c>
    </row>
    <row r="87" spans="2:13" x14ac:dyDescent="0.25">
      <c r="B87" s="4">
        <f>+'[2]TCPJ19544251+1722281'!B76</f>
        <v>64</v>
      </c>
      <c r="C87" s="13">
        <f>+'[2]TCPJ19544251+1722281'!C76</f>
        <v>43378</v>
      </c>
      <c r="D87" s="15">
        <f>+'[2]TCPJ19544251+1722281'!D76</f>
        <v>2.0462962962962964E-2</v>
      </c>
      <c r="E87" s="4">
        <f>+'[2]TCPJ19544251+1722281'!E76</f>
        <v>2458396.5484000002</v>
      </c>
      <c r="F87" s="4" t="str">
        <f>+'[2]TCPJ19544251+1722281'!F76</f>
        <v>GKA</v>
      </c>
      <c r="G87" s="4" t="str">
        <f>+'[2]TCPJ19544251+1722281'!G76</f>
        <v>MAN-US</v>
      </c>
      <c r="H87" s="4" t="str">
        <f>+'[2]TCPJ19544251+1722281'!H76</f>
        <v>SC10+Alpy600+Atik314L</v>
      </c>
      <c r="I87" s="4">
        <f>+'[2]TCPJ19544251+1722281'!I76</f>
        <v>555</v>
      </c>
      <c r="J87" s="4">
        <f>+'[2]TCPJ19544251+1722281'!J76</f>
        <v>0</v>
      </c>
      <c r="K87" s="4">
        <f>+'[2]TCPJ19544251+1722281'!K76</f>
        <v>0</v>
      </c>
      <c r="L87" s="4">
        <f>+'[2]TCPJ19544251+1722281'!$M76</f>
        <v>0</v>
      </c>
    </row>
    <row r="88" spans="2:13" x14ac:dyDescent="0.25">
      <c r="B88" s="4">
        <f>+'[2]TCPJ19544251+1722281'!B77</f>
        <v>65</v>
      </c>
      <c r="C88" s="13">
        <f>+'[2]TCPJ19544251+1722281'!C77</f>
        <v>43385</v>
      </c>
      <c r="D88" s="15">
        <f>+'[2]TCPJ19544251+1722281'!D77</f>
        <v>0.72693287037037047</v>
      </c>
      <c r="E88" s="4">
        <f>+'[2]TCPJ19544251+1722281'!E77</f>
        <v>2458404.2607</v>
      </c>
      <c r="F88" s="4" t="str">
        <f>+'[2]TCPJ19544251+1722281'!F77</f>
        <v>BER</v>
      </c>
      <c r="G88" s="4" t="str">
        <f>+'[2]TCPJ19544251+1722281'!G77</f>
        <v>BVO-IT</v>
      </c>
      <c r="H88" s="4" t="str">
        <f>+'[2]TCPJ19544251+1722281'!H77</f>
        <v>LHIRES3600C9SXVR-H694</v>
      </c>
      <c r="I88" s="4">
        <f>+'[2]TCPJ19544251+1722281'!I77</f>
        <v>1919</v>
      </c>
      <c r="J88" s="4">
        <f>+'[2]TCPJ19544251+1722281'!J77</f>
        <v>0</v>
      </c>
      <c r="K88" s="4">
        <f>+'[2]TCPJ19544251+1722281'!K77</f>
        <v>0</v>
      </c>
      <c r="L88" s="4">
        <f>+'[2]TCPJ19544251+1722281'!$M77</f>
        <v>0</v>
      </c>
    </row>
    <row r="89" spans="2:13" x14ac:dyDescent="0.25">
      <c r="B89" s="4">
        <f>+'[2]TCPJ19544251+1722281'!B78</f>
        <v>66</v>
      </c>
      <c r="C89" s="13">
        <f>+'[2]TCPJ19544251+1722281'!C78</f>
        <v>43385</v>
      </c>
      <c r="D89" s="15">
        <f>+'[2]TCPJ19544251+1722281'!D78</f>
        <v>0.75118055555555552</v>
      </c>
      <c r="E89" s="4">
        <f>+'[2]TCPJ19544251+1722281'!E78</f>
        <v>2458404.2906999998</v>
      </c>
      <c r="F89" s="4" t="str">
        <f>+'[2]TCPJ19544251+1722281'!F78</f>
        <v>SOL</v>
      </c>
      <c r="G89" s="4" t="str">
        <f>+'[2]TCPJ19544251+1722281'!G78</f>
        <v>AQL-IT</v>
      </c>
      <c r="H89" s="4" t="str">
        <f>+'[2]TCPJ19544251+1722281'!H78</f>
        <v>SC9+Spectro_JGF1+SbigST-8300</v>
      </c>
      <c r="I89" s="4">
        <f>+'[2]TCPJ19544251+1722281'!I78</f>
        <v>8422</v>
      </c>
      <c r="J89" s="4">
        <f>+'[2]TCPJ19544251+1722281'!J78</f>
        <v>0</v>
      </c>
      <c r="K89" s="4">
        <f>+'[2]TCPJ19544251+1722281'!K78</f>
        <v>0</v>
      </c>
      <c r="L89" s="4">
        <f>+'[2]TCPJ19544251+1722281'!$M78</f>
        <v>0</v>
      </c>
    </row>
    <row r="90" spans="2:13" x14ac:dyDescent="0.25">
      <c r="B90" s="4">
        <f>+'[2]TCPJ19544251+1722281'!B79</f>
        <v>67</v>
      </c>
      <c r="C90" s="13">
        <f>+'[2]TCPJ19544251+1722281'!C79</f>
        <v>43386</v>
      </c>
      <c r="D90" s="15">
        <f>+'[2]TCPJ19544251+1722281'!D79</f>
        <v>0.81571759259259258</v>
      </c>
      <c r="E90" s="4">
        <f>+'[2]TCPJ19544251+1722281'!E79</f>
        <v>2458405.2873999998</v>
      </c>
      <c r="F90" s="4" t="str">
        <f>+'[2]TCPJ19544251+1722281'!F79</f>
        <v>DPV</v>
      </c>
      <c r="G90" s="4" t="str">
        <f>+'[2]TCPJ19544251+1722281'!G79</f>
        <v>KOL-SK</v>
      </c>
      <c r="H90" s="4" t="str">
        <f>+'[2]TCPJ19544251+1722281'!H79</f>
        <v>C11+LISA+ATIK460EX</v>
      </c>
      <c r="I90" s="4">
        <f>+'[2]TCPJ19544251+1722281'!I79</f>
        <v>581</v>
      </c>
      <c r="J90" s="4">
        <f>+'[2]TCPJ19544251+1722281'!J79</f>
        <v>0</v>
      </c>
      <c r="K90" s="4">
        <f>+'[2]TCPJ19544251+1722281'!K79</f>
        <v>0</v>
      </c>
      <c r="L90" s="4">
        <f>+'[2]TCPJ19544251+1722281'!$M79</f>
        <v>0</v>
      </c>
    </row>
    <row r="91" spans="2:13" x14ac:dyDescent="0.25">
      <c r="B91" s="4">
        <f>+'[2]TCPJ19544251+1722281'!B80</f>
        <v>68</v>
      </c>
      <c r="C91" s="13">
        <f>+'[2]TCPJ19544251+1722281'!C80</f>
        <v>43387</v>
      </c>
      <c r="D91" s="15">
        <f>+'[2]TCPJ19544251+1722281'!D80</f>
        <v>0.82543981481481488</v>
      </c>
      <c r="E91" s="4">
        <f>+'[2]TCPJ19544251+1722281'!E80</f>
        <v>2458406.3500999999</v>
      </c>
      <c r="F91" s="4" t="str">
        <f>+'[2]TCPJ19544251+1722281'!F80</f>
        <v>DPV</v>
      </c>
      <c r="G91" s="4" t="str">
        <f>+'[2]TCPJ19544251+1722281'!G80</f>
        <v>KOL-SK</v>
      </c>
      <c r="H91" s="4" t="str">
        <f>+'[2]TCPJ19544251+1722281'!H80</f>
        <v>C11+LISA+ATIK460EX</v>
      </c>
      <c r="I91" s="4">
        <f>+'[2]TCPJ19544251+1722281'!I80</f>
        <v>500</v>
      </c>
      <c r="J91" s="4">
        <f>+'[2]TCPJ19544251+1722281'!J80</f>
        <v>0</v>
      </c>
      <c r="K91" s="4">
        <f>+'[2]TCPJ19544251+1722281'!K80</f>
        <v>0</v>
      </c>
      <c r="L91" s="4">
        <f>+'[2]TCPJ19544251+1722281'!$M80</f>
        <v>0</v>
      </c>
    </row>
    <row r="92" spans="2:13" x14ac:dyDescent="0.25">
      <c r="B92" s="4">
        <f>+'[2]TCPJ19544251+1722281'!B81</f>
        <v>69</v>
      </c>
      <c r="C92" s="13">
        <f>+'[2]TCPJ19544251+1722281'!C81</f>
        <v>43390</v>
      </c>
      <c r="D92" s="15">
        <f>+'[2]TCPJ19544251+1722281'!D81</f>
        <v>0.71383101851851849</v>
      </c>
      <c r="E92" s="4">
        <f>+'[2]TCPJ19544251+1722281'!E81</f>
        <v>2458409.2628000001</v>
      </c>
      <c r="F92" s="4" t="str">
        <f>+'[2]TCPJ19544251+1722281'!F81</f>
        <v>DPV</v>
      </c>
      <c r="G92" s="4" t="str">
        <f>+'[2]TCPJ19544251+1722281'!G81</f>
        <v>KOL-SK</v>
      </c>
      <c r="H92" s="4" t="str">
        <f>+'[2]TCPJ19544251+1722281'!H81</f>
        <v>C11+LISA+ATIK460EX</v>
      </c>
      <c r="I92" s="4">
        <f>+'[2]TCPJ19544251+1722281'!I81</f>
        <v>551</v>
      </c>
      <c r="J92" s="4">
        <f>+'[2]TCPJ19544251+1722281'!J81</f>
        <v>0</v>
      </c>
      <c r="K92" s="4">
        <f>+'[2]TCPJ19544251+1722281'!K81</f>
        <v>0</v>
      </c>
      <c r="L92" s="4">
        <f>+'[2]TCPJ19544251+1722281'!$M81</f>
        <v>0</v>
      </c>
    </row>
    <row r="93" spans="2:13" x14ac:dyDescent="0.25">
      <c r="B93" s="4">
        <f>+'[2]TCPJ19544251+1722281'!B82</f>
        <v>70</v>
      </c>
      <c r="C93" s="13">
        <f>+'[2]TCPJ19544251+1722281'!C82</f>
        <v>43391</v>
      </c>
      <c r="D93" s="15">
        <f>+'[2]TCPJ19544251+1722281'!D82</f>
        <v>0.79706018518518518</v>
      </c>
      <c r="E93" s="4">
        <f>+'[2]TCPJ19544251+1722281'!E82</f>
        <v>2458410.3327000001</v>
      </c>
      <c r="F93" s="4" t="str">
        <f>+'[2]TCPJ19544251+1722281'!F82</f>
        <v>SCH</v>
      </c>
      <c r="G93" s="4" t="str">
        <f>+'[2]TCPJ19544251+1722281'!G82</f>
        <v>DUR-FR</v>
      </c>
      <c r="H93" s="4" t="str">
        <f>+'[2]TCPJ19544251+1722281'!H82</f>
        <v>T500+eShel+Atik460EX</v>
      </c>
      <c r="I93" s="4">
        <f>+'[2]TCPJ19544251+1722281'!I82</f>
        <v>11000</v>
      </c>
      <c r="J93" s="4">
        <f>+'[2]TCPJ19544251+1722281'!J82</f>
        <v>0</v>
      </c>
      <c r="K93" s="4">
        <f>+'[2]TCPJ19544251+1722281'!K82</f>
        <v>0</v>
      </c>
      <c r="L93" s="4">
        <f>+'[2]TCPJ19544251+1722281'!$M82</f>
        <v>0</v>
      </c>
    </row>
    <row r="94" spans="2:13" x14ac:dyDescent="0.25">
      <c r="B94" s="4">
        <f>+'[2]TCPJ19544251+1722281'!B83</f>
        <v>71</v>
      </c>
      <c r="C94" s="13">
        <f>+'[2]TCPJ19544251+1722281'!C83</f>
        <v>43392</v>
      </c>
      <c r="D94" s="15">
        <f>+'[2]TCPJ19544251+1722281'!D83</f>
        <v>0.73474537037037047</v>
      </c>
      <c r="E94" s="4">
        <f>+'[2]TCPJ19544251+1722281'!E83</f>
        <v>2458411.2684999998</v>
      </c>
      <c r="F94" s="4" t="str">
        <f>+'[2]TCPJ19544251+1722281'!F83</f>
        <v>BER</v>
      </c>
      <c r="G94" s="4" t="str">
        <f>+'[2]TCPJ19544251+1722281'!G83</f>
        <v>BVO-IT</v>
      </c>
      <c r="H94" s="4" t="str">
        <f>+'[2]TCPJ19544251+1722281'!H83</f>
        <v>LHIRES31200C9SXVR-H694</v>
      </c>
      <c r="I94" s="4">
        <f>+'[2]TCPJ19544251+1722281'!I83</f>
        <v>5307</v>
      </c>
      <c r="J94" s="4">
        <f>+'[2]TCPJ19544251+1722281'!J83</f>
        <v>0</v>
      </c>
      <c r="K94" s="4">
        <f>+'[2]TCPJ19544251+1722281'!K83</f>
        <v>0</v>
      </c>
      <c r="L94" s="4">
        <f>+'[2]TCPJ19544251+1722281'!$M83</f>
        <v>0</v>
      </c>
    </row>
    <row r="95" spans="2:13" x14ac:dyDescent="0.25">
      <c r="B95" s="4">
        <f>+'[2]TCPJ19544251+1722281'!B84</f>
        <v>72</v>
      </c>
      <c r="C95" s="13">
        <f>+'[2]TCPJ19544251+1722281'!C84</f>
        <v>43404</v>
      </c>
      <c r="D95" s="15">
        <f>+'[2]TCPJ19544251+1722281'!D84</f>
        <v>0.69964120370370375</v>
      </c>
      <c r="E95" s="4">
        <f>+'[2]TCPJ19544251+1722281'!E84</f>
        <v>2458423.2415999998</v>
      </c>
      <c r="F95" s="4" t="str">
        <f>+'[2]TCPJ19544251+1722281'!F84</f>
        <v>DPV</v>
      </c>
      <c r="G95" s="4" t="str">
        <f>+'[2]TCPJ19544251+1722281'!G84</f>
        <v>KOL-SK</v>
      </c>
      <c r="H95" s="4" t="str">
        <f>+'[2]TCPJ19544251+1722281'!H84</f>
        <v>C11+LISA+ATIK460EX</v>
      </c>
      <c r="I95" s="4">
        <f>+'[2]TCPJ19544251+1722281'!I84</f>
        <v>503</v>
      </c>
      <c r="J95" s="4">
        <f>+'[2]TCPJ19544251+1722281'!J84</f>
        <v>0</v>
      </c>
      <c r="K95" s="4">
        <f>+'[2]TCPJ19544251+1722281'!K84</f>
        <v>0</v>
      </c>
      <c r="L95" s="4">
        <f>+'[2]TCPJ19544251+1722281'!$M84</f>
        <v>0</v>
      </c>
    </row>
    <row r="96" spans="2:13" x14ac:dyDescent="0.25">
      <c r="B96" s="4">
        <f>+'[2]TCPJ19544251+1722281'!B85</f>
        <v>73</v>
      </c>
      <c r="C96" s="13">
        <f>+'[2]TCPJ19544251+1722281'!C85</f>
        <v>43404</v>
      </c>
      <c r="D96" s="15">
        <f>+'[2]TCPJ19544251+1722281'!D85</f>
        <v>0.82326388888888891</v>
      </c>
      <c r="E96" s="4">
        <f>+'[2]TCPJ19544251+1722281'!E85</f>
        <v>2458423.3091000002</v>
      </c>
      <c r="F96" s="4" t="str">
        <f>+'[2]TCPJ19544251+1722281'!F85</f>
        <v>PSO</v>
      </c>
      <c r="G96" s="4" t="str">
        <f>+'[2]TCPJ19544251+1722281'!G85</f>
        <v>TAT-HU</v>
      </c>
      <c r="H96" s="4" t="str">
        <f>+'[2]TCPJ19544251+1722281'!H85</f>
        <v>T300+LhiresIII_600_35+Atik428esm</v>
      </c>
      <c r="I96" s="4">
        <f>+'[2]TCPJ19544251+1722281'!I85</f>
        <v>2409</v>
      </c>
      <c r="J96" s="4">
        <f>+'[2]TCPJ19544251+1722281'!J85</f>
        <v>0</v>
      </c>
      <c r="K96" s="4">
        <f>+'[2]TCPJ19544251+1722281'!K85</f>
        <v>0</v>
      </c>
      <c r="L96" s="4">
        <f>+'[2]TCPJ19544251+1722281'!$M85</f>
        <v>0</v>
      </c>
    </row>
    <row r="97" spans="2:12" x14ac:dyDescent="0.25">
      <c r="B97" s="4">
        <f>+'[2]TCPJ19544251+1722281'!B86</f>
        <v>74</v>
      </c>
      <c r="C97" s="13">
        <f>+'[2]TCPJ19544251+1722281'!C86</f>
        <v>43409</v>
      </c>
      <c r="D97" s="15">
        <f>+'[2]TCPJ19544251+1722281'!D86</f>
        <v>0.70187499999999992</v>
      </c>
      <c r="E97" s="4">
        <f>+'[2]TCPJ19544251+1722281'!E86</f>
        <v>2458428.2368000001</v>
      </c>
      <c r="F97" s="4" t="str">
        <f>+'[2]TCPJ19544251+1722281'!F86</f>
        <v>DPV</v>
      </c>
      <c r="G97" s="4" t="str">
        <f>+'[2]TCPJ19544251+1722281'!G86</f>
        <v>KOL-SK</v>
      </c>
      <c r="H97" s="4" t="str">
        <f>+'[2]TCPJ19544251+1722281'!H86</f>
        <v>C11+LISA</v>
      </c>
      <c r="I97" s="4">
        <f>+'[2]TCPJ19544251+1722281'!I86</f>
        <v>635</v>
      </c>
      <c r="J97" s="4">
        <f>+'[2]TCPJ19544251+1722281'!J86</f>
        <v>0</v>
      </c>
      <c r="K97" s="4">
        <f>+'[2]TCPJ19544251+1722281'!K86</f>
        <v>0</v>
      </c>
      <c r="L97" s="4">
        <f>+'[2]TCPJ19544251+1722281'!$M86</f>
        <v>0</v>
      </c>
    </row>
    <row r="98" spans="2:12" x14ac:dyDescent="0.25">
      <c r="B98" s="4">
        <f>+'[2]TCPJ19544251+1722281'!B87</f>
        <v>75</v>
      </c>
      <c r="C98" s="13">
        <f>+'[2]TCPJ19544251+1722281'!C87</f>
        <v>43411</v>
      </c>
      <c r="D98" s="15">
        <f>+'[2]TCPJ19544251+1722281'!D87</f>
        <v>0.69835648148148144</v>
      </c>
      <c r="E98" s="4">
        <f>+'[2]TCPJ19544251+1722281'!E87</f>
        <v>2458430.2193</v>
      </c>
      <c r="F98" s="4" t="str">
        <f>+'[2]TCPJ19544251+1722281'!F87</f>
        <v>DPV</v>
      </c>
      <c r="G98" s="4" t="str">
        <f>+'[2]TCPJ19544251+1722281'!G87</f>
        <v>KOL-SK</v>
      </c>
      <c r="H98" s="4" t="str">
        <f>+'[2]TCPJ19544251+1722281'!H87</f>
        <v>C11+LISA</v>
      </c>
      <c r="I98" s="4">
        <f>+'[2]TCPJ19544251+1722281'!I87</f>
        <v>522</v>
      </c>
      <c r="J98" s="4">
        <f>+'[2]TCPJ19544251+1722281'!J87</f>
        <v>0</v>
      </c>
      <c r="K98" s="4">
        <f>+'[2]TCPJ19544251+1722281'!K87</f>
        <v>0</v>
      </c>
      <c r="L98" s="4">
        <f>+'[2]TCPJ19544251+1722281'!$M87</f>
        <v>0</v>
      </c>
    </row>
    <row r="99" spans="2:12" x14ac:dyDescent="0.25">
      <c r="B99" s="4">
        <f>+'[2]TCPJ19544251+1722281'!B88</f>
        <v>76</v>
      </c>
      <c r="C99" s="13">
        <f>+'[2]TCPJ19544251+1722281'!C88</f>
        <v>43413</v>
      </c>
      <c r="D99" s="15">
        <f>+'[2]TCPJ19544251+1722281'!D88</f>
        <v>0.72667824074074072</v>
      </c>
      <c r="E99" s="4">
        <f>+'[2]TCPJ19544251+1722281'!E88</f>
        <v>2458432.2502000001</v>
      </c>
      <c r="F99" s="4" t="str">
        <f>+'[2]TCPJ19544251+1722281'!F88</f>
        <v>DPV</v>
      </c>
      <c r="G99" s="4" t="str">
        <f>+'[2]TCPJ19544251+1722281'!G88</f>
        <v>KOL-SK</v>
      </c>
      <c r="H99" s="4" t="str">
        <f>+'[2]TCPJ19544251+1722281'!H88</f>
        <v>C11+LISA</v>
      </c>
      <c r="I99" s="4">
        <f>+'[2]TCPJ19544251+1722281'!I88</f>
        <v>565</v>
      </c>
      <c r="J99" s="4">
        <f>+'[2]TCPJ19544251+1722281'!J88</f>
        <v>0</v>
      </c>
      <c r="K99" s="4">
        <f>+'[2]TCPJ19544251+1722281'!K88</f>
        <v>0</v>
      </c>
      <c r="L99" s="4">
        <f>+'[2]TCPJ19544251+1722281'!$M88</f>
        <v>0</v>
      </c>
    </row>
    <row r="100" spans="2:12" x14ac:dyDescent="0.25">
      <c r="B100" s="4">
        <f>+'[2]TCPJ19544251+1722281'!B89</f>
        <v>77</v>
      </c>
      <c r="C100" s="13">
        <f>+'[2]TCPJ19544251+1722281'!C89</f>
        <v>43639</v>
      </c>
      <c r="D100" s="15">
        <f>+'[2]TCPJ19544251+1722281'!D89</f>
        <v>0.87210648148148151</v>
      </c>
      <c r="E100" s="4">
        <f>+'[2]TCPJ19544251+1722281'!E89</f>
        <v>2458658.4070000001</v>
      </c>
      <c r="F100" s="4" t="str">
        <f>+'[2]TCPJ19544251+1722281'!F89</f>
        <v>DPV</v>
      </c>
      <c r="G100" s="4" t="str">
        <f>+'[2]TCPJ19544251+1722281'!G89</f>
        <v>KOL-SK</v>
      </c>
      <c r="H100" s="4" t="str">
        <f>+'[2]TCPJ19544251+1722281'!H89</f>
        <v>C11+LISA+ATIK460EX</v>
      </c>
      <c r="I100" s="4">
        <f>+'[2]TCPJ19544251+1722281'!I89</f>
        <v>674</v>
      </c>
      <c r="J100" s="4">
        <f>+'[2]TCPJ19544251+1722281'!J89</f>
        <v>0</v>
      </c>
      <c r="K100" s="4">
        <f>+'[2]TCPJ19544251+1722281'!K89</f>
        <v>0</v>
      </c>
      <c r="L100" s="4">
        <f>+'[2]TCPJ19544251+1722281'!$M89</f>
        <v>0</v>
      </c>
    </row>
    <row r="101" spans="2:12" x14ac:dyDescent="0.25">
      <c r="B101" s="4">
        <f>+'[2]TCPJ19544251+1722281'!B90</f>
        <v>78</v>
      </c>
      <c r="C101" s="13">
        <f>+'[2]TCPJ19544251+1722281'!C90</f>
        <v>43641</v>
      </c>
      <c r="D101" s="15">
        <f>+'[2]TCPJ19544251+1722281'!D90</f>
        <v>0.93122685185185183</v>
      </c>
      <c r="E101" s="4">
        <f>+'[2]TCPJ19544251+1722281'!E90</f>
        <v>2458660.4660999998</v>
      </c>
      <c r="F101" s="4" t="str">
        <f>+'[2]TCPJ19544251+1722281'!F90</f>
        <v>DPV</v>
      </c>
      <c r="G101" s="4" t="str">
        <f>+'[2]TCPJ19544251+1722281'!G90</f>
        <v>KOL-SK</v>
      </c>
      <c r="H101" s="4" t="str">
        <f>+'[2]TCPJ19544251+1722281'!H90</f>
        <v>C11+LISA+ATIK460EX</v>
      </c>
      <c r="I101" s="4">
        <f>+'[2]TCPJ19544251+1722281'!I90</f>
        <v>688</v>
      </c>
      <c r="J101" s="4">
        <f>+'[2]TCPJ19544251+1722281'!J90</f>
        <v>0</v>
      </c>
      <c r="K101" s="4">
        <f>+'[2]TCPJ19544251+1722281'!K90</f>
        <v>0</v>
      </c>
      <c r="L101" s="4">
        <f>+'[2]TCPJ19544251+1722281'!$M90</f>
        <v>0</v>
      </c>
    </row>
    <row r="102" spans="2:12" x14ac:dyDescent="0.25">
      <c r="B102" s="4">
        <f>+'[2]TCPJ19544251+1722281'!B91</f>
        <v>79</v>
      </c>
      <c r="C102" s="13">
        <f>+'[2]TCPJ19544251+1722281'!C91</f>
        <v>43715</v>
      </c>
      <c r="D102" s="15">
        <f>+'[2]TCPJ19544251+1722281'!D91</f>
        <v>0.19137731481481482</v>
      </c>
      <c r="E102" s="4">
        <f>+'[2]TCPJ19544251+1722281'!E91</f>
        <v>2458733.7105999999</v>
      </c>
      <c r="F102" s="4" t="str">
        <f>+'[2]TCPJ19544251+1722281'!F91</f>
        <v>FAS</v>
      </c>
      <c r="G102" s="4" t="str">
        <f>+'[2]TCPJ19544251+1722281'!G91</f>
        <v>DCO-US</v>
      </c>
      <c r="H102" s="4" t="str">
        <f>+'[2]TCPJ19544251+1722281'!H91</f>
        <v>CDK14LISAATIK414EX</v>
      </c>
      <c r="I102" s="4">
        <f>+'[2]TCPJ19544251+1722281'!I91</f>
        <v>1036</v>
      </c>
      <c r="J102" s="4">
        <f>+'[2]TCPJ19544251+1722281'!J91</f>
        <v>0</v>
      </c>
      <c r="K102" s="4">
        <f>+'[2]TCPJ19544251+1722281'!K91</f>
        <v>0</v>
      </c>
      <c r="L102" s="4">
        <f>+'[2]TCPJ19544251+1722281'!$M91</f>
        <v>0</v>
      </c>
    </row>
    <row r="103" spans="2:12" x14ac:dyDescent="0.25">
      <c r="B103" s="4">
        <f>+'[2]TCPJ19544251+1722281'!B92</f>
        <v>80</v>
      </c>
      <c r="C103" s="13">
        <f>+'[2]TCPJ19544251+1722281'!C92</f>
        <v>43720</v>
      </c>
      <c r="D103" s="15">
        <f>+'[2]TCPJ19544251+1722281'!D92</f>
        <v>0.23337962962962963</v>
      </c>
      <c r="E103" s="4">
        <f>+'[2]TCPJ19544251+1722281'!E92</f>
        <v>2458738.7491000001</v>
      </c>
      <c r="F103" s="4" t="str">
        <f>+'[2]TCPJ19544251+1722281'!F92</f>
        <v>FAS</v>
      </c>
      <c r="G103" s="4" t="str">
        <f>+'[2]TCPJ19544251+1722281'!G92</f>
        <v>DCO-US</v>
      </c>
      <c r="H103" s="4" t="str">
        <f>+'[2]TCPJ19544251+1722281'!H92</f>
        <v>CDK14LISAATIK414EX</v>
      </c>
      <c r="I103" s="4">
        <f>+'[2]TCPJ19544251+1722281'!I92</f>
        <v>1063</v>
      </c>
      <c r="J103" s="4">
        <f>+'[2]TCPJ19544251+1722281'!J92</f>
        <v>0</v>
      </c>
      <c r="K103" s="4">
        <f>+'[2]TCPJ19544251+1722281'!K92</f>
        <v>0</v>
      </c>
      <c r="L103" s="4">
        <f>+'[2]TCPJ19544251+1722281'!$M92</f>
        <v>0</v>
      </c>
    </row>
    <row r="104" spans="2:12" x14ac:dyDescent="0.25">
      <c r="B104" s="4">
        <f>+'[2]TCPJ19544251+1722281'!B93</f>
        <v>81</v>
      </c>
      <c r="C104" s="13">
        <f>+'[2]TCPJ19544251+1722281'!C93</f>
        <v>43743</v>
      </c>
      <c r="D104" s="15">
        <f>+'[2]TCPJ19544251+1722281'!D93</f>
        <v>0.11174768518518519</v>
      </c>
      <c r="E104" s="4">
        <f>+'[2]TCPJ19544251+1722281'!E93</f>
        <v>2458761.6348999999</v>
      </c>
      <c r="F104" s="4" t="str">
        <f>+'[2]TCPJ19544251+1722281'!F93</f>
        <v>FAS</v>
      </c>
      <c r="G104" s="4" t="str">
        <f>+'[2]TCPJ19544251+1722281'!G93</f>
        <v>DCO-US</v>
      </c>
      <c r="H104" s="4" t="str">
        <f>+'[2]TCPJ19544251+1722281'!H93</f>
        <v>CDK14LISAATIK414EX</v>
      </c>
      <c r="I104" s="4">
        <f>+'[2]TCPJ19544251+1722281'!I93</f>
        <v>1073</v>
      </c>
      <c r="J104" s="4">
        <f>+'[2]TCPJ19544251+1722281'!J93</f>
        <v>0</v>
      </c>
      <c r="K104" s="4">
        <f>+'[2]TCPJ19544251+1722281'!K93</f>
        <v>0</v>
      </c>
      <c r="L104" s="4">
        <f>+'[2]TCPJ19544251+1722281'!$M93</f>
        <v>0</v>
      </c>
    </row>
    <row r="105" spans="2:12" x14ac:dyDescent="0.25">
      <c r="B105" s="4">
        <f>+'[2]TCPJ19544251+1722281'!B94</f>
        <v>0</v>
      </c>
      <c r="C105" s="13">
        <f>+'[2]TCPJ19544251+1722281'!C94</f>
        <v>0</v>
      </c>
      <c r="D105" s="15">
        <f>+'[2]TCPJ19544251+1722281'!D94</f>
        <v>0</v>
      </c>
      <c r="E105" s="4">
        <f>+'[2]TCPJ19544251+1722281'!E94</f>
        <v>0</v>
      </c>
      <c r="F105" s="4">
        <f>+'[2]TCPJ19544251+1722281'!F94</f>
        <v>0</v>
      </c>
      <c r="G105" s="4">
        <f>+'[2]TCPJ19544251+1722281'!G94</f>
        <v>0</v>
      </c>
      <c r="H105" s="4">
        <f>+'[2]TCPJ19544251+1722281'!H94</f>
        <v>0</v>
      </c>
      <c r="I105" s="4">
        <f>+'[2]TCPJ19544251+1722281'!I94</f>
        <v>0</v>
      </c>
      <c r="J105" s="4">
        <f>+'[2]TCPJ19544251+1722281'!J94</f>
        <v>0</v>
      </c>
      <c r="K105" s="4">
        <f>+'[2]TCPJ19544251+1722281'!K94</f>
        <v>0</v>
      </c>
      <c r="L105" s="4">
        <f>+'[2]TCPJ19544251+1722281'!$M94</f>
        <v>0</v>
      </c>
    </row>
    <row r="106" spans="2:12" x14ac:dyDescent="0.25">
      <c r="B106" s="4">
        <f>+'[2]TCPJ19544251+1722281'!B95</f>
        <v>0</v>
      </c>
      <c r="C106" s="13">
        <f>+'[2]TCPJ19544251+1722281'!C95</f>
        <v>0</v>
      </c>
      <c r="D106" s="15">
        <f>+'[2]TCPJ19544251+1722281'!D95</f>
        <v>0</v>
      </c>
      <c r="E106" s="4">
        <f>+'[2]TCPJ19544251+1722281'!E95</f>
        <v>0</v>
      </c>
      <c r="F106" s="4">
        <f>+'[2]TCPJ19544251+1722281'!F95</f>
        <v>0</v>
      </c>
      <c r="G106" s="4">
        <f>+'[2]TCPJ19544251+1722281'!G95</f>
        <v>0</v>
      </c>
      <c r="H106" s="4">
        <f>+'[2]TCPJ19544251+1722281'!H95</f>
        <v>0</v>
      </c>
      <c r="I106" s="4">
        <f>+'[2]TCPJ19544251+1722281'!I95</f>
        <v>0</v>
      </c>
      <c r="J106" s="4">
        <f>+'[2]TCPJ19544251+1722281'!J95</f>
        <v>0</v>
      </c>
      <c r="K106" s="4">
        <f>+'[2]TCPJ19544251+1722281'!K95</f>
        <v>0</v>
      </c>
      <c r="L106" s="4">
        <f>+'[2]TCPJ19544251+1722281'!$M95</f>
        <v>0</v>
      </c>
    </row>
    <row r="107" spans="2:12" x14ac:dyDescent="0.25">
      <c r="B107" s="4">
        <f>+'[2]TCPJ19544251+1722281'!B96</f>
        <v>0</v>
      </c>
      <c r="C107" s="13">
        <f>+'[2]TCPJ19544251+1722281'!C96</f>
        <v>0</v>
      </c>
      <c r="D107" s="15">
        <f>+'[2]TCPJ19544251+1722281'!D96</f>
        <v>0</v>
      </c>
      <c r="E107" s="4">
        <f>+'[2]TCPJ19544251+1722281'!E96</f>
        <v>0</v>
      </c>
      <c r="F107" s="4">
        <f>+'[2]TCPJ19544251+1722281'!F96</f>
        <v>0</v>
      </c>
      <c r="G107" s="4">
        <f>+'[2]TCPJ19544251+1722281'!G96</f>
        <v>0</v>
      </c>
      <c r="H107" s="4">
        <f>+'[2]TCPJ19544251+1722281'!H96</f>
        <v>0</v>
      </c>
      <c r="I107" s="4">
        <f>+'[2]TCPJ19544251+1722281'!I96</f>
        <v>0</v>
      </c>
      <c r="J107" s="4">
        <f>+'[2]TCPJ19544251+1722281'!J96</f>
        <v>0</v>
      </c>
      <c r="K107" s="4">
        <f>+'[2]TCPJ19544251+1722281'!K96</f>
        <v>0</v>
      </c>
      <c r="L107" s="4">
        <f>+'[2]TCPJ19544251+1722281'!$M96</f>
        <v>0</v>
      </c>
    </row>
    <row r="108" spans="2:12" x14ac:dyDescent="0.25">
      <c r="B108" s="4">
        <f>+'[2]TCPJ19544251+1722281'!B97</f>
        <v>0</v>
      </c>
      <c r="C108" s="13">
        <f>+'[2]TCPJ19544251+1722281'!C97</f>
        <v>0</v>
      </c>
      <c r="D108" s="15">
        <f>+'[2]TCPJ19544251+1722281'!D97</f>
        <v>0</v>
      </c>
      <c r="E108" s="4">
        <f>+'[2]TCPJ19544251+1722281'!E97</f>
        <v>0</v>
      </c>
      <c r="F108" s="4">
        <f>+'[2]TCPJ19544251+1722281'!F97</f>
        <v>0</v>
      </c>
      <c r="G108" s="4">
        <f>+'[2]TCPJ19544251+1722281'!G97</f>
        <v>0</v>
      </c>
      <c r="H108" s="4">
        <f>+'[2]TCPJ19544251+1722281'!H97</f>
        <v>0</v>
      </c>
      <c r="I108" s="4">
        <f>+'[2]TCPJ19544251+1722281'!I97</f>
        <v>0</v>
      </c>
      <c r="J108" s="4">
        <f>+'[2]TCPJ19544251+1722281'!J97</f>
        <v>0</v>
      </c>
      <c r="K108" s="4">
        <f>+'[2]TCPJ19544251+1722281'!K97</f>
        <v>0</v>
      </c>
      <c r="L108" s="4">
        <f>+'[2]TCPJ19544251+1722281'!$M97</f>
        <v>0</v>
      </c>
    </row>
    <row r="109" spans="2:12" x14ac:dyDescent="0.25">
      <c r="B109" s="4">
        <f>+'[2]TCPJ19544251+1722281'!B98</f>
        <v>0</v>
      </c>
      <c r="C109" s="13">
        <f>+'[2]TCPJ19544251+1722281'!C98</f>
        <v>0</v>
      </c>
      <c r="D109" s="15">
        <f>+'[2]TCPJ19544251+1722281'!D98</f>
        <v>0</v>
      </c>
      <c r="E109" s="4">
        <f>+'[2]TCPJ19544251+1722281'!E98</f>
        <v>0</v>
      </c>
      <c r="F109" s="4">
        <f>+'[2]TCPJ19544251+1722281'!F98</f>
        <v>0</v>
      </c>
      <c r="G109" s="4">
        <f>+'[2]TCPJ19544251+1722281'!G98</f>
        <v>0</v>
      </c>
      <c r="H109" s="4">
        <f>+'[2]TCPJ19544251+1722281'!H98</f>
        <v>0</v>
      </c>
      <c r="I109" s="4">
        <f>+'[2]TCPJ19544251+1722281'!I98</f>
        <v>0</v>
      </c>
      <c r="J109" s="4">
        <f>+'[2]TCPJ19544251+1722281'!J98</f>
        <v>0</v>
      </c>
      <c r="K109" s="4">
        <f>+'[2]TCPJ19544251+1722281'!K98</f>
        <v>0</v>
      </c>
      <c r="L109" s="4">
        <f>+'[2]TCPJ19544251+1722281'!$M98</f>
        <v>0</v>
      </c>
    </row>
    <row r="110" spans="2:12" x14ac:dyDescent="0.25">
      <c r="B110" s="4">
        <f>+'[2]TCPJ19544251+1722281'!B99</f>
        <v>0</v>
      </c>
      <c r="C110" s="13">
        <f>+'[2]TCPJ19544251+1722281'!C99</f>
        <v>0</v>
      </c>
      <c r="D110" s="15">
        <f>+'[2]TCPJ19544251+1722281'!D99</f>
        <v>0</v>
      </c>
      <c r="E110" s="4">
        <f>+'[2]TCPJ19544251+1722281'!E99</f>
        <v>0</v>
      </c>
      <c r="F110" s="4">
        <f>+'[2]TCPJ19544251+1722281'!F99</f>
        <v>0</v>
      </c>
      <c r="G110" s="4">
        <f>+'[2]TCPJ19544251+1722281'!G99</f>
        <v>0</v>
      </c>
      <c r="H110" s="4">
        <f>+'[2]TCPJ19544251+1722281'!H99</f>
        <v>0</v>
      </c>
      <c r="I110" s="4">
        <f>+'[2]TCPJ19544251+1722281'!I99</f>
        <v>0</v>
      </c>
      <c r="J110" s="4">
        <f>+'[2]TCPJ19544251+1722281'!J99</f>
        <v>0</v>
      </c>
      <c r="K110" s="4">
        <f>+'[2]TCPJ19544251+1722281'!K99</f>
        <v>0</v>
      </c>
      <c r="L110" s="4">
        <f>+'[2]TCPJ19544251+1722281'!$M99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M24:N28"/>
  <sheetViews>
    <sheetView workbookViewId="0">
      <selection activeCell="M10" sqref="M10"/>
    </sheetView>
  </sheetViews>
  <sheetFormatPr baseColWidth="10" defaultRowHeight="15" x14ac:dyDescent="0.25"/>
  <sheetData>
    <row r="24" spans="13:14" x14ac:dyDescent="0.25">
      <c r="M24">
        <v>7180</v>
      </c>
      <c r="N24">
        <v>8.39</v>
      </c>
    </row>
    <row r="25" spans="13:14" x14ac:dyDescent="0.25">
      <c r="M25">
        <v>7204</v>
      </c>
      <c r="N25">
        <v>7</v>
      </c>
    </row>
    <row r="26" spans="13:14" x14ac:dyDescent="0.25">
      <c r="M26">
        <v>7298</v>
      </c>
      <c r="N26">
        <v>8</v>
      </c>
    </row>
    <row r="27" spans="13:14" x14ac:dyDescent="0.25">
      <c r="M27">
        <v>7309</v>
      </c>
      <c r="N27">
        <v>7.5</v>
      </c>
    </row>
    <row r="28" spans="13:14" x14ac:dyDescent="0.25">
      <c r="M28">
        <v>7344</v>
      </c>
      <c r="N28">
        <v>7.55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986"/>
  <sheetViews>
    <sheetView topLeftCell="A7" workbookViewId="0">
      <selection activeCell="C24" sqref="C24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2458340.5248500002</v>
      </c>
      <c r="B1" s="1" t="s">
        <v>732</v>
      </c>
      <c r="C1" s="1">
        <v>10.8622</v>
      </c>
      <c r="D1" s="1">
        <v>9.6869999999999994E-3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2458342.3945800001</v>
      </c>
      <c r="B2" s="1" t="s">
        <v>733</v>
      </c>
      <c r="C2" s="1">
        <v>10.823499999999999</v>
      </c>
      <c r="D2" s="1">
        <v>1.6500000000000001E-2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0" x14ac:dyDescent="0.25">
      <c r="A3" s="1">
        <v>2458342.7296500001</v>
      </c>
      <c r="B3" s="1" t="s">
        <v>734</v>
      </c>
      <c r="C3" s="1">
        <v>10.975478000000001</v>
      </c>
      <c r="D3" s="1">
        <v>4.725E-3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0" x14ac:dyDescent="0.25">
      <c r="A4" s="1">
        <v>2458344.1444100002</v>
      </c>
      <c r="B4" s="1" t="s">
        <v>735</v>
      </c>
      <c r="C4" s="1">
        <v>10.923921</v>
      </c>
      <c r="D4" s="1">
        <v>7.6169999999999996E-3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0" x14ac:dyDescent="0.25">
      <c r="A5" s="1">
        <v>2458345.5617499999</v>
      </c>
      <c r="B5" s="1" t="s">
        <v>736</v>
      </c>
      <c r="C5" s="1">
        <v>10.814864</v>
      </c>
      <c r="D5" s="1">
        <v>3.444E-3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0" x14ac:dyDescent="0.25">
      <c r="A6" s="1">
        <v>2458346.7238099999</v>
      </c>
      <c r="B6" s="1" t="s">
        <v>737</v>
      </c>
      <c r="C6" s="1">
        <v>10.918628999999999</v>
      </c>
      <c r="D6" s="1">
        <v>4.862E-3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0" x14ac:dyDescent="0.25">
      <c r="A7" s="1">
        <v>2458347.1771</v>
      </c>
      <c r="B7" s="1" t="s">
        <v>737</v>
      </c>
      <c r="C7" s="1">
        <v>10.897333</v>
      </c>
      <c r="D7" s="1">
        <v>8.6479999999999994E-3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30" x14ac:dyDescent="0.25">
      <c r="A8" s="1">
        <v>2458349.2095400002</v>
      </c>
      <c r="B8" s="1" t="s">
        <v>738</v>
      </c>
      <c r="C8" s="1">
        <v>10.985333000000001</v>
      </c>
      <c r="D8" s="1">
        <v>0.119836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30" x14ac:dyDescent="0.25">
      <c r="A9" s="1">
        <v>2458350.0518800002</v>
      </c>
      <c r="B9" s="1" t="s">
        <v>739</v>
      </c>
      <c r="C9" s="1">
        <v>10.881500000000001</v>
      </c>
      <c r="D9" s="1">
        <v>2.2793999999999998E-2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30" x14ac:dyDescent="0.25">
      <c r="A10" s="1">
        <v>2458351.0505599999</v>
      </c>
      <c r="B10" s="1" t="s">
        <v>740</v>
      </c>
      <c r="C10" s="1">
        <v>10.874750000000001</v>
      </c>
      <c r="D10" s="1">
        <v>1.0633E-2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30" x14ac:dyDescent="0.25">
      <c r="A11" s="1">
        <v>2458351.9253699998</v>
      </c>
      <c r="B11" s="1" t="s">
        <v>741</v>
      </c>
      <c r="C11" s="1">
        <v>10.918286</v>
      </c>
      <c r="D11" s="1">
        <v>1.0179000000000001E-2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30" x14ac:dyDescent="0.25">
      <c r="A12" s="1">
        <v>2458353.3407800002</v>
      </c>
      <c r="B12" s="1" t="s">
        <v>742</v>
      </c>
      <c r="C12" s="1">
        <v>10.969374999999999</v>
      </c>
      <c r="D12" s="1">
        <v>5.6169999999999996E-3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30" x14ac:dyDescent="0.25">
      <c r="A13" s="1">
        <v>2458355.1016600002</v>
      </c>
      <c r="B13" s="1" t="s">
        <v>743</v>
      </c>
      <c r="C13" s="1">
        <v>10.926</v>
      </c>
      <c r="D13" s="1">
        <v>9.3010000000000002E-3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30" x14ac:dyDescent="0.25">
      <c r="A14" s="1">
        <v>2458356.3453799998</v>
      </c>
      <c r="B14" s="1" t="s">
        <v>744</v>
      </c>
      <c r="C14" s="1">
        <v>10.968999999999999</v>
      </c>
      <c r="D14" s="1">
        <v>4.1796E-2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30" x14ac:dyDescent="0.25">
      <c r="A15" s="1">
        <v>2458357.6807800001</v>
      </c>
      <c r="B15" s="1" t="s">
        <v>745</v>
      </c>
      <c r="C15" s="1">
        <v>10.951454999999999</v>
      </c>
      <c r="D15" s="1">
        <v>3.0190999999999999E-2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30" x14ac:dyDescent="0.25">
      <c r="A16" s="1">
        <v>2458359.0671600001</v>
      </c>
      <c r="B16" s="1" t="s">
        <v>746</v>
      </c>
      <c r="C16" s="1">
        <v>10.99</v>
      </c>
      <c r="D16" s="1">
        <v>6.3029999999999996E-3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 x14ac:dyDescent="0.25">
      <c r="A17" s="1">
        <v>2458359.8729599998</v>
      </c>
      <c r="B17" s="1" t="s">
        <v>747</v>
      </c>
      <c r="C17" s="1">
        <v>11.066599999999999</v>
      </c>
      <c r="D17" s="1">
        <v>4.2500999999999997E-2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 x14ac:dyDescent="0.25">
      <c r="A18" s="1">
        <v>2458361.0391299999</v>
      </c>
      <c r="B18" s="1" t="s">
        <v>748</v>
      </c>
      <c r="C18" s="1">
        <v>11.033625000000001</v>
      </c>
      <c r="D18" s="1">
        <v>5.1207999999999997E-2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30" x14ac:dyDescent="0.25">
      <c r="A19" s="1">
        <v>2458362.5576999998</v>
      </c>
      <c r="B19" s="1" t="s">
        <v>749</v>
      </c>
      <c r="C19" s="1">
        <v>11.129286</v>
      </c>
      <c r="D19" s="1">
        <v>1.0389000000000001E-2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2458364.36069</v>
      </c>
      <c r="B20" s="1" t="s">
        <v>750</v>
      </c>
      <c r="C20" s="1">
        <v>11.135723</v>
      </c>
      <c r="D20" s="1">
        <v>6.96E-4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2458364.6107000001</v>
      </c>
      <c r="B21" s="1" t="s">
        <v>751</v>
      </c>
      <c r="C21" s="1">
        <v>11.190300000000001</v>
      </c>
      <c r="D21" s="1">
        <v>4.4400000000000004E-3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4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4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4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4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4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4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4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4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873" spans="1:2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160"/>
  <sheetViews>
    <sheetView topLeftCell="A366" workbookViewId="0">
      <selection activeCell="E405" sqref="E405"/>
    </sheetView>
  </sheetViews>
  <sheetFormatPr baseColWidth="10" defaultRowHeight="15" x14ac:dyDescent="0.25"/>
  <cols>
    <col min="2" max="2" width="17.28515625" customWidth="1"/>
  </cols>
  <sheetData>
    <row r="1" spans="1:4" ht="30" x14ac:dyDescent="0.25">
      <c r="A1" s="1">
        <v>2445297.9</v>
      </c>
      <c r="B1" s="1" t="s">
        <v>246</v>
      </c>
      <c r="C1" s="1">
        <v>12.5</v>
      </c>
      <c r="D1" s="1">
        <v>0</v>
      </c>
    </row>
    <row r="2" spans="1:4" x14ac:dyDescent="0.25">
      <c r="A2" s="1">
        <v>2445349.7999999998</v>
      </c>
      <c r="B2" s="1" t="s">
        <v>247</v>
      </c>
      <c r="C2" s="1">
        <v>12.5</v>
      </c>
      <c r="D2" s="1">
        <v>0</v>
      </c>
    </row>
    <row r="3" spans="1:4" x14ac:dyDescent="0.25">
      <c r="A3" s="1">
        <v>2445380.2999999998</v>
      </c>
      <c r="B3" s="1" t="s">
        <v>248</v>
      </c>
      <c r="C3" s="1">
        <v>12.3</v>
      </c>
      <c r="D3" s="1">
        <v>0.3</v>
      </c>
    </row>
    <row r="4" spans="1:4" ht="30" x14ac:dyDescent="0.25">
      <c r="A4" s="1">
        <v>2445404.1</v>
      </c>
      <c r="B4" s="1" t="s">
        <v>249</v>
      </c>
      <c r="C4" s="1">
        <v>12.733333</v>
      </c>
      <c r="D4" s="1">
        <v>6.6667000000000004E-2</v>
      </c>
    </row>
    <row r="5" spans="1:4" ht="30" x14ac:dyDescent="0.25">
      <c r="A5" s="1">
        <v>2445466.9</v>
      </c>
      <c r="B5" s="1" t="s">
        <v>250</v>
      </c>
      <c r="C5" s="1">
        <v>13</v>
      </c>
      <c r="D5" s="1">
        <v>0</v>
      </c>
    </row>
    <row r="6" spans="1:4" x14ac:dyDescent="0.25">
      <c r="A6" s="1">
        <v>2445624.7999999998</v>
      </c>
      <c r="B6" s="1" t="s">
        <v>251</v>
      </c>
      <c r="C6" s="1">
        <v>12.5</v>
      </c>
      <c r="D6" s="1">
        <v>0</v>
      </c>
    </row>
    <row r="7" spans="1:4" x14ac:dyDescent="0.25">
      <c r="A7" s="1">
        <v>2445729.7000000002</v>
      </c>
      <c r="B7" s="1" t="s">
        <v>252</v>
      </c>
      <c r="C7" s="1">
        <v>12.8</v>
      </c>
      <c r="D7" s="1">
        <v>0.1</v>
      </c>
    </row>
    <row r="8" spans="1:4" x14ac:dyDescent="0.25">
      <c r="A8" s="1">
        <v>2445746.85</v>
      </c>
      <c r="B8" s="1" t="s">
        <v>253</v>
      </c>
      <c r="C8" s="1">
        <v>12.85</v>
      </c>
      <c r="D8" s="1">
        <v>0.45</v>
      </c>
    </row>
    <row r="9" spans="1:4" ht="30" x14ac:dyDescent="0.25">
      <c r="A9" s="1">
        <v>2445773.65</v>
      </c>
      <c r="B9" s="1" t="s">
        <v>254</v>
      </c>
      <c r="C9" s="1">
        <v>12.8</v>
      </c>
      <c r="D9" s="1">
        <v>0.4</v>
      </c>
    </row>
    <row r="10" spans="1:4" x14ac:dyDescent="0.25">
      <c r="A10" s="1">
        <v>2446060.5</v>
      </c>
      <c r="B10" s="1" t="s">
        <v>255</v>
      </c>
      <c r="C10" s="1">
        <v>11.5</v>
      </c>
      <c r="D10" s="1">
        <v>0</v>
      </c>
    </row>
    <row r="11" spans="1:4" x14ac:dyDescent="0.25">
      <c r="A11" s="1">
        <v>2446082.9</v>
      </c>
      <c r="B11" s="1" t="s">
        <v>256</v>
      </c>
      <c r="C11" s="1">
        <v>11</v>
      </c>
      <c r="D11" s="1">
        <v>0.50332200000000005</v>
      </c>
    </row>
    <row r="12" spans="1:4" x14ac:dyDescent="0.25">
      <c r="A12" s="1">
        <v>2446108.7000000002</v>
      </c>
      <c r="B12" s="1" t="s">
        <v>257</v>
      </c>
      <c r="C12" s="1">
        <v>10.1</v>
      </c>
      <c r="D12" s="1">
        <v>0</v>
      </c>
    </row>
    <row r="13" spans="1:4" ht="30" x14ac:dyDescent="0.25">
      <c r="A13" s="1">
        <v>2446149.2000000002</v>
      </c>
      <c r="B13" s="1" t="s">
        <v>258</v>
      </c>
      <c r="C13" s="1">
        <v>8.9</v>
      </c>
      <c r="D13" s="1">
        <v>0.1</v>
      </c>
    </row>
    <row r="14" spans="1:4" x14ac:dyDescent="0.25">
      <c r="A14" s="1">
        <v>2446173.15</v>
      </c>
      <c r="B14" s="1" t="s">
        <v>259</v>
      </c>
      <c r="C14" s="1">
        <v>9.1999999999999993</v>
      </c>
      <c r="D14" s="1">
        <v>0.2</v>
      </c>
    </row>
    <row r="15" spans="1:4" x14ac:dyDescent="0.25">
      <c r="A15" s="1">
        <v>2446356</v>
      </c>
      <c r="B15" s="1" t="s">
        <v>260</v>
      </c>
      <c r="C15" s="1">
        <v>10.5</v>
      </c>
      <c r="D15" s="1">
        <v>0</v>
      </c>
    </row>
    <row r="16" spans="1:4" x14ac:dyDescent="0.25">
      <c r="A16" s="1">
        <v>2446418</v>
      </c>
      <c r="B16" s="1" t="s">
        <v>261</v>
      </c>
      <c r="C16" s="1">
        <v>10.8</v>
      </c>
      <c r="D16" s="1">
        <v>0</v>
      </c>
    </row>
    <row r="17" spans="1:4" x14ac:dyDescent="0.25">
      <c r="A17" s="1">
        <v>2446493.7000000002</v>
      </c>
      <c r="B17" s="1" t="s">
        <v>262</v>
      </c>
      <c r="C17" s="1">
        <v>11.3</v>
      </c>
      <c r="D17" s="1">
        <v>0</v>
      </c>
    </row>
    <row r="18" spans="1:4" ht="30" x14ac:dyDescent="0.25">
      <c r="A18" s="1">
        <v>2446522.375</v>
      </c>
      <c r="B18" s="1" t="s">
        <v>263</v>
      </c>
      <c r="C18" s="1">
        <v>10.975</v>
      </c>
      <c r="D18" s="1">
        <v>0.22500000000000001</v>
      </c>
    </row>
    <row r="19" spans="1:4" x14ac:dyDescent="0.25">
      <c r="A19" s="1">
        <v>2446786.9</v>
      </c>
      <c r="B19" s="1" t="s">
        <v>264</v>
      </c>
      <c r="C19" s="1">
        <v>12</v>
      </c>
      <c r="D19" s="1">
        <v>0</v>
      </c>
    </row>
    <row r="20" spans="1:4" x14ac:dyDescent="0.25">
      <c r="A20" s="1">
        <v>2446849.6</v>
      </c>
      <c r="B20" s="1" t="s">
        <v>265</v>
      </c>
      <c r="C20" s="1">
        <v>13</v>
      </c>
      <c r="D20" s="1">
        <v>0</v>
      </c>
    </row>
    <row r="21" spans="1:4" ht="30" x14ac:dyDescent="0.25">
      <c r="A21" s="1">
        <v>2446874.7000000002</v>
      </c>
      <c r="B21" s="1" t="s">
        <v>266</v>
      </c>
      <c r="C21" s="1">
        <v>13</v>
      </c>
      <c r="D21" s="1">
        <v>0</v>
      </c>
    </row>
    <row r="22" spans="1:4" ht="30" x14ac:dyDescent="0.25">
      <c r="A22" s="1">
        <v>2446909.7333300002</v>
      </c>
      <c r="B22" s="1" t="s">
        <v>267</v>
      </c>
      <c r="C22" s="1">
        <v>12.366667</v>
      </c>
      <c r="D22" s="1">
        <v>0.29627300000000001</v>
      </c>
    </row>
    <row r="23" spans="1:4" x14ac:dyDescent="0.25">
      <c r="A23" s="1">
        <v>2447064.9</v>
      </c>
      <c r="B23" s="1" t="s">
        <v>268</v>
      </c>
      <c r="C23" s="1">
        <v>11.6</v>
      </c>
      <c r="D23" s="1">
        <v>0</v>
      </c>
    </row>
    <row r="24" spans="1:4" x14ac:dyDescent="0.25">
      <c r="A24" s="1">
        <v>2447173.1</v>
      </c>
      <c r="B24" s="1" t="s">
        <v>269</v>
      </c>
      <c r="C24" s="1">
        <v>11.8</v>
      </c>
      <c r="D24" s="1">
        <v>0</v>
      </c>
    </row>
    <row r="25" spans="1:4" x14ac:dyDescent="0.25">
      <c r="A25" s="1">
        <v>2447183.0666700001</v>
      </c>
      <c r="B25" s="1" t="s">
        <v>270</v>
      </c>
      <c r="C25" s="1">
        <v>11.433332999999999</v>
      </c>
      <c r="D25" s="1">
        <v>0.18559200000000001</v>
      </c>
    </row>
    <row r="26" spans="1:4" x14ac:dyDescent="0.25">
      <c r="A26" s="1">
        <v>2447213.53333</v>
      </c>
      <c r="B26" s="1" t="s">
        <v>271</v>
      </c>
      <c r="C26" s="1">
        <v>11.8</v>
      </c>
      <c r="D26" s="1">
        <v>0</v>
      </c>
    </row>
    <row r="27" spans="1:4" x14ac:dyDescent="0.25">
      <c r="A27" s="1">
        <v>2447231.9750000001</v>
      </c>
      <c r="B27" s="1" t="s">
        <v>272</v>
      </c>
      <c r="C27" s="1">
        <v>12.074999999999999</v>
      </c>
      <c r="D27" s="1">
        <v>0.26259900000000003</v>
      </c>
    </row>
    <row r="28" spans="1:4" x14ac:dyDescent="0.25">
      <c r="A28" s="1">
        <v>2447259.62</v>
      </c>
      <c r="B28" s="1" t="s">
        <v>273</v>
      </c>
      <c r="C28" s="1">
        <v>12.08</v>
      </c>
      <c r="D28" s="1">
        <v>0.115758</v>
      </c>
    </row>
    <row r="29" spans="1:4" x14ac:dyDescent="0.25">
      <c r="A29" s="1">
        <v>2447284.35</v>
      </c>
      <c r="B29" s="1" t="s">
        <v>274</v>
      </c>
      <c r="C29" s="1">
        <v>11.6</v>
      </c>
      <c r="D29" s="1">
        <v>0.2</v>
      </c>
    </row>
    <row r="30" spans="1:4" x14ac:dyDescent="0.25">
      <c r="A30" s="1">
        <v>2447449.16</v>
      </c>
      <c r="B30" s="1" t="s">
        <v>275</v>
      </c>
      <c r="C30" s="1">
        <v>10.5</v>
      </c>
      <c r="D30" s="1">
        <v>0</v>
      </c>
    </row>
    <row r="31" spans="1:4" x14ac:dyDescent="0.25">
      <c r="A31" s="1">
        <v>2447465.3174999999</v>
      </c>
      <c r="B31" s="1" t="s">
        <v>276</v>
      </c>
      <c r="C31" s="1">
        <v>10.125</v>
      </c>
      <c r="D31" s="1">
        <v>0.28686499999999998</v>
      </c>
    </row>
    <row r="32" spans="1:4" x14ac:dyDescent="0.25">
      <c r="A32" s="1">
        <v>2447481.1566699999</v>
      </c>
      <c r="B32" s="1" t="s">
        <v>277</v>
      </c>
      <c r="C32" s="1">
        <v>10.616667</v>
      </c>
      <c r="D32" s="1">
        <v>8.3333000000000004E-2</v>
      </c>
    </row>
    <row r="33" spans="1:4" x14ac:dyDescent="0.25">
      <c r="A33" s="1">
        <v>2447505.9874999998</v>
      </c>
      <c r="B33" s="1" t="s">
        <v>278</v>
      </c>
      <c r="C33" s="1">
        <v>10.612500000000001</v>
      </c>
      <c r="D33" s="1">
        <v>7.6619000000000007E-2</v>
      </c>
    </row>
    <row r="34" spans="1:4" x14ac:dyDescent="0.25">
      <c r="A34" s="1">
        <v>2447529.2082500001</v>
      </c>
      <c r="B34" s="1" t="s">
        <v>279</v>
      </c>
      <c r="C34" s="1">
        <v>10.824999999999999</v>
      </c>
      <c r="D34" s="1">
        <v>0.21746599999999999</v>
      </c>
    </row>
    <row r="35" spans="1:4" x14ac:dyDescent="0.25">
      <c r="A35" s="1">
        <v>2447543.2933299998</v>
      </c>
      <c r="B35" s="1" t="s">
        <v>280</v>
      </c>
      <c r="C35" s="1">
        <v>10.8</v>
      </c>
      <c r="D35" s="1">
        <v>0</v>
      </c>
    </row>
    <row r="36" spans="1:4" x14ac:dyDescent="0.25">
      <c r="A36" s="1">
        <v>2447565.8020000001</v>
      </c>
      <c r="B36" s="1" t="s">
        <v>281</v>
      </c>
      <c r="C36" s="1">
        <v>10.88</v>
      </c>
      <c r="D36" s="1">
        <v>0.02</v>
      </c>
    </row>
    <row r="37" spans="1:4" x14ac:dyDescent="0.25">
      <c r="A37" s="1">
        <v>2447589.57333</v>
      </c>
      <c r="B37" s="1" t="s">
        <v>282</v>
      </c>
      <c r="C37" s="1">
        <v>11.233333</v>
      </c>
      <c r="D37" s="1">
        <v>0.14529700000000001</v>
      </c>
    </row>
    <row r="38" spans="1:4" x14ac:dyDescent="0.25">
      <c r="A38" s="1">
        <v>2447617.53333</v>
      </c>
      <c r="B38" s="1" t="s">
        <v>283</v>
      </c>
      <c r="C38" s="1">
        <v>11.566667000000001</v>
      </c>
      <c r="D38" s="1">
        <v>3.3333000000000002E-2</v>
      </c>
    </row>
    <row r="39" spans="1:4" x14ac:dyDescent="0.25">
      <c r="A39" s="1">
        <v>2447653.81</v>
      </c>
      <c r="B39" s="1" t="s">
        <v>284</v>
      </c>
      <c r="C39" s="1">
        <v>11.4</v>
      </c>
      <c r="D39" s="1">
        <v>0</v>
      </c>
    </row>
    <row r="40" spans="1:4" x14ac:dyDescent="0.25">
      <c r="A40" s="1">
        <v>2447780.2200000002</v>
      </c>
      <c r="B40" s="1" t="s">
        <v>285</v>
      </c>
      <c r="C40" s="1">
        <v>11.8</v>
      </c>
      <c r="D40" s="1">
        <v>0</v>
      </c>
    </row>
    <row r="41" spans="1:4" x14ac:dyDescent="0.25">
      <c r="A41" s="1">
        <v>2447806.14</v>
      </c>
      <c r="B41" s="1" t="s">
        <v>286</v>
      </c>
      <c r="C41" s="1">
        <v>11.6</v>
      </c>
      <c r="D41" s="1">
        <v>0</v>
      </c>
    </row>
    <row r="42" spans="1:4" x14ac:dyDescent="0.25">
      <c r="A42" s="1">
        <v>2447827.5699999998</v>
      </c>
      <c r="B42" s="1" t="s">
        <v>287</v>
      </c>
      <c r="C42" s="1">
        <v>12.15</v>
      </c>
      <c r="D42" s="1">
        <v>0.35</v>
      </c>
    </row>
    <row r="43" spans="1:4" x14ac:dyDescent="0.25">
      <c r="A43" s="1">
        <v>2447861.96</v>
      </c>
      <c r="B43" s="1" t="s">
        <v>288</v>
      </c>
      <c r="C43" s="1">
        <v>12.25</v>
      </c>
      <c r="D43" s="1">
        <v>0.25</v>
      </c>
    </row>
    <row r="44" spans="1:4" x14ac:dyDescent="0.25">
      <c r="A44" s="1">
        <v>2447878.96</v>
      </c>
      <c r="B44" s="1" t="s">
        <v>289</v>
      </c>
      <c r="C44" s="1">
        <v>11.9</v>
      </c>
      <c r="D44" s="1">
        <v>0</v>
      </c>
    </row>
    <row r="45" spans="1:4" x14ac:dyDescent="0.25">
      <c r="A45" s="1">
        <v>2447927.7000000002</v>
      </c>
      <c r="B45" s="1" t="s">
        <v>290</v>
      </c>
      <c r="C45" s="1">
        <v>12</v>
      </c>
      <c r="D45" s="1">
        <v>0</v>
      </c>
    </row>
    <row r="46" spans="1:4" x14ac:dyDescent="0.25">
      <c r="A46" s="1">
        <v>2447943.94</v>
      </c>
      <c r="B46" s="1" t="s">
        <v>291</v>
      </c>
      <c r="C46" s="1">
        <v>12.5</v>
      </c>
      <c r="D46" s="1">
        <v>0</v>
      </c>
    </row>
    <row r="47" spans="1:4" x14ac:dyDescent="0.25">
      <c r="A47" s="1">
        <v>2447967.87</v>
      </c>
      <c r="B47" s="1" t="s">
        <v>292</v>
      </c>
      <c r="C47" s="1">
        <v>12.1</v>
      </c>
      <c r="D47" s="1">
        <v>0</v>
      </c>
    </row>
    <row r="48" spans="1:4" x14ac:dyDescent="0.25">
      <c r="A48" s="1">
        <v>2447991.87</v>
      </c>
      <c r="B48" s="1" t="s">
        <v>293</v>
      </c>
      <c r="C48" s="1">
        <v>12.15</v>
      </c>
      <c r="D48" s="1">
        <v>0.15</v>
      </c>
    </row>
    <row r="49" spans="1:4" x14ac:dyDescent="0.25">
      <c r="A49" s="1">
        <v>2448124.2200000002</v>
      </c>
      <c r="B49" s="1" t="s">
        <v>217</v>
      </c>
      <c r="C49" s="1">
        <v>12.4</v>
      </c>
      <c r="D49" s="1">
        <v>0</v>
      </c>
    </row>
    <row r="50" spans="1:4" x14ac:dyDescent="0.25">
      <c r="A50" s="1">
        <v>2448145.71</v>
      </c>
      <c r="B50" s="1" t="s">
        <v>294</v>
      </c>
      <c r="C50" s="1">
        <v>12.35</v>
      </c>
      <c r="D50" s="1">
        <v>0.05</v>
      </c>
    </row>
    <row r="51" spans="1:4" x14ac:dyDescent="0.25">
      <c r="A51" s="1">
        <v>2448156.78333</v>
      </c>
      <c r="B51" s="1" t="s">
        <v>295</v>
      </c>
      <c r="C51" s="1">
        <v>12.566667000000001</v>
      </c>
      <c r="D51" s="1">
        <v>0.218581</v>
      </c>
    </row>
    <row r="52" spans="1:4" x14ac:dyDescent="0.25">
      <c r="A52" s="1">
        <v>2448186.21</v>
      </c>
      <c r="B52" s="1" t="s">
        <v>296</v>
      </c>
      <c r="C52" s="1">
        <v>12.366667</v>
      </c>
      <c r="D52" s="1">
        <v>3.3333000000000002E-2</v>
      </c>
    </row>
    <row r="53" spans="1:4" x14ac:dyDescent="0.25">
      <c r="A53" s="1">
        <v>2448214.46</v>
      </c>
      <c r="B53" s="1" t="s">
        <v>297</v>
      </c>
      <c r="C53" s="1">
        <v>12.5</v>
      </c>
      <c r="D53" s="1">
        <v>0</v>
      </c>
    </row>
    <row r="54" spans="1:4" x14ac:dyDescent="0.25">
      <c r="A54" s="1">
        <v>2448241.3866699999</v>
      </c>
      <c r="B54" s="1" t="s">
        <v>298</v>
      </c>
      <c r="C54" s="1">
        <v>12.166667</v>
      </c>
      <c r="D54" s="1">
        <v>0.38441900000000001</v>
      </c>
    </row>
    <row r="55" spans="1:4" x14ac:dyDescent="0.25">
      <c r="A55" s="1">
        <v>2448262.6735700001</v>
      </c>
      <c r="B55" s="1" t="s">
        <v>299</v>
      </c>
      <c r="C55" s="1">
        <v>12.4</v>
      </c>
      <c r="D55" s="1">
        <v>0.108012</v>
      </c>
    </row>
    <row r="56" spans="1:4" x14ac:dyDescent="0.25">
      <c r="A56" s="1">
        <v>2448285.1</v>
      </c>
      <c r="B56" s="1" t="s">
        <v>300</v>
      </c>
      <c r="C56" s="1">
        <v>12.05</v>
      </c>
      <c r="D56" s="1">
        <v>0.05</v>
      </c>
    </row>
    <row r="57" spans="1:4" x14ac:dyDescent="0.25">
      <c r="A57" s="1">
        <v>2448302.8912399998</v>
      </c>
      <c r="B57" s="1" t="s">
        <v>301</v>
      </c>
      <c r="C57" s="1">
        <v>12.18</v>
      </c>
      <c r="D57" s="1">
        <v>0.08</v>
      </c>
    </row>
    <row r="58" spans="1:4" x14ac:dyDescent="0.25">
      <c r="A58" s="1">
        <v>2448332.61</v>
      </c>
      <c r="B58" s="1" t="s">
        <v>302</v>
      </c>
      <c r="C58" s="1">
        <v>12.15</v>
      </c>
      <c r="D58" s="1">
        <v>6.4549999999999996E-2</v>
      </c>
    </row>
    <row r="59" spans="1:4" x14ac:dyDescent="0.25">
      <c r="A59" s="1">
        <v>2448352.2266699998</v>
      </c>
      <c r="B59" s="1" t="s">
        <v>303</v>
      </c>
      <c r="C59" s="1">
        <v>12.166667</v>
      </c>
      <c r="D59" s="1">
        <v>0.13333300000000001</v>
      </c>
    </row>
    <row r="60" spans="1:4" x14ac:dyDescent="0.25">
      <c r="A60" s="1">
        <v>2448365.9313300001</v>
      </c>
      <c r="B60" s="1" t="s">
        <v>304</v>
      </c>
      <c r="C60" s="1">
        <v>12.066667000000001</v>
      </c>
      <c r="D60" s="1">
        <v>0.120185</v>
      </c>
    </row>
    <row r="61" spans="1:4" x14ac:dyDescent="0.25">
      <c r="A61" s="1">
        <v>2448385.1035000002</v>
      </c>
      <c r="B61" s="1" t="s">
        <v>305</v>
      </c>
      <c r="C61" s="1">
        <v>12.15</v>
      </c>
      <c r="D61" s="1">
        <v>6.4549999999999996E-2</v>
      </c>
    </row>
    <row r="62" spans="1:4" x14ac:dyDescent="0.25">
      <c r="A62" s="1">
        <v>2448497.73</v>
      </c>
      <c r="B62" s="1" t="s">
        <v>306</v>
      </c>
      <c r="C62" s="1">
        <v>12</v>
      </c>
      <c r="D62" s="1">
        <v>0</v>
      </c>
    </row>
    <row r="63" spans="1:4" x14ac:dyDescent="0.25">
      <c r="A63" s="1">
        <v>2448539.1749999998</v>
      </c>
      <c r="B63" s="1" t="s">
        <v>307</v>
      </c>
      <c r="C63" s="1">
        <v>11.95</v>
      </c>
      <c r="D63" s="1">
        <v>0.05</v>
      </c>
    </row>
    <row r="64" spans="1:4" x14ac:dyDescent="0.25">
      <c r="A64" s="1">
        <v>2448566.625</v>
      </c>
      <c r="B64" s="1" t="s">
        <v>308</v>
      </c>
      <c r="C64" s="1">
        <v>11.9</v>
      </c>
      <c r="D64" s="1">
        <v>0</v>
      </c>
    </row>
    <row r="65" spans="1:4" x14ac:dyDescent="0.25">
      <c r="A65" s="1">
        <v>2448597.12</v>
      </c>
      <c r="B65" s="1" t="s">
        <v>309</v>
      </c>
      <c r="C65" s="1">
        <v>11.85</v>
      </c>
      <c r="D65" s="1">
        <v>0.05</v>
      </c>
    </row>
    <row r="66" spans="1:4" x14ac:dyDescent="0.25">
      <c r="A66" s="1">
        <v>2448611.32333</v>
      </c>
      <c r="B66" s="1" t="s">
        <v>310</v>
      </c>
      <c r="C66" s="1">
        <v>11.966666999999999</v>
      </c>
      <c r="D66" s="1">
        <v>3.3333000000000002E-2</v>
      </c>
    </row>
    <row r="67" spans="1:4" x14ac:dyDescent="0.25">
      <c r="A67" s="1">
        <v>2448630.68138</v>
      </c>
      <c r="B67" s="1" t="s">
        <v>311</v>
      </c>
      <c r="C67" s="1">
        <v>11.353999999999999</v>
      </c>
      <c r="D67" s="1">
        <v>0.50151400000000002</v>
      </c>
    </row>
    <row r="68" spans="1:4" x14ac:dyDescent="0.25">
      <c r="A68" s="1">
        <v>2448651.7241199999</v>
      </c>
      <c r="B68" s="1" t="s">
        <v>312</v>
      </c>
      <c r="C68" s="1">
        <v>11.783333000000001</v>
      </c>
      <c r="D68" s="1">
        <v>6.5405000000000005E-2</v>
      </c>
    </row>
    <row r="69" spans="1:4" x14ac:dyDescent="0.25">
      <c r="A69" s="1">
        <v>2448664.8482499998</v>
      </c>
      <c r="B69" s="1" t="s">
        <v>313</v>
      </c>
      <c r="C69" s="1">
        <v>11.664999999999999</v>
      </c>
      <c r="D69" s="1">
        <v>0.101119</v>
      </c>
    </row>
    <row r="70" spans="1:4" x14ac:dyDescent="0.25">
      <c r="A70" s="1">
        <v>2448685.0038399999</v>
      </c>
      <c r="B70" s="1" t="s">
        <v>314</v>
      </c>
      <c r="C70" s="1">
        <v>11.508571</v>
      </c>
      <c r="D70" s="1">
        <v>8.1369999999999998E-2</v>
      </c>
    </row>
    <row r="71" spans="1:4" x14ac:dyDescent="0.25">
      <c r="A71" s="1">
        <v>2448710.9753800002</v>
      </c>
      <c r="B71" s="1" t="s">
        <v>315</v>
      </c>
      <c r="C71" s="1">
        <v>11.51</v>
      </c>
      <c r="D71" s="1">
        <v>7.8102000000000005E-2</v>
      </c>
    </row>
    <row r="72" spans="1:4" x14ac:dyDescent="0.25">
      <c r="A72" s="1">
        <v>2448743.8075000001</v>
      </c>
      <c r="B72" s="1" t="s">
        <v>218</v>
      </c>
      <c r="C72" s="1">
        <v>11.35</v>
      </c>
      <c r="D72" s="1">
        <v>8.6602999999999999E-2</v>
      </c>
    </row>
    <row r="73" spans="1:4" x14ac:dyDescent="0.25">
      <c r="A73" s="1">
        <v>2448763.73</v>
      </c>
      <c r="B73" s="1" t="s">
        <v>316</v>
      </c>
      <c r="C73" s="1">
        <v>11.1</v>
      </c>
      <c r="D73" s="1">
        <v>0</v>
      </c>
    </row>
    <row r="74" spans="1:4" x14ac:dyDescent="0.25">
      <c r="A74" s="1">
        <v>2448854.2599999998</v>
      </c>
      <c r="B74" s="1" t="s">
        <v>317</v>
      </c>
      <c r="C74" s="1">
        <v>11</v>
      </c>
      <c r="D74" s="1">
        <v>0</v>
      </c>
    </row>
    <row r="75" spans="1:4" x14ac:dyDescent="0.25">
      <c r="A75" s="1">
        <v>2448873.23</v>
      </c>
      <c r="B75" s="1" t="s">
        <v>318</v>
      </c>
      <c r="C75" s="1">
        <v>11.2</v>
      </c>
      <c r="D75" s="1">
        <v>0</v>
      </c>
    </row>
    <row r="76" spans="1:4" x14ac:dyDescent="0.25">
      <c r="A76" s="1">
        <v>2448893.1800000002</v>
      </c>
      <c r="B76" s="1" t="s">
        <v>319</v>
      </c>
      <c r="C76" s="1">
        <v>11.3</v>
      </c>
      <c r="D76" s="1">
        <v>5.7735000000000002E-2</v>
      </c>
    </row>
    <row r="77" spans="1:4" x14ac:dyDescent="0.25">
      <c r="A77" s="1">
        <v>2448931.12</v>
      </c>
      <c r="B77" s="1" t="s">
        <v>320</v>
      </c>
      <c r="C77" s="1">
        <v>11.7</v>
      </c>
      <c r="D77" s="1">
        <v>0</v>
      </c>
    </row>
    <row r="78" spans="1:4" x14ac:dyDescent="0.25">
      <c r="A78" s="1">
        <v>2448950.6924999999</v>
      </c>
      <c r="B78" s="1" t="s">
        <v>321</v>
      </c>
      <c r="C78" s="1">
        <v>11.9</v>
      </c>
      <c r="D78" s="1">
        <v>0</v>
      </c>
    </row>
    <row r="79" spans="1:4" x14ac:dyDescent="0.25">
      <c r="A79" s="1">
        <v>2448975.5449999999</v>
      </c>
      <c r="B79" s="1" t="s">
        <v>322</v>
      </c>
      <c r="C79" s="1">
        <v>11.9</v>
      </c>
      <c r="D79" s="1">
        <v>0</v>
      </c>
    </row>
    <row r="80" spans="1:4" x14ac:dyDescent="0.25">
      <c r="A80" s="1">
        <v>2448992.9350000001</v>
      </c>
      <c r="B80" s="1" t="s">
        <v>323</v>
      </c>
      <c r="C80" s="1">
        <v>11.85</v>
      </c>
      <c r="D80" s="1">
        <v>0.15</v>
      </c>
    </row>
    <row r="81" spans="1:4" x14ac:dyDescent="0.25">
      <c r="A81" s="1">
        <v>2449010.4449999998</v>
      </c>
      <c r="B81" s="1" t="s">
        <v>324</v>
      </c>
      <c r="C81" s="1">
        <v>11.95</v>
      </c>
      <c r="D81" s="1">
        <v>0.05</v>
      </c>
    </row>
    <row r="82" spans="1:4" x14ac:dyDescent="0.25">
      <c r="A82" s="1">
        <v>2449025.8539999998</v>
      </c>
      <c r="B82" s="1" t="s">
        <v>325</v>
      </c>
      <c r="C82" s="1">
        <v>11.66</v>
      </c>
      <c r="D82" s="1">
        <v>0.19899700000000001</v>
      </c>
    </row>
    <row r="83" spans="1:4" x14ac:dyDescent="0.25">
      <c r="A83" s="1">
        <v>2449041.7141499999</v>
      </c>
      <c r="B83" s="1" t="s">
        <v>326</v>
      </c>
      <c r="C83" s="1">
        <v>12</v>
      </c>
      <c r="D83" s="1">
        <v>2.3476E-2</v>
      </c>
    </row>
    <row r="84" spans="1:4" x14ac:dyDescent="0.25">
      <c r="A84" s="1">
        <v>2449063.2266000002</v>
      </c>
      <c r="B84" s="1" t="s">
        <v>327</v>
      </c>
      <c r="C84" s="1">
        <v>12.018462</v>
      </c>
      <c r="D84" s="1">
        <v>1.5723999999999998E-2</v>
      </c>
    </row>
    <row r="85" spans="1:4" x14ac:dyDescent="0.25">
      <c r="A85" s="1">
        <v>2449080.1564000002</v>
      </c>
      <c r="B85" s="1" t="s">
        <v>328</v>
      </c>
      <c r="C85" s="1">
        <v>11.925000000000001</v>
      </c>
      <c r="D85" s="1">
        <v>4.7870999999999997E-2</v>
      </c>
    </row>
    <row r="86" spans="1:4" x14ac:dyDescent="0.25">
      <c r="A86" s="1">
        <v>2449099.335</v>
      </c>
      <c r="B86" s="1" t="s">
        <v>329</v>
      </c>
      <c r="C86" s="1">
        <v>11.9</v>
      </c>
      <c r="D86" s="1">
        <v>0</v>
      </c>
    </row>
    <row r="87" spans="1:4" x14ac:dyDescent="0.25">
      <c r="A87" s="1">
        <v>2449126.4566700002</v>
      </c>
      <c r="B87" s="1" t="s">
        <v>330</v>
      </c>
      <c r="C87" s="1">
        <v>12.066667000000001</v>
      </c>
      <c r="D87" s="1">
        <v>8.8192000000000006E-2</v>
      </c>
    </row>
    <row r="88" spans="1:4" x14ac:dyDescent="0.25">
      <c r="A88" s="1">
        <v>2449148.77</v>
      </c>
      <c r="B88" s="1" t="s">
        <v>219</v>
      </c>
      <c r="C88" s="1">
        <v>12.3</v>
      </c>
      <c r="D88" s="1">
        <v>0</v>
      </c>
    </row>
    <row r="89" spans="1:4" x14ac:dyDescent="0.25">
      <c r="A89" s="1">
        <v>2449220.9300000002</v>
      </c>
      <c r="B89" s="1" t="s">
        <v>331</v>
      </c>
      <c r="C89" s="1">
        <v>11.866667</v>
      </c>
      <c r="D89" s="1">
        <v>3.3333000000000002E-2</v>
      </c>
    </row>
    <row r="90" spans="1:4" x14ac:dyDescent="0.25">
      <c r="A90" s="1">
        <v>2449236.71</v>
      </c>
      <c r="B90" s="1" t="s">
        <v>332</v>
      </c>
      <c r="C90" s="1">
        <v>11.95</v>
      </c>
      <c r="D90" s="1">
        <v>0.05</v>
      </c>
    </row>
    <row r="91" spans="1:4" x14ac:dyDescent="0.25">
      <c r="A91" s="1">
        <v>2449267.75</v>
      </c>
      <c r="B91" s="1" t="s">
        <v>333</v>
      </c>
      <c r="C91" s="1">
        <v>12.2</v>
      </c>
      <c r="D91" s="1">
        <v>0.152753</v>
      </c>
    </row>
    <row r="92" spans="1:4" x14ac:dyDescent="0.25">
      <c r="A92" s="1">
        <v>2449310.9109999998</v>
      </c>
      <c r="B92" s="1" t="s">
        <v>334</v>
      </c>
      <c r="C92" s="1">
        <v>12.033333000000001</v>
      </c>
      <c r="D92" s="1">
        <v>6.6667000000000004E-2</v>
      </c>
    </row>
    <row r="93" spans="1:4" x14ac:dyDescent="0.25">
      <c r="A93" s="1">
        <v>2449334.4874999998</v>
      </c>
      <c r="B93" s="1" t="s">
        <v>335</v>
      </c>
      <c r="C93" s="1">
        <v>12.35</v>
      </c>
      <c r="D93" s="1">
        <v>0.217945</v>
      </c>
    </row>
    <row r="94" spans="1:4" x14ac:dyDescent="0.25">
      <c r="A94" s="1">
        <v>2449347.3849999998</v>
      </c>
      <c r="B94" s="1" t="s">
        <v>336</v>
      </c>
      <c r="C94" s="1">
        <v>12</v>
      </c>
      <c r="D94" s="1">
        <v>5.7735000000000002E-2</v>
      </c>
    </row>
    <row r="95" spans="1:4" x14ac:dyDescent="0.25">
      <c r="A95" s="1">
        <v>2449366.202</v>
      </c>
      <c r="B95" s="1" t="s">
        <v>337</v>
      </c>
      <c r="C95" s="1">
        <v>12.02</v>
      </c>
      <c r="D95" s="1">
        <v>7.3484999999999995E-2</v>
      </c>
    </row>
    <row r="96" spans="1:4" x14ac:dyDescent="0.25">
      <c r="A96" s="1">
        <v>2449391.0434400002</v>
      </c>
      <c r="B96" s="1" t="s">
        <v>338</v>
      </c>
      <c r="C96" s="1">
        <v>12.355556</v>
      </c>
      <c r="D96" s="1">
        <v>5.0307999999999999E-2</v>
      </c>
    </row>
    <row r="97" spans="1:4" x14ac:dyDescent="0.25">
      <c r="A97" s="1">
        <v>2449414.6422000001</v>
      </c>
      <c r="B97" s="1" t="s">
        <v>339</v>
      </c>
      <c r="C97" s="1">
        <v>12.5</v>
      </c>
      <c r="D97" s="1">
        <v>5.4772000000000001E-2</v>
      </c>
    </row>
    <row r="98" spans="1:4" x14ac:dyDescent="0.25">
      <c r="A98" s="1">
        <v>2449424.34082</v>
      </c>
      <c r="B98" s="1" t="s">
        <v>340</v>
      </c>
      <c r="C98" s="1">
        <v>12.53</v>
      </c>
      <c r="D98" s="1">
        <v>7.8950999999999993E-2</v>
      </c>
    </row>
    <row r="99" spans="1:4" x14ac:dyDescent="0.25">
      <c r="A99" s="1">
        <v>2449446.2434100001</v>
      </c>
      <c r="B99" s="1" t="s">
        <v>341</v>
      </c>
      <c r="C99" s="1">
        <v>12.422222</v>
      </c>
      <c r="D99" s="1">
        <v>4.6481000000000001E-2</v>
      </c>
    </row>
    <row r="100" spans="1:4" x14ac:dyDescent="0.25">
      <c r="A100" s="1">
        <v>2449474.83</v>
      </c>
      <c r="B100" s="1" t="s">
        <v>342</v>
      </c>
      <c r="C100" s="1">
        <v>12</v>
      </c>
      <c r="D100" s="1">
        <v>0</v>
      </c>
    </row>
    <row r="101" spans="1:4" x14ac:dyDescent="0.25">
      <c r="A101" s="1">
        <v>2449493.29</v>
      </c>
      <c r="B101" s="1" t="s">
        <v>343</v>
      </c>
      <c r="C101" s="1">
        <v>12.7</v>
      </c>
      <c r="D101" s="1">
        <v>0.3</v>
      </c>
    </row>
    <row r="102" spans="1:4" x14ac:dyDescent="0.25">
      <c r="A102" s="1">
        <v>2449577.7549999999</v>
      </c>
      <c r="B102" s="1" t="s">
        <v>344</v>
      </c>
      <c r="C102" s="1">
        <v>12.2</v>
      </c>
      <c r="D102" s="1">
        <v>0</v>
      </c>
    </row>
    <row r="103" spans="1:4" x14ac:dyDescent="0.25">
      <c r="A103" s="1">
        <v>2449595.2349999999</v>
      </c>
      <c r="B103" s="1" t="s">
        <v>345</v>
      </c>
      <c r="C103" s="1">
        <v>12</v>
      </c>
      <c r="D103" s="1">
        <v>0.1</v>
      </c>
    </row>
    <row r="104" spans="1:4" x14ac:dyDescent="0.25">
      <c r="A104" s="1">
        <v>2449623.16</v>
      </c>
      <c r="B104" s="1" t="s">
        <v>346</v>
      </c>
      <c r="C104" s="1">
        <v>12.2</v>
      </c>
      <c r="D104" s="1">
        <v>0</v>
      </c>
    </row>
    <row r="105" spans="1:4" x14ac:dyDescent="0.25">
      <c r="A105" s="1">
        <v>2449637.8294700002</v>
      </c>
      <c r="B105" s="1" t="s">
        <v>347</v>
      </c>
      <c r="C105" s="1">
        <v>12.066667000000001</v>
      </c>
      <c r="D105" s="1">
        <v>3.3333000000000002E-2</v>
      </c>
    </row>
    <row r="106" spans="1:4" x14ac:dyDescent="0.25">
      <c r="A106" s="1">
        <v>2449659.21074</v>
      </c>
      <c r="B106" s="1" t="s">
        <v>348</v>
      </c>
      <c r="C106" s="1">
        <v>12.14</v>
      </c>
      <c r="D106" s="1">
        <v>0.04</v>
      </c>
    </row>
    <row r="107" spans="1:4" x14ac:dyDescent="0.25">
      <c r="A107" s="1">
        <v>2449685.1299000001</v>
      </c>
      <c r="B107" s="1" t="s">
        <v>349</v>
      </c>
      <c r="C107" s="1">
        <v>12.1</v>
      </c>
      <c r="D107" s="1">
        <v>0</v>
      </c>
    </row>
    <row r="108" spans="1:4" x14ac:dyDescent="0.25">
      <c r="A108" s="1">
        <v>2449694.4180200002</v>
      </c>
      <c r="B108" s="1" t="s">
        <v>350</v>
      </c>
      <c r="C108" s="1">
        <v>12.04</v>
      </c>
      <c r="D108" s="1">
        <v>9.7979999999999998E-2</v>
      </c>
    </row>
    <row r="109" spans="1:4" x14ac:dyDescent="0.25">
      <c r="A109" s="1">
        <v>2449717.1348100002</v>
      </c>
      <c r="B109" s="1" t="s">
        <v>351</v>
      </c>
      <c r="C109" s="1">
        <v>12.095000000000001</v>
      </c>
      <c r="D109" s="1">
        <v>7.6694999999999999E-2</v>
      </c>
    </row>
    <row r="110" spans="1:4" x14ac:dyDescent="0.25">
      <c r="A110" s="1">
        <v>2449728.6737000002</v>
      </c>
      <c r="B110" s="1" t="s">
        <v>352</v>
      </c>
      <c r="C110" s="1">
        <v>11.992000000000001</v>
      </c>
      <c r="D110" s="1">
        <v>8.4047999999999998E-2</v>
      </c>
    </row>
    <row r="111" spans="1:4" x14ac:dyDescent="0.25">
      <c r="A111" s="1">
        <v>2449748.1934500001</v>
      </c>
      <c r="B111" s="1" t="s">
        <v>353</v>
      </c>
      <c r="C111" s="1">
        <v>12.062856999999999</v>
      </c>
      <c r="D111" s="1">
        <v>5.8652000000000003E-2</v>
      </c>
    </row>
    <row r="112" spans="1:4" x14ac:dyDescent="0.25">
      <c r="A112" s="1">
        <v>2449764.1976600001</v>
      </c>
      <c r="B112" s="1" t="s">
        <v>354</v>
      </c>
      <c r="C112" s="1">
        <v>12.15</v>
      </c>
      <c r="D112" s="1">
        <v>5.6695000000000002E-2</v>
      </c>
    </row>
    <row r="113" spans="1:4" x14ac:dyDescent="0.25">
      <c r="A113" s="1">
        <v>2449780.2761900001</v>
      </c>
      <c r="B113" s="1" t="s">
        <v>355</v>
      </c>
      <c r="C113" s="1">
        <v>12.096875000000001</v>
      </c>
      <c r="D113" s="1">
        <v>6.3323000000000004E-2</v>
      </c>
    </row>
    <row r="114" spans="1:4" x14ac:dyDescent="0.25">
      <c r="A114" s="1">
        <v>2449796.2590200002</v>
      </c>
      <c r="B114" s="1" t="s">
        <v>356</v>
      </c>
      <c r="C114" s="1">
        <v>12.383333</v>
      </c>
      <c r="D114" s="1">
        <v>0.1</v>
      </c>
    </row>
    <row r="115" spans="1:4" x14ac:dyDescent="0.25">
      <c r="A115" s="1">
        <v>2449811.2833699998</v>
      </c>
      <c r="B115" s="1" t="s">
        <v>357</v>
      </c>
      <c r="C115" s="1">
        <v>12.385714</v>
      </c>
      <c r="D115" s="1">
        <v>0.114286</v>
      </c>
    </row>
    <row r="116" spans="1:4" x14ac:dyDescent="0.25">
      <c r="A116" s="1">
        <v>2449837.8174000001</v>
      </c>
      <c r="B116" s="1" t="s">
        <v>358</v>
      </c>
      <c r="C116" s="1">
        <v>12.15</v>
      </c>
      <c r="D116" s="1">
        <v>0.15</v>
      </c>
    </row>
    <row r="117" spans="1:4" x14ac:dyDescent="0.25">
      <c r="A117" s="1">
        <v>2449855.8075999999</v>
      </c>
      <c r="B117" s="1" t="s">
        <v>359</v>
      </c>
      <c r="C117" s="1">
        <v>12.2</v>
      </c>
      <c r="D117" s="1">
        <v>0</v>
      </c>
    </row>
    <row r="118" spans="1:4" x14ac:dyDescent="0.25">
      <c r="A118" s="1">
        <v>2449873.7832999998</v>
      </c>
      <c r="B118" s="1" t="s">
        <v>360</v>
      </c>
      <c r="C118" s="1">
        <v>12.1</v>
      </c>
      <c r="D118" s="1">
        <v>0</v>
      </c>
    </row>
    <row r="119" spans="1:4" x14ac:dyDescent="0.25">
      <c r="A119" s="1">
        <v>2449953.8416800001</v>
      </c>
      <c r="B119" s="1" t="s">
        <v>361</v>
      </c>
      <c r="C119" s="1">
        <v>11.44</v>
      </c>
      <c r="D119" s="1">
        <v>2.4494999999999999E-2</v>
      </c>
    </row>
    <row r="120" spans="1:4" x14ac:dyDescent="0.25">
      <c r="A120" s="1">
        <v>2449975.96215</v>
      </c>
      <c r="B120" s="1" t="s">
        <v>362</v>
      </c>
      <c r="C120" s="1">
        <v>11.425000000000001</v>
      </c>
      <c r="D120" s="1">
        <v>6.2914999999999999E-2</v>
      </c>
    </row>
    <row r="121" spans="1:4" x14ac:dyDescent="0.25">
      <c r="A121" s="1">
        <v>2449998.4312200001</v>
      </c>
      <c r="B121" s="1" t="s">
        <v>363</v>
      </c>
      <c r="C121" s="1">
        <v>11.175000000000001</v>
      </c>
      <c r="D121" s="1">
        <v>4.7870999999999997E-2</v>
      </c>
    </row>
    <row r="122" spans="1:4" x14ac:dyDescent="0.25">
      <c r="A122" s="1">
        <v>2450012.3038599999</v>
      </c>
      <c r="B122" s="1" t="s">
        <v>364</v>
      </c>
      <c r="C122" s="1">
        <v>11.128571000000001</v>
      </c>
      <c r="D122" s="1">
        <v>0.106266</v>
      </c>
    </row>
    <row r="123" spans="1:4" x14ac:dyDescent="0.25">
      <c r="A123" s="1">
        <v>2450027.2851300002</v>
      </c>
      <c r="B123" s="1" t="s">
        <v>365</v>
      </c>
      <c r="C123" s="1">
        <v>10.8375</v>
      </c>
      <c r="D123" s="1">
        <v>0.15804299999999999</v>
      </c>
    </row>
    <row r="124" spans="1:4" x14ac:dyDescent="0.25">
      <c r="A124" s="1">
        <v>2450043.3086899999</v>
      </c>
      <c r="B124" s="1" t="s">
        <v>366</v>
      </c>
      <c r="C124" s="1">
        <v>11.256</v>
      </c>
      <c r="D124" s="1">
        <v>7.1355000000000002E-2</v>
      </c>
    </row>
    <row r="125" spans="1:4" x14ac:dyDescent="0.25">
      <c r="A125" s="1">
        <v>2450062.1970000002</v>
      </c>
      <c r="B125" s="1" t="s">
        <v>367</v>
      </c>
      <c r="C125" s="1">
        <v>11.133333</v>
      </c>
      <c r="D125" s="1">
        <v>8.8192000000000006E-2</v>
      </c>
    </row>
    <row r="126" spans="1:4" x14ac:dyDescent="0.25">
      <c r="A126" s="1">
        <v>2450076.4206500002</v>
      </c>
      <c r="B126" s="1" t="s">
        <v>368</v>
      </c>
      <c r="C126" s="1">
        <v>11.32</v>
      </c>
      <c r="D126" s="1">
        <v>0.10577300000000001</v>
      </c>
    </row>
    <row r="127" spans="1:4" x14ac:dyDescent="0.25">
      <c r="A127" s="1">
        <v>2450099.7725300002</v>
      </c>
      <c r="B127" s="1" t="s">
        <v>369</v>
      </c>
      <c r="C127" s="1">
        <v>11.216666999999999</v>
      </c>
      <c r="D127" s="1">
        <v>9.1976000000000002E-2</v>
      </c>
    </row>
    <row r="128" spans="1:4" x14ac:dyDescent="0.25">
      <c r="A128" s="1">
        <v>2450113.9078899999</v>
      </c>
      <c r="B128" s="1" t="s">
        <v>370</v>
      </c>
      <c r="C128" s="1">
        <v>11.583333</v>
      </c>
      <c r="D128" s="1">
        <v>9.7894999999999996E-2</v>
      </c>
    </row>
    <row r="129" spans="1:4" x14ac:dyDescent="0.25">
      <c r="A129" s="1">
        <v>2450131.5517600002</v>
      </c>
      <c r="B129" s="1" t="s">
        <v>371</v>
      </c>
      <c r="C129" s="1">
        <v>11.515385</v>
      </c>
      <c r="D129" s="1">
        <v>9.1879000000000002E-2</v>
      </c>
    </row>
    <row r="130" spans="1:4" x14ac:dyDescent="0.25">
      <c r="A130" s="1">
        <v>2450148.6210099999</v>
      </c>
      <c r="B130" s="1" t="s">
        <v>372</v>
      </c>
      <c r="C130" s="1">
        <v>11.613333000000001</v>
      </c>
      <c r="D130" s="1">
        <v>7.9302999999999998E-2</v>
      </c>
    </row>
    <row r="131" spans="1:4" x14ac:dyDescent="0.25">
      <c r="A131" s="1">
        <v>2450166.0555400001</v>
      </c>
      <c r="B131" s="1" t="s">
        <v>373</v>
      </c>
      <c r="C131" s="1">
        <v>11.5</v>
      </c>
      <c r="D131" s="1">
        <v>4.4720999999999997E-2</v>
      </c>
    </row>
    <row r="132" spans="1:4" x14ac:dyDescent="0.25">
      <c r="A132" s="1">
        <v>2450187.4259600001</v>
      </c>
      <c r="B132" s="1" t="s">
        <v>374</v>
      </c>
      <c r="C132" s="1">
        <v>11.814285999999999</v>
      </c>
      <c r="D132" s="1">
        <v>0.129887</v>
      </c>
    </row>
    <row r="133" spans="1:4" x14ac:dyDescent="0.25">
      <c r="A133" s="1">
        <v>2450215.08733</v>
      </c>
      <c r="B133" s="1" t="s">
        <v>375</v>
      </c>
      <c r="C133" s="1">
        <v>11.9</v>
      </c>
      <c r="D133" s="1">
        <v>0.13540099999999999</v>
      </c>
    </row>
    <row r="134" spans="1:4" x14ac:dyDescent="0.25">
      <c r="A134" s="1">
        <v>2450241.7895999998</v>
      </c>
      <c r="B134" s="1" t="s">
        <v>376</v>
      </c>
      <c r="C134" s="1">
        <v>11.8</v>
      </c>
      <c r="D134" s="1">
        <v>0</v>
      </c>
    </row>
    <row r="135" spans="1:4" x14ac:dyDescent="0.25">
      <c r="A135" s="1">
        <v>2450314.2595799998</v>
      </c>
      <c r="B135" s="1" t="s">
        <v>377</v>
      </c>
      <c r="C135" s="1">
        <v>12</v>
      </c>
      <c r="D135" s="1">
        <v>7.0710999999999996E-2</v>
      </c>
    </row>
    <row r="136" spans="1:4" x14ac:dyDescent="0.25">
      <c r="A136" s="1">
        <v>2450337.216</v>
      </c>
      <c r="B136" s="1" t="s">
        <v>378</v>
      </c>
      <c r="C136" s="1">
        <v>12.2</v>
      </c>
      <c r="D136" s="1">
        <v>0</v>
      </c>
    </row>
    <row r="137" spans="1:4" x14ac:dyDescent="0.25">
      <c r="A137" s="1">
        <v>2450348.3552799998</v>
      </c>
      <c r="B137" s="1" t="s">
        <v>379</v>
      </c>
      <c r="C137" s="1">
        <v>12.02</v>
      </c>
      <c r="D137" s="1">
        <v>5.8310000000000001E-2</v>
      </c>
    </row>
    <row r="138" spans="1:4" x14ac:dyDescent="0.25">
      <c r="A138" s="1">
        <v>2450367.9712</v>
      </c>
      <c r="B138" s="1" t="s">
        <v>380</v>
      </c>
      <c r="C138" s="1">
        <v>12.066667000000001</v>
      </c>
      <c r="D138" s="1">
        <v>4.2164E-2</v>
      </c>
    </row>
    <row r="139" spans="1:4" x14ac:dyDescent="0.25">
      <c r="A139" s="1">
        <v>2450383.6875</v>
      </c>
      <c r="B139" s="1" t="s">
        <v>381</v>
      </c>
      <c r="C139" s="1">
        <v>12.05</v>
      </c>
      <c r="D139" s="1">
        <v>0.05</v>
      </c>
    </row>
    <row r="140" spans="1:4" x14ac:dyDescent="0.25">
      <c r="A140" s="1">
        <v>2450400.6413500002</v>
      </c>
      <c r="B140" s="1" t="s">
        <v>382</v>
      </c>
      <c r="C140" s="1">
        <v>12.112500000000001</v>
      </c>
      <c r="D140" s="1">
        <v>2.9505E-2</v>
      </c>
    </row>
    <row r="141" spans="1:4" x14ac:dyDescent="0.25">
      <c r="A141" s="1">
        <v>2450424.7733100001</v>
      </c>
      <c r="B141" s="1" t="s">
        <v>383</v>
      </c>
      <c r="C141" s="1">
        <v>12.042857</v>
      </c>
      <c r="D141" s="1">
        <v>2.9116E-2</v>
      </c>
    </row>
    <row r="142" spans="1:4" x14ac:dyDescent="0.25">
      <c r="A142" s="1">
        <v>2450444.3977600001</v>
      </c>
      <c r="B142" s="1" t="s">
        <v>384</v>
      </c>
      <c r="C142" s="1">
        <v>12.071429</v>
      </c>
      <c r="D142" s="1">
        <v>3.5951999999999998E-2</v>
      </c>
    </row>
    <row r="143" spans="1:4" x14ac:dyDescent="0.25">
      <c r="A143" s="1">
        <v>2450457.0212900001</v>
      </c>
      <c r="B143" s="1" t="s">
        <v>385</v>
      </c>
      <c r="C143" s="1">
        <v>12.160588000000001</v>
      </c>
      <c r="D143" s="1">
        <v>3.2680000000000001E-2</v>
      </c>
    </row>
    <row r="144" spans="1:4" x14ac:dyDescent="0.25">
      <c r="A144" s="1">
        <v>2450474.7030199999</v>
      </c>
      <c r="B144" s="1" t="s">
        <v>386</v>
      </c>
      <c r="C144" s="1">
        <v>12.125</v>
      </c>
      <c r="D144" s="1">
        <v>2.5000000000000001E-2</v>
      </c>
    </row>
    <row r="145" spans="1:4" x14ac:dyDescent="0.25">
      <c r="A145" s="1">
        <v>2450487.9482900002</v>
      </c>
      <c r="B145" s="1" t="s">
        <v>387</v>
      </c>
      <c r="C145" s="1">
        <v>12.212104999999999</v>
      </c>
      <c r="D145" s="1">
        <v>2.3202E-2</v>
      </c>
    </row>
    <row r="146" spans="1:4" x14ac:dyDescent="0.25">
      <c r="A146" s="1">
        <v>2450512.46563</v>
      </c>
      <c r="B146" s="1" t="s">
        <v>388</v>
      </c>
      <c r="C146" s="1">
        <v>12.358333</v>
      </c>
      <c r="D146" s="1">
        <v>3.7856000000000001E-2</v>
      </c>
    </row>
    <row r="147" spans="1:4" x14ac:dyDescent="0.25">
      <c r="A147" s="1">
        <v>2450522.5408800002</v>
      </c>
      <c r="B147" s="1" t="s">
        <v>220</v>
      </c>
      <c r="C147" s="1">
        <v>12.254545</v>
      </c>
      <c r="D147" s="1">
        <v>3.4014999999999997E-2</v>
      </c>
    </row>
    <row r="148" spans="1:4" x14ac:dyDescent="0.25">
      <c r="A148" s="1">
        <v>2450542.1957999999</v>
      </c>
      <c r="B148" s="1" t="s">
        <v>389</v>
      </c>
      <c r="C148" s="1">
        <v>12.253845999999999</v>
      </c>
      <c r="D148" s="1">
        <v>1.8311000000000001E-2</v>
      </c>
    </row>
    <row r="149" spans="1:4" x14ac:dyDescent="0.25">
      <c r="A149" s="1">
        <v>2450561.7674500002</v>
      </c>
      <c r="B149" s="1" t="s">
        <v>390</v>
      </c>
      <c r="C149" s="1">
        <v>12.324999999999999</v>
      </c>
      <c r="D149" s="1">
        <v>4.7870999999999997E-2</v>
      </c>
    </row>
    <row r="150" spans="1:4" x14ac:dyDescent="0.25">
      <c r="A150" s="1">
        <v>2450578.2012</v>
      </c>
      <c r="B150" s="1" t="s">
        <v>391</v>
      </c>
      <c r="C150" s="1">
        <v>12.425000000000001</v>
      </c>
      <c r="D150" s="1">
        <v>2.5000000000000001E-2</v>
      </c>
    </row>
    <row r="151" spans="1:4" x14ac:dyDescent="0.25">
      <c r="A151" s="1">
        <v>2450600.86527</v>
      </c>
      <c r="B151" s="1" t="s">
        <v>392</v>
      </c>
      <c r="C151" s="1">
        <v>12.433332999999999</v>
      </c>
      <c r="D151" s="1">
        <v>3.3333000000000002E-2</v>
      </c>
    </row>
    <row r="152" spans="1:4" x14ac:dyDescent="0.25">
      <c r="A152" s="1">
        <v>2450666.9367999998</v>
      </c>
      <c r="B152" s="1" t="s">
        <v>393</v>
      </c>
      <c r="C152" s="1">
        <v>12.666667</v>
      </c>
      <c r="D152" s="1">
        <v>0.17638300000000001</v>
      </c>
    </row>
    <row r="153" spans="1:4" x14ac:dyDescent="0.25">
      <c r="A153" s="1">
        <v>2450683.2365000001</v>
      </c>
      <c r="B153" s="1" t="s">
        <v>394</v>
      </c>
      <c r="C153" s="1">
        <v>12.5</v>
      </c>
      <c r="D153" s="1">
        <v>0.2</v>
      </c>
    </row>
    <row r="154" spans="1:4" x14ac:dyDescent="0.25">
      <c r="A154" s="1">
        <v>2450702.2503499999</v>
      </c>
      <c r="B154" s="1" t="s">
        <v>395</v>
      </c>
      <c r="C154" s="1">
        <v>12.35</v>
      </c>
      <c r="D154" s="1">
        <v>2.8868000000000001E-2</v>
      </c>
    </row>
    <row r="155" spans="1:4" x14ac:dyDescent="0.25">
      <c r="A155" s="1">
        <v>2450722.8485099999</v>
      </c>
      <c r="B155" s="1" t="s">
        <v>221</v>
      </c>
      <c r="C155" s="1">
        <v>12.342857</v>
      </c>
      <c r="D155" s="1">
        <v>4.2856999999999999E-2</v>
      </c>
    </row>
    <row r="156" spans="1:4" x14ac:dyDescent="0.25">
      <c r="A156" s="1">
        <v>2450742.4655599999</v>
      </c>
      <c r="B156" s="1" t="s">
        <v>396</v>
      </c>
      <c r="C156" s="1">
        <v>12.3</v>
      </c>
      <c r="D156" s="1">
        <v>4.4720999999999997E-2</v>
      </c>
    </row>
    <row r="157" spans="1:4" x14ac:dyDescent="0.25">
      <c r="A157" s="1">
        <v>2450754.72254</v>
      </c>
      <c r="B157" s="1" t="s">
        <v>397</v>
      </c>
      <c r="C157" s="1">
        <v>12.4</v>
      </c>
      <c r="D157" s="1">
        <v>2.3570000000000001E-2</v>
      </c>
    </row>
    <row r="158" spans="1:4" x14ac:dyDescent="0.25">
      <c r="A158" s="1">
        <v>2450778.7480000001</v>
      </c>
      <c r="B158" s="1" t="s">
        <v>398</v>
      </c>
      <c r="C158" s="1">
        <v>12.275</v>
      </c>
      <c r="D158" s="1">
        <v>2.7865999999999998E-2</v>
      </c>
    </row>
    <row r="159" spans="1:4" x14ac:dyDescent="0.25">
      <c r="A159" s="1">
        <v>2450794.3023299999</v>
      </c>
      <c r="B159" s="1" t="s">
        <v>399</v>
      </c>
      <c r="C159" s="1">
        <v>12.266667</v>
      </c>
      <c r="D159" s="1">
        <v>8.8192000000000006E-2</v>
      </c>
    </row>
    <row r="160" spans="1:4" x14ac:dyDescent="0.25">
      <c r="A160" s="1">
        <v>2450813.08188</v>
      </c>
      <c r="B160" s="1" t="s">
        <v>400</v>
      </c>
      <c r="C160" s="1">
        <v>12.535714</v>
      </c>
      <c r="D160" s="1">
        <v>8.0934000000000006E-2</v>
      </c>
    </row>
    <row r="161" spans="1:4" x14ac:dyDescent="0.25">
      <c r="A161" s="1">
        <v>2450830.6126100002</v>
      </c>
      <c r="B161" s="1" t="s">
        <v>222</v>
      </c>
      <c r="C161" s="1">
        <v>12.6625</v>
      </c>
      <c r="D161" s="1">
        <v>0.231407</v>
      </c>
    </row>
    <row r="162" spans="1:4" x14ac:dyDescent="0.25">
      <c r="A162" s="1">
        <v>2450844.54427</v>
      </c>
      <c r="B162" s="1" t="s">
        <v>401</v>
      </c>
      <c r="C162" s="1">
        <v>12.4125</v>
      </c>
      <c r="D162" s="1">
        <v>7.0637000000000005E-2</v>
      </c>
    </row>
    <row r="163" spans="1:4" x14ac:dyDescent="0.25">
      <c r="A163" s="1">
        <v>2450864.1880199998</v>
      </c>
      <c r="B163" s="1" t="s">
        <v>402</v>
      </c>
      <c r="C163" s="1">
        <v>12.138462000000001</v>
      </c>
      <c r="D163" s="1">
        <v>6.2571000000000002E-2</v>
      </c>
    </row>
    <row r="164" spans="1:4" x14ac:dyDescent="0.25">
      <c r="A164" s="1">
        <v>2450875.8282499998</v>
      </c>
      <c r="B164" s="1" t="s">
        <v>223</v>
      </c>
      <c r="C164" s="1">
        <v>12.038462000000001</v>
      </c>
      <c r="D164" s="1">
        <v>3.3085999999999997E-2</v>
      </c>
    </row>
    <row r="165" spans="1:4" x14ac:dyDescent="0.25">
      <c r="A165" s="1">
        <v>2450893.8711600001</v>
      </c>
      <c r="B165" s="1" t="s">
        <v>403</v>
      </c>
      <c r="C165" s="1">
        <v>12.169231</v>
      </c>
      <c r="D165" s="1">
        <v>1.7485000000000001E-2</v>
      </c>
    </row>
    <row r="166" spans="1:4" x14ac:dyDescent="0.25">
      <c r="A166" s="1">
        <v>2450908.6800000002</v>
      </c>
      <c r="B166" s="1" t="s">
        <v>404</v>
      </c>
      <c r="C166" s="1">
        <v>12.244444</v>
      </c>
      <c r="D166" s="1">
        <v>4.7467000000000002E-2</v>
      </c>
    </row>
    <row r="167" spans="1:4" x14ac:dyDescent="0.25">
      <c r="A167" s="1">
        <v>2450923.70151</v>
      </c>
      <c r="B167" s="1" t="s">
        <v>405</v>
      </c>
      <c r="C167" s="1">
        <v>12.263636</v>
      </c>
      <c r="D167" s="1">
        <v>2.0327999999999999E-2</v>
      </c>
    </row>
    <row r="168" spans="1:4" x14ac:dyDescent="0.25">
      <c r="A168" s="1">
        <v>2450951.8714999999</v>
      </c>
      <c r="B168" s="1" t="s">
        <v>406</v>
      </c>
      <c r="C168" s="1">
        <v>12.4</v>
      </c>
      <c r="D168" s="1">
        <v>0</v>
      </c>
    </row>
    <row r="169" spans="1:4" x14ac:dyDescent="0.25">
      <c r="A169" s="1">
        <v>2451051.25862</v>
      </c>
      <c r="B169" s="1" t="s">
        <v>407</v>
      </c>
      <c r="C169" s="1">
        <v>11.96</v>
      </c>
      <c r="D169" s="1">
        <v>5.0990000000000001E-2</v>
      </c>
    </row>
    <row r="170" spans="1:4" x14ac:dyDescent="0.25">
      <c r="A170" s="1">
        <v>2451072.8995699999</v>
      </c>
      <c r="B170" s="1" t="s">
        <v>408</v>
      </c>
      <c r="C170" s="1">
        <v>12.166667</v>
      </c>
      <c r="D170" s="1">
        <v>3.3333000000000002E-2</v>
      </c>
    </row>
    <row r="171" spans="1:4" x14ac:dyDescent="0.25">
      <c r="A171" s="1">
        <v>2451087.79397</v>
      </c>
      <c r="B171" s="1" t="s">
        <v>409</v>
      </c>
      <c r="C171" s="1">
        <v>12.233333</v>
      </c>
      <c r="D171" s="1">
        <v>6.6667000000000004E-2</v>
      </c>
    </row>
    <row r="172" spans="1:4" x14ac:dyDescent="0.25">
      <c r="A172" s="1">
        <v>2451105.4877300002</v>
      </c>
      <c r="B172" s="1" t="s">
        <v>410</v>
      </c>
      <c r="C172" s="1">
        <v>12.266667</v>
      </c>
      <c r="D172" s="1">
        <v>3.3333000000000002E-2</v>
      </c>
    </row>
    <row r="173" spans="1:4" x14ac:dyDescent="0.25">
      <c r="A173" s="1">
        <v>2451121.77208</v>
      </c>
      <c r="B173" s="1" t="s">
        <v>411</v>
      </c>
      <c r="C173" s="1">
        <v>12.22</v>
      </c>
      <c r="D173" s="1">
        <v>3.7416999999999999E-2</v>
      </c>
    </row>
    <row r="174" spans="1:4" x14ac:dyDescent="0.25">
      <c r="A174" s="1">
        <v>2451139.1337199998</v>
      </c>
      <c r="B174" s="1" t="s">
        <v>412</v>
      </c>
      <c r="C174" s="1">
        <v>12.163636</v>
      </c>
      <c r="D174" s="1">
        <v>2.7872000000000001E-2</v>
      </c>
    </row>
    <row r="175" spans="1:4" x14ac:dyDescent="0.25">
      <c r="A175" s="1">
        <v>2451162.0216100002</v>
      </c>
      <c r="B175" s="1" t="s">
        <v>413</v>
      </c>
      <c r="C175" s="1">
        <v>12.122222000000001</v>
      </c>
      <c r="D175" s="1">
        <v>4.3389999999999998E-2</v>
      </c>
    </row>
    <row r="176" spans="1:4" x14ac:dyDescent="0.25">
      <c r="A176" s="1">
        <v>2451177.70652</v>
      </c>
      <c r="B176" s="1" t="s">
        <v>414</v>
      </c>
      <c r="C176" s="1">
        <v>11.823077</v>
      </c>
      <c r="D176" s="1">
        <v>8.0186999999999994E-2</v>
      </c>
    </row>
    <row r="177" spans="1:4" x14ac:dyDescent="0.25">
      <c r="A177" s="1">
        <v>2451193.7469199998</v>
      </c>
      <c r="B177" s="1" t="s">
        <v>415</v>
      </c>
      <c r="C177" s="1">
        <v>11.475</v>
      </c>
      <c r="D177" s="1">
        <v>5.9167999999999998E-2</v>
      </c>
    </row>
    <row r="178" spans="1:4" x14ac:dyDescent="0.25">
      <c r="A178" s="1">
        <v>2451209.2983499998</v>
      </c>
      <c r="B178" s="1" t="s">
        <v>224</v>
      </c>
      <c r="C178" s="1">
        <v>10.687333000000001</v>
      </c>
      <c r="D178" s="1">
        <v>8.6851999999999999E-2</v>
      </c>
    </row>
    <row r="179" spans="1:4" x14ac:dyDescent="0.25">
      <c r="A179" s="1">
        <v>2451224.8086799998</v>
      </c>
      <c r="B179" s="1" t="s">
        <v>416</v>
      </c>
      <c r="C179" s="1">
        <v>10.447143000000001</v>
      </c>
      <c r="D179" s="1">
        <v>5.7711999999999999E-2</v>
      </c>
    </row>
    <row r="180" spans="1:4" x14ac:dyDescent="0.25">
      <c r="A180" s="1">
        <v>2451242.9519000002</v>
      </c>
      <c r="B180" s="1" t="s">
        <v>417</v>
      </c>
      <c r="C180" s="1">
        <v>10.295624999999999</v>
      </c>
      <c r="D180" s="1">
        <v>5.2542999999999999E-2</v>
      </c>
    </row>
    <row r="181" spans="1:4" x14ac:dyDescent="0.25">
      <c r="A181" s="1">
        <v>2451254.23043</v>
      </c>
      <c r="B181" s="1" t="s">
        <v>418</v>
      </c>
      <c r="C181" s="1">
        <v>10.187059</v>
      </c>
      <c r="D181" s="1">
        <v>4.2250999999999997E-2</v>
      </c>
    </row>
    <row r="182" spans="1:4" x14ac:dyDescent="0.25">
      <c r="A182" s="1">
        <v>2451275.88001</v>
      </c>
      <c r="B182" s="1" t="s">
        <v>419</v>
      </c>
      <c r="C182" s="1">
        <v>10.113333000000001</v>
      </c>
      <c r="D182" s="1">
        <v>5.509E-2</v>
      </c>
    </row>
    <row r="183" spans="1:4" x14ac:dyDescent="0.25">
      <c r="A183" s="1">
        <v>2451287.68138</v>
      </c>
      <c r="B183" s="1" t="s">
        <v>420</v>
      </c>
      <c r="C183" s="1">
        <v>10.007692</v>
      </c>
      <c r="D183" s="1">
        <v>7.2023000000000004E-2</v>
      </c>
    </row>
    <row r="184" spans="1:4" x14ac:dyDescent="0.25">
      <c r="A184" s="1">
        <v>2451306.5789000001</v>
      </c>
      <c r="B184" s="1" t="s">
        <v>421</v>
      </c>
      <c r="C184" s="1">
        <v>9.9600000000000009</v>
      </c>
      <c r="D184" s="1">
        <v>4.2687000000000003E-2</v>
      </c>
    </row>
    <row r="185" spans="1:4" x14ac:dyDescent="0.25">
      <c r="A185" s="1">
        <v>2451332.8239500001</v>
      </c>
      <c r="B185" s="1" t="s">
        <v>422</v>
      </c>
      <c r="C185" s="1">
        <v>10.35</v>
      </c>
      <c r="D185" s="1">
        <v>0.05</v>
      </c>
    </row>
    <row r="186" spans="1:4" x14ac:dyDescent="0.25">
      <c r="A186" s="1">
        <v>2451408.91603</v>
      </c>
      <c r="B186" s="1" t="s">
        <v>423</v>
      </c>
      <c r="C186" s="1">
        <v>10.666667</v>
      </c>
      <c r="D186" s="1">
        <v>3.3333000000000002E-2</v>
      </c>
    </row>
    <row r="187" spans="1:4" x14ac:dyDescent="0.25">
      <c r="A187" s="1">
        <v>2451427.5995299998</v>
      </c>
      <c r="B187" s="1" t="s">
        <v>424</v>
      </c>
      <c r="C187" s="1">
        <v>10.5</v>
      </c>
      <c r="D187" s="1">
        <v>5.7735000000000002E-2</v>
      </c>
    </row>
    <row r="188" spans="1:4" x14ac:dyDescent="0.25">
      <c r="A188" s="1">
        <v>2451443.4345800001</v>
      </c>
      <c r="B188" s="1" t="s">
        <v>425</v>
      </c>
      <c r="C188" s="1">
        <v>10.58</v>
      </c>
      <c r="D188" s="1">
        <v>3.7416999999999999E-2</v>
      </c>
    </row>
    <row r="189" spans="1:4" x14ac:dyDescent="0.25">
      <c r="A189" s="1">
        <v>2451460.8709499999</v>
      </c>
      <c r="B189" s="1" t="s">
        <v>426</v>
      </c>
      <c r="C189" s="1">
        <v>10.833333</v>
      </c>
      <c r="D189" s="1">
        <v>5.5777E-2</v>
      </c>
    </row>
    <row r="190" spans="1:4" x14ac:dyDescent="0.25">
      <c r="A190" s="1">
        <v>2451493.56916</v>
      </c>
      <c r="B190" s="1" t="s">
        <v>427</v>
      </c>
      <c r="C190" s="1">
        <v>11.06</v>
      </c>
      <c r="D190" s="1">
        <v>0.14696899999999999</v>
      </c>
    </row>
    <row r="191" spans="1:4" x14ac:dyDescent="0.25">
      <c r="A191" s="1">
        <v>2451505.1455799998</v>
      </c>
      <c r="B191" s="1" t="s">
        <v>428</v>
      </c>
      <c r="C191" s="1">
        <v>10.96</v>
      </c>
      <c r="D191" s="1">
        <v>0.136382</v>
      </c>
    </row>
    <row r="192" spans="1:4" x14ac:dyDescent="0.25">
      <c r="A192" s="1">
        <v>2451525.8432800001</v>
      </c>
      <c r="B192" s="1" t="s">
        <v>429</v>
      </c>
      <c r="C192" s="1">
        <v>11.277778</v>
      </c>
      <c r="D192" s="1">
        <v>9.3952999999999995E-2</v>
      </c>
    </row>
    <row r="193" spans="1:4" x14ac:dyDescent="0.25">
      <c r="A193" s="1">
        <v>2451548.47022</v>
      </c>
      <c r="B193" s="1" t="s">
        <v>430</v>
      </c>
      <c r="C193" s="1">
        <v>11.556364</v>
      </c>
      <c r="D193" s="1">
        <v>0.10061</v>
      </c>
    </row>
    <row r="194" spans="1:4" x14ac:dyDescent="0.25">
      <c r="A194" s="1">
        <v>2451559.3393899999</v>
      </c>
      <c r="B194" s="1" t="s">
        <v>431</v>
      </c>
      <c r="C194" s="1">
        <v>11.474285999999999</v>
      </c>
      <c r="D194" s="1">
        <v>0.10681</v>
      </c>
    </row>
    <row r="195" spans="1:4" x14ac:dyDescent="0.25">
      <c r="A195" s="1">
        <v>2451577.77838</v>
      </c>
      <c r="B195" s="1" t="s">
        <v>432</v>
      </c>
      <c r="C195" s="1">
        <v>11.667778</v>
      </c>
      <c r="D195" s="1">
        <v>6.3264000000000001E-2</v>
      </c>
    </row>
    <row r="196" spans="1:4" x14ac:dyDescent="0.25">
      <c r="A196" s="1">
        <v>2451588.7458299999</v>
      </c>
      <c r="B196" s="1" t="s">
        <v>433</v>
      </c>
      <c r="C196" s="1">
        <v>11.941481</v>
      </c>
      <c r="D196" s="1">
        <v>4.1701000000000002E-2</v>
      </c>
    </row>
    <row r="197" spans="1:4" x14ac:dyDescent="0.25">
      <c r="A197" s="1">
        <v>2451606.2689999999</v>
      </c>
      <c r="B197" s="1" t="s">
        <v>434</v>
      </c>
      <c r="C197" s="1">
        <v>11.926061000000001</v>
      </c>
      <c r="D197" s="1">
        <v>4.6681E-2</v>
      </c>
    </row>
    <row r="198" spans="1:4" x14ac:dyDescent="0.25">
      <c r="A198" s="1">
        <v>2451623.23178</v>
      </c>
      <c r="B198" s="1" t="s">
        <v>435</v>
      </c>
      <c r="C198" s="1">
        <v>11.954000000000001</v>
      </c>
      <c r="D198" s="1">
        <v>6.2172999999999999E-2</v>
      </c>
    </row>
    <row r="199" spans="1:4" x14ac:dyDescent="0.25">
      <c r="A199" s="1">
        <v>2451637.1841099998</v>
      </c>
      <c r="B199" s="1" t="s">
        <v>436</v>
      </c>
      <c r="C199" s="1">
        <v>11.875</v>
      </c>
      <c r="D199" s="1">
        <v>5.3664999999999997E-2</v>
      </c>
    </row>
    <row r="200" spans="1:4" x14ac:dyDescent="0.25">
      <c r="A200" s="1">
        <v>2451659.7518600002</v>
      </c>
      <c r="B200" s="1" t="s">
        <v>437</v>
      </c>
      <c r="C200" s="1">
        <v>12.171429</v>
      </c>
      <c r="D200" s="1">
        <v>0.15993199999999999</v>
      </c>
    </row>
    <row r="201" spans="1:4" x14ac:dyDescent="0.25">
      <c r="A201" s="1">
        <v>2451679.7308999998</v>
      </c>
      <c r="B201" s="1" t="s">
        <v>438</v>
      </c>
      <c r="C201" s="1">
        <v>12.266667</v>
      </c>
      <c r="D201" s="1">
        <v>3.3333000000000002E-2</v>
      </c>
    </row>
    <row r="202" spans="1:4" x14ac:dyDescent="0.25">
      <c r="A202" s="1">
        <v>2451774.2503499999</v>
      </c>
      <c r="B202" s="1" t="s">
        <v>439</v>
      </c>
      <c r="C202" s="1">
        <v>12.2</v>
      </c>
      <c r="D202" s="1">
        <v>0.1</v>
      </c>
    </row>
    <row r="203" spans="1:4" x14ac:dyDescent="0.25">
      <c r="A203" s="1">
        <v>2451796.2108</v>
      </c>
      <c r="B203" s="1" t="s">
        <v>440</v>
      </c>
      <c r="C203" s="1">
        <v>12.1</v>
      </c>
      <c r="D203" s="1">
        <v>0</v>
      </c>
    </row>
    <row r="204" spans="1:4" x14ac:dyDescent="0.25">
      <c r="A204" s="1">
        <v>2451811.8632</v>
      </c>
      <c r="B204" s="1" t="s">
        <v>441</v>
      </c>
      <c r="C204" s="1">
        <v>12.1</v>
      </c>
      <c r="D204" s="1">
        <v>5.7735000000000002E-2</v>
      </c>
    </row>
    <row r="205" spans="1:4" x14ac:dyDescent="0.25">
      <c r="A205" s="1">
        <v>2451832.6555499998</v>
      </c>
      <c r="B205" s="1" t="s">
        <v>442</v>
      </c>
      <c r="C205" s="1">
        <v>12.25</v>
      </c>
      <c r="D205" s="1">
        <v>0.05</v>
      </c>
    </row>
    <row r="206" spans="1:4" x14ac:dyDescent="0.25">
      <c r="A206" s="1">
        <v>2451850.0167</v>
      </c>
      <c r="B206" s="1" t="s">
        <v>443</v>
      </c>
      <c r="C206" s="1">
        <v>12.3</v>
      </c>
      <c r="D206" s="1">
        <v>0.11547</v>
      </c>
    </row>
    <row r="207" spans="1:4" x14ac:dyDescent="0.25">
      <c r="A207" s="1">
        <v>2451871.8297199998</v>
      </c>
      <c r="B207" s="1" t="s">
        <v>225</v>
      </c>
      <c r="C207" s="1">
        <v>12.14</v>
      </c>
      <c r="D207" s="1">
        <v>6.7822999999999994E-2</v>
      </c>
    </row>
    <row r="208" spans="1:4" x14ac:dyDescent="0.25">
      <c r="A208" s="1">
        <v>2451884.0240600002</v>
      </c>
      <c r="B208" s="1" t="s">
        <v>444</v>
      </c>
      <c r="C208" s="1">
        <v>11.98</v>
      </c>
      <c r="D208" s="1">
        <v>8.6023000000000002E-2</v>
      </c>
    </row>
    <row r="209" spans="1:4" x14ac:dyDescent="0.25">
      <c r="A209" s="1">
        <v>2451903.1892300001</v>
      </c>
      <c r="B209" s="1" t="s">
        <v>445</v>
      </c>
      <c r="C209" s="1">
        <v>12.13</v>
      </c>
      <c r="D209" s="1">
        <v>5.7831E-2</v>
      </c>
    </row>
    <row r="210" spans="1:4" x14ac:dyDescent="0.25">
      <c r="A210" s="1">
        <v>2451918.6729600001</v>
      </c>
      <c r="B210" s="1" t="s">
        <v>446</v>
      </c>
      <c r="C210" s="1">
        <v>12.155556000000001</v>
      </c>
      <c r="D210" s="1">
        <v>3.3792999999999997E-2</v>
      </c>
    </row>
    <row r="211" spans="1:4" x14ac:dyDescent="0.25">
      <c r="A211" s="1">
        <v>2451934.49756</v>
      </c>
      <c r="B211" s="1" t="s">
        <v>447</v>
      </c>
      <c r="C211" s="1">
        <v>12.2</v>
      </c>
      <c r="D211" s="1">
        <v>4.3644000000000002E-2</v>
      </c>
    </row>
    <row r="212" spans="1:4" x14ac:dyDescent="0.25">
      <c r="A212" s="1">
        <v>2451952.9302099999</v>
      </c>
      <c r="B212" s="1" t="s">
        <v>448</v>
      </c>
      <c r="C212" s="1">
        <v>12.36</v>
      </c>
      <c r="D212" s="1">
        <v>2.895E-2</v>
      </c>
    </row>
    <row r="213" spans="1:4" x14ac:dyDescent="0.25">
      <c r="A213" s="1">
        <v>2451965.7005599998</v>
      </c>
      <c r="B213" s="1" t="s">
        <v>449</v>
      </c>
      <c r="C213" s="1">
        <v>12.382353</v>
      </c>
      <c r="D213" s="1">
        <v>2.4608000000000001E-2</v>
      </c>
    </row>
    <row r="214" spans="1:4" x14ac:dyDescent="0.25">
      <c r="A214" s="1">
        <v>2451982.3209000002</v>
      </c>
      <c r="B214" s="1" t="s">
        <v>450</v>
      </c>
      <c r="C214" s="1">
        <v>12.37</v>
      </c>
      <c r="D214" s="1">
        <v>2.1343999999999998E-2</v>
      </c>
    </row>
    <row r="215" spans="1:4" x14ac:dyDescent="0.25">
      <c r="A215" s="1">
        <v>2451998.0812200001</v>
      </c>
      <c r="B215" s="1" t="s">
        <v>451</v>
      </c>
      <c r="C215" s="1">
        <v>12.4</v>
      </c>
      <c r="D215" s="1">
        <v>5.7735000000000002E-2</v>
      </c>
    </row>
    <row r="216" spans="1:4" x14ac:dyDescent="0.25">
      <c r="A216" s="1">
        <v>2452013.2590000001</v>
      </c>
      <c r="B216" s="1" t="s">
        <v>452</v>
      </c>
      <c r="C216" s="1">
        <v>12.333333</v>
      </c>
      <c r="D216" s="1">
        <v>3.3333000000000002E-2</v>
      </c>
    </row>
    <row r="217" spans="1:4" x14ac:dyDescent="0.25">
      <c r="A217" s="1">
        <v>2452041.9125000001</v>
      </c>
      <c r="B217" s="1" t="s">
        <v>453</v>
      </c>
      <c r="C217" s="1">
        <v>12.8</v>
      </c>
      <c r="D217" s="1">
        <v>0.1</v>
      </c>
    </row>
    <row r="218" spans="1:4" x14ac:dyDescent="0.25">
      <c r="A218" s="1">
        <v>2452165.2042</v>
      </c>
      <c r="B218" s="1" t="s">
        <v>454</v>
      </c>
      <c r="C218" s="1">
        <v>12.2</v>
      </c>
      <c r="D218" s="1">
        <v>0</v>
      </c>
    </row>
    <row r="219" spans="1:4" x14ac:dyDescent="0.25">
      <c r="A219" s="1">
        <v>2452181.1847000001</v>
      </c>
      <c r="B219" s="1" t="s">
        <v>455</v>
      </c>
      <c r="C219" s="1">
        <v>12.4</v>
      </c>
      <c r="D219" s="1">
        <v>0</v>
      </c>
    </row>
    <row r="220" spans="1:4" x14ac:dyDescent="0.25">
      <c r="A220" s="1">
        <v>2452199.6448499998</v>
      </c>
      <c r="B220" s="1" t="s">
        <v>456</v>
      </c>
      <c r="C220" s="1">
        <v>12</v>
      </c>
      <c r="D220" s="1">
        <v>0</v>
      </c>
    </row>
    <row r="221" spans="1:4" x14ac:dyDescent="0.25">
      <c r="A221" s="1">
        <v>2452239.1173999999</v>
      </c>
      <c r="B221" s="1" t="s">
        <v>457</v>
      </c>
      <c r="C221" s="1">
        <v>11.8</v>
      </c>
      <c r="D221" s="1">
        <v>0</v>
      </c>
    </row>
    <row r="222" spans="1:4" x14ac:dyDescent="0.25">
      <c r="A222" s="1">
        <v>2452262.7294999999</v>
      </c>
      <c r="B222" s="1" t="s">
        <v>458</v>
      </c>
      <c r="C222" s="1">
        <v>11.95</v>
      </c>
      <c r="D222" s="1">
        <v>0.15</v>
      </c>
    </row>
    <row r="223" spans="1:4" x14ac:dyDescent="0.25">
      <c r="A223" s="1">
        <v>2452285.4602000001</v>
      </c>
      <c r="B223" s="1" t="s">
        <v>459</v>
      </c>
      <c r="C223" s="1">
        <v>11.7</v>
      </c>
      <c r="D223" s="1">
        <v>0.1</v>
      </c>
    </row>
    <row r="224" spans="1:4" x14ac:dyDescent="0.25">
      <c r="A224" s="1">
        <v>2452293.36845</v>
      </c>
      <c r="B224" s="1" t="s">
        <v>460</v>
      </c>
      <c r="C224" s="1">
        <v>11.925000000000001</v>
      </c>
      <c r="D224" s="1">
        <v>4.7870999999999997E-2</v>
      </c>
    </row>
    <row r="225" spans="1:4" x14ac:dyDescent="0.25">
      <c r="A225" s="1">
        <v>2452315.1099700001</v>
      </c>
      <c r="B225" s="1" t="s">
        <v>461</v>
      </c>
      <c r="C225" s="1">
        <v>11.808332999999999</v>
      </c>
      <c r="D225" s="1">
        <v>4.8396000000000002E-2</v>
      </c>
    </row>
    <row r="226" spans="1:4" x14ac:dyDescent="0.25">
      <c r="A226" s="1">
        <v>2452330.9121699999</v>
      </c>
      <c r="B226" s="1" t="s">
        <v>462</v>
      </c>
      <c r="C226" s="1">
        <v>11.9125</v>
      </c>
      <c r="D226" s="1">
        <v>6.9276000000000004E-2</v>
      </c>
    </row>
    <row r="227" spans="1:4" x14ac:dyDescent="0.25">
      <c r="A227" s="1">
        <v>2452345.14756</v>
      </c>
      <c r="B227" s="1" t="s">
        <v>463</v>
      </c>
      <c r="C227" s="1">
        <v>12.064285999999999</v>
      </c>
      <c r="D227" s="1">
        <v>5.3046999999999997E-2</v>
      </c>
    </row>
    <row r="228" spans="1:4" x14ac:dyDescent="0.25">
      <c r="A228" s="1">
        <v>2452362.1964500002</v>
      </c>
      <c r="B228" s="1" t="s">
        <v>464</v>
      </c>
      <c r="C228" s="1">
        <v>12.137499999999999</v>
      </c>
      <c r="D228" s="1">
        <v>5.9574000000000002E-2</v>
      </c>
    </row>
    <row r="229" spans="1:4" x14ac:dyDescent="0.25">
      <c r="A229" s="1">
        <v>2452376.5491900002</v>
      </c>
      <c r="B229" s="1" t="s">
        <v>465</v>
      </c>
      <c r="C229" s="1">
        <v>12.02</v>
      </c>
      <c r="D229" s="1">
        <v>3.9279000000000001E-2</v>
      </c>
    </row>
    <row r="230" spans="1:4" x14ac:dyDescent="0.25">
      <c r="A230" s="1">
        <v>2452395.7531499998</v>
      </c>
      <c r="B230" s="1" t="s">
        <v>466</v>
      </c>
      <c r="C230" s="1">
        <v>11.918182</v>
      </c>
      <c r="D230" s="1">
        <v>3.2524999999999998E-2</v>
      </c>
    </row>
    <row r="231" spans="1:4" x14ac:dyDescent="0.25">
      <c r="A231" s="1">
        <v>2452406.875</v>
      </c>
      <c r="B231" s="1" t="s">
        <v>467</v>
      </c>
      <c r="C231" s="1">
        <v>12.15</v>
      </c>
      <c r="D231" s="1">
        <v>0.05</v>
      </c>
    </row>
    <row r="232" spans="1:4" x14ac:dyDescent="0.25">
      <c r="A232" s="1">
        <v>2452426.1861</v>
      </c>
      <c r="B232" s="1" t="s">
        <v>468</v>
      </c>
      <c r="C232" s="1">
        <v>12.066667000000001</v>
      </c>
      <c r="D232" s="1">
        <v>3.3333000000000002E-2</v>
      </c>
    </row>
    <row r="233" spans="1:4" x14ac:dyDescent="0.25">
      <c r="A233" s="1">
        <v>2452509.3130899998</v>
      </c>
      <c r="B233" s="1" t="s">
        <v>469</v>
      </c>
      <c r="C233" s="1">
        <v>9.6428569999999993</v>
      </c>
      <c r="D233" s="1">
        <v>2.9738000000000001E-2</v>
      </c>
    </row>
    <row r="234" spans="1:4" x14ac:dyDescent="0.25">
      <c r="A234" s="1">
        <v>2452528.3719600001</v>
      </c>
      <c r="B234" s="1" t="s">
        <v>470</v>
      </c>
      <c r="C234" s="1">
        <v>9.6125000000000007</v>
      </c>
      <c r="D234" s="1">
        <v>4.4068000000000003E-2</v>
      </c>
    </row>
    <row r="235" spans="1:4" x14ac:dyDescent="0.25">
      <c r="A235" s="1">
        <v>2452553.7119700001</v>
      </c>
      <c r="B235" s="1" t="s">
        <v>226</v>
      </c>
      <c r="C235" s="1">
        <v>9.5500000000000007</v>
      </c>
      <c r="D235" s="1">
        <v>0.05</v>
      </c>
    </row>
    <row r="236" spans="1:4" x14ac:dyDescent="0.25">
      <c r="A236" s="1">
        <v>2452579.1163300001</v>
      </c>
      <c r="B236" s="1" t="s">
        <v>471</v>
      </c>
      <c r="C236" s="1">
        <v>9.6999999999999993</v>
      </c>
      <c r="D236" s="1">
        <v>7.0710999999999996E-2</v>
      </c>
    </row>
    <row r="237" spans="1:4" x14ac:dyDescent="0.25">
      <c r="A237" s="1">
        <v>2452612.5583299999</v>
      </c>
      <c r="B237" s="1" t="s">
        <v>472</v>
      </c>
      <c r="C237" s="1">
        <v>9.5749999999999993</v>
      </c>
      <c r="D237" s="1">
        <v>8.5390999999999995E-2</v>
      </c>
    </row>
    <row r="238" spans="1:4" x14ac:dyDescent="0.25">
      <c r="A238" s="1">
        <v>2452634.40546</v>
      </c>
      <c r="B238" s="1" t="s">
        <v>473</v>
      </c>
      <c r="C238" s="1">
        <v>10.014286</v>
      </c>
      <c r="D238" s="1">
        <v>0.14380599999999999</v>
      </c>
    </row>
    <row r="239" spans="1:4" x14ac:dyDescent="0.25">
      <c r="A239" s="1">
        <v>2452648.0740200002</v>
      </c>
      <c r="B239" s="1" t="s">
        <v>474</v>
      </c>
      <c r="C239" s="1">
        <v>9.4124999999999996</v>
      </c>
      <c r="D239" s="1">
        <v>4.7948999999999999E-2</v>
      </c>
    </row>
    <row r="240" spans="1:4" x14ac:dyDescent="0.25">
      <c r="A240" s="1">
        <v>2452667.4980199998</v>
      </c>
      <c r="B240" s="1" t="s">
        <v>475</v>
      </c>
      <c r="C240" s="1">
        <v>9.763636</v>
      </c>
      <c r="D240" s="1">
        <v>9.4649999999999998E-2</v>
      </c>
    </row>
    <row r="241" spans="1:4" x14ac:dyDescent="0.25">
      <c r="A241" s="1">
        <v>2452684.6349200001</v>
      </c>
      <c r="B241" s="1" t="s">
        <v>476</v>
      </c>
      <c r="C241" s="1">
        <v>9.8888890000000007</v>
      </c>
      <c r="D241" s="1">
        <v>7.8336000000000003E-2</v>
      </c>
    </row>
    <row r="242" spans="1:4" x14ac:dyDescent="0.25">
      <c r="A242" s="1">
        <v>2452698.6479400001</v>
      </c>
      <c r="B242" s="1" t="s">
        <v>477</v>
      </c>
      <c r="C242" s="1">
        <v>10.050000000000001</v>
      </c>
      <c r="D242" s="1">
        <v>6.3452999999999996E-2</v>
      </c>
    </row>
    <row r="243" spans="1:4" x14ac:dyDescent="0.25">
      <c r="A243" s="1">
        <v>2452715.2475000001</v>
      </c>
      <c r="B243" s="1" t="s">
        <v>478</v>
      </c>
      <c r="C243" s="1">
        <v>10.061538000000001</v>
      </c>
      <c r="D243" s="1">
        <v>4.8382000000000001E-2</v>
      </c>
    </row>
    <row r="244" spans="1:4" x14ac:dyDescent="0.25">
      <c r="A244" s="1">
        <v>2452729.58451</v>
      </c>
      <c r="B244" s="1" t="s">
        <v>479</v>
      </c>
      <c r="C244" s="1">
        <v>10.059091</v>
      </c>
      <c r="D244" s="1">
        <v>3.7601000000000002E-2</v>
      </c>
    </row>
    <row r="245" spans="1:4" x14ac:dyDescent="0.25">
      <c r="A245" s="1">
        <v>2452742.30645</v>
      </c>
      <c r="B245" s="1" t="s">
        <v>227</v>
      </c>
      <c r="C245" s="1">
        <v>10.063636000000001</v>
      </c>
      <c r="D245" s="1">
        <v>2.7872000000000001E-2</v>
      </c>
    </row>
    <row r="246" spans="1:4" x14ac:dyDescent="0.25">
      <c r="A246" s="1">
        <v>2452762.4657700001</v>
      </c>
      <c r="B246" s="1" t="s">
        <v>480</v>
      </c>
      <c r="C246" s="1">
        <v>10.3</v>
      </c>
      <c r="D246" s="1">
        <v>0</v>
      </c>
    </row>
    <row r="247" spans="1:4" x14ac:dyDescent="0.25">
      <c r="A247" s="1">
        <v>2452909.1985999998</v>
      </c>
      <c r="B247" s="1" t="s">
        <v>481</v>
      </c>
      <c r="C247" s="1">
        <v>10.3</v>
      </c>
      <c r="D247" s="1">
        <v>0</v>
      </c>
    </row>
    <row r="248" spans="1:4" x14ac:dyDescent="0.25">
      <c r="A248" s="1">
        <v>2452935.4715300002</v>
      </c>
      <c r="B248" s="1" t="s">
        <v>482</v>
      </c>
      <c r="C248" s="1">
        <v>10.333333</v>
      </c>
      <c r="D248" s="1">
        <v>3.3333000000000002E-2</v>
      </c>
    </row>
    <row r="249" spans="1:4" x14ac:dyDescent="0.25">
      <c r="A249" s="1">
        <v>2452949.7000000002</v>
      </c>
      <c r="B249" s="1" t="s">
        <v>483</v>
      </c>
      <c r="C249" s="1">
        <v>11.1</v>
      </c>
      <c r="D249" s="1">
        <v>0</v>
      </c>
    </row>
    <row r="250" spans="1:4" x14ac:dyDescent="0.25">
      <c r="A250" s="1">
        <v>2452971.8930500001</v>
      </c>
      <c r="B250" s="1" t="s">
        <v>484</v>
      </c>
      <c r="C250" s="1">
        <v>10.9</v>
      </c>
      <c r="D250" s="1">
        <v>0.5</v>
      </c>
    </row>
    <row r="251" spans="1:4" x14ac:dyDescent="0.25">
      <c r="A251" s="1">
        <v>2452990.8983399998</v>
      </c>
      <c r="B251" s="1" t="s">
        <v>485</v>
      </c>
      <c r="C251" s="1">
        <v>11.18</v>
      </c>
      <c r="D251" s="1">
        <v>0.1772</v>
      </c>
    </row>
    <row r="252" spans="1:4" x14ac:dyDescent="0.25">
      <c r="A252" s="1">
        <v>2453012.9586100001</v>
      </c>
      <c r="B252" s="1" t="s">
        <v>486</v>
      </c>
      <c r="C252" s="1">
        <v>11.4</v>
      </c>
      <c r="D252" s="1">
        <v>0.13783999999999999</v>
      </c>
    </row>
    <row r="253" spans="1:4" x14ac:dyDescent="0.25">
      <c r="A253" s="1">
        <v>2453027.2780399998</v>
      </c>
      <c r="B253" s="1" t="s">
        <v>487</v>
      </c>
      <c r="C253" s="1">
        <v>11.242857000000001</v>
      </c>
      <c r="D253" s="1">
        <v>8.8773000000000005E-2</v>
      </c>
    </row>
    <row r="254" spans="1:4" x14ac:dyDescent="0.25">
      <c r="A254" s="1">
        <v>2453048.9644499999</v>
      </c>
      <c r="B254" s="1" t="s">
        <v>488</v>
      </c>
      <c r="C254" s="1">
        <v>11.318182</v>
      </c>
      <c r="D254" s="1">
        <v>7.1119000000000002E-2</v>
      </c>
    </row>
    <row r="255" spans="1:4" x14ac:dyDescent="0.25">
      <c r="A255" s="1">
        <v>2453061.0892500002</v>
      </c>
      <c r="B255" s="1" t="s">
        <v>489</v>
      </c>
      <c r="C255" s="1">
        <v>11.342105</v>
      </c>
      <c r="D255" s="1">
        <v>5.3703000000000001E-2</v>
      </c>
    </row>
    <row r="256" spans="1:4" x14ac:dyDescent="0.25">
      <c r="A256" s="1">
        <v>2453079.7746700002</v>
      </c>
      <c r="B256" s="1" t="s">
        <v>490</v>
      </c>
      <c r="C256" s="1">
        <v>11.606667</v>
      </c>
      <c r="D256" s="1">
        <v>8.4778000000000006E-2</v>
      </c>
    </row>
    <row r="257" spans="1:4" x14ac:dyDescent="0.25">
      <c r="A257" s="1">
        <v>2453092.1994500002</v>
      </c>
      <c r="B257" s="1" t="s">
        <v>491</v>
      </c>
      <c r="C257" s="1">
        <v>11.454545</v>
      </c>
      <c r="D257" s="1">
        <v>0.10301200000000001</v>
      </c>
    </row>
    <row r="258" spans="1:4" x14ac:dyDescent="0.25">
      <c r="A258" s="1">
        <v>2453109.44912</v>
      </c>
      <c r="B258" s="1" t="s">
        <v>492</v>
      </c>
      <c r="C258" s="1">
        <v>11.487500000000001</v>
      </c>
      <c r="D258" s="1">
        <v>0.114076</v>
      </c>
    </row>
    <row r="259" spans="1:4" x14ac:dyDescent="0.25">
      <c r="A259" s="1">
        <v>2453143.7763999999</v>
      </c>
      <c r="B259" s="1" t="s">
        <v>493</v>
      </c>
      <c r="C259" s="1">
        <v>11.4</v>
      </c>
      <c r="D259" s="1">
        <v>0</v>
      </c>
    </row>
    <row r="260" spans="1:4" x14ac:dyDescent="0.25">
      <c r="A260" s="1">
        <v>2453241.2361499998</v>
      </c>
      <c r="B260" s="1" t="s">
        <v>494</v>
      </c>
      <c r="C260" s="1">
        <v>12.25</v>
      </c>
      <c r="D260" s="1">
        <v>0.15</v>
      </c>
    </row>
    <row r="261" spans="1:4" x14ac:dyDescent="0.25">
      <c r="A261" s="1">
        <v>2453274.1993</v>
      </c>
      <c r="B261" s="1" t="s">
        <v>495</v>
      </c>
      <c r="C261" s="1">
        <v>12.2</v>
      </c>
      <c r="D261" s="1">
        <v>0</v>
      </c>
    </row>
    <row r="262" spans="1:4" x14ac:dyDescent="0.25">
      <c r="A262" s="1">
        <v>2453295.1489499998</v>
      </c>
      <c r="B262" s="1" t="s">
        <v>496</v>
      </c>
      <c r="C262" s="1">
        <v>12.3</v>
      </c>
      <c r="D262" s="1">
        <v>0</v>
      </c>
    </row>
    <row r="263" spans="1:4" x14ac:dyDescent="0.25">
      <c r="A263" s="1">
        <v>2453327.588</v>
      </c>
      <c r="B263" s="1" t="s">
        <v>497</v>
      </c>
      <c r="C263" s="1">
        <v>12.25</v>
      </c>
      <c r="D263" s="1">
        <v>0.05</v>
      </c>
    </row>
    <row r="264" spans="1:4" x14ac:dyDescent="0.25">
      <c r="A264" s="1">
        <v>2453349.7683000001</v>
      </c>
      <c r="B264" s="1" t="s">
        <v>498</v>
      </c>
      <c r="C264" s="1">
        <v>12.3</v>
      </c>
      <c r="D264" s="1">
        <v>0.1</v>
      </c>
    </row>
    <row r="265" spans="1:4" x14ac:dyDescent="0.25">
      <c r="A265" s="1">
        <v>2453365.4130500001</v>
      </c>
      <c r="B265" s="1" t="s">
        <v>499</v>
      </c>
      <c r="C265" s="1">
        <v>12.324999999999999</v>
      </c>
      <c r="D265" s="1">
        <v>2.5000000000000001E-2</v>
      </c>
    </row>
    <row r="266" spans="1:4" x14ac:dyDescent="0.25">
      <c r="A266" s="1">
        <v>2453381.6039300002</v>
      </c>
      <c r="B266" s="1" t="s">
        <v>228</v>
      </c>
      <c r="C266" s="1">
        <v>11.972727000000001</v>
      </c>
      <c r="D266" s="1">
        <v>0.116065</v>
      </c>
    </row>
    <row r="267" spans="1:4" x14ac:dyDescent="0.25">
      <c r="A267" s="1">
        <v>2453400.2796299998</v>
      </c>
      <c r="B267" s="1" t="s">
        <v>500</v>
      </c>
      <c r="C267" s="1">
        <v>11.766667</v>
      </c>
      <c r="D267" s="1">
        <v>0.14529700000000001</v>
      </c>
    </row>
    <row r="268" spans="1:4" x14ac:dyDescent="0.25">
      <c r="A268" s="1">
        <v>2453420.7362099998</v>
      </c>
      <c r="B268" s="1" t="s">
        <v>501</v>
      </c>
      <c r="C268" s="1">
        <v>11.636364</v>
      </c>
      <c r="D268" s="1">
        <v>0.104684</v>
      </c>
    </row>
    <row r="269" spans="1:4" x14ac:dyDescent="0.25">
      <c r="A269" s="1">
        <v>2453435.29984</v>
      </c>
      <c r="B269" s="1" t="s">
        <v>502</v>
      </c>
      <c r="C269" s="1">
        <v>11.428571</v>
      </c>
      <c r="D269" s="1">
        <v>0.16721</v>
      </c>
    </row>
    <row r="270" spans="1:4" x14ac:dyDescent="0.25">
      <c r="A270" s="1">
        <v>2453456.7130499999</v>
      </c>
      <c r="B270" s="1" t="s">
        <v>229</v>
      </c>
      <c r="C270" s="1">
        <v>11.133333</v>
      </c>
      <c r="D270" s="1">
        <v>0.29627300000000001</v>
      </c>
    </row>
    <row r="271" spans="1:4" x14ac:dyDescent="0.25">
      <c r="A271" s="1">
        <v>2453470.9369999999</v>
      </c>
      <c r="B271" s="1" t="s">
        <v>503</v>
      </c>
      <c r="C271" s="1">
        <v>11.1875</v>
      </c>
      <c r="D271" s="1">
        <v>9.3422000000000005E-2</v>
      </c>
    </row>
    <row r="272" spans="1:4" x14ac:dyDescent="0.25">
      <c r="A272" s="1">
        <v>2453499.7933999998</v>
      </c>
      <c r="B272" s="1" t="s">
        <v>504</v>
      </c>
      <c r="C272" s="1">
        <v>11</v>
      </c>
      <c r="D272" s="1">
        <v>0</v>
      </c>
    </row>
    <row r="273" spans="1:4" x14ac:dyDescent="0.25">
      <c r="A273" s="1">
        <v>2453523.3021</v>
      </c>
      <c r="B273" s="1" t="s">
        <v>505</v>
      </c>
      <c r="C273" s="1">
        <v>10.95</v>
      </c>
      <c r="D273" s="1">
        <v>0.05</v>
      </c>
    </row>
    <row r="274" spans="1:4" x14ac:dyDescent="0.25">
      <c r="A274" s="1">
        <v>2453603.7371499999</v>
      </c>
      <c r="B274" s="1" t="s">
        <v>506</v>
      </c>
      <c r="C274" s="1">
        <v>10.9</v>
      </c>
      <c r="D274" s="1">
        <v>0.2</v>
      </c>
    </row>
    <row r="275" spans="1:4" x14ac:dyDescent="0.25">
      <c r="A275" s="1">
        <v>2453621.2215</v>
      </c>
      <c r="B275" s="1" t="s">
        <v>507</v>
      </c>
      <c r="C275" s="1">
        <v>10.65</v>
      </c>
      <c r="D275" s="1">
        <v>0.05</v>
      </c>
    </row>
    <row r="276" spans="1:4" x14ac:dyDescent="0.25">
      <c r="A276" s="1">
        <v>2453636.1985999998</v>
      </c>
      <c r="B276" s="1" t="s">
        <v>508</v>
      </c>
      <c r="C276" s="1">
        <v>11</v>
      </c>
      <c r="D276" s="1">
        <v>0</v>
      </c>
    </row>
    <row r="277" spans="1:4" x14ac:dyDescent="0.25">
      <c r="A277" s="1">
        <v>2453652.1568999998</v>
      </c>
      <c r="B277" s="1" t="s">
        <v>509</v>
      </c>
      <c r="C277" s="1">
        <v>11</v>
      </c>
      <c r="D277" s="1">
        <v>0</v>
      </c>
    </row>
    <row r="278" spans="1:4" x14ac:dyDescent="0.25">
      <c r="A278" s="1">
        <v>2453674.6342699998</v>
      </c>
      <c r="B278" s="1" t="s">
        <v>510</v>
      </c>
      <c r="C278" s="1">
        <v>11.066667000000001</v>
      </c>
      <c r="D278" s="1">
        <v>3.3333000000000002E-2</v>
      </c>
    </row>
    <row r="279" spans="1:4" x14ac:dyDescent="0.25">
      <c r="A279" s="1">
        <v>2453688.8899500002</v>
      </c>
      <c r="B279" s="1" t="s">
        <v>511</v>
      </c>
      <c r="C279" s="1">
        <v>11</v>
      </c>
      <c r="D279" s="1">
        <v>0</v>
      </c>
    </row>
    <row r="280" spans="1:4" x14ac:dyDescent="0.25">
      <c r="A280" s="1">
        <v>2453704.4865700002</v>
      </c>
      <c r="B280" s="1" t="s">
        <v>512</v>
      </c>
      <c r="C280" s="1">
        <v>11.2</v>
      </c>
      <c r="D280" s="1">
        <v>5.7735000000000002E-2</v>
      </c>
    </row>
    <row r="281" spans="1:4" x14ac:dyDescent="0.25">
      <c r="A281" s="1">
        <v>2453734.2011199999</v>
      </c>
      <c r="B281" s="1" t="s">
        <v>513</v>
      </c>
      <c r="C281" s="1">
        <v>11.82</v>
      </c>
      <c r="D281" s="1">
        <v>8.6023000000000002E-2</v>
      </c>
    </row>
    <row r="282" spans="1:4" x14ac:dyDescent="0.25">
      <c r="A282" s="1">
        <v>2453755.5167700001</v>
      </c>
      <c r="B282" s="1" t="s">
        <v>514</v>
      </c>
      <c r="C282" s="1">
        <v>11.675000000000001</v>
      </c>
      <c r="D282" s="1">
        <v>6.2914999999999999E-2</v>
      </c>
    </row>
    <row r="283" spans="1:4" x14ac:dyDescent="0.25">
      <c r="A283" s="1">
        <v>2453775.8380399998</v>
      </c>
      <c r="B283" s="1" t="s">
        <v>515</v>
      </c>
      <c r="C283" s="1">
        <v>11.4</v>
      </c>
      <c r="D283" s="1">
        <v>0.14491399999999999</v>
      </c>
    </row>
    <row r="284" spans="1:4" x14ac:dyDescent="0.25">
      <c r="A284" s="1">
        <v>2453791.9890999999</v>
      </c>
      <c r="B284" s="1" t="s">
        <v>516</v>
      </c>
      <c r="C284" s="1">
        <v>11.333333</v>
      </c>
      <c r="D284" s="1">
        <v>9.2386999999999997E-2</v>
      </c>
    </row>
    <row r="285" spans="1:4" x14ac:dyDescent="0.25">
      <c r="A285" s="1">
        <v>2453800.0841799998</v>
      </c>
      <c r="B285" s="1" t="s">
        <v>517</v>
      </c>
      <c r="C285" s="1">
        <v>11.18</v>
      </c>
      <c r="D285" s="1">
        <v>0.15620500000000001</v>
      </c>
    </row>
    <row r="286" spans="1:4" x14ac:dyDescent="0.25">
      <c r="A286" s="1">
        <v>2453826.2757899999</v>
      </c>
      <c r="B286" s="1" t="s">
        <v>518</v>
      </c>
      <c r="C286" s="1">
        <v>11.262499999999999</v>
      </c>
      <c r="D286" s="1">
        <v>0.114856</v>
      </c>
    </row>
    <row r="287" spans="1:4" x14ac:dyDescent="0.25">
      <c r="A287" s="1">
        <v>2453857.3156499998</v>
      </c>
      <c r="B287" s="1" t="s">
        <v>519</v>
      </c>
      <c r="C287" s="1">
        <v>11.1</v>
      </c>
      <c r="D287" s="1">
        <v>0.1</v>
      </c>
    </row>
    <row r="288" spans="1:4" x14ac:dyDescent="0.25">
      <c r="A288" s="1">
        <v>2453873.7903</v>
      </c>
      <c r="B288" s="1" t="s">
        <v>520</v>
      </c>
      <c r="C288" s="1">
        <v>10.9</v>
      </c>
      <c r="D288" s="1">
        <v>0</v>
      </c>
    </row>
    <row r="289" spans="1:4" x14ac:dyDescent="0.25">
      <c r="A289" s="1">
        <v>2453973.5745299999</v>
      </c>
      <c r="B289" s="1" t="s">
        <v>521</v>
      </c>
      <c r="C289" s="1">
        <v>11.4</v>
      </c>
      <c r="D289" s="1">
        <v>0.25166100000000002</v>
      </c>
    </row>
    <row r="290" spans="1:4" x14ac:dyDescent="0.25">
      <c r="A290" s="1">
        <v>2454001.1910000001</v>
      </c>
      <c r="B290" s="1" t="s">
        <v>522</v>
      </c>
      <c r="C290" s="1">
        <v>11.8</v>
      </c>
      <c r="D290" s="1">
        <v>0</v>
      </c>
    </row>
    <row r="291" spans="1:4" x14ac:dyDescent="0.25">
      <c r="A291" s="1">
        <v>2454023.1674000002</v>
      </c>
      <c r="B291" s="1" t="s">
        <v>523</v>
      </c>
      <c r="C291" s="1">
        <v>11</v>
      </c>
      <c r="D291" s="1">
        <v>0</v>
      </c>
    </row>
    <row r="292" spans="1:4" x14ac:dyDescent="0.25">
      <c r="A292" s="1">
        <v>2454041.1631999998</v>
      </c>
      <c r="B292" s="1" t="s">
        <v>524</v>
      </c>
      <c r="C292" s="1">
        <v>11.6</v>
      </c>
      <c r="D292" s="1">
        <v>0</v>
      </c>
    </row>
    <row r="293" spans="1:4" x14ac:dyDescent="0.25">
      <c r="A293" s="1">
        <v>2454062.1083499999</v>
      </c>
      <c r="B293" s="1" t="s">
        <v>525</v>
      </c>
      <c r="C293" s="1">
        <v>11.6</v>
      </c>
      <c r="D293" s="1">
        <v>0.2</v>
      </c>
    </row>
    <row r="294" spans="1:4" x14ac:dyDescent="0.25">
      <c r="A294" s="1">
        <v>2454084.1415499998</v>
      </c>
      <c r="B294" s="1" t="s">
        <v>526</v>
      </c>
      <c r="C294" s="1">
        <v>11.916667</v>
      </c>
      <c r="D294" s="1">
        <v>9.4575000000000006E-2</v>
      </c>
    </row>
    <row r="295" spans="1:4" x14ac:dyDescent="0.25">
      <c r="A295" s="1">
        <v>2454121.6426400002</v>
      </c>
      <c r="B295" s="1" t="s">
        <v>527</v>
      </c>
      <c r="C295" s="1">
        <v>12</v>
      </c>
      <c r="D295" s="1">
        <v>2.8868000000000001E-2</v>
      </c>
    </row>
    <row r="296" spans="1:4" x14ac:dyDescent="0.25">
      <c r="A296" s="1">
        <v>2454140.6115299999</v>
      </c>
      <c r="B296" s="1" t="s">
        <v>528</v>
      </c>
      <c r="C296" s="1">
        <v>11.925000000000001</v>
      </c>
      <c r="D296" s="1">
        <v>4.9098999999999997E-2</v>
      </c>
    </row>
    <row r="297" spans="1:4" x14ac:dyDescent="0.25">
      <c r="A297" s="1">
        <v>2454168.5577699998</v>
      </c>
      <c r="B297" s="1" t="s">
        <v>529</v>
      </c>
      <c r="C297" s="1">
        <v>11.925000000000001</v>
      </c>
      <c r="D297" s="1">
        <v>0.18306800000000001</v>
      </c>
    </row>
    <row r="298" spans="1:4" x14ac:dyDescent="0.25">
      <c r="A298" s="1">
        <v>2454181.1164799999</v>
      </c>
      <c r="B298" s="1" t="s">
        <v>530</v>
      </c>
      <c r="C298" s="1">
        <v>12.1</v>
      </c>
      <c r="D298" s="1">
        <v>6.8312999999999999E-2</v>
      </c>
    </row>
    <row r="299" spans="1:4" x14ac:dyDescent="0.25">
      <c r="A299" s="1">
        <v>2454201.3499799999</v>
      </c>
      <c r="B299" s="1" t="s">
        <v>531</v>
      </c>
      <c r="C299" s="1">
        <v>11.625</v>
      </c>
      <c r="D299" s="1">
        <v>0.20857600000000001</v>
      </c>
    </row>
    <row r="300" spans="1:4" x14ac:dyDescent="0.25">
      <c r="A300" s="1">
        <v>2454332.9034699998</v>
      </c>
      <c r="B300" s="1" t="s">
        <v>532</v>
      </c>
      <c r="C300" s="1">
        <v>11.966666999999999</v>
      </c>
      <c r="D300" s="1">
        <v>6.6667000000000004E-2</v>
      </c>
    </row>
    <row r="301" spans="1:4" x14ac:dyDescent="0.25">
      <c r="A301" s="1">
        <v>2454356.7028000001</v>
      </c>
      <c r="B301" s="1" t="s">
        <v>533</v>
      </c>
      <c r="C301" s="1">
        <v>12</v>
      </c>
      <c r="D301" s="1">
        <v>0</v>
      </c>
    </row>
    <row r="302" spans="1:4" x14ac:dyDescent="0.25">
      <c r="A302" s="1">
        <v>2454387.1395999999</v>
      </c>
      <c r="B302" s="1" t="s">
        <v>534</v>
      </c>
      <c r="C302" s="1">
        <v>12</v>
      </c>
      <c r="D302" s="1">
        <v>0</v>
      </c>
    </row>
    <row r="303" spans="1:4" x14ac:dyDescent="0.25">
      <c r="A303" s="1">
        <v>2454410.1611000001</v>
      </c>
      <c r="B303" s="1" t="s">
        <v>231</v>
      </c>
      <c r="C303" s="1">
        <v>11.8</v>
      </c>
      <c r="D303" s="1">
        <v>0</v>
      </c>
    </row>
    <row r="304" spans="1:4" x14ac:dyDescent="0.25">
      <c r="A304" s="1">
        <v>2454444.3999299998</v>
      </c>
      <c r="B304" s="1" t="s">
        <v>535</v>
      </c>
      <c r="C304" s="1">
        <v>11.966666999999999</v>
      </c>
      <c r="D304" s="1">
        <v>8.8192000000000006E-2</v>
      </c>
    </row>
    <row r="305" spans="1:4" x14ac:dyDescent="0.25">
      <c r="A305" s="1">
        <v>2454469.9837199999</v>
      </c>
      <c r="B305" s="1" t="s">
        <v>536</v>
      </c>
      <c r="C305" s="1">
        <v>12.016667</v>
      </c>
      <c r="D305" s="1">
        <v>6.0093000000000001E-2</v>
      </c>
    </row>
    <row r="306" spans="1:4" x14ac:dyDescent="0.25">
      <c r="A306" s="1">
        <v>2454480.4419</v>
      </c>
      <c r="B306" s="1" t="s">
        <v>537</v>
      </c>
      <c r="C306" s="1">
        <v>12.066667000000001</v>
      </c>
      <c r="D306" s="1">
        <v>0.14529700000000001</v>
      </c>
    </row>
    <row r="307" spans="1:4" x14ac:dyDescent="0.25">
      <c r="A307" s="1">
        <v>2454501.2575699999</v>
      </c>
      <c r="B307" s="1" t="s">
        <v>538</v>
      </c>
      <c r="C307" s="1">
        <v>12.308332999999999</v>
      </c>
      <c r="D307" s="1">
        <v>7.0127999999999996E-2</v>
      </c>
    </row>
    <row r="308" spans="1:4" x14ac:dyDescent="0.25">
      <c r="A308" s="1">
        <v>2454516.24174</v>
      </c>
      <c r="B308" s="1" t="s">
        <v>539</v>
      </c>
      <c r="C308" s="1">
        <v>12.262499999999999</v>
      </c>
      <c r="D308" s="1">
        <v>8.2239999999999994E-2</v>
      </c>
    </row>
    <row r="309" spans="1:4" x14ac:dyDescent="0.25">
      <c r="A309" s="1">
        <v>2454532.2822199999</v>
      </c>
      <c r="B309" s="1" t="s">
        <v>540</v>
      </c>
      <c r="C309" s="1">
        <v>12.277778</v>
      </c>
      <c r="D309" s="1">
        <v>0.124474</v>
      </c>
    </row>
    <row r="310" spans="1:4" x14ac:dyDescent="0.25">
      <c r="A310" s="1">
        <v>2454547.6968399999</v>
      </c>
      <c r="B310" s="1" t="s">
        <v>541</v>
      </c>
      <c r="C310" s="1">
        <v>12.471429000000001</v>
      </c>
      <c r="D310" s="1">
        <v>5.2164000000000002E-2</v>
      </c>
    </row>
    <row r="311" spans="1:4" x14ac:dyDescent="0.25">
      <c r="A311" s="1">
        <v>2454564.6185699999</v>
      </c>
      <c r="B311" s="1" t="s">
        <v>542</v>
      </c>
      <c r="C311" s="1">
        <v>12.272727</v>
      </c>
      <c r="D311" s="1">
        <v>5.0616000000000001E-2</v>
      </c>
    </row>
    <row r="312" spans="1:4" x14ac:dyDescent="0.25">
      <c r="A312" s="1">
        <v>2454582.2201399999</v>
      </c>
      <c r="B312" s="1" t="s">
        <v>543</v>
      </c>
      <c r="C312" s="1">
        <v>12.3</v>
      </c>
      <c r="D312" s="1">
        <v>0</v>
      </c>
    </row>
    <row r="313" spans="1:4" x14ac:dyDescent="0.25">
      <c r="A313" s="1">
        <v>2454601.3357199999</v>
      </c>
      <c r="B313" s="1" t="s">
        <v>544</v>
      </c>
      <c r="C313" s="1">
        <v>12.3</v>
      </c>
      <c r="D313" s="1">
        <v>0</v>
      </c>
    </row>
    <row r="314" spans="1:4" x14ac:dyDescent="0.25">
      <c r="A314" s="1">
        <v>2454608.8756900001</v>
      </c>
      <c r="B314" s="1" t="s">
        <v>545</v>
      </c>
      <c r="C314" s="1">
        <v>12.3</v>
      </c>
      <c r="D314" s="1">
        <v>0</v>
      </c>
    </row>
    <row r="315" spans="1:4" x14ac:dyDescent="0.25">
      <c r="A315" s="1">
        <v>2454749.17985</v>
      </c>
      <c r="B315" s="1" t="s">
        <v>546</v>
      </c>
      <c r="C315" s="1">
        <v>11.75</v>
      </c>
      <c r="D315" s="1">
        <v>0.05</v>
      </c>
    </row>
    <row r="316" spans="1:4" x14ac:dyDescent="0.25">
      <c r="A316" s="1">
        <v>2454772.6743000001</v>
      </c>
      <c r="B316" s="1" t="s">
        <v>547</v>
      </c>
      <c r="C316" s="1">
        <v>11.7</v>
      </c>
      <c r="D316" s="1">
        <v>0</v>
      </c>
    </row>
    <row r="317" spans="1:4" x14ac:dyDescent="0.25">
      <c r="A317" s="1">
        <v>2454805.5912000001</v>
      </c>
      <c r="B317" s="1" t="s">
        <v>548</v>
      </c>
      <c r="C317" s="1">
        <v>11.566667000000001</v>
      </c>
      <c r="D317" s="1">
        <v>3.3333000000000002E-2</v>
      </c>
    </row>
    <row r="318" spans="1:4" x14ac:dyDescent="0.25">
      <c r="A318" s="1">
        <v>2454825.8727000002</v>
      </c>
      <c r="B318" s="1" t="s">
        <v>549</v>
      </c>
      <c r="C318" s="1">
        <v>11.4</v>
      </c>
      <c r="D318" s="1">
        <v>0.152753</v>
      </c>
    </row>
    <row r="319" spans="1:4" x14ac:dyDescent="0.25">
      <c r="A319" s="1">
        <v>2454840.9913599999</v>
      </c>
      <c r="B319" s="1" t="s">
        <v>550</v>
      </c>
      <c r="C319" s="1">
        <v>11.057143</v>
      </c>
      <c r="D319" s="1">
        <v>8.1231999999999999E-2</v>
      </c>
    </row>
    <row r="320" spans="1:4" x14ac:dyDescent="0.25">
      <c r="A320" s="1">
        <v>2454855.9360799999</v>
      </c>
      <c r="B320" s="1" t="s">
        <v>551</v>
      </c>
      <c r="C320" s="1">
        <v>10.86</v>
      </c>
      <c r="D320" s="1">
        <v>7.3332999999999995E-2</v>
      </c>
    </row>
    <row r="321" spans="1:4" x14ac:dyDescent="0.25">
      <c r="A321" s="1">
        <v>2454872.8243</v>
      </c>
      <c r="B321" s="1" t="s">
        <v>552</v>
      </c>
      <c r="C321" s="1">
        <v>11.01</v>
      </c>
      <c r="D321" s="1">
        <v>7.3710999999999999E-2</v>
      </c>
    </row>
    <row r="322" spans="1:4" x14ac:dyDescent="0.25">
      <c r="A322" s="1">
        <v>2454891.37048</v>
      </c>
      <c r="B322" s="1" t="s">
        <v>553</v>
      </c>
      <c r="C322" s="1">
        <v>11</v>
      </c>
      <c r="D322" s="1">
        <v>5.4233000000000003E-2</v>
      </c>
    </row>
    <row r="323" spans="1:4" x14ac:dyDescent="0.25">
      <c r="A323" s="1">
        <v>2454907.8898399998</v>
      </c>
      <c r="B323" s="1" t="s">
        <v>554</v>
      </c>
      <c r="C323" s="1">
        <v>10.976922999999999</v>
      </c>
      <c r="D323" s="1">
        <v>7.0849999999999996E-2</v>
      </c>
    </row>
    <row r="324" spans="1:4" x14ac:dyDescent="0.25">
      <c r="A324" s="1">
        <v>2454921.6688100002</v>
      </c>
      <c r="B324" s="1" t="s">
        <v>555</v>
      </c>
      <c r="C324" s="1">
        <v>10.976190000000001</v>
      </c>
      <c r="D324" s="1">
        <v>7.2343000000000005E-2</v>
      </c>
    </row>
    <row r="325" spans="1:4" x14ac:dyDescent="0.25">
      <c r="A325" s="1">
        <v>2454942.3719799998</v>
      </c>
      <c r="B325" s="1" t="s">
        <v>233</v>
      </c>
      <c r="C325" s="1">
        <v>10.85</v>
      </c>
      <c r="D325" s="1">
        <v>3.4411999999999998E-2</v>
      </c>
    </row>
    <row r="326" spans="1:4" x14ac:dyDescent="0.25">
      <c r="A326" s="1">
        <v>2454951.9090300002</v>
      </c>
      <c r="B326" s="1" t="s">
        <v>556</v>
      </c>
      <c r="C326" s="1">
        <v>10.72</v>
      </c>
      <c r="D326" s="1">
        <v>0.02</v>
      </c>
    </row>
    <row r="327" spans="1:4" x14ac:dyDescent="0.25">
      <c r="A327" s="1">
        <v>2454972.0743</v>
      </c>
      <c r="B327" s="1" t="s">
        <v>557</v>
      </c>
      <c r="C327" s="1">
        <v>10.8</v>
      </c>
      <c r="D327" s="1">
        <v>6.3245999999999997E-2</v>
      </c>
    </row>
    <row r="328" spans="1:4" x14ac:dyDescent="0.25">
      <c r="A328" s="1">
        <v>2455090.5619700002</v>
      </c>
      <c r="B328" s="1" t="s">
        <v>558</v>
      </c>
      <c r="C328" s="1">
        <v>9.9250000000000007</v>
      </c>
      <c r="D328" s="1">
        <v>9.4647999999999996E-2</v>
      </c>
    </row>
    <row r="329" spans="1:4" x14ac:dyDescent="0.25">
      <c r="A329" s="1">
        <v>2455111.6606800002</v>
      </c>
      <c r="B329" s="1" t="s">
        <v>559</v>
      </c>
      <c r="C329" s="1">
        <v>10</v>
      </c>
      <c r="D329" s="1">
        <v>7.7460000000000001E-2</v>
      </c>
    </row>
    <row r="330" spans="1:4" x14ac:dyDescent="0.25">
      <c r="A330" s="1">
        <v>2455129.0633399999</v>
      </c>
      <c r="B330" s="1" t="s">
        <v>243</v>
      </c>
      <c r="C330" s="1">
        <v>9.94</v>
      </c>
      <c r="D330" s="1">
        <v>9.2735999999999999E-2</v>
      </c>
    </row>
    <row r="331" spans="1:4" x14ac:dyDescent="0.25">
      <c r="A331" s="1">
        <v>2455149.3439000002</v>
      </c>
      <c r="B331" s="1" t="s">
        <v>560</v>
      </c>
      <c r="C331" s="1">
        <v>9.9600000000000009</v>
      </c>
      <c r="D331" s="1">
        <v>0.04</v>
      </c>
    </row>
    <row r="332" spans="1:4" x14ac:dyDescent="0.25">
      <c r="A332" s="1">
        <v>2455167.9230300002</v>
      </c>
      <c r="B332" s="1" t="s">
        <v>561</v>
      </c>
      <c r="C332" s="1">
        <v>10.083333</v>
      </c>
      <c r="D332" s="1">
        <v>6.0093000000000001E-2</v>
      </c>
    </row>
    <row r="333" spans="1:4" x14ac:dyDescent="0.25">
      <c r="A333" s="1">
        <v>2455188.38057</v>
      </c>
      <c r="B333" s="1" t="s">
        <v>562</v>
      </c>
      <c r="C333" s="1">
        <v>10.4</v>
      </c>
      <c r="D333" s="1">
        <v>0.152753</v>
      </c>
    </row>
    <row r="334" spans="1:4" x14ac:dyDescent="0.25">
      <c r="A334" s="1">
        <v>2455203.8707300001</v>
      </c>
      <c r="B334" s="1" t="s">
        <v>563</v>
      </c>
      <c r="C334" s="1">
        <v>10.074999999999999</v>
      </c>
      <c r="D334" s="1">
        <v>0.14361399999999999</v>
      </c>
    </row>
    <row r="335" spans="1:4" x14ac:dyDescent="0.25">
      <c r="A335" s="1">
        <v>2455219.4232000001</v>
      </c>
      <c r="B335" s="1" t="s">
        <v>564</v>
      </c>
      <c r="C335" s="1">
        <v>10.145455</v>
      </c>
      <c r="D335" s="1">
        <v>6.5175999999999998E-2</v>
      </c>
    </row>
    <row r="336" spans="1:4" x14ac:dyDescent="0.25">
      <c r="A336" s="1">
        <v>2455236.1860099998</v>
      </c>
      <c r="B336" s="1" t="s">
        <v>565</v>
      </c>
      <c r="C336" s="1">
        <v>10.230769</v>
      </c>
      <c r="D336" s="1">
        <v>6.9231000000000001E-2</v>
      </c>
    </row>
    <row r="337" spans="1:4" x14ac:dyDescent="0.25">
      <c r="A337" s="1">
        <v>2455253.4364</v>
      </c>
      <c r="B337" s="1" t="s">
        <v>566</v>
      </c>
      <c r="C337" s="1">
        <v>10.253845999999999</v>
      </c>
      <c r="D337" s="1">
        <v>8.2130999999999996E-2</v>
      </c>
    </row>
    <row r="338" spans="1:4" x14ac:dyDescent="0.25">
      <c r="A338" s="1">
        <v>2455267.0456599998</v>
      </c>
      <c r="B338" s="1" t="s">
        <v>567</v>
      </c>
      <c r="C338" s="1">
        <v>10.129032</v>
      </c>
      <c r="D338" s="1">
        <v>3.5070999999999998E-2</v>
      </c>
    </row>
    <row r="339" spans="1:4" x14ac:dyDescent="0.25">
      <c r="A339" s="1">
        <v>2455277.8856199998</v>
      </c>
      <c r="B339" s="1" t="s">
        <v>568</v>
      </c>
      <c r="C339" s="1">
        <v>10.199999999999999</v>
      </c>
      <c r="D339" s="1">
        <v>4.9440999999999999E-2</v>
      </c>
    </row>
    <row r="340" spans="1:4" x14ac:dyDescent="0.25">
      <c r="A340" s="1">
        <v>2455298.6310700001</v>
      </c>
      <c r="B340" s="1" t="s">
        <v>569</v>
      </c>
      <c r="C340" s="1">
        <v>10.244444</v>
      </c>
      <c r="D340" s="1">
        <v>3.3550000000000003E-2</v>
      </c>
    </row>
    <row r="341" spans="1:4" x14ac:dyDescent="0.25">
      <c r="A341" s="1">
        <v>2455313.92533</v>
      </c>
      <c r="B341" s="1" t="s">
        <v>570</v>
      </c>
      <c r="C341" s="1">
        <v>10.262499999999999</v>
      </c>
      <c r="D341" s="1">
        <v>3.2390000000000002E-2</v>
      </c>
    </row>
    <row r="342" spans="1:4" x14ac:dyDescent="0.25">
      <c r="A342" s="1">
        <v>2455327.56</v>
      </c>
      <c r="B342" s="1" t="s">
        <v>571</v>
      </c>
      <c r="C342" s="1">
        <v>10.24</v>
      </c>
      <c r="D342" s="1">
        <v>2.6667E-2</v>
      </c>
    </row>
    <row r="343" spans="1:4" x14ac:dyDescent="0.25">
      <c r="A343" s="1">
        <v>2455343.8722199998</v>
      </c>
      <c r="B343" s="1" t="s">
        <v>572</v>
      </c>
      <c r="C343" s="1">
        <v>10.199999999999999</v>
      </c>
      <c r="D343" s="1">
        <v>0</v>
      </c>
    </row>
    <row r="344" spans="1:4" x14ac:dyDescent="0.25">
      <c r="A344" s="1">
        <v>2455480.0211</v>
      </c>
      <c r="B344" s="1" t="s">
        <v>573</v>
      </c>
      <c r="C344" s="1">
        <v>10.433332999999999</v>
      </c>
      <c r="D344" s="1">
        <v>8.8192000000000006E-2</v>
      </c>
    </row>
    <row r="345" spans="1:4" x14ac:dyDescent="0.25">
      <c r="A345" s="1">
        <v>2455496.6378000001</v>
      </c>
      <c r="B345" s="1" t="s">
        <v>574</v>
      </c>
      <c r="C345" s="1">
        <v>10.55</v>
      </c>
      <c r="D345" s="1">
        <v>0.05</v>
      </c>
    </row>
    <row r="346" spans="1:4" x14ac:dyDescent="0.25">
      <c r="A346" s="1">
        <v>2455517.6822799998</v>
      </c>
      <c r="B346" s="1" t="s">
        <v>575</v>
      </c>
      <c r="C346" s="1">
        <v>10.65</v>
      </c>
      <c r="D346" s="1">
        <v>8.6602999999999999E-2</v>
      </c>
    </row>
    <row r="347" spans="1:4" x14ac:dyDescent="0.25">
      <c r="A347" s="1">
        <v>2455530.1989500001</v>
      </c>
      <c r="B347" s="1" t="s">
        <v>576</v>
      </c>
      <c r="C347" s="1">
        <v>10.75</v>
      </c>
      <c r="D347" s="1">
        <v>0.05</v>
      </c>
    </row>
    <row r="348" spans="1:4" x14ac:dyDescent="0.25">
      <c r="A348" s="1">
        <v>2455576.10867</v>
      </c>
      <c r="B348" s="1" t="s">
        <v>577</v>
      </c>
      <c r="C348" s="1">
        <v>10.666667</v>
      </c>
      <c r="D348" s="1">
        <v>6.6667000000000004E-2</v>
      </c>
    </row>
    <row r="349" spans="1:4" x14ac:dyDescent="0.25">
      <c r="A349" s="1">
        <v>2455594.6059400002</v>
      </c>
      <c r="B349" s="1" t="s">
        <v>578</v>
      </c>
      <c r="C349" s="1">
        <v>10.643750000000001</v>
      </c>
      <c r="D349" s="1">
        <v>3.4118000000000002E-2</v>
      </c>
    </row>
    <row r="350" spans="1:4" x14ac:dyDescent="0.25">
      <c r="A350" s="1">
        <v>2455608.0864499998</v>
      </c>
      <c r="B350" s="1" t="s">
        <v>579</v>
      </c>
      <c r="C350" s="1">
        <v>10.5875</v>
      </c>
      <c r="D350" s="1">
        <v>8.7499999999999994E-2</v>
      </c>
    </row>
    <row r="351" spans="1:4" x14ac:dyDescent="0.25">
      <c r="A351" s="1">
        <v>2455625.94502</v>
      </c>
      <c r="B351" s="1" t="s">
        <v>580</v>
      </c>
      <c r="C351" s="1">
        <v>10.669231</v>
      </c>
      <c r="D351" s="1">
        <v>3.6488E-2</v>
      </c>
    </row>
    <row r="352" spans="1:4" x14ac:dyDescent="0.25">
      <c r="A352" s="1">
        <v>2455642.5542600001</v>
      </c>
      <c r="B352" s="1" t="s">
        <v>581</v>
      </c>
      <c r="C352" s="1">
        <v>10.622222000000001</v>
      </c>
      <c r="D352" s="1">
        <v>4.9378999999999999E-2</v>
      </c>
    </row>
    <row r="353" spans="1:4" x14ac:dyDescent="0.25">
      <c r="A353" s="1">
        <v>2455659.04636</v>
      </c>
      <c r="B353" s="1" t="s">
        <v>582</v>
      </c>
      <c r="C353" s="1">
        <v>10.57</v>
      </c>
      <c r="D353" s="1">
        <v>4.7258000000000001E-2</v>
      </c>
    </row>
    <row r="354" spans="1:4" x14ac:dyDescent="0.25">
      <c r="A354" s="1">
        <v>2455672.0434900001</v>
      </c>
      <c r="B354" s="1" t="s">
        <v>583</v>
      </c>
      <c r="C354" s="1">
        <v>10.375</v>
      </c>
      <c r="D354" s="1">
        <v>1.6365999999999999E-2</v>
      </c>
    </row>
    <row r="355" spans="1:4" x14ac:dyDescent="0.25">
      <c r="A355" s="1">
        <v>2455687.9068900002</v>
      </c>
      <c r="B355" s="1" t="s">
        <v>584</v>
      </c>
      <c r="C355" s="1">
        <v>10.391667</v>
      </c>
      <c r="D355" s="1">
        <v>8.3330000000000001E-3</v>
      </c>
    </row>
    <row r="356" spans="1:4" x14ac:dyDescent="0.25">
      <c r="A356" s="1">
        <v>2455707.1679600002</v>
      </c>
      <c r="B356" s="1" t="s">
        <v>585</v>
      </c>
      <c r="C356" s="1">
        <v>10.414286000000001</v>
      </c>
      <c r="D356" s="1">
        <v>1.4286E-2</v>
      </c>
    </row>
    <row r="357" spans="1:4" x14ac:dyDescent="0.25">
      <c r="A357" s="1">
        <v>2455714.6241299999</v>
      </c>
      <c r="B357" s="1" t="s">
        <v>586</v>
      </c>
      <c r="C357" s="1">
        <v>10.475</v>
      </c>
      <c r="D357" s="1">
        <v>4.7870999999999997E-2</v>
      </c>
    </row>
    <row r="358" spans="1:4" x14ac:dyDescent="0.25">
      <c r="A358" s="1">
        <v>2455938.8856500001</v>
      </c>
      <c r="B358" s="1" t="s">
        <v>587</v>
      </c>
      <c r="C358" s="1">
        <v>10.766667</v>
      </c>
      <c r="D358" s="1">
        <v>4.1438999999999997E-2</v>
      </c>
    </row>
    <row r="359" spans="1:4" x14ac:dyDescent="0.25">
      <c r="A359" s="1">
        <v>2455955.8964999998</v>
      </c>
      <c r="B359" s="1" t="s">
        <v>237</v>
      </c>
      <c r="C359" s="1">
        <v>10.637499999999999</v>
      </c>
      <c r="D359" s="1">
        <v>3.2390000000000002E-2</v>
      </c>
    </row>
    <row r="360" spans="1:4" x14ac:dyDescent="0.25">
      <c r="A360" s="1">
        <v>2455974.4138199999</v>
      </c>
      <c r="B360" s="1" t="s">
        <v>588</v>
      </c>
      <c r="C360" s="1">
        <v>10.693333000000001</v>
      </c>
      <c r="D360" s="1">
        <v>2.0625000000000001E-2</v>
      </c>
    </row>
    <row r="361" spans="1:4" x14ac:dyDescent="0.25">
      <c r="A361" s="1">
        <v>2455991.0883300002</v>
      </c>
      <c r="B361" s="1" t="s">
        <v>589</v>
      </c>
      <c r="C361" s="1">
        <v>10.58</v>
      </c>
      <c r="D361" s="1">
        <v>2.9059000000000001E-2</v>
      </c>
    </row>
    <row r="362" spans="1:4" x14ac:dyDescent="0.25">
      <c r="A362" s="1">
        <v>2456010.3049900001</v>
      </c>
      <c r="B362" s="1" t="s">
        <v>590</v>
      </c>
      <c r="C362" s="1">
        <v>10.583333</v>
      </c>
      <c r="D362" s="1">
        <v>3.4536999999999998E-2</v>
      </c>
    </row>
    <row r="363" spans="1:4" x14ac:dyDescent="0.25">
      <c r="A363" s="1">
        <v>2456022.2955800002</v>
      </c>
      <c r="B363" s="1" t="s">
        <v>591</v>
      </c>
      <c r="C363" s="1">
        <v>10.390909000000001</v>
      </c>
      <c r="D363" s="1">
        <v>9.0910000000000001E-3</v>
      </c>
    </row>
    <row r="364" spans="1:4" x14ac:dyDescent="0.25">
      <c r="A364" s="1">
        <v>2456043.5513300002</v>
      </c>
      <c r="B364" s="1" t="s">
        <v>592</v>
      </c>
      <c r="C364" s="1">
        <v>10.385714</v>
      </c>
      <c r="D364" s="1">
        <v>2.6082000000000001E-2</v>
      </c>
    </row>
    <row r="365" spans="1:4" x14ac:dyDescent="0.25">
      <c r="A365" s="1">
        <v>2456062.0351200001</v>
      </c>
      <c r="B365" s="1" t="s">
        <v>593</v>
      </c>
      <c r="C365" s="1">
        <v>10.214286</v>
      </c>
      <c r="D365" s="1">
        <v>4.5921999999999998E-2</v>
      </c>
    </row>
    <row r="366" spans="1:4" x14ac:dyDescent="0.25">
      <c r="A366" s="1">
        <v>2456248.5277</v>
      </c>
      <c r="B366" s="1" t="s">
        <v>594</v>
      </c>
      <c r="C366" s="1">
        <v>10.7</v>
      </c>
      <c r="D366" s="1">
        <v>0</v>
      </c>
    </row>
    <row r="367" spans="1:4" x14ac:dyDescent="0.25">
      <c r="A367" s="1">
        <v>2456267.5720000002</v>
      </c>
      <c r="B367" s="1" t="s">
        <v>595</v>
      </c>
      <c r="C367" s="1">
        <v>10.3</v>
      </c>
      <c r="D367" s="1">
        <v>0</v>
      </c>
    </row>
    <row r="368" spans="1:4" x14ac:dyDescent="0.25">
      <c r="A368" s="1">
        <v>2456307.00239</v>
      </c>
      <c r="B368" s="1" t="s">
        <v>596</v>
      </c>
      <c r="C368" s="1">
        <v>10.55</v>
      </c>
      <c r="D368" s="1">
        <v>0.05</v>
      </c>
    </row>
    <row r="369" spans="1:4" x14ac:dyDescent="0.25">
      <c r="A369" s="1">
        <v>2456329.12861</v>
      </c>
      <c r="B369" s="1" t="s">
        <v>597</v>
      </c>
      <c r="C369" s="1">
        <v>10.324999999999999</v>
      </c>
      <c r="D369" s="1">
        <v>4.4594000000000002E-2</v>
      </c>
    </row>
    <row r="370" spans="1:4" x14ac:dyDescent="0.25">
      <c r="A370" s="1">
        <v>2456348.1163900001</v>
      </c>
      <c r="B370" s="1" t="s">
        <v>598</v>
      </c>
      <c r="C370" s="1">
        <v>10.485714</v>
      </c>
      <c r="D370" s="1">
        <v>0.16822400000000001</v>
      </c>
    </row>
    <row r="371" spans="1:4" x14ac:dyDescent="0.25">
      <c r="A371" s="1">
        <v>2456363.9145900002</v>
      </c>
      <c r="B371" s="1" t="s">
        <v>599</v>
      </c>
      <c r="C371" s="1">
        <v>10.457143</v>
      </c>
      <c r="D371" s="1">
        <v>6.4944000000000002E-2</v>
      </c>
    </row>
    <row r="372" spans="1:4" x14ac:dyDescent="0.25">
      <c r="A372" s="1">
        <v>2456383.5628</v>
      </c>
      <c r="B372" s="1" t="s">
        <v>600</v>
      </c>
      <c r="C372" s="1">
        <v>10.477778000000001</v>
      </c>
      <c r="D372" s="1">
        <v>6.4070000000000002E-2</v>
      </c>
    </row>
    <row r="373" spans="1:4" x14ac:dyDescent="0.25">
      <c r="A373" s="1">
        <v>2456402.3773400001</v>
      </c>
      <c r="B373" s="1" t="s">
        <v>601</v>
      </c>
      <c r="C373" s="1">
        <v>10.309091</v>
      </c>
      <c r="D373" s="1">
        <v>9.0910000000000001E-3</v>
      </c>
    </row>
    <row r="374" spans="1:4" x14ac:dyDescent="0.25">
      <c r="A374" s="1">
        <v>2456427.8954799999</v>
      </c>
      <c r="B374" s="1" t="s">
        <v>602</v>
      </c>
      <c r="C374" s="1">
        <v>10.3</v>
      </c>
      <c r="D374" s="1">
        <v>0</v>
      </c>
    </row>
    <row r="375" spans="1:4" x14ac:dyDescent="0.25">
      <c r="A375" s="1">
        <v>2456604.64</v>
      </c>
      <c r="B375" s="1" t="s">
        <v>90</v>
      </c>
      <c r="C375" s="1">
        <v>10.5</v>
      </c>
      <c r="D375" s="1">
        <v>0</v>
      </c>
    </row>
    <row r="376" spans="1:4" x14ac:dyDescent="0.25">
      <c r="A376" s="1">
        <v>2456655.6336699999</v>
      </c>
      <c r="B376" s="1" t="s">
        <v>603</v>
      </c>
      <c r="C376" s="1">
        <v>10.5</v>
      </c>
      <c r="D376" s="1">
        <v>8.9442999999999995E-2</v>
      </c>
    </row>
    <row r="377" spans="1:4" x14ac:dyDescent="0.25">
      <c r="A377" s="1">
        <v>2456673.5463299998</v>
      </c>
      <c r="B377" s="1" t="s">
        <v>604</v>
      </c>
      <c r="C377" s="1">
        <v>10.716666999999999</v>
      </c>
      <c r="D377" s="1">
        <v>4.7725999999999998E-2</v>
      </c>
    </row>
    <row r="378" spans="1:4" x14ac:dyDescent="0.25">
      <c r="A378" s="1">
        <v>2456684.6167799998</v>
      </c>
      <c r="B378" s="1" t="s">
        <v>605</v>
      </c>
      <c r="C378" s="1">
        <v>10.62</v>
      </c>
      <c r="D378" s="1">
        <v>7.3484999999999995E-2</v>
      </c>
    </row>
    <row r="379" spans="1:4" x14ac:dyDescent="0.25">
      <c r="A379" s="1">
        <v>2456703.2173299999</v>
      </c>
      <c r="B379" s="1" t="s">
        <v>606</v>
      </c>
      <c r="C379" s="1">
        <v>10.6</v>
      </c>
      <c r="D379" s="1">
        <v>4.4720999999999997E-2</v>
      </c>
    </row>
    <row r="380" spans="1:4" x14ac:dyDescent="0.25">
      <c r="A380" s="1">
        <v>2456720.46367</v>
      </c>
      <c r="B380" s="1" t="s">
        <v>607</v>
      </c>
      <c r="C380" s="1">
        <v>10.576471</v>
      </c>
      <c r="D380" s="1">
        <v>3.1541E-2</v>
      </c>
    </row>
    <row r="381" spans="1:4" x14ac:dyDescent="0.25">
      <c r="A381" s="1">
        <v>2456737.8713099998</v>
      </c>
      <c r="B381" s="1" t="s">
        <v>608</v>
      </c>
      <c r="C381" s="1">
        <v>10.645455</v>
      </c>
      <c r="D381" s="1">
        <v>9.1814000000000007E-2</v>
      </c>
    </row>
    <row r="382" spans="1:4" x14ac:dyDescent="0.25">
      <c r="A382" s="1">
        <v>2456753.7055899999</v>
      </c>
      <c r="B382" s="1" t="s">
        <v>609</v>
      </c>
      <c r="C382" s="1">
        <v>10.422222</v>
      </c>
      <c r="D382" s="1">
        <v>2.7778000000000001E-2</v>
      </c>
    </row>
    <row r="383" spans="1:4" x14ac:dyDescent="0.25">
      <c r="A383" s="1">
        <v>2456775.4726200001</v>
      </c>
      <c r="B383" s="1" t="s">
        <v>610</v>
      </c>
      <c r="C383" s="1">
        <v>10.4125</v>
      </c>
      <c r="D383" s="1">
        <v>2.9505E-2</v>
      </c>
    </row>
    <row r="384" spans="1:4" x14ac:dyDescent="0.25">
      <c r="A384" s="1">
        <v>2456784.1119400002</v>
      </c>
      <c r="B384" s="1" t="s">
        <v>611</v>
      </c>
      <c r="C384" s="1">
        <v>10.42</v>
      </c>
      <c r="D384" s="1">
        <v>0.02</v>
      </c>
    </row>
    <row r="385" spans="1:4" x14ac:dyDescent="0.25">
      <c r="A385" s="1">
        <v>2456802.3843700001</v>
      </c>
      <c r="B385" s="1" t="s">
        <v>612</v>
      </c>
      <c r="C385" s="1">
        <v>10.4</v>
      </c>
      <c r="D385" s="1">
        <v>0</v>
      </c>
    </row>
    <row r="386" spans="1:4" x14ac:dyDescent="0.25">
      <c r="A386" s="1">
        <v>2456949.64</v>
      </c>
      <c r="B386" s="1" t="s">
        <v>613</v>
      </c>
      <c r="C386" s="1">
        <v>10.7</v>
      </c>
      <c r="D386" s="1">
        <v>0</v>
      </c>
    </row>
    <row r="387" spans="1:4" x14ac:dyDescent="0.25">
      <c r="A387" s="1">
        <v>2457026.952</v>
      </c>
      <c r="B387" s="1" t="s">
        <v>614</v>
      </c>
      <c r="C387" s="1">
        <v>11.35</v>
      </c>
      <c r="D387" s="1">
        <v>0.65</v>
      </c>
    </row>
    <row r="388" spans="1:4" x14ac:dyDescent="0.25">
      <c r="A388" s="1">
        <v>2457039.4205</v>
      </c>
      <c r="B388" s="1" t="s">
        <v>615</v>
      </c>
      <c r="C388" s="1">
        <v>11.05</v>
      </c>
      <c r="D388" s="1">
        <v>0.15</v>
      </c>
    </row>
    <row r="389" spans="1:4" x14ac:dyDescent="0.25">
      <c r="A389" s="1">
        <v>2457067.4926100001</v>
      </c>
      <c r="B389" s="1" t="s">
        <v>616</v>
      </c>
      <c r="C389" s="1">
        <v>11.88</v>
      </c>
      <c r="D389" s="1">
        <v>0.170489</v>
      </c>
    </row>
    <row r="390" spans="1:4" x14ac:dyDescent="0.25">
      <c r="A390" s="1">
        <v>2457082.5172100002</v>
      </c>
      <c r="B390" s="1" t="s">
        <v>617</v>
      </c>
      <c r="C390" s="1">
        <v>11.884615</v>
      </c>
      <c r="D390" s="1">
        <v>0.106726</v>
      </c>
    </row>
    <row r="391" spans="1:4" x14ac:dyDescent="0.25">
      <c r="A391" s="1">
        <v>2457097.8352199998</v>
      </c>
      <c r="B391" s="1" t="s">
        <v>618</v>
      </c>
      <c r="C391" s="1">
        <v>12.063636000000001</v>
      </c>
      <c r="D391" s="1">
        <v>6.0712000000000002E-2</v>
      </c>
    </row>
    <row r="392" spans="1:4" x14ac:dyDescent="0.25">
      <c r="A392" s="1">
        <v>2457111.2344399998</v>
      </c>
      <c r="B392" s="1" t="s">
        <v>619</v>
      </c>
      <c r="C392" s="1">
        <v>12.2</v>
      </c>
      <c r="D392" s="1">
        <v>3.9223000000000001E-2</v>
      </c>
    </row>
    <row r="393" spans="1:4" x14ac:dyDescent="0.25">
      <c r="A393" s="1">
        <v>2457131.0078400001</v>
      </c>
      <c r="B393" s="1" t="s">
        <v>0</v>
      </c>
      <c r="C393" s="1">
        <v>12.15</v>
      </c>
      <c r="D393" s="1">
        <v>3.4157E-2</v>
      </c>
    </row>
    <row r="394" spans="1:4" x14ac:dyDescent="0.25">
      <c r="A394" s="1">
        <v>2457146.9045899999</v>
      </c>
      <c r="B394" s="1" t="s">
        <v>620</v>
      </c>
      <c r="C394" s="1">
        <v>12.169231</v>
      </c>
      <c r="D394" s="1">
        <v>1.7485000000000001E-2</v>
      </c>
    </row>
    <row r="395" spans="1:4" x14ac:dyDescent="0.25">
      <c r="A395" s="1">
        <v>2457157.8955999999</v>
      </c>
      <c r="B395" s="1" t="s">
        <v>26</v>
      </c>
      <c r="C395" s="1">
        <v>12</v>
      </c>
      <c r="D395" s="1">
        <v>0.11547</v>
      </c>
    </row>
    <row r="396" spans="1:4" x14ac:dyDescent="0.25">
      <c r="A396" s="1">
        <v>2457383.0214999998</v>
      </c>
      <c r="B396" s="1" t="s">
        <v>621</v>
      </c>
      <c r="C396" s="1">
        <v>10.7</v>
      </c>
      <c r="D396" s="1">
        <v>0</v>
      </c>
    </row>
    <row r="397" spans="1:4" x14ac:dyDescent="0.25">
      <c r="A397" s="1">
        <v>2457401.3615999999</v>
      </c>
      <c r="B397" s="1" t="s">
        <v>622</v>
      </c>
      <c r="C397" s="1">
        <v>10.66</v>
      </c>
      <c r="D397" s="1">
        <v>9.7979999999999998E-2</v>
      </c>
    </row>
    <row r="398" spans="1:4" x14ac:dyDescent="0.25">
      <c r="A398" s="1">
        <v>2457427.5769000002</v>
      </c>
      <c r="B398" s="1" t="s">
        <v>623</v>
      </c>
      <c r="C398" s="1">
        <v>10.514286</v>
      </c>
      <c r="D398" s="1">
        <v>8.2890000000000005E-2</v>
      </c>
    </row>
    <row r="399" spans="1:4" x14ac:dyDescent="0.25">
      <c r="A399" s="1">
        <v>2457436.3528700001</v>
      </c>
      <c r="B399" s="1" t="s">
        <v>624</v>
      </c>
      <c r="C399" s="1">
        <v>10.375</v>
      </c>
      <c r="D399" s="1">
        <v>4.1188000000000002E-2</v>
      </c>
    </row>
    <row r="400" spans="1:4" x14ac:dyDescent="0.25">
      <c r="A400" s="1">
        <v>2457455.7933</v>
      </c>
      <c r="B400" s="1" t="s">
        <v>625</v>
      </c>
      <c r="C400" s="1">
        <v>10.328571</v>
      </c>
      <c r="D400" s="1">
        <v>3.0433999999999999E-2</v>
      </c>
    </row>
    <row r="401" spans="1:4" x14ac:dyDescent="0.25">
      <c r="A401" s="1">
        <v>2457469.24664</v>
      </c>
      <c r="B401" s="1" t="s">
        <v>626</v>
      </c>
      <c r="C401" s="1">
        <v>10.322222</v>
      </c>
      <c r="D401" s="1">
        <v>5.9576999999999998E-2</v>
      </c>
    </row>
    <row r="402" spans="1:4" x14ac:dyDescent="0.25">
      <c r="A402" s="1">
        <v>2457482.3615999999</v>
      </c>
      <c r="B402" s="1" t="s">
        <v>627</v>
      </c>
      <c r="C402" s="1">
        <v>10.4</v>
      </c>
      <c r="D402" s="1">
        <v>3.1622999999999998E-2</v>
      </c>
    </row>
    <row r="403" spans="1:4" x14ac:dyDescent="0.25">
      <c r="A403" s="1">
        <v>2457507.2253399999</v>
      </c>
      <c r="B403" s="1" t="s">
        <v>146</v>
      </c>
      <c r="C403" s="1">
        <v>10</v>
      </c>
      <c r="D403" s="1">
        <v>0.1</v>
      </c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380"/>
  <sheetViews>
    <sheetView topLeftCell="A28" workbookViewId="0">
      <selection activeCell="H17" sqref="H17"/>
    </sheetView>
  </sheetViews>
  <sheetFormatPr baseColWidth="10" defaultRowHeight="15" x14ac:dyDescent="0.25"/>
  <cols>
    <col min="1" max="3" width="23.140625" customWidth="1"/>
  </cols>
  <sheetData>
    <row r="1" spans="1:18" x14ac:dyDescent="0.25">
      <c r="A1" s="1">
        <v>2453411.3703999999</v>
      </c>
      <c r="B1" s="1" t="s">
        <v>628</v>
      </c>
      <c r="C1" s="1">
        <v>0.96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 t="s">
        <v>722</v>
      </c>
    </row>
    <row r="2" spans="1:18" x14ac:dyDescent="0.25">
      <c r="A2" s="1">
        <v>2453712.5519500002</v>
      </c>
      <c r="B2" s="1" t="s">
        <v>629</v>
      </c>
      <c r="C2" s="1">
        <v>1.03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 t="s">
        <v>722</v>
      </c>
    </row>
    <row r="3" spans="1:18" x14ac:dyDescent="0.25">
      <c r="A3" s="1">
        <v>2453714.5236499999</v>
      </c>
      <c r="B3" s="1" t="s">
        <v>630</v>
      </c>
      <c r="C3" s="1">
        <v>1.05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 t="s">
        <v>722</v>
      </c>
    </row>
    <row r="4" spans="1:18" x14ac:dyDescent="0.25">
      <c r="A4" s="1">
        <v>2453723.4777000002</v>
      </c>
      <c r="B4" s="1" t="s">
        <v>631</v>
      </c>
      <c r="C4" s="1">
        <v>1.05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 t="s">
        <v>722</v>
      </c>
    </row>
    <row r="5" spans="1:18" x14ac:dyDescent="0.25">
      <c r="A5" s="1">
        <v>2453725.9893499999</v>
      </c>
      <c r="B5" s="1" t="s">
        <v>723</v>
      </c>
      <c r="C5" s="1">
        <v>1.03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 t="s">
        <v>722</v>
      </c>
    </row>
    <row r="6" spans="1:18" x14ac:dyDescent="0.25">
      <c r="A6" s="1">
        <v>2453734.5499</v>
      </c>
      <c r="B6" s="1" t="s">
        <v>724</v>
      </c>
      <c r="C6" s="1">
        <v>0.96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 t="s">
        <v>722</v>
      </c>
    </row>
    <row r="7" spans="1:18" x14ac:dyDescent="0.25">
      <c r="A7" s="1">
        <v>2453739.4663499999</v>
      </c>
      <c r="B7" s="1" t="s">
        <v>632</v>
      </c>
      <c r="C7" s="1">
        <v>1.01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 t="s">
        <v>722</v>
      </c>
    </row>
    <row r="8" spans="1:18" x14ac:dyDescent="0.25">
      <c r="A8" s="1">
        <v>2453742.5125000002</v>
      </c>
      <c r="B8" s="1" t="s">
        <v>633</v>
      </c>
      <c r="C8" s="1">
        <v>1.01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 t="s">
        <v>722</v>
      </c>
    </row>
    <row r="9" spans="1:18" x14ac:dyDescent="0.25">
      <c r="A9" s="1">
        <v>2453745.4363000002</v>
      </c>
      <c r="B9" s="1" t="s">
        <v>725</v>
      </c>
      <c r="C9" s="1">
        <v>0.95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 t="s">
        <v>722</v>
      </c>
    </row>
    <row r="10" spans="1:18" x14ac:dyDescent="0.25">
      <c r="A10" s="1">
        <v>2453745.4701</v>
      </c>
      <c r="B10" s="1" t="s">
        <v>725</v>
      </c>
      <c r="C10" s="1">
        <v>0.97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 t="s">
        <v>722</v>
      </c>
    </row>
    <row r="11" spans="1:18" x14ac:dyDescent="0.25">
      <c r="A11" s="1">
        <v>2453754.4506999999</v>
      </c>
      <c r="B11" s="1" t="s">
        <v>634</v>
      </c>
      <c r="C11" s="1">
        <v>1.1100000000000001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 t="s">
        <v>722</v>
      </c>
    </row>
    <row r="12" spans="1:18" x14ac:dyDescent="0.25">
      <c r="A12" s="1">
        <v>2453760.45365</v>
      </c>
      <c r="B12" s="1" t="s">
        <v>230</v>
      </c>
      <c r="C12" s="1">
        <v>1.0900000000000001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 t="s">
        <v>722</v>
      </c>
    </row>
    <row r="13" spans="1:18" x14ac:dyDescent="0.25">
      <c r="A13" s="1">
        <v>2453768.4378</v>
      </c>
      <c r="B13" s="1" t="s">
        <v>726</v>
      </c>
      <c r="C13" s="1">
        <v>1.1499999999999999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 t="s">
        <v>722</v>
      </c>
    </row>
    <row r="14" spans="1:18" x14ac:dyDescent="0.25">
      <c r="A14" s="1">
        <v>2453769.4043999999</v>
      </c>
      <c r="B14" s="1" t="s">
        <v>635</v>
      </c>
      <c r="C14" s="1">
        <v>1.05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 t="s">
        <v>722</v>
      </c>
    </row>
    <row r="15" spans="1:18" x14ac:dyDescent="0.25">
      <c r="A15" s="1">
        <v>2453772.3909999998</v>
      </c>
      <c r="B15" s="1" t="s">
        <v>636</v>
      </c>
      <c r="C15" s="1">
        <v>1.1299999999999999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 t="s">
        <v>722</v>
      </c>
    </row>
    <row r="16" spans="1:18" x14ac:dyDescent="0.25">
      <c r="A16" s="1">
        <v>2453777.3694500001</v>
      </c>
      <c r="B16" s="1" t="s">
        <v>637</v>
      </c>
      <c r="C16" s="1">
        <v>1.1200000000000001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 t="s">
        <v>722</v>
      </c>
    </row>
    <row r="17" spans="1:18" x14ac:dyDescent="0.25">
      <c r="A17" s="1">
        <v>2453784.4264000002</v>
      </c>
      <c r="B17" s="1" t="s">
        <v>638</v>
      </c>
      <c r="C17" s="1">
        <v>1.08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 t="s">
        <v>722</v>
      </c>
    </row>
    <row r="18" spans="1:18" x14ac:dyDescent="0.25">
      <c r="A18" s="1">
        <v>2453797.3482499998</v>
      </c>
      <c r="B18" s="1" t="s">
        <v>639</v>
      </c>
      <c r="C18" s="1">
        <v>1.08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 t="s">
        <v>722</v>
      </c>
    </row>
    <row r="19" spans="1:18" x14ac:dyDescent="0.25">
      <c r="A19" s="1">
        <v>2453797.4327400001</v>
      </c>
      <c r="B19" s="1" t="s">
        <v>639</v>
      </c>
      <c r="C19" s="1">
        <v>1.01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 t="s">
        <v>722</v>
      </c>
    </row>
    <row r="20" spans="1:18" x14ac:dyDescent="0.25">
      <c r="A20" s="1">
        <v>2453806.3678000001</v>
      </c>
      <c r="B20" s="1" t="s">
        <v>640</v>
      </c>
      <c r="C20" s="1">
        <v>0.91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 t="s">
        <v>722</v>
      </c>
    </row>
    <row r="21" spans="1:18" x14ac:dyDescent="0.25">
      <c r="A21" s="1">
        <v>2453824.3152999999</v>
      </c>
      <c r="B21" s="1" t="s">
        <v>641</v>
      </c>
      <c r="C21" s="1">
        <v>1.06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 t="s">
        <v>722</v>
      </c>
    </row>
    <row r="22" spans="1:18" x14ac:dyDescent="0.25">
      <c r="A22" s="1">
        <v>2454454.5071</v>
      </c>
      <c r="B22" s="1" t="s">
        <v>727</v>
      </c>
      <c r="C22" s="1">
        <v>1.32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 t="s">
        <v>722</v>
      </c>
    </row>
    <row r="23" spans="1:18" x14ac:dyDescent="0.25">
      <c r="A23" s="1">
        <v>2454462.4907999998</v>
      </c>
      <c r="B23" s="1" t="s">
        <v>642</v>
      </c>
      <c r="C23" s="1">
        <v>1.39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 t="s">
        <v>722</v>
      </c>
    </row>
    <row r="24" spans="1:18" x14ac:dyDescent="0.25">
      <c r="A24" s="1">
        <v>2454465.5082</v>
      </c>
      <c r="B24" s="1" t="s">
        <v>643</v>
      </c>
      <c r="C24" s="1">
        <v>1.44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 t="s">
        <v>722</v>
      </c>
    </row>
    <row r="25" spans="1:18" x14ac:dyDescent="0.25">
      <c r="A25" s="1">
        <v>2454488.4155999999</v>
      </c>
      <c r="B25" s="1" t="s">
        <v>644</v>
      </c>
      <c r="C25" s="1">
        <v>1.51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 t="s">
        <v>722</v>
      </c>
    </row>
    <row r="26" spans="1:18" x14ac:dyDescent="0.25">
      <c r="A26" s="1">
        <v>2454492.4416999999</v>
      </c>
      <c r="B26" s="1" t="s">
        <v>232</v>
      </c>
      <c r="C26" s="1">
        <v>1.52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 t="s">
        <v>722</v>
      </c>
    </row>
    <row r="27" spans="1:18" x14ac:dyDescent="0.25">
      <c r="A27" s="1">
        <v>2454502.4027999998</v>
      </c>
      <c r="B27" s="1" t="s">
        <v>645</v>
      </c>
      <c r="C27" s="1">
        <v>1.56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 t="s">
        <v>722</v>
      </c>
    </row>
    <row r="28" spans="1:18" x14ac:dyDescent="0.25">
      <c r="A28" s="1">
        <v>2454504.3930500001</v>
      </c>
      <c r="B28" s="1" t="s">
        <v>646</v>
      </c>
      <c r="C28" s="1">
        <v>1.55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 t="s">
        <v>722</v>
      </c>
    </row>
    <row r="29" spans="1:18" x14ac:dyDescent="0.25">
      <c r="A29" s="1">
        <v>2454793.5806999998</v>
      </c>
      <c r="B29" s="1" t="s">
        <v>728</v>
      </c>
      <c r="C29" s="1">
        <v>1.0900000000000001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 t="s">
        <v>722</v>
      </c>
    </row>
    <row r="30" spans="1:18" x14ac:dyDescent="0.25">
      <c r="A30" s="1">
        <v>2454797.5675499998</v>
      </c>
      <c r="B30" s="1" t="s">
        <v>647</v>
      </c>
      <c r="C30" s="1">
        <v>1.1000000000000001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 t="s">
        <v>722</v>
      </c>
    </row>
    <row r="31" spans="1:18" x14ac:dyDescent="0.25">
      <c r="A31" s="1">
        <v>2454807.5798999998</v>
      </c>
      <c r="B31" s="1" t="s">
        <v>729</v>
      </c>
      <c r="C31" s="1">
        <v>1.06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 t="s">
        <v>722</v>
      </c>
    </row>
    <row r="32" spans="1:18" x14ac:dyDescent="0.25">
      <c r="A32" s="1">
        <v>2454820.54825</v>
      </c>
      <c r="B32" s="1" t="s">
        <v>648</v>
      </c>
      <c r="C32" s="1">
        <v>1.1299999999999999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 t="s">
        <v>722</v>
      </c>
    </row>
    <row r="33" spans="1:18" x14ac:dyDescent="0.25">
      <c r="A33" s="1">
        <v>2454824.5034500002</v>
      </c>
      <c r="B33" s="1" t="s">
        <v>649</v>
      </c>
      <c r="C33" s="1">
        <v>1.1499999999999999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 t="s">
        <v>722</v>
      </c>
    </row>
    <row r="34" spans="1:18" x14ac:dyDescent="0.25">
      <c r="A34" s="1">
        <v>2454827.5313499998</v>
      </c>
      <c r="B34" s="1" t="s">
        <v>650</v>
      </c>
      <c r="C34" s="1">
        <v>1.17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 t="s">
        <v>722</v>
      </c>
    </row>
    <row r="35" spans="1:18" x14ac:dyDescent="0.25">
      <c r="A35" s="1">
        <v>2454836.5059000002</v>
      </c>
      <c r="B35" s="1" t="s">
        <v>651</v>
      </c>
      <c r="C35" s="1">
        <v>1.1499999999999999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 t="s">
        <v>722</v>
      </c>
    </row>
    <row r="36" spans="1:18" x14ac:dyDescent="0.25">
      <c r="A36" s="1">
        <v>2454861.4238499999</v>
      </c>
      <c r="B36" s="1" t="s">
        <v>652</v>
      </c>
      <c r="C36" s="1">
        <v>1.08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 t="s">
        <v>722</v>
      </c>
    </row>
    <row r="37" spans="1:18" x14ac:dyDescent="0.25">
      <c r="A37" s="1">
        <v>2454871.3632499999</v>
      </c>
      <c r="B37" s="1" t="s">
        <v>653</v>
      </c>
      <c r="C37" s="1">
        <v>1.04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 t="s">
        <v>722</v>
      </c>
    </row>
    <row r="38" spans="1:18" x14ac:dyDescent="0.25">
      <c r="A38" s="1">
        <v>2454874.35635</v>
      </c>
      <c r="B38" s="1" t="s">
        <v>654</v>
      </c>
      <c r="C38" s="1">
        <v>1.06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 t="s">
        <v>722</v>
      </c>
    </row>
    <row r="39" spans="1:18" x14ac:dyDescent="0.25">
      <c r="A39" s="1">
        <v>2454876.3999000001</v>
      </c>
      <c r="B39" s="1" t="s">
        <v>655</v>
      </c>
      <c r="C39" s="1">
        <v>1.05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 t="s">
        <v>722</v>
      </c>
    </row>
    <row r="40" spans="1:18" x14ac:dyDescent="0.25">
      <c r="A40" s="1">
        <v>2454884.3629999999</v>
      </c>
      <c r="B40" s="1" t="s">
        <v>656</v>
      </c>
      <c r="C40" s="1">
        <v>1.04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 t="s">
        <v>722</v>
      </c>
    </row>
    <row r="41" spans="1:18" x14ac:dyDescent="0.25">
      <c r="A41" s="1">
        <v>2454886.3682499998</v>
      </c>
      <c r="B41" s="1" t="s">
        <v>657</v>
      </c>
      <c r="C41" s="1">
        <v>1.04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 t="s">
        <v>722</v>
      </c>
    </row>
    <row r="42" spans="1:18" x14ac:dyDescent="0.25">
      <c r="A42" s="1">
        <v>2454898.3473499999</v>
      </c>
      <c r="B42" s="1" t="s">
        <v>658</v>
      </c>
      <c r="C42" s="1">
        <v>1.08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 t="s">
        <v>722</v>
      </c>
    </row>
    <row r="43" spans="1:18" x14ac:dyDescent="0.25">
      <c r="A43" s="1">
        <v>2454904.3382000001</v>
      </c>
      <c r="B43" s="1" t="s">
        <v>659</v>
      </c>
      <c r="C43" s="1">
        <v>1.04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 t="s">
        <v>722</v>
      </c>
    </row>
    <row r="44" spans="1:18" x14ac:dyDescent="0.25">
      <c r="A44" s="1">
        <v>2454912.3049499998</v>
      </c>
      <c r="B44" s="1" t="s">
        <v>660</v>
      </c>
      <c r="C44" s="1">
        <v>1.05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 t="s">
        <v>722</v>
      </c>
    </row>
    <row r="45" spans="1:18" x14ac:dyDescent="0.25">
      <c r="A45" s="1">
        <v>2454916.2951000002</v>
      </c>
      <c r="B45" s="1" t="s">
        <v>661</v>
      </c>
      <c r="C45" s="1">
        <v>0.98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 t="s">
        <v>722</v>
      </c>
    </row>
    <row r="46" spans="1:18" x14ac:dyDescent="0.25">
      <c r="A46" s="1">
        <v>2455118.6591500002</v>
      </c>
      <c r="B46" s="1" t="s">
        <v>662</v>
      </c>
      <c r="C46" s="1">
        <v>0.752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 t="s">
        <v>722</v>
      </c>
    </row>
    <row r="47" spans="1:18" x14ac:dyDescent="0.25">
      <c r="A47" s="1">
        <v>2455131.6122499998</v>
      </c>
      <c r="B47" s="1" t="s">
        <v>234</v>
      </c>
      <c r="C47" s="1">
        <v>0.71399999999999997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 t="s">
        <v>722</v>
      </c>
    </row>
    <row r="48" spans="1:18" x14ac:dyDescent="0.25">
      <c r="A48" s="1">
        <v>2455147.5736500002</v>
      </c>
      <c r="B48" s="1" t="s">
        <v>663</v>
      </c>
      <c r="C48" s="1">
        <v>0.621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 t="s">
        <v>722</v>
      </c>
    </row>
    <row r="49" spans="1:18" x14ac:dyDescent="0.25">
      <c r="A49" s="1">
        <v>2455183.5417499999</v>
      </c>
      <c r="B49" s="1" t="s">
        <v>664</v>
      </c>
      <c r="C49" s="1">
        <v>0.73799999999999999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 t="s">
        <v>722</v>
      </c>
    </row>
    <row r="50" spans="1:18" x14ac:dyDescent="0.25">
      <c r="A50" s="1">
        <v>2455191.5711500002</v>
      </c>
      <c r="B50" s="1" t="s">
        <v>665</v>
      </c>
      <c r="C50" s="1">
        <v>0.74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 t="s">
        <v>722</v>
      </c>
    </row>
    <row r="51" spans="1:18" x14ac:dyDescent="0.25">
      <c r="A51" s="1">
        <v>2455199.4501499999</v>
      </c>
      <c r="B51" s="1" t="s">
        <v>666</v>
      </c>
      <c r="C51" s="1">
        <v>0.77100000000000002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 t="s">
        <v>722</v>
      </c>
    </row>
    <row r="52" spans="1:18" x14ac:dyDescent="0.25">
      <c r="A52" s="1">
        <v>2455212.5036499999</v>
      </c>
      <c r="B52" s="1" t="s">
        <v>667</v>
      </c>
      <c r="C52" s="1">
        <v>0.79300000000000004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 t="s">
        <v>722</v>
      </c>
    </row>
    <row r="53" spans="1:18" x14ac:dyDescent="0.25">
      <c r="A53" s="1">
        <v>2455220.37145</v>
      </c>
      <c r="B53" s="1" t="s">
        <v>668</v>
      </c>
      <c r="C53" s="1">
        <v>0.78400000000000003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 t="s">
        <v>722</v>
      </c>
    </row>
    <row r="54" spans="1:18" x14ac:dyDescent="0.25">
      <c r="A54" s="1">
        <v>2455227.3579000002</v>
      </c>
      <c r="B54" s="1" t="s">
        <v>669</v>
      </c>
      <c r="C54" s="1">
        <v>0.749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 t="s">
        <v>722</v>
      </c>
    </row>
    <row r="55" spans="1:18" x14ac:dyDescent="0.25">
      <c r="A55" s="1">
        <v>2455235.3544000001</v>
      </c>
      <c r="B55" s="1" t="s">
        <v>670</v>
      </c>
      <c r="C55" s="1">
        <v>0.752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 t="s">
        <v>722</v>
      </c>
    </row>
    <row r="56" spans="1:18" x14ac:dyDescent="0.25">
      <c r="A56" s="1">
        <v>2455240.3254999998</v>
      </c>
      <c r="B56" s="1" t="s">
        <v>235</v>
      </c>
      <c r="C56" s="1">
        <v>0.75600000000000001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 t="s">
        <v>722</v>
      </c>
    </row>
    <row r="57" spans="1:18" x14ac:dyDescent="0.25">
      <c r="A57" s="1">
        <v>2455248.375</v>
      </c>
      <c r="B57" s="1" t="s">
        <v>671</v>
      </c>
      <c r="C57" s="1">
        <v>0.754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 t="s">
        <v>722</v>
      </c>
    </row>
    <row r="58" spans="1:18" x14ac:dyDescent="0.25">
      <c r="A58" s="1">
        <v>2455249.6945000002</v>
      </c>
      <c r="B58" s="1" t="s">
        <v>672</v>
      </c>
      <c r="C58" s="1">
        <v>0.1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 t="s">
        <v>722</v>
      </c>
    </row>
    <row r="59" spans="1:18" x14ac:dyDescent="0.25">
      <c r="A59" s="1">
        <v>2455254.3594</v>
      </c>
      <c r="B59" s="1" t="s">
        <v>673</v>
      </c>
      <c r="C59" s="1">
        <v>0.78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 t="s">
        <v>722</v>
      </c>
    </row>
    <row r="60" spans="1:18" x14ac:dyDescent="0.25">
      <c r="A60" s="1">
        <v>2455262.3432499999</v>
      </c>
      <c r="B60" s="1" t="s">
        <v>674</v>
      </c>
      <c r="C60" s="1">
        <v>0.71399999999999997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 t="s">
        <v>722</v>
      </c>
    </row>
    <row r="61" spans="1:18" x14ac:dyDescent="0.25">
      <c r="A61" s="1">
        <v>2455265.6655000001</v>
      </c>
      <c r="B61" s="1" t="s">
        <v>236</v>
      </c>
      <c r="C61" s="1">
        <v>0.9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 t="s">
        <v>722</v>
      </c>
    </row>
    <row r="62" spans="1:18" x14ac:dyDescent="0.25">
      <c r="A62" s="1">
        <v>2455272.3613</v>
      </c>
      <c r="B62" s="1" t="s">
        <v>730</v>
      </c>
      <c r="C62" s="1">
        <v>0.76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 t="s">
        <v>722</v>
      </c>
    </row>
    <row r="63" spans="1:18" x14ac:dyDescent="0.25">
      <c r="A63" s="1">
        <v>2455289.3054</v>
      </c>
      <c r="B63" s="1" t="s">
        <v>675</v>
      </c>
      <c r="C63" s="1">
        <v>0.79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 t="s">
        <v>722</v>
      </c>
    </row>
    <row r="64" spans="1:18" x14ac:dyDescent="0.25">
      <c r="A64" s="1">
        <v>2455540.48905</v>
      </c>
      <c r="B64" s="1" t="s">
        <v>676</v>
      </c>
      <c r="C64" s="1">
        <v>0.80400000000000005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 t="s">
        <v>722</v>
      </c>
    </row>
    <row r="65" spans="1:18" x14ac:dyDescent="0.25">
      <c r="A65" s="1">
        <v>2455586.5031499998</v>
      </c>
      <c r="B65" s="1" t="s">
        <v>677</v>
      </c>
      <c r="C65" s="1">
        <v>0.75800000000000001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 t="s">
        <v>722</v>
      </c>
    </row>
    <row r="66" spans="1:18" x14ac:dyDescent="0.25">
      <c r="A66" s="1">
        <v>2455611.3347</v>
      </c>
      <c r="B66" s="1" t="s">
        <v>678</v>
      </c>
      <c r="C66" s="1">
        <v>0.84899999999999998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 t="s">
        <v>722</v>
      </c>
    </row>
    <row r="67" spans="1:18" x14ac:dyDescent="0.25">
      <c r="A67" s="1">
        <v>2455641.3490499998</v>
      </c>
      <c r="B67" s="1" t="s">
        <v>679</v>
      </c>
      <c r="C67" s="1">
        <v>0.74299999999999999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 t="s">
        <v>722</v>
      </c>
    </row>
    <row r="68" spans="1:18" x14ac:dyDescent="0.25">
      <c r="A68" s="1">
        <v>2455880.5570999999</v>
      </c>
      <c r="B68" s="1" t="s">
        <v>680</v>
      </c>
      <c r="C68" s="1">
        <v>1.407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 t="s">
        <v>722</v>
      </c>
    </row>
    <row r="69" spans="1:18" x14ac:dyDescent="0.25">
      <c r="A69" s="1">
        <v>2455883.55455</v>
      </c>
      <c r="B69" s="1" t="s">
        <v>681</v>
      </c>
      <c r="C69" s="1">
        <v>1.3129999999999999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 t="s">
        <v>722</v>
      </c>
    </row>
    <row r="70" spans="1:18" x14ac:dyDescent="0.25">
      <c r="A70" s="1">
        <v>2455890.5329</v>
      </c>
      <c r="B70" s="1" t="s">
        <v>682</v>
      </c>
      <c r="C70" s="1">
        <v>1.232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 t="s">
        <v>722</v>
      </c>
    </row>
    <row r="71" spans="1:18" x14ac:dyDescent="0.25">
      <c r="A71" s="1">
        <v>2455919.4591000001</v>
      </c>
      <c r="B71" s="1" t="s">
        <v>683</v>
      </c>
      <c r="C71" s="1">
        <v>0.88500000000000001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 t="s">
        <v>722</v>
      </c>
    </row>
    <row r="72" spans="1:18" x14ac:dyDescent="0.25">
      <c r="A72" s="1">
        <v>2455923.4997</v>
      </c>
      <c r="B72" s="1" t="s">
        <v>731</v>
      </c>
      <c r="C72" s="1">
        <v>0.90900000000000003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 t="s">
        <v>722</v>
      </c>
    </row>
    <row r="73" spans="1:18" x14ac:dyDescent="0.25">
      <c r="A73" s="1">
        <v>2455972.3845500001</v>
      </c>
      <c r="B73" s="1" t="s">
        <v>684</v>
      </c>
      <c r="C73" s="1">
        <v>0.88600000000000001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 t="s">
        <v>722</v>
      </c>
    </row>
    <row r="74" spans="1:18" x14ac:dyDescent="0.25">
      <c r="A74" s="1">
        <v>2455979.3199</v>
      </c>
      <c r="B74" s="1" t="s">
        <v>685</v>
      </c>
      <c r="C74" s="1">
        <v>0.86599999999999999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 t="s">
        <v>722</v>
      </c>
    </row>
    <row r="75" spans="1:18" x14ac:dyDescent="0.25">
      <c r="A75" s="1">
        <v>2455983.3905000002</v>
      </c>
      <c r="B75" s="1" t="s">
        <v>686</v>
      </c>
      <c r="C75" s="1">
        <v>0.86699999999999999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 t="s">
        <v>722</v>
      </c>
    </row>
    <row r="76" spans="1:18" x14ac:dyDescent="0.25">
      <c r="A76" s="1">
        <v>2455987.3635499999</v>
      </c>
      <c r="B76" s="1" t="s">
        <v>687</v>
      </c>
      <c r="C76" s="1">
        <v>0.84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 t="s">
        <v>722</v>
      </c>
    </row>
    <row r="77" spans="1:18" x14ac:dyDescent="0.25">
      <c r="A77" s="1">
        <v>2455996.3632499999</v>
      </c>
      <c r="B77" s="1" t="s">
        <v>688</v>
      </c>
      <c r="C77" s="1">
        <v>0.85799999999999998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 t="s">
        <v>722</v>
      </c>
    </row>
    <row r="78" spans="1:18" x14ac:dyDescent="0.25">
      <c r="A78" s="1">
        <v>2455998.3113000002</v>
      </c>
      <c r="B78" s="1" t="s">
        <v>689</v>
      </c>
      <c r="C78" s="1">
        <v>0.89200000000000002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 t="s">
        <v>722</v>
      </c>
    </row>
    <row r="79" spans="1:18" x14ac:dyDescent="0.25">
      <c r="A79" s="1">
        <v>2456000.3368000002</v>
      </c>
      <c r="B79" s="1" t="s">
        <v>690</v>
      </c>
      <c r="C79" s="1">
        <v>0.86699999999999999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 t="s">
        <v>722</v>
      </c>
    </row>
    <row r="80" spans="1:18" x14ac:dyDescent="0.25">
      <c r="A80" s="1">
        <v>2456002.32345</v>
      </c>
      <c r="B80" s="1" t="s">
        <v>691</v>
      </c>
      <c r="C80" s="1">
        <v>0.86599999999999999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 t="s">
        <v>722</v>
      </c>
    </row>
    <row r="81" spans="1:18" x14ac:dyDescent="0.25">
      <c r="A81" s="1">
        <v>2456009.2896500002</v>
      </c>
      <c r="B81" s="1" t="s">
        <v>692</v>
      </c>
      <c r="C81" s="1">
        <v>0.84299999999999997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 t="s">
        <v>722</v>
      </c>
    </row>
    <row r="82" spans="1:18" x14ac:dyDescent="0.25">
      <c r="A82" s="1">
        <v>2456011.2802499998</v>
      </c>
      <c r="B82" s="1" t="s">
        <v>693</v>
      </c>
      <c r="C82" s="1">
        <v>0.86699999999999999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 t="s">
        <v>722</v>
      </c>
    </row>
    <row r="83" spans="1:18" x14ac:dyDescent="0.25">
      <c r="A83" s="1">
        <v>2456013.2846499998</v>
      </c>
      <c r="B83" s="1" t="s">
        <v>238</v>
      </c>
      <c r="C83" s="1">
        <v>0.871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 t="s">
        <v>722</v>
      </c>
    </row>
    <row r="84" spans="1:18" x14ac:dyDescent="0.25">
      <c r="A84" s="1">
        <v>2456015.3350999998</v>
      </c>
      <c r="B84" s="1" t="s">
        <v>694</v>
      </c>
      <c r="C84" s="1">
        <v>0.86099999999999999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 t="s">
        <v>722</v>
      </c>
    </row>
    <row r="85" spans="1:18" x14ac:dyDescent="0.25">
      <c r="A85" s="1">
        <v>2456221.6288899998</v>
      </c>
      <c r="B85" s="1" t="s">
        <v>239</v>
      </c>
      <c r="C85" s="1">
        <v>0.90100000000000002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 t="s">
        <v>722</v>
      </c>
    </row>
    <row r="86" spans="1:18" x14ac:dyDescent="0.25">
      <c r="A86" s="1">
        <v>2456223.6198700001</v>
      </c>
      <c r="B86" s="1" t="s">
        <v>244</v>
      </c>
      <c r="C86" s="1">
        <v>0.90700000000000003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 t="s">
        <v>722</v>
      </c>
    </row>
    <row r="87" spans="1:18" x14ac:dyDescent="0.25">
      <c r="A87" s="1">
        <v>2456238.6090199999</v>
      </c>
      <c r="B87" s="1" t="s">
        <v>245</v>
      </c>
      <c r="C87" s="1">
        <v>0.88900000000000001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 t="s">
        <v>722</v>
      </c>
    </row>
    <row r="88" spans="1:18" x14ac:dyDescent="0.25">
      <c r="A88" s="1">
        <v>2456252.5463700001</v>
      </c>
      <c r="B88" s="1" t="s">
        <v>695</v>
      </c>
      <c r="C88" s="1">
        <v>0.82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 t="s">
        <v>722</v>
      </c>
    </row>
    <row r="89" spans="1:18" x14ac:dyDescent="0.25">
      <c r="A89" s="1">
        <v>2456264.5879299999</v>
      </c>
      <c r="B89" s="1" t="s">
        <v>696</v>
      </c>
      <c r="C89" s="1">
        <v>0.82199999999999995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 t="s">
        <v>722</v>
      </c>
    </row>
    <row r="90" spans="1:18" x14ac:dyDescent="0.25">
      <c r="A90" s="1">
        <v>2456267.52954</v>
      </c>
      <c r="B90" s="1" t="s">
        <v>595</v>
      </c>
      <c r="C90" s="1">
        <v>0.752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 t="s">
        <v>722</v>
      </c>
    </row>
    <row r="91" spans="1:18" x14ac:dyDescent="0.25">
      <c r="A91" s="1">
        <v>2456273.4851099998</v>
      </c>
      <c r="B91" s="1" t="s">
        <v>697</v>
      </c>
      <c r="C91" s="1">
        <v>0.79400000000000004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 t="s">
        <v>722</v>
      </c>
    </row>
    <row r="92" spans="1:18" x14ac:dyDescent="0.25">
      <c r="A92" s="1">
        <v>2456291.4395900001</v>
      </c>
      <c r="B92" s="1" t="s">
        <v>698</v>
      </c>
      <c r="C92" s="1">
        <v>0.78900000000000003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 t="s">
        <v>722</v>
      </c>
    </row>
    <row r="93" spans="1:18" x14ac:dyDescent="0.25">
      <c r="A93" s="1">
        <v>2456297.53633</v>
      </c>
      <c r="B93" s="1" t="s">
        <v>699</v>
      </c>
      <c r="C93" s="1">
        <v>0.79500000000000004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 t="s">
        <v>722</v>
      </c>
    </row>
    <row r="94" spans="1:18" x14ac:dyDescent="0.25">
      <c r="A94" s="1">
        <v>2456299.53412</v>
      </c>
      <c r="B94" s="1" t="s">
        <v>240</v>
      </c>
      <c r="C94" s="1">
        <v>0.79400000000000004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 t="s">
        <v>722</v>
      </c>
    </row>
    <row r="95" spans="1:18" x14ac:dyDescent="0.25">
      <c r="A95" s="1">
        <v>2456322.4831599998</v>
      </c>
      <c r="B95" s="1" t="s">
        <v>700</v>
      </c>
      <c r="C95" s="1">
        <v>0.80500000000000005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 t="s">
        <v>722</v>
      </c>
    </row>
    <row r="96" spans="1:18" x14ac:dyDescent="0.25">
      <c r="A96" s="1">
        <v>2456337.39438</v>
      </c>
      <c r="B96" s="1" t="s">
        <v>701</v>
      </c>
      <c r="C96" s="1">
        <v>0.75900000000000001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 t="s">
        <v>722</v>
      </c>
    </row>
    <row r="97" spans="1:18" x14ac:dyDescent="0.25">
      <c r="A97" s="1">
        <v>2456339.3741299999</v>
      </c>
      <c r="B97" s="1" t="s">
        <v>702</v>
      </c>
      <c r="C97" s="1">
        <v>0.83899999999999997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 t="s">
        <v>722</v>
      </c>
    </row>
    <row r="98" spans="1:18" x14ac:dyDescent="0.25">
      <c r="A98" s="1">
        <v>2456352.2427099999</v>
      </c>
      <c r="B98" s="1" t="s">
        <v>703</v>
      </c>
      <c r="C98" s="1">
        <v>0.78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 t="s">
        <v>722</v>
      </c>
    </row>
    <row r="99" spans="1:18" x14ac:dyDescent="0.25">
      <c r="A99" s="1">
        <v>2456367.3635499999</v>
      </c>
      <c r="B99" s="1" t="s">
        <v>704</v>
      </c>
      <c r="C99" s="1">
        <v>0.78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 t="s">
        <v>722</v>
      </c>
    </row>
    <row r="100" spans="1:18" x14ac:dyDescent="0.25">
      <c r="A100" s="1">
        <v>2456386.3086299999</v>
      </c>
      <c r="B100" s="1" t="s">
        <v>705</v>
      </c>
      <c r="C100" s="1">
        <v>0.75700000000000001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 t="s">
        <v>722</v>
      </c>
    </row>
    <row r="101" spans="1:18" x14ac:dyDescent="0.25">
      <c r="A101" s="1">
        <v>2456633.5464900001</v>
      </c>
      <c r="B101" s="1" t="s">
        <v>706</v>
      </c>
      <c r="C101" s="1">
        <v>0.79100000000000004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 t="s">
        <v>722</v>
      </c>
    </row>
    <row r="102" spans="1:18" x14ac:dyDescent="0.25">
      <c r="A102" s="1">
        <v>2456640.4930400001</v>
      </c>
      <c r="B102" s="1" t="s">
        <v>707</v>
      </c>
      <c r="C102" s="1">
        <v>0.79300000000000004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 t="s">
        <v>722</v>
      </c>
    </row>
    <row r="103" spans="1:18" x14ac:dyDescent="0.25">
      <c r="A103" s="1">
        <v>2456644.5021500001</v>
      </c>
      <c r="B103" s="1" t="s">
        <v>97</v>
      </c>
      <c r="C103" s="1">
        <v>0.79700000000000004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 t="s">
        <v>722</v>
      </c>
    </row>
    <row r="104" spans="1:18" x14ac:dyDescent="0.25">
      <c r="A104" s="1">
        <v>2456657.50446</v>
      </c>
      <c r="B104" s="1" t="s">
        <v>241</v>
      </c>
      <c r="C104" s="1">
        <v>0.8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 t="s">
        <v>722</v>
      </c>
    </row>
    <row r="105" spans="1:18" x14ac:dyDescent="0.25">
      <c r="A105" s="1">
        <v>2456712.3988000001</v>
      </c>
      <c r="B105" s="1" t="s">
        <v>708</v>
      </c>
      <c r="C105" s="1">
        <v>0.84899999999999998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 t="s">
        <v>722</v>
      </c>
    </row>
    <row r="106" spans="1:18" x14ac:dyDescent="0.25">
      <c r="A106" s="1">
        <v>2456713.4025500002</v>
      </c>
      <c r="B106" s="1" t="s">
        <v>709</v>
      </c>
      <c r="C106" s="1">
        <v>0.83899999999999997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 t="s">
        <v>722</v>
      </c>
    </row>
    <row r="107" spans="1:18" x14ac:dyDescent="0.25">
      <c r="A107" s="1">
        <v>2456724.3415600001</v>
      </c>
      <c r="B107" s="1" t="s">
        <v>710</v>
      </c>
      <c r="C107" s="1">
        <v>0.80500000000000005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 t="s">
        <v>722</v>
      </c>
    </row>
    <row r="108" spans="1:18" x14ac:dyDescent="0.25">
      <c r="A108" s="1">
        <v>2456747.2906300002</v>
      </c>
      <c r="B108" s="1" t="s">
        <v>711</v>
      </c>
      <c r="C108" s="1">
        <v>0.76400000000000001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 t="s">
        <v>722</v>
      </c>
    </row>
    <row r="109" spans="1:18" x14ac:dyDescent="0.25">
      <c r="A109" s="1">
        <v>2457429.4955600002</v>
      </c>
      <c r="B109" s="1" t="s">
        <v>712</v>
      </c>
      <c r="C109" s="1">
        <v>0.79700000000000004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 t="s">
        <v>722</v>
      </c>
    </row>
    <row r="110" spans="1:18" x14ac:dyDescent="0.25">
      <c r="A110" s="1">
        <v>2457484.2652799999</v>
      </c>
      <c r="B110" s="1" t="s">
        <v>713</v>
      </c>
      <c r="C110" s="1">
        <v>0.65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 t="s">
        <v>722</v>
      </c>
    </row>
    <row r="111" spans="1:18" x14ac:dyDescent="0.25">
      <c r="A111" s="1">
        <v>2457746.53951</v>
      </c>
      <c r="B111" s="1" t="s">
        <v>714</v>
      </c>
      <c r="C111" s="1">
        <v>0.64100000000000001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 t="s">
        <v>722</v>
      </c>
    </row>
    <row r="112" spans="1:18" x14ac:dyDescent="0.25">
      <c r="A112" s="1">
        <v>2457749.5227999999</v>
      </c>
      <c r="B112" s="1" t="s">
        <v>242</v>
      </c>
      <c r="C112" s="1">
        <v>0.65200000000000002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 t="s">
        <v>722</v>
      </c>
    </row>
    <row r="113" spans="1:18" x14ac:dyDescent="0.25">
      <c r="A113" s="1">
        <v>2457754.5163699999</v>
      </c>
      <c r="B113" s="1" t="s">
        <v>715</v>
      </c>
      <c r="C113" s="1">
        <v>0.66200000000000003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 t="s">
        <v>722</v>
      </c>
    </row>
    <row r="114" spans="1:18" x14ac:dyDescent="0.25">
      <c r="A114" s="1">
        <v>2457757.4602000001</v>
      </c>
      <c r="B114" s="1" t="s">
        <v>716</v>
      </c>
      <c r="C114" s="1">
        <v>0.66900000000000004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 t="s">
        <v>722</v>
      </c>
    </row>
    <row r="115" spans="1:18" x14ac:dyDescent="0.25">
      <c r="A115" s="1">
        <v>2457760.5043600001</v>
      </c>
      <c r="B115" s="1" t="s">
        <v>717</v>
      </c>
      <c r="C115" s="1">
        <v>0.64800000000000002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 t="s">
        <v>722</v>
      </c>
    </row>
    <row r="116" spans="1:18" x14ac:dyDescent="0.25">
      <c r="A116" s="1">
        <v>2457762.5025900002</v>
      </c>
      <c r="B116" s="1" t="s">
        <v>718</v>
      </c>
      <c r="C116" s="1">
        <v>0.64700000000000002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 t="s">
        <v>722</v>
      </c>
    </row>
    <row r="117" spans="1:18" x14ac:dyDescent="0.25">
      <c r="A117" s="1">
        <v>2457774.4879299998</v>
      </c>
      <c r="B117" s="1" t="s">
        <v>719</v>
      </c>
      <c r="C117" s="1">
        <v>0.65400000000000003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 t="s">
        <v>722</v>
      </c>
    </row>
    <row r="118" spans="1:18" x14ac:dyDescent="0.25">
      <c r="A118" s="1">
        <v>2457777.45695</v>
      </c>
      <c r="B118" s="1" t="s">
        <v>720</v>
      </c>
      <c r="C118" s="1">
        <v>0.63500000000000001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 t="s">
        <v>722</v>
      </c>
    </row>
    <row r="119" spans="1:18" x14ac:dyDescent="0.25">
      <c r="A119" s="1">
        <v>2457779.6721399999</v>
      </c>
      <c r="B119" s="1" t="s">
        <v>721</v>
      </c>
      <c r="C119" s="1">
        <v>0.55200000000000005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 t="s">
        <v>722</v>
      </c>
    </row>
    <row r="120" spans="1:18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AA489"/>
  <sheetViews>
    <sheetView workbookViewId="0">
      <selection sqref="A1:XFD265"/>
    </sheetView>
  </sheetViews>
  <sheetFormatPr baseColWidth="10" defaultRowHeight="15" x14ac:dyDescent="0.25"/>
  <sheetData>
    <row r="1" spans="1:27" x14ac:dyDescent="0.25">
      <c r="A1" s="1">
        <v>2456605.2083000001</v>
      </c>
      <c r="B1" s="1" t="s">
        <v>90</v>
      </c>
      <c r="C1" s="1">
        <v>9.75</v>
      </c>
      <c r="D1" s="1">
        <v>0.04</v>
      </c>
      <c r="E1" s="1" t="s">
        <v>2</v>
      </c>
      <c r="F1" s="1" t="s">
        <v>91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2456611.6142199999</v>
      </c>
      <c r="B2" s="1" t="s">
        <v>92</v>
      </c>
      <c r="C2" s="1">
        <v>9.6940000000000008</v>
      </c>
      <c r="D2" s="1">
        <v>1.0999999999999999E-2</v>
      </c>
      <c r="E2" s="1" t="s">
        <v>2</v>
      </c>
      <c r="F2" s="1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2456613.6151000001</v>
      </c>
      <c r="B3" s="1" t="s">
        <v>93</v>
      </c>
      <c r="C3" s="1">
        <v>9.6769999999999996</v>
      </c>
      <c r="D3" s="1">
        <v>1.2999999999999999E-2</v>
      </c>
      <c r="E3" s="1" t="s">
        <v>2</v>
      </c>
      <c r="F3" s="1" t="s">
        <v>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2456615.6011800002</v>
      </c>
      <c r="B4" s="1" t="s">
        <v>94</v>
      </c>
      <c r="C4" s="1">
        <v>9.7149999999999999</v>
      </c>
      <c r="D4" s="1">
        <v>1.2999999999999999E-2</v>
      </c>
      <c r="E4" s="1" t="s">
        <v>2</v>
      </c>
      <c r="F4" s="1" t="s">
        <v>5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2456616.5986700002</v>
      </c>
      <c r="B5" s="1" t="s">
        <v>95</v>
      </c>
      <c r="C5" s="1">
        <v>9.7279999999999998</v>
      </c>
      <c r="D5" s="1">
        <v>0.01</v>
      </c>
      <c r="E5" s="1" t="s">
        <v>2</v>
      </c>
      <c r="F5" s="1" t="s">
        <v>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2456617.5966599998</v>
      </c>
      <c r="B6" s="1" t="s">
        <v>96</v>
      </c>
      <c r="C6" s="1">
        <v>9.6489999999999991</v>
      </c>
      <c r="D6" s="1">
        <v>1.2999999999999999E-2</v>
      </c>
      <c r="E6" s="1" t="s">
        <v>2</v>
      </c>
      <c r="F6" s="1" t="s">
        <v>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2456687.75177</v>
      </c>
      <c r="B7" s="1" t="s">
        <v>98</v>
      </c>
      <c r="C7" s="1">
        <v>9.4629999999999992</v>
      </c>
      <c r="D7" s="1">
        <v>0.27</v>
      </c>
      <c r="E7" s="1" t="s">
        <v>2</v>
      </c>
      <c r="F7" s="1" t="s">
        <v>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2456764.87953</v>
      </c>
      <c r="B8" s="1" t="s">
        <v>99</v>
      </c>
      <c r="C8" s="1">
        <v>9.2210000000000001</v>
      </c>
      <c r="D8" s="1">
        <v>1.7000000000000001E-2</v>
      </c>
      <c r="E8" s="1" t="s">
        <v>2</v>
      </c>
      <c r="F8" s="1" t="s">
        <v>5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2456896.7162700002</v>
      </c>
      <c r="B9" s="1" t="s">
        <v>100</v>
      </c>
      <c r="C9" s="1">
        <v>9.9830000000000005</v>
      </c>
      <c r="D9" s="1">
        <v>1.2999999999999999E-2</v>
      </c>
      <c r="E9" s="1" t="s">
        <v>2</v>
      </c>
      <c r="F9" s="1" t="s">
        <v>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2456898.3333000001</v>
      </c>
      <c r="B10" s="1" t="s">
        <v>101</v>
      </c>
      <c r="C10" s="1">
        <v>10.02</v>
      </c>
      <c r="D10" s="1">
        <v>0.04</v>
      </c>
      <c r="E10" s="1" t="s">
        <v>2</v>
      </c>
      <c r="F10" s="1" t="s">
        <v>91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2456898.7217700002</v>
      </c>
      <c r="B11" s="1" t="s">
        <v>102</v>
      </c>
      <c r="C11" s="1">
        <v>10.013999999999999</v>
      </c>
      <c r="D11" s="1">
        <v>8.9999999999999993E-3</v>
      </c>
      <c r="E11" s="1" t="s">
        <v>2</v>
      </c>
      <c r="F11" s="1" t="s">
        <v>5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2456902.7019000002</v>
      </c>
      <c r="B12" s="1" t="s">
        <v>103</v>
      </c>
      <c r="C12" s="1">
        <v>10.055</v>
      </c>
      <c r="D12" s="1">
        <v>1.0999999999999999E-2</v>
      </c>
      <c r="E12" s="1" t="s">
        <v>2</v>
      </c>
      <c r="F12" s="1" t="s">
        <v>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2456904.6678200001</v>
      </c>
      <c r="B13" s="1" t="s">
        <v>104</v>
      </c>
      <c r="C13" s="1">
        <v>10.076000000000001</v>
      </c>
      <c r="D13" s="1">
        <v>8.9999999999999993E-3</v>
      </c>
      <c r="E13" s="1" t="s">
        <v>2</v>
      </c>
      <c r="F13" s="1" t="s">
        <v>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2456913.66928</v>
      </c>
      <c r="B14" s="1" t="s">
        <v>105</v>
      </c>
      <c r="C14" s="1">
        <v>10.16</v>
      </c>
      <c r="D14" s="1">
        <v>1.0999999999999999E-2</v>
      </c>
      <c r="E14" s="1" t="s">
        <v>2</v>
      </c>
      <c r="F14" s="1" t="s">
        <v>5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2456915.3333000001</v>
      </c>
      <c r="B15" s="1" t="s">
        <v>106</v>
      </c>
      <c r="C15" s="1">
        <v>10.1</v>
      </c>
      <c r="D15" s="1">
        <v>0.08</v>
      </c>
      <c r="E15" s="1" t="s">
        <v>2</v>
      </c>
      <c r="F15" s="1" t="s">
        <v>91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2456918.6744300001</v>
      </c>
      <c r="B16" s="1" t="s">
        <v>107</v>
      </c>
      <c r="C16" s="1">
        <v>10.141999999999999</v>
      </c>
      <c r="D16" s="1">
        <v>0.01</v>
      </c>
      <c r="E16" s="1" t="s">
        <v>2</v>
      </c>
      <c r="F16" s="1" t="s">
        <v>5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2456920.6946999999</v>
      </c>
      <c r="B17" s="1" t="s">
        <v>108</v>
      </c>
      <c r="C17" s="1">
        <v>10.135999999999999</v>
      </c>
      <c r="D17" s="1">
        <v>8.9999999999999993E-3</v>
      </c>
      <c r="E17" s="1" t="s">
        <v>2</v>
      </c>
      <c r="F17" s="1" t="s">
        <v>5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2456923.6792100002</v>
      </c>
      <c r="B18" s="1" t="s">
        <v>109</v>
      </c>
      <c r="C18" s="1">
        <v>10.157</v>
      </c>
      <c r="D18" s="1">
        <v>0.01</v>
      </c>
      <c r="E18" s="1" t="s">
        <v>2</v>
      </c>
      <c r="F18" s="1" t="s">
        <v>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2456924.6627500001</v>
      </c>
      <c r="B19" s="1" t="s">
        <v>110</v>
      </c>
      <c r="C19" s="1">
        <v>10.146000000000001</v>
      </c>
      <c r="D19" s="1">
        <v>0.01</v>
      </c>
      <c r="E19" s="1" t="s">
        <v>2</v>
      </c>
      <c r="F19" s="1" t="s">
        <v>5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2456927.6010799999</v>
      </c>
      <c r="B20" s="1" t="s">
        <v>111</v>
      </c>
      <c r="C20" s="1">
        <v>10.128</v>
      </c>
      <c r="D20" s="1">
        <v>0.01</v>
      </c>
      <c r="E20" s="1" t="s">
        <v>2</v>
      </c>
      <c r="F20" s="1" t="s">
        <v>5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2456928.3541999999</v>
      </c>
      <c r="B21" s="1" t="s">
        <v>111</v>
      </c>
      <c r="C21" s="1">
        <v>10.17</v>
      </c>
      <c r="D21" s="1">
        <v>0.03</v>
      </c>
      <c r="E21" s="1" t="s">
        <v>2</v>
      </c>
      <c r="F21" s="1" t="s">
        <v>91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2456928.5967199998</v>
      </c>
      <c r="B22" s="1" t="s">
        <v>112</v>
      </c>
      <c r="C22" s="1">
        <v>10.127000000000001</v>
      </c>
      <c r="D22" s="1">
        <v>0.01</v>
      </c>
      <c r="E22" s="1" t="s">
        <v>2</v>
      </c>
      <c r="F22" s="1" t="s">
        <v>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2456929.6037699999</v>
      </c>
      <c r="B23" s="1" t="s">
        <v>113</v>
      </c>
      <c r="C23" s="1">
        <v>10.125</v>
      </c>
      <c r="D23" s="1">
        <v>1.0999999999999999E-2</v>
      </c>
      <c r="E23" s="1" t="s">
        <v>2</v>
      </c>
      <c r="F23" s="1" t="s">
        <v>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2456936.5840400001</v>
      </c>
      <c r="B24" s="1" t="s">
        <v>114</v>
      </c>
      <c r="C24" s="1">
        <v>10.162000000000001</v>
      </c>
      <c r="D24" s="1">
        <v>1.0999999999999999E-2</v>
      </c>
      <c r="E24" s="1" t="s">
        <v>2</v>
      </c>
      <c r="F24" s="1" t="s">
        <v>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2456937.5819999999</v>
      </c>
      <c r="B25" s="1" t="s">
        <v>115</v>
      </c>
      <c r="C25" s="1">
        <v>10.153</v>
      </c>
      <c r="D25" s="1">
        <v>1.2E-2</v>
      </c>
      <c r="E25" s="1" t="s">
        <v>2</v>
      </c>
      <c r="F25" s="1" t="s">
        <v>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2456939.5918100001</v>
      </c>
      <c r="B26" s="1" t="s">
        <v>116</v>
      </c>
      <c r="C26" s="1">
        <v>10.132</v>
      </c>
      <c r="D26" s="1">
        <v>1.0999999999999999E-2</v>
      </c>
      <c r="E26" s="1" t="s">
        <v>2</v>
      </c>
      <c r="F26" s="1" t="s">
        <v>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2456940.6616799999</v>
      </c>
      <c r="B27" s="1" t="s">
        <v>117</v>
      </c>
      <c r="C27" s="1">
        <v>10.146000000000001</v>
      </c>
      <c r="D27" s="1">
        <v>1.0999999999999999E-2</v>
      </c>
      <c r="E27" s="1" t="s">
        <v>2</v>
      </c>
      <c r="F27" s="1" t="s">
        <v>5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2456943.58727</v>
      </c>
      <c r="B28" s="1" t="s">
        <v>118</v>
      </c>
      <c r="C28" s="1">
        <v>10.125999999999999</v>
      </c>
      <c r="D28" s="1">
        <v>8.9999999999999993E-3</v>
      </c>
      <c r="E28" s="1" t="s">
        <v>2</v>
      </c>
      <c r="F28" s="1" t="s">
        <v>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2456945.5534999999</v>
      </c>
      <c r="B29" s="1" t="s">
        <v>119</v>
      </c>
      <c r="C29" s="1">
        <v>10.141999999999999</v>
      </c>
      <c r="D29" s="1">
        <v>1.2E-2</v>
      </c>
      <c r="E29" s="1" t="s">
        <v>2</v>
      </c>
      <c r="F29" s="1" t="s">
        <v>5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2456948.5451000002</v>
      </c>
      <c r="B30" s="1" t="s">
        <v>120</v>
      </c>
      <c r="C30" s="1">
        <v>10.132999999999999</v>
      </c>
      <c r="D30" s="1">
        <v>0.01</v>
      </c>
      <c r="E30" s="1" t="s">
        <v>2</v>
      </c>
      <c r="F30" s="1" t="s">
        <v>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2456957.5213700002</v>
      </c>
      <c r="B31" s="1" t="s">
        <v>121</v>
      </c>
      <c r="C31" s="1">
        <v>10.129</v>
      </c>
      <c r="D31" s="1">
        <v>0.01</v>
      </c>
      <c r="E31" s="1" t="s">
        <v>2</v>
      </c>
      <c r="F31" s="1" t="s">
        <v>5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2457006.4569999999</v>
      </c>
      <c r="B32" s="1" t="s">
        <v>122</v>
      </c>
      <c r="C32" s="1">
        <v>10.036</v>
      </c>
      <c r="D32" s="1">
        <v>2.4E-2</v>
      </c>
      <c r="E32" s="1" t="s">
        <v>2</v>
      </c>
      <c r="F32" s="1" t="s">
        <v>5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2457007.4951900002</v>
      </c>
      <c r="B33" s="1" t="s">
        <v>123</v>
      </c>
      <c r="C33" s="1">
        <v>10.023999999999999</v>
      </c>
      <c r="D33" s="1">
        <v>1.4E-2</v>
      </c>
      <c r="E33" s="1" t="s">
        <v>2</v>
      </c>
      <c r="F33" s="1" t="s">
        <v>5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2457018.4552099998</v>
      </c>
      <c r="B34" s="1" t="s">
        <v>4</v>
      </c>
      <c r="C34" s="1">
        <v>10.015000000000001</v>
      </c>
      <c r="D34" s="1">
        <v>1.7999999999999999E-2</v>
      </c>
      <c r="E34" s="1" t="s">
        <v>2</v>
      </c>
      <c r="F34" s="1" t="s">
        <v>5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2457019.4591899998</v>
      </c>
      <c r="B35" s="1" t="s">
        <v>6</v>
      </c>
      <c r="C35" s="1">
        <v>10.02</v>
      </c>
      <c r="D35" s="1">
        <v>1.4999999999999999E-2</v>
      </c>
      <c r="E35" s="1" t="s">
        <v>2</v>
      </c>
      <c r="F35" s="1" t="s">
        <v>5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2457021.4564499999</v>
      </c>
      <c r="B36" s="1" t="s">
        <v>7</v>
      </c>
      <c r="C36" s="1">
        <v>10.002000000000001</v>
      </c>
      <c r="D36" s="1">
        <v>1.7999999999999999E-2</v>
      </c>
      <c r="E36" s="1" t="s">
        <v>2</v>
      </c>
      <c r="F36" s="1" t="s">
        <v>5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2457022.4508199999</v>
      </c>
      <c r="B37" s="1" t="s">
        <v>8</v>
      </c>
      <c r="C37" s="1">
        <v>10.029</v>
      </c>
      <c r="D37" s="1">
        <v>1.4E-2</v>
      </c>
      <c r="E37" s="1" t="s">
        <v>2</v>
      </c>
      <c r="F37" s="1" t="s">
        <v>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2457023.4454000001</v>
      </c>
      <c r="B38" s="1" t="s">
        <v>9</v>
      </c>
      <c r="C38" s="1">
        <v>10.074</v>
      </c>
      <c r="D38" s="1">
        <v>2.5000000000000001E-2</v>
      </c>
      <c r="E38" s="1" t="s">
        <v>2</v>
      </c>
      <c r="F38" s="1" t="s">
        <v>5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2457024.45077</v>
      </c>
      <c r="B39" s="1" t="s">
        <v>10</v>
      </c>
      <c r="C39" s="1">
        <v>10.015000000000001</v>
      </c>
      <c r="D39" s="1">
        <v>1.2999999999999999E-2</v>
      </c>
      <c r="E39" s="1" t="s">
        <v>2</v>
      </c>
      <c r="F39" s="1" t="s">
        <v>5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2457025.4514500001</v>
      </c>
      <c r="B40" s="1" t="s">
        <v>11</v>
      </c>
      <c r="C40" s="1">
        <v>10.029999999999999</v>
      </c>
      <c r="D40" s="1">
        <v>1.2E-2</v>
      </c>
      <c r="E40" s="1" t="s">
        <v>2</v>
      </c>
      <c r="F40" s="1" t="s">
        <v>5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2457028.4524599998</v>
      </c>
      <c r="B41" s="1" t="s">
        <v>12</v>
      </c>
      <c r="C41" s="1">
        <v>9.9760000000000009</v>
      </c>
      <c r="D41" s="1">
        <v>1.0999999999999999E-2</v>
      </c>
      <c r="E41" s="1" t="s">
        <v>2</v>
      </c>
      <c r="F41" s="1" t="s">
        <v>5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2457124.8841900001</v>
      </c>
      <c r="B42" s="1" t="s">
        <v>14</v>
      </c>
      <c r="C42" s="1">
        <v>9.59</v>
      </c>
      <c r="D42" s="1">
        <v>1.6E-2</v>
      </c>
      <c r="E42" s="1" t="s">
        <v>2</v>
      </c>
      <c r="F42" s="1" t="s">
        <v>5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2457128.87892</v>
      </c>
      <c r="B43" s="1" t="s">
        <v>20</v>
      </c>
      <c r="C43" s="1">
        <v>9.5879999999999992</v>
      </c>
      <c r="D43" s="1">
        <v>1.9E-2</v>
      </c>
      <c r="E43" s="1" t="s">
        <v>2</v>
      </c>
      <c r="F43" s="1" t="s">
        <v>5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2457130.8763799998</v>
      </c>
      <c r="B44" s="1" t="s">
        <v>0</v>
      </c>
      <c r="C44" s="1">
        <v>9.58</v>
      </c>
      <c r="D44" s="1">
        <v>1.7000000000000001E-2</v>
      </c>
      <c r="E44" s="1" t="s">
        <v>2</v>
      </c>
      <c r="F44" s="1" t="s">
        <v>5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2457156.8368799998</v>
      </c>
      <c r="B45" s="1" t="s">
        <v>25</v>
      </c>
      <c r="C45" s="1">
        <v>9.6349999999999998</v>
      </c>
      <c r="D45" s="1">
        <v>1.2999999999999999E-2</v>
      </c>
      <c r="E45" s="1" t="s">
        <v>2</v>
      </c>
      <c r="F45" s="1" t="s">
        <v>5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2457157.8372900002</v>
      </c>
      <c r="B46" s="1" t="s">
        <v>26</v>
      </c>
      <c r="C46" s="1">
        <v>9.6020000000000003</v>
      </c>
      <c r="D46" s="1">
        <v>1.7000000000000001E-2</v>
      </c>
      <c r="E46" s="1" t="s">
        <v>2</v>
      </c>
      <c r="F46" s="1" t="s">
        <v>5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2457163.8278600001</v>
      </c>
      <c r="B47" s="1" t="s">
        <v>15</v>
      </c>
      <c r="C47" s="1">
        <v>9.5869999999999997</v>
      </c>
      <c r="D47" s="1">
        <v>1.7000000000000001E-2</v>
      </c>
      <c r="E47" s="1" t="s">
        <v>2</v>
      </c>
      <c r="F47" s="1" t="s">
        <v>5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2457165.8193799998</v>
      </c>
      <c r="B48" s="1" t="s">
        <v>21</v>
      </c>
      <c r="C48" s="1">
        <v>9.6460000000000008</v>
      </c>
      <c r="D48" s="1">
        <v>0.03</v>
      </c>
      <c r="E48" s="1" t="s">
        <v>2</v>
      </c>
      <c r="F48" s="1" t="s">
        <v>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2457166.8284900002</v>
      </c>
      <c r="B49" s="1" t="s">
        <v>17</v>
      </c>
      <c r="C49" s="1">
        <v>9.5630000000000006</v>
      </c>
      <c r="D49" s="1">
        <v>1.6E-2</v>
      </c>
      <c r="E49" s="1" t="s">
        <v>2</v>
      </c>
      <c r="F49" s="1" t="s">
        <v>5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2457180.8183400002</v>
      </c>
      <c r="B50" s="1" t="s">
        <v>22</v>
      </c>
      <c r="C50" s="1">
        <v>9.5009999999999994</v>
      </c>
      <c r="D50" s="1">
        <v>1.2999999999999999E-2</v>
      </c>
      <c r="E50" s="1" t="s">
        <v>2</v>
      </c>
      <c r="F50" s="1" t="s">
        <v>5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2457187.8084399998</v>
      </c>
      <c r="B51" s="1" t="s">
        <v>18</v>
      </c>
      <c r="C51" s="1">
        <v>8.5809999999999995</v>
      </c>
      <c r="D51" s="1">
        <v>8.9999999999999993E-3</v>
      </c>
      <c r="E51" s="1" t="s">
        <v>2</v>
      </c>
      <c r="F51" s="1" t="s">
        <v>5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2457195.7113999999</v>
      </c>
      <c r="B52" s="1" t="s">
        <v>19</v>
      </c>
      <c r="C52" s="1">
        <v>7.8550000000000004</v>
      </c>
      <c r="D52" s="1">
        <v>2.3E-2</v>
      </c>
      <c r="E52" s="1" t="s">
        <v>2</v>
      </c>
      <c r="F52" s="1" t="s">
        <v>125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2457195.7245</v>
      </c>
      <c r="B53" s="1" t="s">
        <v>19</v>
      </c>
      <c r="C53" s="1">
        <v>7.86</v>
      </c>
      <c r="D53" s="1">
        <v>1.4999999999999999E-2</v>
      </c>
      <c r="E53" s="1" t="s">
        <v>2</v>
      </c>
      <c r="F53" s="1" t="s">
        <v>125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2457197.7145099998</v>
      </c>
      <c r="B54" s="1" t="s">
        <v>27</v>
      </c>
      <c r="C54" s="1">
        <v>7.8540000000000001</v>
      </c>
      <c r="D54" s="1">
        <v>7.0000000000000001E-3</v>
      </c>
      <c r="E54" s="1" t="s">
        <v>2</v>
      </c>
      <c r="F54" s="1" t="s">
        <v>126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2457197.7182999998</v>
      </c>
      <c r="B55" s="1" t="s">
        <v>27</v>
      </c>
      <c r="C55" s="1">
        <v>7.8840000000000003</v>
      </c>
      <c r="D55" s="1">
        <v>1.7000000000000001E-2</v>
      </c>
      <c r="E55" s="1" t="s">
        <v>2</v>
      </c>
      <c r="F55" s="1" t="s">
        <v>125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2457197.7278</v>
      </c>
      <c r="B56" s="1" t="s">
        <v>27</v>
      </c>
      <c r="C56" s="1">
        <v>7.867</v>
      </c>
      <c r="D56" s="1">
        <v>1.7999999999999999E-2</v>
      </c>
      <c r="E56" s="1" t="s">
        <v>2</v>
      </c>
      <c r="F56" s="1" t="s">
        <v>125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2457198.5454000002</v>
      </c>
      <c r="B57" s="1" t="s">
        <v>28</v>
      </c>
      <c r="C57" s="1">
        <v>7.89</v>
      </c>
      <c r="D57" s="1">
        <v>0.06</v>
      </c>
      <c r="E57" s="1" t="s">
        <v>2</v>
      </c>
      <c r="F57" s="1" t="s">
        <v>124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2457198.6184399999</v>
      </c>
      <c r="B58" s="1" t="s">
        <v>28</v>
      </c>
      <c r="C58" s="1">
        <v>7.71</v>
      </c>
      <c r="D58" s="1">
        <v>1.0999999999999999E-2</v>
      </c>
      <c r="E58" s="1" t="s">
        <v>2</v>
      </c>
      <c r="F58" s="1" t="s">
        <v>3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2457198.6198700001</v>
      </c>
      <c r="B59" s="1" t="s">
        <v>28</v>
      </c>
      <c r="C59" s="1">
        <v>7.6909999999999998</v>
      </c>
      <c r="D59" s="1">
        <v>1.7000000000000001E-2</v>
      </c>
      <c r="E59" s="1" t="s">
        <v>2</v>
      </c>
      <c r="F59" s="1" t="s">
        <v>3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2457198.6207300001</v>
      </c>
      <c r="B60" s="1" t="s">
        <v>28</v>
      </c>
      <c r="C60" s="1">
        <v>7.7190000000000003</v>
      </c>
      <c r="D60" s="1">
        <v>1.6E-2</v>
      </c>
      <c r="E60" s="1" t="s">
        <v>2</v>
      </c>
      <c r="F60" s="1" t="s">
        <v>3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2457198.6216000002</v>
      </c>
      <c r="B61" s="1" t="s">
        <v>28</v>
      </c>
      <c r="C61" s="1">
        <v>7.718</v>
      </c>
      <c r="D61" s="1">
        <v>1.7999999999999999E-2</v>
      </c>
      <c r="E61" s="1" t="s">
        <v>2</v>
      </c>
      <c r="F61" s="1" t="s">
        <v>3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2457198.6228700001</v>
      </c>
      <c r="B62" s="1" t="s">
        <v>28</v>
      </c>
      <c r="C62" s="1">
        <v>7.72</v>
      </c>
      <c r="D62" s="1">
        <v>1.9E-2</v>
      </c>
      <c r="E62" s="1" t="s">
        <v>2</v>
      </c>
      <c r="F62" s="1" t="s">
        <v>3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2457198.6237300001</v>
      </c>
      <c r="B63" s="1" t="s">
        <v>28</v>
      </c>
      <c r="C63" s="1">
        <v>7.7690000000000001</v>
      </c>
      <c r="D63" s="1">
        <v>1.9E-2</v>
      </c>
      <c r="E63" s="1" t="s">
        <v>2</v>
      </c>
      <c r="F63" s="1" t="s">
        <v>3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2457198.625</v>
      </c>
      <c r="B64" s="1" t="s">
        <v>28</v>
      </c>
      <c r="C64" s="1">
        <v>7.7830000000000004</v>
      </c>
      <c r="D64" s="1">
        <v>0.02</v>
      </c>
      <c r="E64" s="1" t="s">
        <v>2</v>
      </c>
      <c r="F64" s="1" t="s">
        <v>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2457198.6258700001</v>
      </c>
      <c r="B65" s="1" t="s">
        <v>28</v>
      </c>
      <c r="C65" s="1">
        <v>7.7949999999999999</v>
      </c>
      <c r="D65" s="1">
        <v>2.1000000000000001E-2</v>
      </c>
      <c r="E65" s="1" t="s">
        <v>2</v>
      </c>
      <c r="F65" s="1" t="s">
        <v>3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2457198.6267499998</v>
      </c>
      <c r="B66" s="1" t="s">
        <v>28</v>
      </c>
      <c r="C66" s="1">
        <v>7.7519999999999998</v>
      </c>
      <c r="D66" s="1">
        <v>2.3E-2</v>
      </c>
      <c r="E66" s="1" t="s">
        <v>2</v>
      </c>
      <c r="F66" s="1" t="s">
        <v>3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2457198.69416</v>
      </c>
      <c r="B67" s="1" t="s">
        <v>28</v>
      </c>
      <c r="C67" s="1">
        <v>7.8159999999999998</v>
      </c>
      <c r="D67" s="1">
        <v>6.0000000000000001E-3</v>
      </c>
      <c r="E67" s="1" t="s">
        <v>2</v>
      </c>
      <c r="F67" s="1" t="s">
        <v>127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2457199.63</v>
      </c>
      <c r="B68" s="1" t="s">
        <v>29</v>
      </c>
      <c r="C68" s="1">
        <v>7.7</v>
      </c>
      <c r="D68" s="1">
        <v>1.24E-2</v>
      </c>
      <c r="E68" s="1" t="s">
        <v>2</v>
      </c>
      <c r="F68" s="1" t="s">
        <v>128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2457200.6884300001</v>
      </c>
      <c r="B69" s="1" t="s">
        <v>30</v>
      </c>
      <c r="C69" s="1">
        <v>7.84</v>
      </c>
      <c r="D69" s="1">
        <v>6.0000000000000001E-3</v>
      </c>
      <c r="E69" s="1" t="s">
        <v>2</v>
      </c>
      <c r="F69" s="1" t="s">
        <v>127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2457201.6296299999</v>
      </c>
      <c r="B70" s="1" t="s">
        <v>31</v>
      </c>
      <c r="C70" s="1">
        <v>7.7430000000000003</v>
      </c>
      <c r="D70" s="1">
        <v>1.04E-2</v>
      </c>
      <c r="E70" s="1" t="s">
        <v>2</v>
      </c>
      <c r="F70" s="1" t="s">
        <v>128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2457202.75661</v>
      </c>
      <c r="B71" s="1" t="s">
        <v>32</v>
      </c>
      <c r="C71" s="1">
        <v>7.8049999999999997</v>
      </c>
      <c r="D71" s="1">
        <v>2E-3</v>
      </c>
      <c r="E71" s="1" t="s">
        <v>2</v>
      </c>
      <c r="F71" s="1" t="s">
        <v>126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2457203.64445</v>
      </c>
      <c r="B72" s="1" t="s">
        <v>33</v>
      </c>
      <c r="C72" s="1">
        <v>7.7080000000000002</v>
      </c>
      <c r="D72" s="1">
        <v>2.75E-2</v>
      </c>
      <c r="E72" s="1" t="s">
        <v>2</v>
      </c>
      <c r="F72" s="1" t="s">
        <v>128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2457204.6441000002</v>
      </c>
      <c r="B73" s="1" t="s">
        <v>34</v>
      </c>
      <c r="C73" s="1">
        <v>7.6856</v>
      </c>
      <c r="D73" s="1">
        <v>4.3E-3</v>
      </c>
      <c r="E73" s="1" t="s">
        <v>2</v>
      </c>
      <c r="F73" s="1" t="s">
        <v>128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2457205.7666199999</v>
      </c>
      <c r="B74" s="1" t="s">
        <v>35</v>
      </c>
      <c r="C74" s="1">
        <v>7.71</v>
      </c>
      <c r="D74" s="1">
        <v>3.0000000000000001E-3</v>
      </c>
      <c r="E74" s="1" t="s">
        <v>2</v>
      </c>
      <c r="F74" s="1" t="s">
        <v>13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2457206.7122</v>
      </c>
      <c r="B75" s="1" t="s">
        <v>36</v>
      </c>
      <c r="C75" s="1">
        <v>7.6920000000000002</v>
      </c>
      <c r="D75" s="1">
        <v>2.8000000000000001E-2</v>
      </c>
      <c r="E75" s="1" t="s">
        <v>2</v>
      </c>
      <c r="F75" s="1" t="s">
        <v>125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2457208.6730900002</v>
      </c>
      <c r="B76" s="1" t="s">
        <v>37</v>
      </c>
      <c r="C76" s="1">
        <v>7.665</v>
      </c>
      <c r="D76" s="1">
        <v>8.0000000000000002E-3</v>
      </c>
      <c r="E76" s="1" t="s">
        <v>2</v>
      </c>
      <c r="F76" s="1" t="s">
        <v>127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2457210.82045</v>
      </c>
      <c r="B77" s="1" t="s">
        <v>38</v>
      </c>
      <c r="C77" s="1">
        <v>7.7610000000000001</v>
      </c>
      <c r="D77" s="1">
        <v>1.2E-2</v>
      </c>
      <c r="E77" s="1" t="s">
        <v>2</v>
      </c>
      <c r="F77" s="1" t="s">
        <v>5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2457211.64493</v>
      </c>
      <c r="B78" s="1" t="s">
        <v>39</v>
      </c>
      <c r="C78" s="1">
        <v>7.7229000000000001</v>
      </c>
      <c r="D78" s="1">
        <v>9.4000000000000004E-3</v>
      </c>
      <c r="E78" s="1" t="s">
        <v>2</v>
      </c>
      <c r="F78" s="1" t="s">
        <v>128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2457211.7182999998</v>
      </c>
      <c r="B79" s="1" t="s">
        <v>39</v>
      </c>
      <c r="C79" s="1">
        <v>7.78</v>
      </c>
      <c r="D79" s="1">
        <v>7.0000000000000001E-3</v>
      </c>
      <c r="E79" s="1" t="s">
        <v>2</v>
      </c>
      <c r="F79" s="1" t="s">
        <v>125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2457212.6436700001</v>
      </c>
      <c r="B80" s="1" t="s">
        <v>40</v>
      </c>
      <c r="C80" s="1">
        <v>7.601</v>
      </c>
      <c r="D80" s="1">
        <v>4.0000000000000001E-3</v>
      </c>
      <c r="E80" s="1" t="s">
        <v>2</v>
      </c>
      <c r="F80" s="1" t="s">
        <v>128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2457214.6585499998</v>
      </c>
      <c r="B81" s="1" t="s">
        <v>41</v>
      </c>
      <c r="C81" s="1">
        <v>7.6589999999999998</v>
      </c>
      <c r="D81" s="1">
        <v>7.0000000000000001E-3</v>
      </c>
      <c r="E81" s="1" t="s">
        <v>2</v>
      </c>
      <c r="F81" s="1" t="s">
        <v>127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2457214.7234999998</v>
      </c>
      <c r="B82" s="1" t="s">
        <v>41</v>
      </c>
      <c r="C82" s="1">
        <v>7.6950000000000003</v>
      </c>
      <c r="D82" s="1">
        <v>1.6E-2</v>
      </c>
      <c r="E82" s="1" t="s">
        <v>2</v>
      </c>
      <c r="F82" s="1" t="s">
        <v>125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2457215.6825999999</v>
      </c>
      <c r="B83" s="1" t="s">
        <v>42</v>
      </c>
      <c r="C83" s="1">
        <v>7.6829999999999998</v>
      </c>
      <c r="D83" s="1">
        <v>7.0000000000000001E-3</v>
      </c>
      <c r="E83" s="1" t="s">
        <v>2</v>
      </c>
      <c r="F83" s="1" t="s">
        <v>127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2457217.8062999998</v>
      </c>
      <c r="B84" s="1" t="s">
        <v>43</v>
      </c>
      <c r="C84" s="1">
        <v>7.9089999999999998</v>
      </c>
      <c r="D84" s="1">
        <v>2.5000000000000001E-2</v>
      </c>
      <c r="E84" s="1" t="s">
        <v>2</v>
      </c>
      <c r="F84" s="1" t="s">
        <v>5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2457219.4340400002</v>
      </c>
      <c r="B85" s="1" t="s">
        <v>44</v>
      </c>
      <c r="C85" s="1">
        <v>7.9450000000000003</v>
      </c>
      <c r="D85" s="1">
        <v>2.1000000000000001E-2</v>
      </c>
      <c r="E85" s="1" t="s">
        <v>2</v>
      </c>
      <c r="F85" s="1" t="s">
        <v>16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2457220.66677</v>
      </c>
      <c r="B86" s="1" t="s">
        <v>45</v>
      </c>
      <c r="C86" s="1">
        <v>7.9329999999999998</v>
      </c>
      <c r="D86" s="1">
        <v>5.0000000000000001E-3</v>
      </c>
      <c r="E86" s="1" t="s">
        <v>2</v>
      </c>
      <c r="F86" s="1" t="s">
        <v>127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2457220.6950500002</v>
      </c>
      <c r="B87" s="1" t="s">
        <v>45</v>
      </c>
      <c r="C87" s="1">
        <v>8.0719999999999992</v>
      </c>
      <c r="D87" s="1">
        <v>2.1999999999999999E-2</v>
      </c>
      <c r="E87" s="1" t="s">
        <v>2</v>
      </c>
      <c r="F87" s="1" t="s">
        <v>129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2457220.6952399998</v>
      </c>
      <c r="B88" s="1" t="s">
        <v>45</v>
      </c>
      <c r="C88" s="1">
        <v>8.0419999999999998</v>
      </c>
      <c r="D88" s="1">
        <v>2.3E-2</v>
      </c>
      <c r="E88" s="1" t="s">
        <v>2</v>
      </c>
      <c r="F88" s="1" t="s">
        <v>129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2457220.6953500002</v>
      </c>
      <c r="B89" s="1" t="s">
        <v>45</v>
      </c>
      <c r="C89" s="1">
        <v>8.0039999999999996</v>
      </c>
      <c r="D89" s="1">
        <v>2.3E-2</v>
      </c>
      <c r="E89" s="1" t="s">
        <v>2</v>
      </c>
      <c r="F89" s="1" t="s">
        <v>129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2457220.6955499998</v>
      </c>
      <c r="B90" s="1" t="s">
        <v>45</v>
      </c>
      <c r="C90" s="1">
        <v>8.0259999999999998</v>
      </c>
      <c r="D90" s="1">
        <v>2.3E-2</v>
      </c>
      <c r="E90" s="1" t="s">
        <v>2</v>
      </c>
      <c r="F90" s="1" t="s">
        <v>129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2457220.6957899998</v>
      </c>
      <c r="B91" s="1" t="s">
        <v>45</v>
      </c>
      <c r="C91" s="1">
        <v>7.9989999999999997</v>
      </c>
      <c r="D91" s="1">
        <v>2.3E-2</v>
      </c>
      <c r="E91" s="1" t="s">
        <v>2</v>
      </c>
      <c r="F91" s="1" t="s">
        <v>129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2457220.6958400002</v>
      </c>
      <c r="B92" s="1" t="s">
        <v>45</v>
      </c>
      <c r="C92" s="1">
        <v>8.0329999999999995</v>
      </c>
      <c r="D92" s="1">
        <v>2.3E-2</v>
      </c>
      <c r="E92" s="1" t="s">
        <v>2</v>
      </c>
      <c r="F92" s="1" t="s">
        <v>129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2457220.6960399998</v>
      </c>
      <c r="B93" s="1" t="s">
        <v>45</v>
      </c>
      <c r="C93" s="1">
        <v>7.9429999999999996</v>
      </c>
      <c r="D93" s="1">
        <v>2.5000000000000001E-2</v>
      </c>
      <c r="E93" s="1" t="s">
        <v>2</v>
      </c>
      <c r="F93" s="1" t="s">
        <v>129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2457220.6963200001</v>
      </c>
      <c r="B94" s="1" t="s">
        <v>45</v>
      </c>
      <c r="C94" s="1">
        <v>7.9809999999999999</v>
      </c>
      <c r="D94" s="1">
        <v>2.4E-2</v>
      </c>
      <c r="E94" s="1" t="s">
        <v>2</v>
      </c>
      <c r="F94" s="1" t="s">
        <v>129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2457221.5423599998</v>
      </c>
      <c r="B95" s="1" t="s">
        <v>46</v>
      </c>
      <c r="C95" s="1">
        <v>7.97</v>
      </c>
      <c r="D95" s="1">
        <v>0.02</v>
      </c>
      <c r="E95" s="1" t="s">
        <v>2</v>
      </c>
      <c r="F95" s="1" t="s">
        <v>130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2457223.7204</v>
      </c>
      <c r="B96" s="1" t="s">
        <v>47</v>
      </c>
      <c r="C96" s="1">
        <v>7.9770000000000003</v>
      </c>
      <c r="D96" s="1">
        <v>1.2999999999999999E-2</v>
      </c>
      <c r="E96" s="1" t="s">
        <v>2</v>
      </c>
      <c r="F96" s="1" t="s">
        <v>125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2457225.7080000001</v>
      </c>
      <c r="B97" s="1" t="s">
        <v>23</v>
      </c>
      <c r="C97" s="1">
        <v>8.0250000000000004</v>
      </c>
      <c r="D97" s="1">
        <v>5.0000000000000001E-3</v>
      </c>
      <c r="E97" s="1" t="s">
        <v>2</v>
      </c>
      <c r="F97" s="1" t="s">
        <v>125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2457226.5113499998</v>
      </c>
      <c r="B98" s="1" t="s">
        <v>48</v>
      </c>
      <c r="C98" s="1">
        <v>8.0589999999999993</v>
      </c>
      <c r="D98" s="1">
        <v>0.04</v>
      </c>
      <c r="E98" s="1" t="s">
        <v>2</v>
      </c>
      <c r="F98" s="1" t="s">
        <v>16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2457229.9514500001</v>
      </c>
      <c r="B99" s="1" t="s">
        <v>49</v>
      </c>
      <c r="C99" s="1">
        <v>8.1750000000000007</v>
      </c>
      <c r="D99" s="1">
        <v>3.0000000000000001E-3</v>
      </c>
      <c r="E99" s="1" t="s">
        <v>2</v>
      </c>
      <c r="F99" s="1" t="s">
        <v>13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2457231.6853</v>
      </c>
      <c r="B100" s="1" t="s">
        <v>50</v>
      </c>
      <c r="C100" s="1">
        <v>8.1890000000000001</v>
      </c>
      <c r="D100" s="1">
        <v>6.0000000000000001E-3</v>
      </c>
      <c r="E100" s="1" t="s">
        <v>2</v>
      </c>
      <c r="F100" s="1" t="s">
        <v>125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2457233.61368</v>
      </c>
      <c r="B101" s="1" t="s">
        <v>51</v>
      </c>
      <c r="C101" s="1">
        <v>8.1760000000000002</v>
      </c>
      <c r="D101" s="1">
        <v>8.0000000000000002E-3</v>
      </c>
      <c r="E101" s="1" t="s">
        <v>2</v>
      </c>
      <c r="F101" s="1" t="s">
        <v>127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2457234.6749</v>
      </c>
      <c r="B102" s="1" t="s">
        <v>52</v>
      </c>
      <c r="C102" s="1">
        <v>8.27</v>
      </c>
      <c r="D102" s="1">
        <v>7.0000000000000001E-3</v>
      </c>
      <c r="E102" s="1" t="s">
        <v>2</v>
      </c>
      <c r="F102" s="1" t="s">
        <v>125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2457236.6762000001</v>
      </c>
      <c r="B103" s="1" t="s">
        <v>53</v>
      </c>
      <c r="C103" s="1">
        <v>8.3059999999999992</v>
      </c>
      <c r="D103" s="1">
        <v>0.01</v>
      </c>
      <c r="E103" s="1" t="s">
        <v>2</v>
      </c>
      <c r="F103" s="1" t="s">
        <v>125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2457237.6313999998</v>
      </c>
      <c r="B104" s="1" t="s">
        <v>54</v>
      </c>
      <c r="C104" s="1">
        <v>8.2789999999999999</v>
      </c>
      <c r="D104" s="1">
        <v>6.0000000000000001E-3</v>
      </c>
      <c r="E104" s="1" t="s">
        <v>2</v>
      </c>
      <c r="F104" s="1" t="s">
        <v>127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2457238.6567899999</v>
      </c>
      <c r="B105" s="1" t="s">
        <v>55</v>
      </c>
      <c r="C105" s="1">
        <v>8.343</v>
      </c>
      <c r="D105" s="1">
        <v>4.0000000000000001E-3</v>
      </c>
      <c r="E105" s="1" t="s">
        <v>2</v>
      </c>
      <c r="F105" s="1" t="s">
        <v>126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2457239.6798</v>
      </c>
      <c r="B106" s="1" t="s">
        <v>56</v>
      </c>
      <c r="C106" s="1">
        <v>8.3529999999999998</v>
      </c>
      <c r="D106" s="1">
        <v>6.0000000000000001E-3</v>
      </c>
      <c r="E106" s="1" t="s">
        <v>2</v>
      </c>
      <c r="F106" s="1" t="s">
        <v>125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2457239.9362699999</v>
      </c>
      <c r="B107" s="1" t="s">
        <v>56</v>
      </c>
      <c r="C107" s="1">
        <v>8.359</v>
      </c>
      <c r="D107" s="1">
        <v>3.0000000000000001E-3</v>
      </c>
      <c r="E107" s="1" t="s">
        <v>2</v>
      </c>
      <c r="F107" s="1" t="s">
        <v>13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2457241.45004</v>
      </c>
      <c r="B108" s="1" t="s">
        <v>57</v>
      </c>
      <c r="C108" s="1">
        <v>8.3949999999999996</v>
      </c>
      <c r="D108" s="1">
        <v>1.9E-2</v>
      </c>
      <c r="E108" s="1" t="s">
        <v>2</v>
      </c>
      <c r="F108" s="1" t="s">
        <v>16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2457244.6514900001</v>
      </c>
      <c r="B109" s="1" t="s">
        <v>58</v>
      </c>
      <c r="C109" s="1">
        <v>8.391</v>
      </c>
      <c r="D109" s="1">
        <v>5.0000000000000001E-3</v>
      </c>
      <c r="E109" s="1" t="s">
        <v>2</v>
      </c>
      <c r="F109" s="1" t="s">
        <v>127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2457244.7349200002</v>
      </c>
      <c r="B110" s="1" t="s">
        <v>58</v>
      </c>
      <c r="C110" s="1">
        <v>8.3979999999999997</v>
      </c>
      <c r="D110" s="1">
        <v>4.0000000000000001E-3</v>
      </c>
      <c r="E110" s="1" t="s">
        <v>2</v>
      </c>
      <c r="F110" s="1" t="s">
        <v>13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2457246.66212</v>
      </c>
      <c r="B111" s="1" t="s">
        <v>59</v>
      </c>
      <c r="C111" s="1">
        <v>8.4510000000000005</v>
      </c>
      <c r="D111" s="1">
        <v>3.0000000000000001E-3</v>
      </c>
      <c r="E111" s="1" t="s">
        <v>2</v>
      </c>
      <c r="F111" s="1" t="s">
        <v>13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2457246.6889</v>
      </c>
      <c r="B112" s="1" t="s">
        <v>59</v>
      </c>
      <c r="C112" s="1">
        <v>8.4740000000000002</v>
      </c>
      <c r="D112" s="1">
        <v>4.0000000000000001E-3</v>
      </c>
      <c r="E112" s="1" t="s">
        <v>2</v>
      </c>
      <c r="F112" s="1" t="s">
        <v>125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2457247.9067799998</v>
      </c>
      <c r="B113" s="1" t="s">
        <v>60</v>
      </c>
      <c r="C113" s="1">
        <v>8.4570000000000007</v>
      </c>
      <c r="D113" s="1">
        <v>4.0000000000000001E-3</v>
      </c>
      <c r="E113" s="1" t="s">
        <v>2</v>
      </c>
      <c r="F113" s="1" t="s">
        <v>13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2457248.90814</v>
      </c>
      <c r="B114" s="1" t="s">
        <v>61</v>
      </c>
      <c r="C114" s="1">
        <v>8.4789999999999992</v>
      </c>
      <c r="D114" s="1">
        <v>4.0000000000000001E-3</v>
      </c>
      <c r="E114" s="1" t="s">
        <v>2</v>
      </c>
      <c r="F114" s="1" t="s">
        <v>13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2457249.7162799998</v>
      </c>
      <c r="B115" s="1" t="s">
        <v>62</v>
      </c>
      <c r="C115" s="1">
        <v>8.4979999999999993</v>
      </c>
      <c r="D115" s="1">
        <v>4.0000000000000001E-3</v>
      </c>
      <c r="E115" s="1" t="s">
        <v>2</v>
      </c>
      <c r="F115" s="1" t="s">
        <v>13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2457250.6935999999</v>
      </c>
      <c r="B116" s="1" t="s">
        <v>63</v>
      </c>
      <c r="C116" s="1">
        <v>8.49</v>
      </c>
      <c r="D116" s="1">
        <v>0.01</v>
      </c>
      <c r="E116" s="1" t="s">
        <v>2</v>
      </c>
      <c r="F116" s="1" t="s">
        <v>125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2457251.6413500002</v>
      </c>
      <c r="B117" s="1" t="s">
        <v>64</v>
      </c>
      <c r="C117" s="1">
        <v>8.468</v>
      </c>
      <c r="D117" s="1">
        <v>5.0000000000000001E-3</v>
      </c>
      <c r="E117" s="1" t="s">
        <v>2</v>
      </c>
      <c r="F117" s="1" t="s">
        <v>127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2457251.7117599999</v>
      </c>
      <c r="B118" s="1" t="s">
        <v>64</v>
      </c>
      <c r="C118" s="1">
        <v>8.4649999999999999</v>
      </c>
      <c r="D118" s="1">
        <v>4.0000000000000001E-3</v>
      </c>
      <c r="E118" s="1" t="s">
        <v>2</v>
      </c>
      <c r="F118" s="1" t="s">
        <v>13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2457252.7099000001</v>
      </c>
      <c r="B119" s="1" t="s">
        <v>65</v>
      </c>
      <c r="C119" s="1">
        <v>8.44</v>
      </c>
      <c r="D119" s="1">
        <v>5.0000000000000001E-3</v>
      </c>
      <c r="E119" s="1" t="s">
        <v>2</v>
      </c>
      <c r="F119" s="1" t="s">
        <v>13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2457254.6317400001</v>
      </c>
      <c r="B120" s="1" t="s">
        <v>66</v>
      </c>
      <c r="C120" s="1">
        <v>8.5030000000000001</v>
      </c>
      <c r="D120" s="1">
        <v>6.0000000000000001E-3</v>
      </c>
      <c r="E120" s="1" t="s">
        <v>2</v>
      </c>
      <c r="F120" s="1" t="s">
        <v>127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2457262.6406</v>
      </c>
      <c r="B121" s="1" t="s">
        <v>67</v>
      </c>
      <c r="C121" s="1">
        <v>8.5730000000000004</v>
      </c>
      <c r="D121" s="1">
        <v>1.7000000000000001E-2</v>
      </c>
      <c r="E121" s="1" t="s">
        <v>2</v>
      </c>
      <c r="F121" s="1" t="s">
        <v>125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2457264.5772699998</v>
      </c>
      <c r="B122" s="1" t="s">
        <v>68</v>
      </c>
      <c r="C122" s="1">
        <v>8.5860000000000003</v>
      </c>
      <c r="D122" s="1">
        <v>0.01</v>
      </c>
      <c r="E122" s="1" t="s">
        <v>2</v>
      </c>
      <c r="F122" s="1" t="s">
        <v>127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2457265.6403000001</v>
      </c>
      <c r="B123" s="1" t="s">
        <v>69</v>
      </c>
      <c r="C123" s="1">
        <v>8.7550000000000008</v>
      </c>
      <c r="D123" s="1">
        <v>1.4E-2</v>
      </c>
      <c r="E123" s="1" t="s">
        <v>2</v>
      </c>
      <c r="F123" s="1" t="s">
        <v>125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2457270.5804499998</v>
      </c>
      <c r="B124" s="1" t="s">
        <v>70</v>
      </c>
      <c r="C124" s="1">
        <v>8.5960000000000001</v>
      </c>
      <c r="D124" s="1">
        <v>5.0000000000000001E-3</v>
      </c>
      <c r="E124" s="1" t="s">
        <v>2</v>
      </c>
      <c r="F124" s="1" t="s">
        <v>127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2457271.5499999998</v>
      </c>
      <c r="B125" s="1" t="s">
        <v>71</v>
      </c>
      <c r="C125" s="1">
        <v>8.6170000000000009</v>
      </c>
      <c r="D125" s="1">
        <v>5.0000000000000001E-3</v>
      </c>
      <c r="E125" s="1" t="s">
        <v>2</v>
      </c>
      <c r="F125" s="1" t="s">
        <v>127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2457272.55486</v>
      </c>
      <c r="B126" s="1" t="s">
        <v>72</v>
      </c>
      <c r="C126" s="1">
        <v>8.6340000000000003</v>
      </c>
      <c r="D126" s="1">
        <v>6.0000000000000001E-3</v>
      </c>
      <c r="E126" s="1" t="s">
        <v>2</v>
      </c>
      <c r="F126" s="1" t="s">
        <v>127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2457275.6343</v>
      </c>
      <c r="B127" s="1" t="s">
        <v>73</v>
      </c>
      <c r="C127" s="1">
        <v>8.6660000000000004</v>
      </c>
      <c r="D127" s="1">
        <v>6.0000000000000001E-3</v>
      </c>
      <c r="E127" s="1" t="s">
        <v>2</v>
      </c>
      <c r="F127" s="1" t="s">
        <v>125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2457277.7717800001</v>
      </c>
      <c r="B128" s="1" t="s">
        <v>131</v>
      </c>
      <c r="C128" s="1">
        <v>8.68</v>
      </c>
      <c r="D128" s="1">
        <v>4.0000000000000001E-3</v>
      </c>
      <c r="E128" s="1" t="s">
        <v>2</v>
      </c>
      <c r="F128" s="1" t="s">
        <v>13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2457279.6910999999</v>
      </c>
      <c r="B129" s="1" t="s">
        <v>74</v>
      </c>
      <c r="C129" s="1">
        <v>8.6809999999999992</v>
      </c>
      <c r="D129" s="1">
        <v>2E-3</v>
      </c>
      <c r="E129" s="1" t="s">
        <v>2</v>
      </c>
      <c r="F129" s="1" t="s">
        <v>125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2457280.6647700001</v>
      </c>
      <c r="B130" s="1" t="s">
        <v>75</v>
      </c>
      <c r="C130" s="1">
        <v>8.6959999999999997</v>
      </c>
      <c r="D130" s="1">
        <v>3.0000000000000001E-3</v>
      </c>
      <c r="E130" s="1" t="s">
        <v>2</v>
      </c>
      <c r="F130" s="1" t="s">
        <v>13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2457281.5176200001</v>
      </c>
      <c r="B131" s="1" t="s">
        <v>76</v>
      </c>
      <c r="C131" s="1">
        <v>8.6519999999999992</v>
      </c>
      <c r="D131" s="1">
        <v>5.0000000000000001E-3</v>
      </c>
      <c r="E131" s="1" t="s">
        <v>2</v>
      </c>
      <c r="F131" s="1" t="s">
        <v>127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2457282.6314900001</v>
      </c>
      <c r="B132" s="1" t="s">
        <v>77</v>
      </c>
      <c r="C132" s="1">
        <v>8.7479999999999993</v>
      </c>
      <c r="D132" s="1">
        <v>1.4E-2</v>
      </c>
      <c r="E132" s="1" t="s">
        <v>2</v>
      </c>
      <c r="F132" s="1" t="s">
        <v>5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2457282.6398999998</v>
      </c>
      <c r="B133" s="1" t="s">
        <v>77</v>
      </c>
      <c r="C133" s="1">
        <v>8.6950000000000003</v>
      </c>
      <c r="D133" s="1">
        <v>8.0000000000000002E-3</v>
      </c>
      <c r="E133" s="1" t="s">
        <v>2</v>
      </c>
      <c r="F133" s="1" t="s">
        <v>125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2457284.6251500002</v>
      </c>
      <c r="B134" s="1" t="s">
        <v>78</v>
      </c>
      <c r="C134" s="1">
        <v>8.7460000000000004</v>
      </c>
      <c r="D134" s="1">
        <v>1.2E-2</v>
      </c>
      <c r="E134" s="1" t="s">
        <v>2</v>
      </c>
      <c r="F134" s="1" t="s">
        <v>5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2457285.6206999999</v>
      </c>
      <c r="B135" s="1" t="s">
        <v>79</v>
      </c>
      <c r="C135" s="1">
        <v>8.7189999999999994</v>
      </c>
      <c r="D135" s="1">
        <v>0.01</v>
      </c>
      <c r="E135" s="1" t="s">
        <v>2</v>
      </c>
      <c r="F135" s="1" t="s">
        <v>125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2457286.5181</v>
      </c>
      <c r="B136" s="1" t="s">
        <v>80</v>
      </c>
      <c r="C136" s="1">
        <v>8.6720000000000006</v>
      </c>
      <c r="D136" s="1">
        <v>5.0000000000000001E-3</v>
      </c>
      <c r="E136" s="1" t="s">
        <v>2</v>
      </c>
      <c r="F136" s="1" t="s">
        <v>127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2457287.6192999999</v>
      </c>
      <c r="B137" s="1" t="s">
        <v>81</v>
      </c>
      <c r="C137" s="1">
        <v>8.7270000000000003</v>
      </c>
      <c r="D137" s="1">
        <v>2.1999999999999999E-2</v>
      </c>
      <c r="E137" s="1" t="s">
        <v>2</v>
      </c>
      <c r="F137" s="1" t="s">
        <v>125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2457289.60824</v>
      </c>
      <c r="B138" s="1" t="s">
        <v>132</v>
      </c>
      <c r="C138" s="1">
        <v>8.8010000000000002</v>
      </c>
      <c r="D138" s="1">
        <v>1.2999999999999999E-2</v>
      </c>
      <c r="E138" s="1" t="s">
        <v>2</v>
      </c>
      <c r="F138" s="1" t="s">
        <v>5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2457290.5064099999</v>
      </c>
      <c r="B139" s="1" t="s">
        <v>24</v>
      </c>
      <c r="C139" s="1">
        <v>8.7309999999999999</v>
      </c>
      <c r="D139" s="1">
        <v>6.0000000000000001E-3</v>
      </c>
      <c r="E139" s="1" t="s">
        <v>2</v>
      </c>
      <c r="F139" s="1" t="s">
        <v>127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2457291.3140799999</v>
      </c>
      <c r="B140" s="1" t="s">
        <v>24</v>
      </c>
      <c r="C140" s="1">
        <v>8.7370000000000001</v>
      </c>
      <c r="D140" s="1">
        <v>2.5000000000000001E-2</v>
      </c>
      <c r="E140" s="1" t="s">
        <v>2</v>
      </c>
      <c r="F140" s="1" t="s">
        <v>16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2457291.6217700001</v>
      </c>
      <c r="B141" s="1" t="s">
        <v>133</v>
      </c>
      <c r="C141" s="1">
        <v>8.7240000000000002</v>
      </c>
      <c r="D141" s="1">
        <v>8.9999999999999993E-3</v>
      </c>
      <c r="E141" s="1" t="s">
        <v>2</v>
      </c>
      <c r="F141" s="1" t="s">
        <v>13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2457292.5305300001</v>
      </c>
      <c r="B142" s="1" t="s">
        <v>134</v>
      </c>
      <c r="C142" s="1">
        <v>8.8469999999999995</v>
      </c>
      <c r="D142" s="1">
        <v>1.2E-2</v>
      </c>
      <c r="E142" s="1" t="s">
        <v>2</v>
      </c>
      <c r="F142" s="1" t="s">
        <v>127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2457293.59925</v>
      </c>
      <c r="B143" s="1" t="s">
        <v>145</v>
      </c>
      <c r="C143" s="1">
        <v>8.7560000000000002</v>
      </c>
      <c r="D143" s="1">
        <v>5.0000000000000001E-3</v>
      </c>
      <c r="E143" s="1" t="s">
        <v>2</v>
      </c>
      <c r="F143" s="1" t="s">
        <v>13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2457296.6102</v>
      </c>
      <c r="B144" s="1" t="s">
        <v>82</v>
      </c>
      <c r="C144" s="1">
        <v>8.7469999999999999</v>
      </c>
      <c r="D144" s="1">
        <v>6.0000000000000001E-3</v>
      </c>
      <c r="E144" s="1" t="s">
        <v>2</v>
      </c>
      <c r="F144" s="1" t="s">
        <v>125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2457302.4724099999</v>
      </c>
      <c r="B145" s="1" t="s">
        <v>83</v>
      </c>
      <c r="C145" s="1">
        <v>8.5960000000000001</v>
      </c>
      <c r="D145" s="1">
        <v>6.0000000000000001E-3</v>
      </c>
      <c r="E145" s="1" t="s">
        <v>2</v>
      </c>
      <c r="F145" s="1" t="s">
        <v>127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2457302.5764899999</v>
      </c>
      <c r="B146" s="1" t="s">
        <v>84</v>
      </c>
      <c r="C146" s="1">
        <v>8.6449999999999996</v>
      </c>
      <c r="D146" s="1">
        <v>5.0000000000000001E-3</v>
      </c>
      <c r="E146" s="1" t="s">
        <v>2</v>
      </c>
      <c r="F146" s="1" t="s">
        <v>13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2457303.5717000002</v>
      </c>
      <c r="B147" s="1" t="s">
        <v>85</v>
      </c>
      <c r="C147" s="1">
        <v>8.5709999999999997</v>
      </c>
      <c r="D147" s="1">
        <v>4.0000000000000001E-3</v>
      </c>
      <c r="E147" s="1" t="s">
        <v>2</v>
      </c>
      <c r="F147" s="1" t="s">
        <v>13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2457304.56378</v>
      </c>
      <c r="B148" s="1" t="s">
        <v>86</v>
      </c>
      <c r="C148" s="1">
        <v>7.9530000000000003</v>
      </c>
      <c r="D148" s="1">
        <v>4.0000000000000001E-3</v>
      </c>
      <c r="E148" s="1" t="s">
        <v>2</v>
      </c>
      <c r="F148" s="1" t="s">
        <v>13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2457305.6036999999</v>
      </c>
      <c r="B149" s="1" t="s">
        <v>87</v>
      </c>
      <c r="C149" s="1">
        <v>7.9809999999999999</v>
      </c>
      <c r="D149" s="1">
        <v>0.01</v>
      </c>
      <c r="E149" s="1" t="s">
        <v>2</v>
      </c>
      <c r="F149" s="1" t="s">
        <v>125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2457306.46159</v>
      </c>
      <c r="B150" s="1" t="s">
        <v>87</v>
      </c>
      <c r="C150" s="1">
        <v>8.0220000000000002</v>
      </c>
      <c r="D150" s="1">
        <v>7.0000000000000001E-3</v>
      </c>
      <c r="E150" s="1" t="s">
        <v>2</v>
      </c>
      <c r="F150" s="1" t="s">
        <v>127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2457306.5122000002</v>
      </c>
      <c r="B151" s="1" t="s">
        <v>88</v>
      </c>
      <c r="C151" s="1">
        <v>7.9909999999999997</v>
      </c>
      <c r="D151" s="1">
        <v>2.3E-2</v>
      </c>
      <c r="E151" s="1" t="s">
        <v>2</v>
      </c>
      <c r="F151" s="1" t="s">
        <v>125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2457306.5578000001</v>
      </c>
      <c r="B152" s="1" t="s">
        <v>88</v>
      </c>
      <c r="C152" s="1">
        <v>8.0250000000000004</v>
      </c>
      <c r="D152" s="1">
        <v>4.1000000000000002E-2</v>
      </c>
      <c r="E152" s="1" t="s">
        <v>2</v>
      </c>
      <c r="F152" s="1" t="s">
        <v>125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2457307.4741799999</v>
      </c>
      <c r="B153" s="1" t="s">
        <v>88</v>
      </c>
      <c r="C153" s="1">
        <v>7.9690000000000003</v>
      </c>
      <c r="D153" s="1">
        <v>5.0000000000000001E-3</v>
      </c>
      <c r="E153" s="1" t="s">
        <v>2</v>
      </c>
      <c r="F153" s="1" t="s">
        <v>127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2457307.50281</v>
      </c>
      <c r="B154" s="1" t="s">
        <v>135</v>
      </c>
      <c r="C154" s="1">
        <v>8.0120000000000005</v>
      </c>
      <c r="D154" s="1">
        <v>6.0000000000000001E-3</v>
      </c>
      <c r="E154" s="1" t="s">
        <v>2</v>
      </c>
      <c r="F154" s="1" t="s">
        <v>127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2457307.52568</v>
      </c>
      <c r="B155" s="1" t="s">
        <v>135</v>
      </c>
      <c r="C155" s="1">
        <v>8.0180000000000007</v>
      </c>
      <c r="D155" s="1">
        <v>1.0999999999999999E-2</v>
      </c>
      <c r="E155" s="1" t="s">
        <v>2</v>
      </c>
      <c r="F155" s="1" t="s">
        <v>89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2457307.52611</v>
      </c>
      <c r="B156" s="1" t="s">
        <v>135</v>
      </c>
      <c r="C156" s="1">
        <v>8.0259999999999998</v>
      </c>
      <c r="D156" s="1">
        <v>1.0999999999999999E-2</v>
      </c>
      <c r="E156" s="1" t="s">
        <v>2</v>
      </c>
      <c r="F156" s="1" t="s">
        <v>89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2457307.5264400002</v>
      </c>
      <c r="B157" s="1" t="s">
        <v>135</v>
      </c>
      <c r="C157" s="1">
        <v>8.0150000000000006</v>
      </c>
      <c r="D157" s="1">
        <v>1.0999999999999999E-2</v>
      </c>
      <c r="E157" s="1" t="s">
        <v>2</v>
      </c>
      <c r="F157" s="1" t="s">
        <v>89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2457307.5267699999</v>
      </c>
      <c r="B158" s="1" t="s">
        <v>135</v>
      </c>
      <c r="C158" s="1">
        <v>8.0129999999999999</v>
      </c>
      <c r="D158" s="1">
        <v>1.0999999999999999E-2</v>
      </c>
      <c r="E158" s="1" t="s">
        <v>2</v>
      </c>
      <c r="F158" s="1" t="s">
        <v>89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2457307.5271000001</v>
      </c>
      <c r="B159" s="1" t="s">
        <v>135</v>
      </c>
      <c r="C159" s="1">
        <v>8.016</v>
      </c>
      <c r="D159" s="1">
        <v>1.0999999999999999E-2</v>
      </c>
      <c r="E159" s="1" t="s">
        <v>2</v>
      </c>
      <c r="F159" s="1" t="s">
        <v>89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2457307.5274200002</v>
      </c>
      <c r="B160" s="1" t="s">
        <v>135</v>
      </c>
      <c r="C160" s="1">
        <v>8.0120000000000005</v>
      </c>
      <c r="D160" s="1">
        <v>1.0999999999999999E-2</v>
      </c>
      <c r="E160" s="1" t="s">
        <v>2</v>
      </c>
      <c r="F160" s="1" t="s">
        <v>89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2457307.52776</v>
      </c>
      <c r="B161" s="1" t="s">
        <v>135</v>
      </c>
      <c r="C161" s="1">
        <v>8.0350000000000001</v>
      </c>
      <c r="D161" s="1">
        <v>1.0999999999999999E-2</v>
      </c>
      <c r="E161" s="1" t="s">
        <v>2</v>
      </c>
      <c r="F161" s="1" t="s">
        <v>89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2457307.5280800001</v>
      </c>
      <c r="B162" s="1" t="s">
        <v>135</v>
      </c>
      <c r="C162" s="1">
        <v>8.032</v>
      </c>
      <c r="D162" s="1">
        <v>1.0999999999999999E-2</v>
      </c>
      <c r="E162" s="1" t="s">
        <v>2</v>
      </c>
      <c r="F162" s="1" t="s">
        <v>89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2457307.5314199999</v>
      </c>
      <c r="B163" s="1" t="s">
        <v>135</v>
      </c>
      <c r="C163" s="1">
        <v>8.0129999999999999</v>
      </c>
      <c r="D163" s="1">
        <v>1.0999999999999999E-2</v>
      </c>
      <c r="E163" s="1" t="s">
        <v>2</v>
      </c>
      <c r="F163" s="1" t="s">
        <v>89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2457307.53186</v>
      </c>
      <c r="B164" s="1" t="s">
        <v>135</v>
      </c>
      <c r="C164" s="1">
        <v>8.0280000000000005</v>
      </c>
      <c r="D164" s="1">
        <v>1.0999999999999999E-2</v>
      </c>
      <c r="E164" s="1" t="s">
        <v>2</v>
      </c>
      <c r="F164" s="1" t="s">
        <v>89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2457307.5323000001</v>
      </c>
      <c r="B165" s="1" t="s">
        <v>135</v>
      </c>
      <c r="C165" s="1">
        <v>8.0269999999999992</v>
      </c>
      <c r="D165" s="1">
        <v>1.0999999999999999E-2</v>
      </c>
      <c r="E165" s="1" t="s">
        <v>2</v>
      </c>
      <c r="F165" s="1" t="s">
        <v>89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2457307.5327400002</v>
      </c>
      <c r="B166" s="1" t="s">
        <v>135</v>
      </c>
      <c r="C166" s="1">
        <v>8.0329999999999995</v>
      </c>
      <c r="D166" s="1">
        <v>0.01</v>
      </c>
      <c r="E166" s="1" t="s">
        <v>2</v>
      </c>
      <c r="F166" s="1" t="s">
        <v>89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2457307.5331700002</v>
      </c>
      <c r="B167" s="1" t="s">
        <v>135</v>
      </c>
      <c r="C167" s="1">
        <v>8.0340000000000007</v>
      </c>
      <c r="D167" s="1">
        <v>0.01</v>
      </c>
      <c r="E167" s="1" t="s">
        <v>2</v>
      </c>
      <c r="F167" s="1" t="s">
        <v>89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2457307.5336099998</v>
      </c>
      <c r="B168" s="1" t="s">
        <v>135</v>
      </c>
      <c r="C168" s="1">
        <v>8.0410000000000004</v>
      </c>
      <c r="D168" s="1">
        <v>0.01</v>
      </c>
      <c r="E168" s="1" t="s">
        <v>2</v>
      </c>
      <c r="F168" s="1" t="s">
        <v>89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2457307.5340499999</v>
      </c>
      <c r="B169" s="1" t="s">
        <v>135</v>
      </c>
      <c r="C169" s="1">
        <v>8.0310000000000006</v>
      </c>
      <c r="D169" s="1">
        <v>1.0999999999999999E-2</v>
      </c>
      <c r="E169" s="1" t="s">
        <v>2</v>
      </c>
      <c r="F169" s="1" t="s">
        <v>89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2457307.5344799999</v>
      </c>
      <c r="B170" s="1" t="s">
        <v>135</v>
      </c>
      <c r="C170" s="1">
        <v>8.0419999999999998</v>
      </c>
      <c r="D170" s="1">
        <v>0.01</v>
      </c>
      <c r="E170" s="1" t="s">
        <v>2</v>
      </c>
      <c r="F170" s="1" t="s">
        <v>89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2457307.5349099999</v>
      </c>
      <c r="B171" s="1" t="s">
        <v>135</v>
      </c>
      <c r="C171" s="1">
        <v>8.0519999999999996</v>
      </c>
      <c r="D171" s="1">
        <v>0.01</v>
      </c>
      <c r="E171" s="1" t="s">
        <v>2</v>
      </c>
      <c r="F171" s="1" t="s">
        <v>89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2457307.53535</v>
      </c>
      <c r="B172" s="1" t="s">
        <v>135</v>
      </c>
      <c r="C172" s="1">
        <v>8.0310000000000006</v>
      </c>
      <c r="D172" s="1">
        <v>0.01</v>
      </c>
      <c r="E172" s="1" t="s">
        <v>2</v>
      </c>
      <c r="F172" s="1" t="s">
        <v>89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2457307.5358000002</v>
      </c>
      <c r="B173" s="1" t="s">
        <v>135</v>
      </c>
      <c r="C173" s="1">
        <v>8.0259999999999998</v>
      </c>
      <c r="D173" s="1">
        <v>1.0999999999999999E-2</v>
      </c>
      <c r="E173" s="1" t="s">
        <v>2</v>
      </c>
      <c r="F173" s="1" t="s">
        <v>89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2457307.5362399998</v>
      </c>
      <c r="B174" s="1" t="s">
        <v>135</v>
      </c>
      <c r="C174" s="1">
        <v>8.0510000000000002</v>
      </c>
      <c r="D174" s="1">
        <v>0.01</v>
      </c>
      <c r="E174" s="1" t="s">
        <v>2</v>
      </c>
      <c r="F174" s="1" t="s">
        <v>89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2457307.5366699998</v>
      </c>
      <c r="B175" s="1" t="s">
        <v>135</v>
      </c>
      <c r="C175" s="1">
        <v>8.0370000000000008</v>
      </c>
      <c r="D175" s="1">
        <v>0.01</v>
      </c>
      <c r="E175" s="1" t="s">
        <v>2</v>
      </c>
      <c r="F175" s="1" t="s">
        <v>89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2457307.5371099999</v>
      </c>
      <c r="B176" s="1" t="s">
        <v>135</v>
      </c>
      <c r="C176" s="1">
        <v>8.0220000000000002</v>
      </c>
      <c r="D176" s="1">
        <v>1.0999999999999999E-2</v>
      </c>
      <c r="E176" s="1" t="s">
        <v>2</v>
      </c>
      <c r="F176" s="1" t="s">
        <v>89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2457307.53755</v>
      </c>
      <c r="B177" s="1" t="s">
        <v>135</v>
      </c>
      <c r="C177" s="1">
        <v>8.0280000000000005</v>
      </c>
      <c r="D177" s="1">
        <v>1.0999999999999999E-2</v>
      </c>
      <c r="E177" s="1" t="s">
        <v>2</v>
      </c>
      <c r="F177" s="1" t="s">
        <v>89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2457307.53798</v>
      </c>
      <c r="B178" s="1" t="s">
        <v>135</v>
      </c>
      <c r="C178" s="1">
        <v>8.0389999999999997</v>
      </c>
      <c r="D178" s="1">
        <v>0.01</v>
      </c>
      <c r="E178" s="1" t="s">
        <v>2</v>
      </c>
      <c r="F178" s="1" t="s">
        <v>89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2457307.5384200001</v>
      </c>
      <c r="B179" s="1" t="s">
        <v>135</v>
      </c>
      <c r="C179" s="1">
        <v>8.0310000000000006</v>
      </c>
      <c r="D179" s="1">
        <v>0.01</v>
      </c>
      <c r="E179" s="1" t="s">
        <v>2</v>
      </c>
      <c r="F179" s="1" t="s">
        <v>89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2457307.5388600002</v>
      </c>
      <c r="B180" s="1" t="s">
        <v>135</v>
      </c>
      <c r="C180" s="1">
        <v>8.0150000000000006</v>
      </c>
      <c r="D180" s="1">
        <v>0.01</v>
      </c>
      <c r="E180" s="1" t="s">
        <v>2</v>
      </c>
      <c r="F180" s="1" t="s">
        <v>89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2457307.5392900002</v>
      </c>
      <c r="B181" s="1" t="s">
        <v>135</v>
      </c>
      <c r="C181" s="1">
        <v>8.0289999999999999</v>
      </c>
      <c r="D181" s="1">
        <v>1.0999999999999999E-2</v>
      </c>
      <c r="E181" s="1" t="s">
        <v>2</v>
      </c>
      <c r="F181" s="1" t="s">
        <v>89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2457307.5397299998</v>
      </c>
      <c r="B182" s="1" t="s">
        <v>135</v>
      </c>
      <c r="C182" s="1">
        <v>8.0470000000000006</v>
      </c>
      <c r="D182" s="1">
        <v>0.01</v>
      </c>
      <c r="E182" s="1" t="s">
        <v>2</v>
      </c>
      <c r="F182" s="1" t="s">
        <v>89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2457307.5401699999</v>
      </c>
      <c r="B183" s="1" t="s">
        <v>135</v>
      </c>
      <c r="C183" s="1">
        <v>8.0120000000000005</v>
      </c>
      <c r="D183" s="1">
        <v>0.01</v>
      </c>
      <c r="E183" s="1" t="s">
        <v>2</v>
      </c>
      <c r="F183" s="1" t="s">
        <v>89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2457307.54061</v>
      </c>
      <c r="B184" s="1" t="s">
        <v>135</v>
      </c>
      <c r="C184" s="1">
        <v>8.0549999999999997</v>
      </c>
      <c r="D184" s="1">
        <v>0.01</v>
      </c>
      <c r="E184" s="1" t="s">
        <v>2</v>
      </c>
      <c r="F184" s="1" t="s">
        <v>89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2457307.5410500001</v>
      </c>
      <c r="B185" s="1" t="s">
        <v>135</v>
      </c>
      <c r="C185" s="1">
        <v>8.0410000000000004</v>
      </c>
      <c r="D185" s="1">
        <v>0.01</v>
      </c>
      <c r="E185" s="1" t="s">
        <v>2</v>
      </c>
      <c r="F185" s="1" t="s">
        <v>89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2457307.5414900002</v>
      </c>
      <c r="B186" s="1" t="s">
        <v>135</v>
      </c>
      <c r="C186" s="1">
        <v>8.0129999999999999</v>
      </c>
      <c r="D186" s="1">
        <v>1.0999999999999999E-2</v>
      </c>
      <c r="E186" s="1" t="s">
        <v>2</v>
      </c>
      <c r="F186" s="1" t="s">
        <v>89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2457307.5419299998</v>
      </c>
      <c r="B187" s="1" t="s">
        <v>135</v>
      </c>
      <c r="C187" s="1">
        <v>8.032</v>
      </c>
      <c r="D187" s="1">
        <v>0.01</v>
      </c>
      <c r="E187" s="1" t="s">
        <v>2</v>
      </c>
      <c r="F187" s="1" t="s">
        <v>89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2457307.5423699999</v>
      </c>
      <c r="B188" s="1" t="s">
        <v>135</v>
      </c>
      <c r="C188" s="1">
        <v>8.02</v>
      </c>
      <c r="D188" s="1">
        <v>1.0999999999999999E-2</v>
      </c>
      <c r="E188" s="1" t="s">
        <v>2</v>
      </c>
      <c r="F188" s="1" t="s">
        <v>89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2457307.5427999999</v>
      </c>
      <c r="B189" s="1" t="s">
        <v>135</v>
      </c>
      <c r="C189" s="1">
        <v>8.0449999999999999</v>
      </c>
      <c r="D189" s="1">
        <v>0.01</v>
      </c>
      <c r="E189" s="1" t="s">
        <v>2</v>
      </c>
      <c r="F189" s="1" t="s">
        <v>89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2457307.54323</v>
      </c>
      <c r="B190" s="1" t="s">
        <v>135</v>
      </c>
      <c r="C190" s="1">
        <v>8.0289999999999999</v>
      </c>
      <c r="D190" s="1">
        <v>0.01</v>
      </c>
      <c r="E190" s="1" t="s">
        <v>2</v>
      </c>
      <c r="F190" s="1" t="s">
        <v>89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2457307.54367</v>
      </c>
      <c r="B191" s="1" t="s">
        <v>135</v>
      </c>
      <c r="C191" s="1">
        <v>8.0299999999999994</v>
      </c>
      <c r="D191" s="1">
        <v>0.01</v>
      </c>
      <c r="E191" s="1" t="s">
        <v>2</v>
      </c>
      <c r="F191" s="1" t="s">
        <v>89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2457307.5441100001</v>
      </c>
      <c r="B192" s="1" t="s">
        <v>135</v>
      </c>
      <c r="C192" s="1">
        <v>8.02</v>
      </c>
      <c r="D192" s="1">
        <v>0.01</v>
      </c>
      <c r="E192" s="1" t="s">
        <v>2</v>
      </c>
      <c r="F192" s="1" t="s">
        <v>89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2457307.5445500002</v>
      </c>
      <c r="B193" s="1" t="s">
        <v>135</v>
      </c>
      <c r="C193" s="1">
        <v>8.0139999999999993</v>
      </c>
      <c r="D193" s="1">
        <v>0.01</v>
      </c>
      <c r="E193" s="1" t="s">
        <v>2</v>
      </c>
      <c r="F193" s="1" t="s">
        <v>89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2457307.5449799998</v>
      </c>
      <c r="B194" s="1" t="s">
        <v>135</v>
      </c>
      <c r="C194" s="1">
        <v>8.0370000000000008</v>
      </c>
      <c r="D194" s="1">
        <v>0.01</v>
      </c>
      <c r="E194" s="1" t="s">
        <v>2</v>
      </c>
      <c r="F194" s="1" t="s">
        <v>89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2457307.5454199999</v>
      </c>
      <c r="B195" s="1" t="s">
        <v>135</v>
      </c>
      <c r="C195" s="1">
        <v>8.0370000000000008</v>
      </c>
      <c r="D195" s="1">
        <v>0.01</v>
      </c>
      <c r="E195" s="1" t="s">
        <v>2</v>
      </c>
      <c r="F195" s="1" t="s">
        <v>89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2457307.54586</v>
      </c>
      <c r="B196" s="1" t="s">
        <v>135</v>
      </c>
      <c r="C196" s="1">
        <v>8.0419999999999998</v>
      </c>
      <c r="D196" s="1">
        <v>0.01</v>
      </c>
      <c r="E196" s="1" t="s">
        <v>2</v>
      </c>
      <c r="F196" s="1" t="s">
        <v>89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2457307.5463</v>
      </c>
      <c r="B197" s="1" t="s">
        <v>135</v>
      </c>
      <c r="C197" s="1">
        <v>8.0090000000000003</v>
      </c>
      <c r="D197" s="1">
        <v>0.01</v>
      </c>
      <c r="E197" s="1" t="s">
        <v>2</v>
      </c>
      <c r="F197" s="1" t="s">
        <v>89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2457307.5467400001</v>
      </c>
      <c r="B198" s="1" t="s">
        <v>135</v>
      </c>
      <c r="C198" s="1">
        <v>8.016</v>
      </c>
      <c r="D198" s="1">
        <v>0.01</v>
      </c>
      <c r="E198" s="1" t="s">
        <v>2</v>
      </c>
      <c r="F198" s="1" t="s">
        <v>89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2457307.5471800002</v>
      </c>
      <c r="B199" s="1" t="s">
        <v>135</v>
      </c>
      <c r="C199" s="1">
        <v>8.0340000000000007</v>
      </c>
      <c r="D199" s="1">
        <v>0.01</v>
      </c>
      <c r="E199" s="1" t="s">
        <v>2</v>
      </c>
      <c r="F199" s="1" t="s">
        <v>89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2457307.5476199999</v>
      </c>
      <c r="B200" s="1" t="s">
        <v>135</v>
      </c>
      <c r="C200" s="1">
        <v>8.0259999999999998</v>
      </c>
      <c r="D200" s="1">
        <v>0.01</v>
      </c>
      <c r="E200" s="1" t="s">
        <v>2</v>
      </c>
      <c r="F200" s="1" t="s">
        <v>89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2457307.5480599999</v>
      </c>
      <c r="B201" s="1" t="s">
        <v>135</v>
      </c>
      <c r="C201" s="1">
        <v>8.0250000000000004</v>
      </c>
      <c r="D201" s="1">
        <v>0.01</v>
      </c>
      <c r="E201" s="1" t="s">
        <v>2</v>
      </c>
      <c r="F201" s="1" t="s">
        <v>89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2457307.5485</v>
      </c>
      <c r="B202" s="1" t="s">
        <v>135</v>
      </c>
      <c r="C202" s="1">
        <v>8.0350000000000001</v>
      </c>
      <c r="D202" s="1">
        <v>0.01</v>
      </c>
      <c r="E202" s="1" t="s">
        <v>2</v>
      </c>
      <c r="F202" s="1" t="s">
        <v>89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2457307.54893</v>
      </c>
      <c r="B203" s="1" t="s">
        <v>135</v>
      </c>
      <c r="C203" s="1">
        <v>8.0359999999999996</v>
      </c>
      <c r="D203" s="1">
        <v>0.01</v>
      </c>
      <c r="E203" s="1" t="s">
        <v>2</v>
      </c>
      <c r="F203" s="1" t="s">
        <v>89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2457307.5493700001</v>
      </c>
      <c r="B204" s="1" t="s">
        <v>135</v>
      </c>
      <c r="C204" s="1">
        <v>8.0410000000000004</v>
      </c>
      <c r="D204" s="1">
        <v>0.01</v>
      </c>
      <c r="E204" s="1" t="s">
        <v>2</v>
      </c>
      <c r="F204" s="1" t="s">
        <v>89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2457307.5498100002</v>
      </c>
      <c r="B205" s="1" t="s">
        <v>135</v>
      </c>
      <c r="C205" s="1">
        <v>8.0250000000000004</v>
      </c>
      <c r="D205" s="1">
        <v>0.01</v>
      </c>
      <c r="E205" s="1" t="s">
        <v>2</v>
      </c>
      <c r="F205" s="1" t="s">
        <v>89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2457307.5502499999</v>
      </c>
      <c r="B206" s="1" t="s">
        <v>135</v>
      </c>
      <c r="C206" s="1">
        <v>8.0079999999999991</v>
      </c>
      <c r="D206" s="1">
        <v>0.01</v>
      </c>
      <c r="E206" s="1" t="s">
        <v>2</v>
      </c>
      <c r="F206" s="1" t="s">
        <v>89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2457307.5506899999</v>
      </c>
      <c r="B207" s="1" t="s">
        <v>135</v>
      </c>
      <c r="C207" s="1">
        <v>8.0280000000000005</v>
      </c>
      <c r="D207" s="1">
        <v>0.01</v>
      </c>
      <c r="E207" s="1" t="s">
        <v>2</v>
      </c>
      <c r="F207" s="1" t="s">
        <v>89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2457307.55113</v>
      </c>
      <c r="B208" s="1" t="s">
        <v>135</v>
      </c>
      <c r="C208" s="1">
        <v>8.0180000000000007</v>
      </c>
      <c r="D208" s="1">
        <v>0.01</v>
      </c>
      <c r="E208" s="1" t="s">
        <v>2</v>
      </c>
      <c r="F208" s="1" t="s">
        <v>89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2457307.5515700001</v>
      </c>
      <c r="B209" s="1" t="s">
        <v>135</v>
      </c>
      <c r="C209" s="1">
        <v>8.0109999999999992</v>
      </c>
      <c r="D209" s="1">
        <v>0.01</v>
      </c>
      <c r="E209" s="1" t="s">
        <v>2</v>
      </c>
      <c r="F209" s="1" t="s">
        <v>89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2457307.5520100002</v>
      </c>
      <c r="B210" s="1" t="s">
        <v>135</v>
      </c>
      <c r="C210" s="1">
        <v>8.0280000000000005</v>
      </c>
      <c r="D210" s="1">
        <v>0.01</v>
      </c>
      <c r="E210" s="1" t="s">
        <v>2</v>
      </c>
      <c r="F210" s="1" t="s">
        <v>89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2457307.5524400002</v>
      </c>
      <c r="B211" s="1" t="s">
        <v>135</v>
      </c>
      <c r="C211" s="1">
        <v>8.01</v>
      </c>
      <c r="D211" s="1">
        <v>0.01</v>
      </c>
      <c r="E211" s="1" t="s">
        <v>2</v>
      </c>
      <c r="F211" s="1" t="s">
        <v>89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2457307.5528799999</v>
      </c>
      <c r="B212" s="1" t="s">
        <v>135</v>
      </c>
      <c r="C212" s="1">
        <v>8.0250000000000004</v>
      </c>
      <c r="D212" s="1">
        <v>0.01</v>
      </c>
      <c r="E212" s="1" t="s">
        <v>2</v>
      </c>
      <c r="F212" s="1" t="s">
        <v>89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2457307.5533199999</v>
      </c>
      <c r="B213" s="1" t="s">
        <v>135</v>
      </c>
      <c r="C213" s="1">
        <v>8.032</v>
      </c>
      <c r="D213" s="1">
        <v>0.01</v>
      </c>
      <c r="E213" s="1" t="s">
        <v>2</v>
      </c>
      <c r="F213" s="1" t="s">
        <v>89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2457307.55376</v>
      </c>
      <c r="B214" s="1" t="s">
        <v>135</v>
      </c>
      <c r="C214" s="1">
        <v>8.0380000000000003</v>
      </c>
      <c r="D214" s="1">
        <v>0.01</v>
      </c>
      <c r="E214" s="1" t="s">
        <v>2</v>
      </c>
      <c r="F214" s="1" t="s">
        <v>89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2457307.5542000001</v>
      </c>
      <c r="B215" s="1" t="s">
        <v>135</v>
      </c>
      <c r="C215" s="1">
        <v>8.0399999999999991</v>
      </c>
      <c r="D215" s="1">
        <v>0.01</v>
      </c>
      <c r="E215" s="1" t="s">
        <v>2</v>
      </c>
      <c r="F215" s="1" t="s">
        <v>89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2457307.5546400002</v>
      </c>
      <c r="B216" s="1" t="s">
        <v>135</v>
      </c>
      <c r="C216" s="1">
        <v>8.0180000000000007</v>
      </c>
      <c r="D216" s="1">
        <v>0.01</v>
      </c>
      <c r="E216" s="1" t="s">
        <v>2</v>
      </c>
      <c r="F216" s="1" t="s">
        <v>89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2457307.5550600002</v>
      </c>
      <c r="B217" s="1" t="s">
        <v>135</v>
      </c>
      <c r="C217" s="1">
        <v>8.0220000000000002</v>
      </c>
      <c r="D217" s="1">
        <v>0.01</v>
      </c>
      <c r="E217" s="1" t="s">
        <v>2</v>
      </c>
      <c r="F217" s="1" t="s">
        <v>89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2457307.5554999998</v>
      </c>
      <c r="B218" s="1" t="s">
        <v>135</v>
      </c>
      <c r="C218" s="1">
        <v>8.0220000000000002</v>
      </c>
      <c r="D218" s="1">
        <v>0.01</v>
      </c>
      <c r="E218" s="1" t="s">
        <v>2</v>
      </c>
      <c r="F218" s="1" t="s">
        <v>89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2457307.5559399999</v>
      </c>
      <c r="B219" s="1" t="s">
        <v>135</v>
      </c>
      <c r="C219" s="1">
        <v>8.0259999999999998</v>
      </c>
      <c r="D219" s="1">
        <v>0.01</v>
      </c>
      <c r="E219" s="1" t="s">
        <v>2</v>
      </c>
      <c r="F219" s="1" t="s">
        <v>89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2457307.55638</v>
      </c>
      <c r="B220" s="1" t="s">
        <v>135</v>
      </c>
      <c r="C220" s="1">
        <v>8.0129999999999999</v>
      </c>
      <c r="D220" s="1">
        <v>0.01</v>
      </c>
      <c r="E220" s="1" t="s">
        <v>2</v>
      </c>
      <c r="F220" s="1" t="s">
        <v>89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2457307.5568200001</v>
      </c>
      <c r="B221" s="1" t="s">
        <v>135</v>
      </c>
      <c r="C221" s="1">
        <v>8.0530000000000008</v>
      </c>
      <c r="D221" s="1">
        <v>0.01</v>
      </c>
      <c r="E221" s="1" t="s">
        <v>2</v>
      </c>
      <c r="F221" s="1" t="s">
        <v>89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2457307.5572600001</v>
      </c>
      <c r="B222" s="1" t="s">
        <v>135</v>
      </c>
      <c r="C222" s="1">
        <v>8.0069999999999997</v>
      </c>
      <c r="D222" s="1">
        <v>0.01</v>
      </c>
      <c r="E222" s="1" t="s">
        <v>2</v>
      </c>
      <c r="F222" s="1" t="s">
        <v>89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2457307.5576999998</v>
      </c>
      <c r="B223" s="1" t="s">
        <v>135</v>
      </c>
      <c r="C223" s="1">
        <v>8.0449999999999999</v>
      </c>
      <c r="D223" s="1">
        <v>0.01</v>
      </c>
      <c r="E223" s="1" t="s">
        <v>2</v>
      </c>
      <c r="F223" s="1" t="s">
        <v>89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2457307.5581299998</v>
      </c>
      <c r="B224" s="1" t="s">
        <v>135</v>
      </c>
      <c r="C224" s="1">
        <v>8.0530000000000008</v>
      </c>
      <c r="D224" s="1">
        <v>0.01</v>
      </c>
      <c r="E224" s="1" t="s">
        <v>2</v>
      </c>
      <c r="F224" s="1" t="s">
        <v>89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2457307.6027000002</v>
      </c>
      <c r="B225" s="1" t="s">
        <v>135</v>
      </c>
      <c r="C225" s="1">
        <v>7.9950000000000001</v>
      </c>
      <c r="D225" s="1">
        <v>8.0000000000000002E-3</v>
      </c>
      <c r="E225" s="1" t="s">
        <v>2</v>
      </c>
      <c r="F225" s="1" t="s">
        <v>125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2457309.42778</v>
      </c>
      <c r="B226" s="1" t="s">
        <v>136</v>
      </c>
      <c r="C226" s="1">
        <v>8.0790000000000006</v>
      </c>
      <c r="D226" s="1">
        <v>2.4E-2</v>
      </c>
      <c r="E226" s="1" t="s">
        <v>2</v>
      </c>
      <c r="F226" s="1" t="s">
        <v>16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2457309.5479299999</v>
      </c>
      <c r="B227" s="1" t="s">
        <v>137</v>
      </c>
      <c r="C227" s="1">
        <v>8.157</v>
      </c>
      <c r="D227" s="1">
        <v>7.0000000000000001E-3</v>
      </c>
      <c r="E227" s="1" t="s">
        <v>2</v>
      </c>
      <c r="F227" s="1" t="s">
        <v>89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2457309.5483200001</v>
      </c>
      <c r="B228" s="1" t="s">
        <v>137</v>
      </c>
      <c r="C228" s="1">
        <v>8.16</v>
      </c>
      <c r="D228" s="1">
        <v>7.0000000000000001E-3</v>
      </c>
      <c r="E228" s="1" t="s">
        <v>2</v>
      </c>
      <c r="F228" s="1" t="s">
        <v>89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2457309.5486900001</v>
      </c>
      <c r="B229" s="1" t="s">
        <v>137</v>
      </c>
      <c r="C229" s="1">
        <v>8.1519999999999992</v>
      </c>
      <c r="D229" s="1">
        <v>7.0000000000000001E-3</v>
      </c>
      <c r="E229" s="1" t="s">
        <v>2</v>
      </c>
      <c r="F229" s="1" t="s">
        <v>89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2457309.5490700002</v>
      </c>
      <c r="B230" s="1" t="s">
        <v>137</v>
      </c>
      <c r="C230" s="1">
        <v>8.1470000000000002</v>
      </c>
      <c r="D230" s="1">
        <v>7.0000000000000001E-3</v>
      </c>
      <c r="E230" s="1" t="s">
        <v>2</v>
      </c>
      <c r="F230" s="1" t="s">
        <v>89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2457309.5494499998</v>
      </c>
      <c r="B231" s="1" t="s">
        <v>137</v>
      </c>
      <c r="C231" s="1">
        <v>8.1479999999999997</v>
      </c>
      <c r="D231" s="1">
        <v>7.0000000000000001E-3</v>
      </c>
      <c r="E231" s="1" t="s">
        <v>2</v>
      </c>
      <c r="F231" s="1" t="s">
        <v>89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2457310.5232299999</v>
      </c>
      <c r="B232" s="1" t="s">
        <v>138</v>
      </c>
      <c r="C232" s="1">
        <v>8.0589999999999993</v>
      </c>
      <c r="D232" s="1">
        <v>7.0000000000000001E-3</v>
      </c>
      <c r="E232" s="1" t="s">
        <v>2</v>
      </c>
      <c r="F232" s="1" t="s">
        <v>89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2457310.52361</v>
      </c>
      <c r="B233" s="1" t="s">
        <v>138</v>
      </c>
      <c r="C233" s="1">
        <v>8.06</v>
      </c>
      <c r="D233" s="1">
        <v>7.0000000000000001E-3</v>
      </c>
      <c r="E233" s="1" t="s">
        <v>2</v>
      </c>
      <c r="F233" s="1" t="s">
        <v>89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2457310.5239900001</v>
      </c>
      <c r="B234" s="1" t="s">
        <v>138</v>
      </c>
      <c r="C234" s="1">
        <v>8.0440000000000005</v>
      </c>
      <c r="D234" s="1">
        <v>7.0000000000000001E-3</v>
      </c>
      <c r="E234" s="1" t="s">
        <v>2</v>
      </c>
      <c r="F234" s="1" t="s">
        <v>89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2457310.5243700002</v>
      </c>
      <c r="B235" s="1" t="s">
        <v>138</v>
      </c>
      <c r="C235" s="1">
        <v>8.048</v>
      </c>
      <c r="D235" s="1">
        <v>7.0000000000000001E-3</v>
      </c>
      <c r="E235" s="1" t="s">
        <v>2</v>
      </c>
      <c r="F235" s="1" t="s">
        <v>89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2457310.5247499999</v>
      </c>
      <c r="B236" s="1" t="s">
        <v>138</v>
      </c>
      <c r="C236" s="1">
        <v>8.0609999999999999</v>
      </c>
      <c r="D236" s="1">
        <v>7.0000000000000001E-3</v>
      </c>
      <c r="E236" s="1" t="s">
        <v>2</v>
      </c>
      <c r="F236" s="1" t="s">
        <v>89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2457310.52513</v>
      </c>
      <c r="B237" s="1" t="s">
        <v>138</v>
      </c>
      <c r="C237" s="1">
        <v>8.0619999999999994</v>
      </c>
      <c r="D237" s="1">
        <v>7.0000000000000001E-3</v>
      </c>
      <c r="E237" s="1" t="s">
        <v>2</v>
      </c>
      <c r="F237" s="1" t="s">
        <v>89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2457310.5255200001</v>
      </c>
      <c r="B238" s="1" t="s">
        <v>138</v>
      </c>
      <c r="C238" s="1">
        <v>8.0570000000000004</v>
      </c>
      <c r="D238" s="1">
        <v>7.0000000000000001E-3</v>
      </c>
      <c r="E238" s="1" t="s">
        <v>2</v>
      </c>
      <c r="F238" s="1" t="s">
        <v>89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2457310.5258999998</v>
      </c>
      <c r="B239" s="1" t="s">
        <v>138</v>
      </c>
      <c r="C239" s="1">
        <v>8.06</v>
      </c>
      <c r="D239" s="1">
        <v>7.0000000000000001E-3</v>
      </c>
      <c r="E239" s="1" t="s">
        <v>2</v>
      </c>
      <c r="F239" s="1" t="s">
        <v>89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2457310.5262799999</v>
      </c>
      <c r="B240" s="1" t="s">
        <v>138</v>
      </c>
      <c r="C240" s="1">
        <v>8.0549999999999997</v>
      </c>
      <c r="D240" s="1">
        <v>7.0000000000000001E-3</v>
      </c>
      <c r="E240" s="1" t="s">
        <v>2</v>
      </c>
      <c r="F240" s="1" t="s">
        <v>89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2457310.52666</v>
      </c>
      <c r="B241" s="1" t="s">
        <v>138</v>
      </c>
      <c r="C241" s="1">
        <v>8.0470000000000006</v>
      </c>
      <c r="D241" s="1">
        <v>7.0000000000000001E-3</v>
      </c>
      <c r="E241" s="1" t="s">
        <v>2</v>
      </c>
      <c r="F241" s="1" t="s">
        <v>89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2457310.6024000002</v>
      </c>
      <c r="B242" s="1" t="s">
        <v>138</v>
      </c>
      <c r="C242" s="1">
        <v>8.0340000000000007</v>
      </c>
      <c r="D242" s="1">
        <v>6.0000000000000001E-3</v>
      </c>
      <c r="E242" s="1" t="s">
        <v>2</v>
      </c>
      <c r="F242" s="1" t="s">
        <v>125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2457311.4634699998</v>
      </c>
      <c r="B243" s="1" t="s">
        <v>138</v>
      </c>
      <c r="C243" s="1">
        <v>8.0259999999999998</v>
      </c>
      <c r="D243" s="1">
        <v>5.0000000000000001E-3</v>
      </c>
      <c r="E243" s="1" t="s">
        <v>2</v>
      </c>
      <c r="F243" s="1" t="s">
        <v>127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2457312.5419000001</v>
      </c>
      <c r="B244" s="1" t="s">
        <v>139</v>
      </c>
      <c r="C244" s="1">
        <v>8.1120000000000001</v>
      </c>
      <c r="D244" s="1">
        <v>7.0000000000000001E-3</v>
      </c>
      <c r="E244" s="1" t="s">
        <v>2</v>
      </c>
      <c r="F244" s="1" t="s">
        <v>89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2457312.5430999999</v>
      </c>
      <c r="B245" s="1" t="s">
        <v>139</v>
      </c>
      <c r="C245" s="1">
        <v>8.0920000000000005</v>
      </c>
      <c r="D245" s="1">
        <v>7.0000000000000001E-3</v>
      </c>
      <c r="E245" s="1" t="s">
        <v>2</v>
      </c>
      <c r="F245" s="1" t="s">
        <v>89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2457312.5434699999</v>
      </c>
      <c r="B246" s="1" t="s">
        <v>139</v>
      </c>
      <c r="C246" s="1">
        <v>8.0879999999999992</v>
      </c>
      <c r="D246" s="1">
        <v>7.0000000000000001E-3</v>
      </c>
      <c r="E246" s="1" t="s">
        <v>2</v>
      </c>
      <c r="F246" s="1" t="s">
        <v>89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2457312.54385</v>
      </c>
      <c r="B247" s="1" t="s">
        <v>139</v>
      </c>
      <c r="C247" s="1">
        <v>8.0990000000000002</v>
      </c>
      <c r="D247" s="1">
        <v>7.0000000000000001E-3</v>
      </c>
      <c r="E247" s="1" t="s">
        <v>2</v>
      </c>
      <c r="F247" s="1" t="s">
        <v>89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2457312.5442300001</v>
      </c>
      <c r="B248" s="1" t="s">
        <v>139</v>
      </c>
      <c r="C248" s="1">
        <v>8.093</v>
      </c>
      <c r="D248" s="1">
        <v>7.0000000000000001E-3</v>
      </c>
      <c r="E248" s="1" t="s">
        <v>2</v>
      </c>
      <c r="F248" s="1" t="s">
        <v>89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2457312.5446100002</v>
      </c>
      <c r="B249" s="1" t="s">
        <v>139</v>
      </c>
      <c r="C249" s="1">
        <v>8.0879999999999992</v>
      </c>
      <c r="D249" s="1">
        <v>7.0000000000000001E-3</v>
      </c>
      <c r="E249" s="1" t="s">
        <v>2</v>
      </c>
      <c r="F249" s="1" t="s">
        <v>89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2457313.5123200002</v>
      </c>
      <c r="B250" s="1" t="s">
        <v>140</v>
      </c>
      <c r="C250" s="1">
        <v>8.0280000000000005</v>
      </c>
      <c r="D250" s="1">
        <v>8.0000000000000002E-3</v>
      </c>
      <c r="E250" s="1" t="s">
        <v>2</v>
      </c>
      <c r="F250" s="1" t="s">
        <v>89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2457313.5143300002</v>
      </c>
      <c r="B251" s="1" t="s">
        <v>140</v>
      </c>
      <c r="C251" s="1">
        <v>8.0519999999999996</v>
      </c>
      <c r="D251" s="1">
        <v>8.0000000000000002E-3</v>
      </c>
      <c r="E251" s="1" t="s">
        <v>2</v>
      </c>
      <c r="F251" s="1" t="s">
        <v>89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2457313.5147199999</v>
      </c>
      <c r="B252" s="1" t="s">
        <v>140</v>
      </c>
      <c r="C252" s="1">
        <v>8.0190000000000001</v>
      </c>
      <c r="D252" s="1">
        <v>8.0000000000000002E-3</v>
      </c>
      <c r="E252" s="1" t="s">
        <v>2</v>
      </c>
      <c r="F252" s="1" t="s">
        <v>89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2457313.5150899999</v>
      </c>
      <c r="B253" s="1" t="s">
        <v>140</v>
      </c>
      <c r="C253" s="1">
        <v>8.0289999999999999</v>
      </c>
      <c r="D253" s="1">
        <v>8.0000000000000002E-3</v>
      </c>
      <c r="E253" s="1" t="s">
        <v>2</v>
      </c>
      <c r="F253" s="1" t="s">
        <v>89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2457313.51547</v>
      </c>
      <c r="B254" s="1" t="s">
        <v>140</v>
      </c>
      <c r="C254" s="1">
        <v>8.0359999999999996</v>
      </c>
      <c r="D254" s="1">
        <v>8.0000000000000002E-3</v>
      </c>
      <c r="E254" s="1" t="s">
        <v>2</v>
      </c>
      <c r="F254" s="1" t="s">
        <v>89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2457314.5855</v>
      </c>
      <c r="B255" s="1" t="s">
        <v>141</v>
      </c>
      <c r="C255" s="1">
        <v>7.94</v>
      </c>
      <c r="D255" s="1">
        <v>7.0000000000000001E-3</v>
      </c>
      <c r="E255" s="1" t="s">
        <v>2</v>
      </c>
      <c r="F255" s="1" t="s">
        <v>125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2457315.8209299999</v>
      </c>
      <c r="B256" s="1" t="s">
        <v>142</v>
      </c>
      <c r="C256" s="1">
        <v>7.9550000000000001</v>
      </c>
      <c r="D256" s="1">
        <v>3.0000000000000001E-3</v>
      </c>
      <c r="E256" s="1" t="s">
        <v>2</v>
      </c>
      <c r="F256" s="1" t="s">
        <v>13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2457315.8218200002</v>
      </c>
      <c r="B257" s="1" t="s">
        <v>142</v>
      </c>
      <c r="C257" s="1">
        <v>7.9950000000000001</v>
      </c>
      <c r="D257" s="1">
        <v>3.0000000000000001E-3</v>
      </c>
      <c r="E257" s="1" t="s">
        <v>2</v>
      </c>
      <c r="F257" s="1" t="s">
        <v>13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2457315.8226999999</v>
      </c>
      <c r="B258" s="1" t="s">
        <v>142</v>
      </c>
      <c r="C258" s="1">
        <v>7.984</v>
      </c>
      <c r="D258" s="1">
        <v>3.0000000000000001E-3</v>
      </c>
      <c r="E258" s="1" t="s">
        <v>2</v>
      </c>
      <c r="F258" s="1" t="s">
        <v>13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2457321.46777</v>
      </c>
      <c r="B259" s="1" t="s">
        <v>143</v>
      </c>
      <c r="C259" s="1">
        <v>8.1389999999999993</v>
      </c>
      <c r="D259" s="1">
        <v>5.0000000000000001E-3</v>
      </c>
      <c r="E259" s="1" t="s">
        <v>2</v>
      </c>
      <c r="F259" s="1" t="s">
        <v>127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2457321.4793199999</v>
      </c>
      <c r="B260" s="1" t="s">
        <v>143</v>
      </c>
      <c r="C260" s="1">
        <v>8.1839999999999993</v>
      </c>
      <c r="D260" s="1">
        <v>1.7999999999999999E-2</v>
      </c>
      <c r="E260" s="1" t="s">
        <v>2</v>
      </c>
      <c r="F260" s="1" t="s">
        <v>89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2457321.4796899999</v>
      </c>
      <c r="B261" s="1" t="s">
        <v>143</v>
      </c>
      <c r="C261" s="1">
        <v>8.1579999999999995</v>
      </c>
      <c r="D261" s="1">
        <v>1.7999999999999999E-2</v>
      </c>
      <c r="E261" s="1" t="s">
        <v>2</v>
      </c>
      <c r="F261" s="1" t="s">
        <v>89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2457321.4800800001</v>
      </c>
      <c r="B262" s="1" t="s">
        <v>143</v>
      </c>
      <c r="C262" s="1">
        <v>8.1940000000000008</v>
      </c>
      <c r="D262" s="1">
        <v>1.7000000000000001E-2</v>
      </c>
      <c r="E262" s="1" t="s">
        <v>2</v>
      </c>
      <c r="F262" s="1" t="s">
        <v>89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2457321.4804600002</v>
      </c>
      <c r="B263" s="1" t="s">
        <v>143</v>
      </c>
      <c r="C263" s="1">
        <v>8.1850000000000005</v>
      </c>
      <c r="D263" s="1">
        <v>1.7000000000000001E-2</v>
      </c>
      <c r="E263" s="1" t="s">
        <v>2</v>
      </c>
      <c r="F263" s="1" t="s">
        <v>89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2457321.4808399999</v>
      </c>
      <c r="B264" s="1" t="s">
        <v>143</v>
      </c>
      <c r="C264" s="1">
        <v>8.1760000000000002</v>
      </c>
      <c r="D264" s="1">
        <v>1.7000000000000001E-2</v>
      </c>
      <c r="E264" s="1" t="s">
        <v>2</v>
      </c>
      <c r="F264" s="1" t="s">
        <v>89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2457321.5814</v>
      </c>
      <c r="B265" s="1" t="s">
        <v>144</v>
      </c>
      <c r="C265" s="1">
        <v>8.1639999999999997</v>
      </c>
      <c r="D265" s="1">
        <v>1.2999999999999999E-2</v>
      </c>
      <c r="E265" s="1" t="s">
        <v>2</v>
      </c>
      <c r="F265" s="1" t="s">
        <v>125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B1:P38"/>
  <sheetViews>
    <sheetView showGridLines="0" topLeftCell="B13" workbookViewId="0">
      <selection activeCell="J22" sqref="J22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149</v>
      </c>
    </row>
    <row r="2" spans="2:16" x14ac:dyDescent="0.25">
      <c r="P2" t="s">
        <v>150</v>
      </c>
    </row>
    <row r="3" spans="2:16" x14ac:dyDescent="0.25">
      <c r="C3" s="5"/>
      <c r="D3" s="5" t="s">
        <v>151</v>
      </c>
      <c r="E3" s="5" t="s">
        <v>147</v>
      </c>
      <c r="F3" s="5" t="s">
        <v>215</v>
      </c>
      <c r="G3" s="5"/>
      <c r="H3" s="5"/>
      <c r="I3" s="5"/>
      <c r="J3" s="5"/>
      <c r="K3" s="5"/>
      <c r="L3" s="5"/>
      <c r="P3" t="s">
        <v>152</v>
      </c>
    </row>
    <row r="4" spans="2:16" x14ac:dyDescent="0.25">
      <c r="C4" s="5"/>
      <c r="D4" s="5" t="s">
        <v>153</v>
      </c>
      <c r="E4" s="5" t="str">
        <f>CONCATENATE("D:\SymbioticStudies\" &amp; E5&amp;F3)</f>
        <v>D:\SymbioticStudies\AGPeg\2016</v>
      </c>
      <c r="F4" s="5"/>
      <c r="G4" s="5"/>
      <c r="H4" s="5" t="str">
        <f>+CONCATENATE("D:\SITEWEB\SymbioticStars\Studies\" &amp; E5)</f>
        <v>D:\SITEWEB\SymbioticStars\Studies\AGPeg</v>
      </c>
      <c r="I4" s="5"/>
      <c r="J4" s="5"/>
      <c r="K4" s="5"/>
      <c r="L4" s="5"/>
      <c r="P4" t="s">
        <v>154</v>
      </c>
    </row>
    <row r="5" spans="2:16" x14ac:dyDescent="0.25">
      <c r="C5" s="5"/>
      <c r="D5" s="5" t="s">
        <v>155</v>
      </c>
      <c r="E5" s="5" t="str">
        <f>+SUBSTITUTE(E3," ","")</f>
        <v>AGPeg</v>
      </c>
      <c r="F5" s="5"/>
      <c r="G5" s="5"/>
      <c r="H5" s="5"/>
      <c r="I5" s="5"/>
      <c r="J5" s="5"/>
      <c r="K5" s="5"/>
      <c r="L5" s="5"/>
      <c r="P5" t="s">
        <v>156</v>
      </c>
    </row>
    <row r="6" spans="2:16" x14ac:dyDescent="0.25">
      <c r="P6" t="s">
        <v>157</v>
      </c>
    </row>
    <row r="7" spans="2:16" x14ac:dyDescent="0.25">
      <c r="C7" s="6" t="s">
        <v>158</v>
      </c>
      <c r="D7" s="6">
        <v>818.2</v>
      </c>
      <c r="F7" s="5" t="s">
        <v>159</v>
      </c>
      <c r="G7" s="5">
        <f>+VLOOKUP($J$9,$B$16:$G$37,5)</f>
        <v>10</v>
      </c>
      <c r="H7" s="5"/>
      <c r="P7" t="s">
        <v>160</v>
      </c>
    </row>
    <row r="8" spans="2:16" x14ac:dyDescent="0.25">
      <c r="C8" s="6" t="s">
        <v>161</v>
      </c>
      <c r="D8" s="6">
        <v>2450804</v>
      </c>
      <c r="F8" s="5" t="s">
        <v>162</v>
      </c>
      <c r="G8" s="5">
        <v>500</v>
      </c>
      <c r="H8" s="5" t="s">
        <v>163</v>
      </c>
      <c r="P8" t="s">
        <v>164</v>
      </c>
    </row>
    <row r="9" spans="2:16" x14ac:dyDescent="0.25">
      <c r="C9" s="6" t="s">
        <v>165</v>
      </c>
      <c r="D9" s="6">
        <v>-15.9</v>
      </c>
      <c r="F9" s="5" t="s">
        <v>166</v>
      </c>
      <c r="G9" s="5">
        <f>+G8/2</f>
        <v>250</v>
      </c>
      <c r="H9" s="5"/>
      <c r="J9">
        <v>10</v>
      </c>
      <c r="P9" t="s">
        <v>167</v>
      </c>
    </row>
    <row r="10" spans="2:16" x14ac:dyDescent="0.25">
      <c r="F10" s="5" t="s">
        <v>168</v>
      </c>
      <c r="G10" s="5">
        <f>+VLOOKUP($J$9,$B$16:$G$37,6)</f>
        <v>3</v>
      </c>
      <c r="H10" s="5"/>
      <c r="P10" t="s">
        <v>169</v>
      </c>
    </row>
    <row r="11" spans="2:16" x14ac:dyDescent="0.25">
      <c r="C11" s="5" t="s">
        <v>170</v>
      </c>
      <c r="D11" s="5">
        <v>250</v>
      </c>
      <c r="F11" s="5" t="s">
        <v>171</v>
      </c>
      <c r="G11" s="5"/>
      <c r="H11" s="5"/>
      <c r="P11" t="s">
        <v>172</v>
      </c>
    </row>
    <row r="12" spans="2:16" x14ac:dyDescent="0.25">
      <c r="C12" s="5" t="s">
        <v>173</v>
      </c>
      <c r="D12" s="5">
        <v>450</v>
      </c>
      <c r="F12" s="5" t="s">
        <v>174</v>
      </c>
      <c r="G12" s="5">
        <f>+VLOOKUP($J$9,$B$16:$H$37,7)</f>
        <v>130</v>
      </c>
      <c r="H12" s="5"/>
      <c r="P12" t="s">
        <v>175</v>
      </c>
    </row>
    <row r="13" spans="2:16" x14ac:dyDescent="0.25">
      <c r="C13" s="5" t="s">
        <v>176</v>
      </c>
      <c r="D13" s="7" t="str">
        <f>+VLOOKUP([3]Feuil1!A1,[3]Feuil1!A3:B6,2)</f>
        <v>b</v>
      </c>
      <c r="F13" s="5" t="s">
        <v>177</v>
      </c>
      <c r="G13" s="8">
        <f>+VLOOKUP($J$9,$B$16:$H$37,4)</f>
        <v>4685.68</v>
      </c>
      <c r="H13" s="5"/>
      <c r="P13" t="s">
        <v>178</v>
      </c>
    </row>
    <row r="14" spans="2:16" x14ac:dyDescent="0.25">
      <c r="F14" s="5" t="s">
        <v>179</v>
      </c>
      <c r="G14" s="9" t="str">
        <f>+VLOOKUP($J$9,$B$16:$H$37,2)</f>
        <v>He II 4686</v>
      </c>
      <c r="H14" s="5"/>
      <c r="P14" t="s">
        <v>180</v>
      </c>
    </row>
    <row r="15" spans="2:16" x14ac:dyDescent="0.25">
      <c r="F15" s="10" t="s">
        <v>159</v>
      </c>
      <c r="G15" s="10" t="s">
        <v>168</v>
      </c>
      <c r="H15" s="10"/>
      <c r="P15" t="s">
        <v>181</v>
      </c>
    </row>
    <row r="16" spans="2:16" x14ac:dyDescent="0.25">
      <c r="B16" s="11">
        <v>1</v>
      </c>
      <c r="C16" s="11" t="str">
        <f>+CONCATENATE(D16 &amp; " " &amp; ROUND( E16,0))</f>
        <v>Ha 6563</v>
      </c>
      <c r="D16" t="s">
        <v>182</v>
      </c>
      <c r="E16">
        <v>6562.82</v>
      </c>
      <c r="F16" s="10">
        <v>10</v>
      </c>
      <c r="G16" s="10">
        <v>2</v>
      </c>
      <c r="H16" s="10">
        <v>120</v>
      </c>
      <c r="P16" t="s">
        <v>183</v>
      </c>
    </row>
    <row r="17" spans="2:16" x14ac:dyDescent="0.25">
      <c r="B17" s="11">
        <v>2</v>
      </c>
      <c r="C17" s="11" t="str">
        <f t="shared" ref="C17:C34" si="0">+CONCATENATE(D17 &amp; " " &amp; ROUND( E17,0))</f>
        <v>Hb 4861</v>
      </c>
      <c r="D17" t="s">
        <v>184</v>
      </c>
      <c r="E17">
        <v>4861.34</v>
      </c>
      <c r="F17" s="10">
        <v>10</v>
      </c>
      <c r="G17" s="10">
        <v>3</v>
      </c>
      <c r="H17" s="10">
        <v>130</v>
      </c>
      <c r="P17" t="s">
        <v>185</v>
      </c>
    </row>
    <row r="18" spans="2:16" x14ac:dyDescent="0.25">
      <c r="B18">
        <v>3</v>
      </c>
      <c r="C18" t="str">
        <f t="shared" si="0"/>
        <v>Hg 4340</v>
      </c>
      <c r="D18" t="s">
        <v>186</v>
      </c>
      <c r="E18">
        <v>4340</v>
      </c>
      <c r="F18" s="10">
        <v>1</v>
      </c>
      <c r="G18" s="10">
        <v>3</v>
      </c>
      <c r="H18" s="10">
        <v>25</v>
      </c>
      <c r="P18" t="s">
        <v>187</v>
      </c>
    </row>
    <row r="19" spans="2:16" x14ac:dyDescent="0.25">
      <c r="B19">
        <v>4</v>
      </c>
      <c r="C19" t="str">
        <f t="shared" si="0"/>
        <v>[OI] 6300</v>
      </c>
      <c r="D19" t="s">
        <v>188</v>
      </c>
      <c r="E19">
        <v>6300.32</v>
      </c>
      <c r="F19" s="10">
        <v>1</v>
      </c>
      <c r="G19" s="10">
        <v>0.5</v>
      </c>
      <c r="H19" s="10">
        <v>22</v>
      </c>
      <c r="P19" t="s">
        <v>189</v>
      </c>
    </row>
    <row r="20" spans="2:16" x14ac:dyDescent="0.25">
      <c r="B20">
        <v>5</v>
      </c>
      <c r="C20" t="str">
        <f t="shared" si="0"/>
        <v>[OI] 6363</v>
      </c>
      <c r="D20" t="s">
        <v>188</v>
      </c>
      <c r="E20">
        <v>6363</v>
      </c>
      <c r="F20" s="10"/>
      <c r="G20" s="10"/>
      <c r="H20" s="10"/>
      <c r="P20" t="s">
        <v>190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191</v>
      </c>
      <c r="E21">
        <v>5015.68</v>
      </c>
      <c r="F21" s="10">
        <v>1</v>
      </c>
      <c r="G21" s="10">
        <v>0.5</v>
      </c>
      <c r="H21" s="10">
        <v>25</v>
      </c>
      <c r="P21" t="s">
        <v>192</v>
      </c>
    </row>
    <row r="22" spans="2:16" x14ac:dyDescent="0.25">
      <c r="B22" s="11">
        <v>7</v>
      </c>
      <c r="C22" s="11" t="str">
        <f t="shared" si="0"/>
        <v>He I 5876</v>
      </c>
      <c r="D22" t="s">
        <v>191</v>
      </c>
      <c r="E22">
        <v>5875.65</v>
      </c>
      <c r="F22" s="10">
        <v>2</v>
      </c>
      <c r="G22" s="10">
        <v>0.5</v>
      </c>
      <c r="H22" s="10">
        <v>28</v>
      </c>
      <c r="P22" t="s">
        <v>193</v>
      </c>
    </row>
    <row r="23" spans="2:16" x14ac:dyDescent="0.25">
      <c r="B23">
        <v>8</v>
      </c>
      <c r="C23" t="str">
        <f t="shared" si="0"/>
        <v>He I 6678</v>
      </c>
      <c r="D23" t="s">
        <v>191</v>
      </c>
      <c r="E23">
        <v>6678.15</v>
      </c>
      <c r="F23" s="10">
        <v>1</v>
      </c>
      <c r="G23" s="10">
        <v>0.5</v>
      </c>
      <c r="H23" s="10">
        <v>15</v>
      </c>
      <c r="P23" t="s">
        <v>194</v>
      </c>
    </row>
    <row r="24" spans="2:16" x14ac:dyDescent="0.25">
      <c r="B24">
        <v>9</v>
      </c>
      <c r="C24" t="str">
        <f t="shared" si="0"/>
        <v>He I 7065</v>
      </c>
      <c r="D24" t="s">
        <v>191</v>
      </c>
      <c r="E24">
        <v>7065</v>
      </c>
      <c r="F24" s="10"/>
      <c r="G24" s="10"/>
      <c r="H24" s="10"/>
      <c r="P24" t="s">
        <v>195</v>
      </c>
    </row>
    <row r="25" spans="2:16" x14ac:dyDescent="0.25">
      <c r="B25">
        <v>10</v>
      </c>
      <c r="C25" t="str">
        <f t="shared" si="0"/>
        <v>He II 4686</v>
      </c>
      <c r="D25" t="s">
        <v>196</v>
      </c>
      <c r="E25">
        <v>4685.68</v>
      </c>
      <c r="F25" s="10">
        <v>10</v>
      </c>
      <c r="G25" s="10">
        <v>3</v>
      </c>
      <c r="H25" s="10">
        <v>130</v>
      </c>
      <c r="P25" t="s">
        <v>197</v>
      </c>
    </row>
    <row r="26" spans="2:16" x14ac:dyDescent="0.25">
      <c r="B26">
        <v>11</v>
      </c>
      <c r="C26" t="str">
        <f t="shared" si="0"/>
        <v>[O III] 5007</v>
      </c>
      <c r="D26" t="s">
        <v>198</v>
      </c>
      <c r="E26">
        <v>5006.84</v>
      </c>
      <c r="F26" s="10">
        <v>1</v>
      </c>
      <c r="G26" s="10">
        <v>0.5</v>
      </c>
      <c r="H26" s="10">
        <v>25</v>
      </c>
      <c r="P26" t="s">
        <v>199</v>
      </c>
    </row>
    <row r="27" spans="2:16" x14ac:dyDescent="0.25">
      <c r="B27">
        <v>12</v>
      </c>
      <c r="C27" t="str">
        <f t="shared" si="0"/>
        <v>[O III] 4959</v>
      </c>
      <c r="D27" t="s">
        <v>198</v>
      </c>
      <c r="E27">
        <v>4959</v>
      </c>
      <c r="F27" s="10"/>
      <c r="G27" s="10"/>
      <c r="H27" s="10"/>
      <c r="P27" t="s">
        <v>200</v>
      </c>
    </row>
    <row r="28" spans="2:16" x14ac:dyDescent="0.25">
      <c r="B28">
        <v>13</v>
      </c>
      <c r="C28" t="str">
        <f t="shared" si="0"/>
        <v>[O III] 4363</v>
      </c>
      <c r="D28" t="s">
        <v>198</v>
      </c>
      <c r="E28">
        <v>4363</v>
      </c>
      <c r="F28" s="10">
        <v>1</v>
      </c>
      <c r="G28" s="10">
        <v>0.5</v>
      </c>
      <c r="H28" s="10">
        <v>20</v>
      </c>
      <c r="P28" t="s">
        <v>201</v>
      </c>
    </row>
    <row r="29" spans="2:16" x14ac:dyDescent="0.25">
      <c r="B29">
        <v>14</v>
      </c>
      <c r="C29" t="str">
        <f t="shared" si="0"/>
        <v>Fe II 4924</v>
      </c>
      <c r="D29" t="s">
        <v>202</v>
      </c>
      <c r="E29">
        <v>4923.92</v>
      </c>
      <c r="F29" s="10">
        <v>1</v>
      </c>
      <c r="G29" s="10">
        <v>1</v>
      </c>
      <c r="H29" s="10">
        <v>25</v>
      </c>
      <c r="P29" t="s">
        <v>203</v>
      </c>
    </row>
    <row r="30" spans="2:16" x14ac:dyDescent="0.25">
      <c r="B30">
        <v>15</v>
      </c>
      <c r="C30" t="str">
        <f t="shared" si="0"/>
        <v>Fe II 5018</v>
      </c>
      <c r="D30" t="s">
        <v>202</v>
      </c>
      <c r="E30">
        <v>5018.43</v>
      </c>
      <c r="F30" s="10">
        <v>2</v>
      </c>
      <c r="G30" s="10">
        <v>1</v>
      </c>
      <c r="H30" s="10">
        <v>40</v>
      </c>
      <c r="P30" t="s">
        <v>204</v>
      </c>
    </row>
    <row r="31" spans="2:16" x14ac:dyDescent="0.25">
      <c r="B31">
        <v>16</v>
      </c>
      <c r="C31" t="str">
        <f t="shared" si="0"/>
        <v>NaI D 5890</v>
      </c>
      <c r="D31" t="s">
        <v>216</v>
      </c>
      <c r="E31">
        <v>5889.95</v>
      </c>
      <c r="F31" s="10">
        <v>0.01</v>
      </c>
      <c r="G31" s="10">
        <v>1</v>
      </c>
      <c r="H31" s="10">
        <v>2</v>
      </c>
      <c r="P31" t="s">
        <v>205</v>
      </c>
    </row>
    <row r="32" spans="2:16" x14ac:dyDescent="0.25">
      <c r="B32">
        <v>17</v>
      </c>
      <c r="C32" t="s">
        <v>148</v>
      </c>
      <c r="E32">
        <v>5018.43</v>
      </c>
      <c r="F32" s="10"/>
      <c r="G32" s="10"/>
      <c r="H32" s="10"/>
      <c r="P32" t="s">
        <v>206</v>
      </c>
    </row>
    <row r="33" spans="2:16" x14ac:dyDescent="0.25">
      <c r="B33">
        <v>18</v>
      </c>
      <c r="C33" t="str">
        <f t="shared" si="0"/>
        <v>[Fe VII] 6087</v>
      </c>
      <c r="D33" t="s">
        <v>207</v>
      </c>
      <c r="E33">
        <v>6087</v>
      </c>
      <c r="F33" s="10">
        <v>1</v>
      </c>
      <c r="G33" s="10">
        <v>0.5</v>
      </c>
      <c r="H33" s="10">
        <v>12</v>
      </c>
      <c r="P33" t="s">
        <v>208</v>
      </c>
    </row>
    <row r="34" spans="2:16" x14ac:dyDescent="0.25">
      <c r="B34">
        <v>19</v>
      </c>
      <c r="C34" t="str">
        <f t="shared" si="0"/>
        <v>[Fe VII] 5721</v>
      </c>
      <c r="D34" t="s">
        <v>207</v>
      </c>
      <c r="E34">
        <v>5721</v>
      </c>
      <c r="F34" s="10">
        <v>2</v>
      </c>
      <c r="G34" s="10">
        <v>1</v>
      </c>
      <c r="H34" s="10">
        <v>40</v>
      </c>
      <c r="P34" t="s">
        <v>209</v>
      </c>
    </row>
    <row r="35" spans="2:16" x14ac:dyDescent="0.25">
      <c r="B35">
        <v>20</v>
      </c>
      <c r="C35" t="s">
        <v>148</v>
      </c>
      <c r="D35" t="s">
        <v>207</v>
      </c>
      <c r="P35" t="s">
        <v>210</v>
      </c>
    </row>
    <row r="36" spans="2:16" x14ac:dyDescent="0.25">
      <c r="B36">
        <v>21</v>
      </c>
      <c r="C36" t="s">
        <v>211</v>
      </c>
      <c r="D36" t="s">
        <v>211</v>
      </c>
      <c r="E36">
        <v>6830</v>
      </c>
      <c r="F36" s="10">
        <v>2</v>
      </c>
      <c r="G36" s="10">
        <v>1</v>
      </c>
      <c r="H36" s="10">
        <v>20</v>
      </c>
      <c r="P36" t="s">
        <v>212</v>
      </c>
    </row>
    <row r="37" spans="2:16" x14ac:dyDescent="0.25">
      <c r="B37">
        <v>22</v>
      </c>
      <c r="C37" t="s">
        <v>148</v>
      </c>
      <c r="D37" t="s">
        <v>211</v>
      </c>
      <c r="P37" t="s">
        <v>213</v>
      </c>
    </row>
    <row r="38" spans="2:16" x14ac:dyDescent="0.25">
      <c r="P38" t="s">
        <v>214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Feuil1</vt:lpstr>
      <vt:lpstr>V</vt:lpstr>
      <vt:lpstr>Vis</vt:lpstr>
      <vt:lpstr>B-V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2020-04-28T20:28:39Z</dcterms:modified>
</cp:coreProperties>
</file>