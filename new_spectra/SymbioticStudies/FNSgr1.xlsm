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FBA922CD-5DD4-4579-864E-5E87C188AB29}" xr6:coauthVersionLast="38" xr6:coauthVersionMax="38" xr10:uidLastSave="{00000000-0000-0000-0000-000000000000}"/>
  <bookViews>
    <workbookView xWindow="0" yWindow="0" windowWidth="24000" windowHeight="9735" activeTab="2" xr2:uid="{00000000-000D-0000-FFFF-FFFF00000000}"/>
  </bookViews>
  <sheets>
    <sheet name="Index" sheetId="2" r:id="rId1"/>
    <sheet name="V" sheetId="1" r:id="rId2"/>
    <sheet name="matlab" sheetId="11" r:id="rId3"/>
    <sheet name="M" sheetId="3" r:id="rId4"/>
    <sheet name="Feuil1" sheetId="9" r:id="rId5"/>
  </sheets>
  <functionGroups builtInGroupCount="19"/>
  <externalReferences>
    <externalReference r:id="rId6"/>
    <externalReference r:id="rId7"/>
    <externalReference r:id="rId8"/>
  </externalReferenc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1" l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1" i="11"/>
  <c r="A74" i="11"/>
  <c r="A75" i="11"/>
  <c r="A76" i="11"/>
  <c r="A77" i="11"/>
  <c r="A78" i="11"/>
  <c r="A79" i="11"/>
  <c r="A80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34" i="11"/>
  <c r="A35" i="11"/>
  <c r="A36" i="11"/>
  <c r="A37" i="11"/>
  <c r="A38" i="11"/>
  <c r="A39" i="11"/>
  <c r="A40" i="11"/>
  <c r="A41" i="11"/>
  <c r="A42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1" i="11"/>
  <c r="B162" i="2" l="1"/>
  <c r="C162" i="2"/>
  <c r="D162" i="2"/>
  <c r="E162" i="2"/>
  <c r="F162" i="2"/>
  <c r="G162" i="2"/>
  <c r="H162" i="2"/>
  <c r="J162" i="2"/>
  <c r="K162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33" i="2"/>
  <c r="M160" i="2"/>
  <c r="J160" i="2"/>
  <c r="K160" i="2"/>
  <c r="M161" i="2"/>
  <c r="J161" i="2"/>
  <c r="K161" i="2"/>
  <c r="J150" i="2"/>
  <c r="K150" i="2"/>
  <c r="M150" i="2"/>
  <c r="J151" i="2"/>
  <c r="K151" i="2"/>
  <c r="M151" i="2"/>
  <c r="J152" i="2"/>
  <c r="K152" i="2"/>
  <c r="M152" i="2"/>
  <c r="J153" i="2"/>
  <c r="K153" i="2"/>
  <c r="M153" i="2"/>
  <c r="J154" i="2"/>
  <c r="K154" i="2"/>
  <c r="M154" i="2"/>
  <c r="J155" i="2"/>
  <c r="K155" i="2"/>
  <c r="M155" i="2"/>
  <c r="J156" i="2"/>
  <c r="K156" i="2"/>
  <c r="M156" i="2"/>
  <c r="J157" i="2"/>
  <c r="K157" i="2"/>
  <c r="M157" i="2"/>
  <c r="J158" i="2"/>
  <c r="K158" i="2"/>
  <c r="M158" i="2"/>
  <c r="J159" i="2"/>
  <c r="K159" i="2"/>
  <c r="M159" i="2"/>
  <c r="B133" i="2"/>
  <c r="C133" i="2"/>
  <c r="D133" i="2"/>
  <c r="E133" i="2"/>
  <c r="M133" i="2" s="1"/>
  <c r="F133" i="2"/>
  <c r="G133" i="2"/>
  <c r="H133" i="2"/>
  <c r="I133" i="2"/>
  <c r="J133" i="2"/>
  <c r="K133" i="2"/>
  <c r="B134" i="2"/>
  <c r="C134" i="2"/>
  <c r="D134" i="2"/>
  <c r="E134" i="2"/>
  <c r="M134" i="2" s="1"/>
  <c r="F134" i="2"/>
  <c r="G134" i="2"/>
  <c r="H134" i="2"/>
  <c r="I134" i="2"/>
  <c r="J134" i="2"/>
  <c r="K134" i="2"/>
  <c r="J139" i="2"/>
  <c r="K139" i="2"/>
  <c r="M135" i="2"/>
  <c r="M136" i="2"/>
  <c r="J135" i="2"/>
  <c r="K135" i="2"/>
  <c r="J136" i="2"/>
  <c r="K136" i="2"/>
  <c r="M137" i="2"/>
  <c r="M138" i="2"/>
  <c r="J140" i="2"/>
  <c r="K140" i="2"/>
  <c r="J142" i="2"/>
  <c r="K142" i="2"/>
  <c r="M139" i="2"/>
  <c r="M140" i="2"/>
  <c r="J143" i="2"/>
  <c r="K143" i="2"/>
  <c r="J144" i="2"/>
  <c r="K144" i="2"/>
  <c r="M141" i="2"/>
  <c r="M142" i="2"/>
  <c r="J145" i="2"/>
  <c r="K145" i="2"/>
  <c r="J141" i="2"/>
  <c r="K141" i="2"/>
  <c r="M143" i="2"/>
  <c r="M144" i="2"/>
  <c r="J137" i="2"/>
  <c r="K137" i="2"/>
  <c r="J138" i="2"/>
  <c r="K138" i="2"/>
  <c r="M145" i="2"/>
  <c r="M146" i="2"/>
  <c r="J147" i="2"/>
  <c r="K147" i="2"/>
  <c r="J146" i="2"/>
  <c r="K146" i="2"/>
  <c r="M147" i="2"/>
  <c r="M148" i="2"/>
  <c r="J148" i="2"/>
  <c r="K148" i="2"/>
  <c r="J149" i="2"/>
  <c r="K149" i="2"/>
  <c r="M149" i="2"/>
  <c r="B132" i="2" l="1"/>
  <c r="C132" i="2"/>
  <c r="D132" i="2"/>
  <c r="E132" i="2"/>
  <c r="M132" i="2" s="1"/>
  <c r="F132" i="2"/>
  <c r="G132" i="2"/>
  <c r="H132" i="2"/>
  <c r="I132" i="2"/>
  <c r="J132" i="2"/>
  <c r="K132" i="2"/>
  <c r="B129" i="2" l="1"/>
  <c r="C129" i="2"/>
  <c r="D129" i="2"/>
  <c r="E129" i="2"/>
  <c r="M129" i="2" s="1"/>
  <c r="F129" i="2"/>
  <c r="G129" i="2"/>
  <c r="H129" i="2"/>
  <c r="I129" i="2"/>
  <c r="J129" i="2"/>
  <c r="K129" i="2"/>
  <c r="B130" i="2"/>
  <c r="C130" i="2"/>
  <c r="D130" i="2"/>
  <c r="E130" i="2"/>
  <c r="M130" i="2" s="1"/>
  <c r="F130" i="2"/>
  <c r="G130" i="2"/>
  <c r="H130" i="2"/>
  <c r="I130" i="2"/>
  <c r="J130" i="2"/>
  <c r="K130" i="2"/>
  <c r="B131" i="2"/>
  <c r="C131" i="2"/>
  <c r="D131" i="2"/>
  <c r="E131" i="2"/>
  <c r="M131" i="2" s="1"/>
  <c r="F131" i="2"/>
  <c r="G131" i="2"/>
  <c r="H131" i="2"/>
  <c r="I131" i="2"/>
  <c r="J131" i="2"/>
  <c r="K131" i="2"/>
  <c r="B128" i="2" l="1"/>
  <c r="C128" i="2"/>
  <c r="D128" i="2"/>
  <c r="E128" i="2"/>
  <c r="M128" i="2" s="1"/>
  <c r="F128" i="2"/>
  <c r="G128" i="2"/>
  <c r="H128" i="2"/>
  <c r="I128" i="2"/>
  <c r="J128" i="2"/>
  <c r="K128" i="2"/>
  <c r="B123" i="2"/>
  <c r="C123" i="2"/>
  <c r="D123" i="2"/>
  <c r="E123" i="2"/>
  <c r="M123" i="2" s="1"/>
  <c r="F123" i="2"/>
  <c r="G123" i="2"/>
  <c r="H123" i="2"/>
  <c r="I123" i="2"/>
  <c r="J123" i="2"/>
  <c r="K123" i="2"/>
  <c r="B124" i="2"/>
  <c r="C124" i="2"/>
  <c r="D124" i="2"/>
  <c r="E124" i="2"/>
  <c r="M124" i="2" s="1"/>
  <c r="F124" i="2"/>
  <c r="G124" i="2"/>
  <c r="H124" i="2"/>
  <c r="I124" i="2"/>
  <c r="J124" i="2"/>
  <c r="K124" i="2"/>
  <c r="B125" i="2"/>
  <c r="C125" i="2"/>
  <c r="D125" i="2"/>
  <c r="E125" i="2"/>
  <c r="M125" i="2" s="1"/>
  <c r="F125" i="2"/>
  <c r="G125" i="2"/>
  <c r="H125" i="2"/>
  <c r="I125" i="2"/>
  <c r="J125" i="2"/>
  <c r="K125" i="2"/>
  <c r="B126" i="2"/>
  <c r="C126" i="2"/>
  <c r="D126" i="2"/>
  <c r="E126" i="2"/>
  <c r="M126" i="2" s="1"/>
  <c r="F126" i="2"/>
  <c r="G126" i="2"/>
  <c r="H126" i="2"/>
  <c r="I126" i="2"/>
  <c r="J126" i="2"/>
  <c r="K126" i="2"/>
  <c r="B127" i="2"/>
  <c r="C127" i="2"/>
  <c r="D127" i="2"/>
  <c r="E127" i="2"/>
  <c r="M127" i="2" s="1"/>
  <c r="F127" i="2"/>
  <c r="G127" i="2"/>
  <c r="H127" i="2"/>
  <c r="I127" i="2"/>
  <c r="J127" i="2"/>
  <c r="K127" i="2"/>
  <c r="B122" i="2"/>
  <c r="C122" i="2"/>
  <c r="D122" i="2"/>
  <c r="E122" i="2"/>
  <c r="M122" i="2" s="1"/>
  <c r="F122" i="2"/>
  <c r="G122" i="2"/>
  <c r="H122" i="2"/>
  <c r="I122" i="2"/>
  <c r="J122" i="2"/>
  <c r="K122" i="2"/>
  <c r="B115" i="2" l="1"/>
  <c r="C115" i="2"/>
  <c r="D115" i="2"/>
  <c r="E115" i="2"/>
  <c r="M115" i="2" s="1"/>
  <c r="F115" i="2"/>
  <c r="G115" i="2"/>
  <c r="H115" i="2"/>
  <c r="I115" i="2"/>
  <c r="J115" i="2"/>
  <c r="K115" i="2"/>
  <c r="B116" i="2"/>
  <c r="C116" i="2"/>
  <c r="D116" i="2"/>
  <c r="E116" i="2"/>
  <c r="M116" i="2" s="1"/>
  <c r="F116" i="2"/>
  <c r="G116" i="2"/>
  <c r="H116" i="2"/>
  <c r="I116" i="2"/>
  <c r="J116" i="2"/>
  <c r="K116" i="2"/>
  <c r="B117" i="2"/>
  <c r="C117" i="2"/>
  <c r="D117" i="2"/>
  <c r="E117" i="2"/>
  <c r="M117" i="2" s="1"/>
  <c r="F117" i="2"/>
  <c r="G117" i="2"/>
  <c r="H117" i="2"/>
  <c r="I117" i="2"/>
  <c r="J117" i="2"/>
  <c r="K117" i="2"/>
  <c r="B118" i="2"/>
  <c r="C118" i="2"/>
  <c r="D118" i="2"/>
  <c r="E118" i="2"/>
  <c r="M118" i="2" s="1"/>
  <c r="F118" i="2"/>
  <c r="G118" i="2"/>
  <c r="H118" i="2"/>
  <c r="I118" i="2"/>
  <c r="J118" i="2"/>
  <c r="K118" i="2"/>
  <c r="B119" i="2"/>
  <c r="C119" i="2"/>
  <c r="D119" i="2"/>
  <c r="E119" i="2"/>
  <c r="M119" i="2" s="1"/>
  <c r="F119" i="2"/>
  <c r="G119" i="2"/>
  <c r="H119" i="2"/>
  <c r="I119" i="2"/>
  <c r="J119" i="2"/>
  <c r="K119" i="2"/>
  <c r="B120" i="2"/>
  <c r="C120" i="2"/>
  <c r="D120" i="2"/>
  <c r="E120" i="2"/>
  <c r="M120" i="2" s="1"/>
  <c r="F120" i="2"/>
  <c r="G120" i="2"/>
  <c r="H120" i="2"/>
  <c r="I120" i="2"/>
  <c r="J120" i="2"/>
  <c r="K120" i="2"/>
  <c r="B121" i="2"/>
  <c r="C121" i="2"/>
  <c r="D121" i="2"/>
  <c r="E121" i="2"/>
  <c r="M121" i="2" s="1"/>
  <c r="F121" i="2"/>
  <c r="G121" i="2"/>
  <c r="H121" i="2"/>
  <c r="I121" i="2"/>
  <c r="J121" i="2"/>
  <c r="K121" i="2"/>
  <c r="B111" i="2" l="1"/>
  <c r="C111" i="2"/>
  <c r="D111" i="2"/>
  <c r="E111" i="2"/>
  <c r="M111" i="2" s="1"/>
  <c r="F111" i="2"/>
  <c r="G111" i="2"/>
  <c r="H111" i="2"/>
  <c r="I111" i="2"/>
  <c r="J111" i="2"/>
  <c r="K111" i="2"/>
  <c r="B112" i="2"/>
  <c r="C112" i="2"/>
  <c r="D112" i="2"/>
  <c r="E112" i="2"/>
  <c r="M112" i="2" s="1"/>
  <c r="F112" i="2"/>
  <c r="G112" i="2"/>
  <c r="H112" i="2"/>
  <c r="I112" i="2"/>
  <c r="J112" i="2"/>
  <c r="K112" i="2"/>
  <c r="B113" i="2"/>
  <c r="C113" i="2"/>
  <c r="D113" i="2"/>
  <c r="E113" i="2"/>
  <c r="M113" i="2" s="1"/>
  <c r="F113" i="2"/>
  <c r="G113" i="2"/>
  <c r="H113" i="2"/>
  <c r="I113" i="2"/>
  <c r="J113" i="2"/>
  <c r="K113" i="2"/>
  <c r="B114" i="2"/>
  <c r="C114" i="2"/>
  <c r="D114" i="2"/>
  <c r="E114" i="2"/>
  <c r="M114" i="2" s="1"/>
  <c r="F114" i="2"/>
  <c r="G114" i="2"/>
  <c r="H114" i="2"/>
  <c r="I114" i="2"/>
  <c r="J114" i="2"/>
  <c r="K114" i="2"/>
  <c r="B107" i="2"/>
  <c r="C107" i="2"/>
  <c r="D107" i="2"/>
  <c r="E107" i="2"/>
  <c r="M107" i="2" s="1"/>
  <c r="F107" i="2"/>
  <c r="G107" i="2"/>
  <c r="H107" i="2"/>
  <c r="I107" i="2"/>
  <c r="J107" i="2"/>
  <c r="K107" i="2"/>
  <c r="B108" i="2"/>
  <c r="C108" i="2"/>
  <c r="D108" i="2"/>
  <c r="E108" i="2"/>
  <c r="M108" i="2" s="1"/>
  <c r="F108" i="2"/>
  <c r="G108" i="2"/>
  <c r="H108" i="2"/>
  <c r="I108" i="2"/>
  <c r="J108" i="2"/>
  <c r="K108" i="2"/>
  <c r="B109" i="2"/>
  <c r="C109" i="2"/>
  <c r="D109" i="2"/>
  <c r="E109" i="2"/>
  <c r="M109" i="2" s="1"/>
  <c r="F109" i="2"/>
  <c r="G109" i="2"/>
  <c r="H109" i="2"/>
  <c r="I109" i="2"/>
  <c r="J109" i="2"/>
  <c r="K109" i="2"/>
  <c r="B110" i="2"/>
  <c r="C110" i="2"/>
  <c r="D110" i="2"/>
  <c r="E110" i="2"/>
  <c r="M110" i="2" s="1"/>
  <c r="F110" i="2"/>
  <c r="G110" i="2"/>
  <c r="H110" i="2"/>
  <c r="I110" i="2"/>
  <c r="J110" i="2"/>
  <c r="K110" i="2"/>
  <c r="B101" i="2"/>
  <c r="C101" i="2"/>
  <c r="D101" i="2"/>
  <c r="E101" i="2"/>
  <c r="M101" i="2" s="1"/>
  <c r="F101" i="2"/>
  <c r="G101" i="2"/>
  <c r="H101" i="2"/>
  <c r="I101" i="2"/>
  <c r="J101" i="2"/>
  <c r="K101" i="2"/>
  <c r="B102" i="2"/>
  <c r="C102" i="2"/>
  <c r="D102" i="2"/>
  <c r="E102" i="2"/>
  <c r="M102" i="2" s="1"/>
  <c r="F102" i="2"/>
  <c r="G102" i="2"/>
  <c r="H102" i="2"/>
  <c r="I102" i="2"/>
  <c r="J102" i="2"/>
  <c r="K102" i="2"/>
  <c r="B103" i="2"/>
  <c r="C103" i="2"/>
  <c r="D103" i="2"/>
  <c r="E103" i="2"/>
  <c r="M103" i="2" s="1"/>
  <c r="F103" i="2"/>
  <c r="G103" i="2"/>
  <c r="H103" i="2"/>
  <c r="I103" i="2"/>
  <c r="J103" i="2"/>
  <c r="K103" i="2"/>
  <c r="B104" i="2"/>
  <c r="C104" i="2"/>
  <c r="D104" i="2"/>
  <c r="E104" i="2"/>
  <c r="M104" i="2" s="1"/>
  <c r="F104" i="2"/>
  <c r="G104" i="2"/>
  <c r="H104" i="2"/>
  <c r="I104" i="2"/>
  <c r="J104" i="2"/>
  <c r="K104" i="2"/>
  <c r="B105" i="2"/>
  <c r="C105" i="2"/>
  <c r="D105" i="2"/>
  <c r="E105" i="2"/>
  <c r="M105" i="2" s="1"/>
  <c r="F105" i="2"/>
  <c r="G105" i="2"/>
  <c r="H105" i="2"/>
  <c r="I105" i="2"/>
  <c r="J105" i="2"/>
  <c r="K105" i="2"/>
  <c r="B106" i="2"/>
  <c r="C106" i="2"/>
  <c r="D106" i="2"/>
  <c r="E106" i="2"/>
  <c r="M106" i="2" s="1"/>
  <c r="F106" i="2"/>
  <c r="G106" i="2"/>
  <c r="H106" i="2"/>
  <c r="I106" i="2"/>
  <c r="J106" i="2"/>
  <c r="K106" i="2"/>
  <c r="D13" i="3" l="1"/>
  <c r="B100" i="2" l="1"/>
  <c r="C100" i="2"/>
  <c r="D100" i="2"/>
  <c r="E100" i="2"/>
  <c r="M100" i="2" s="1"/>
  <c r="F100" i="2"/>
  <c r="G100" i="2"/>
  <c r="H100" i="2"/>
  <c r="I100" i="2"/>
  <c r="J100" i="2"/>
  <c r="K100" i="2"/>
  <c r="B99" i="2"/>
  <c r="C99" i="2"/>
  <c r="D99" i="2"/>
  <c r="E99" i="2"/>
  <c r="M99" i="2" s="1"/>
  <c r="F99" i="2"/>
  <c r="G99" i="2"/>
  <c r="H99" i="2"/>
  <c r="I99" i="2"/>
  <c r="J99" i="2"/>
  <c r="K99" i="2"/>
  <c r="B97" i="2"/>
  <c r="C97" i="2"/>
  <c r="D97" i="2"/>
  <c r="E97" i="2"/>
  <c r="M97" i="2" s="1"/>
  <c r="F97" i="2"/>
  <c r="G97" i="2"/>
  <c r="H97" i="2"/>
  <c r="I97" i="2"/>
  <c r="J97" i="2"/>
  <c r="K97" i="2"/>
  <c r="B98" i="2"/>
  <c r="C98" i="2"/>
  <c r="D98" i="2"/>
  <c r="E98" i="2"/>
  <c r="M98" i="2" s="1"/>
  <c r="F98" i="2"/>
  <c r="G98" i="2"/>
  <c r="H98" i="2"/>
  <c r="I98" i="2"/>
  <c r="J98" i="2"/>
  <c r="K98" i="2"/>
  <c r="B25" i="2" l="1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9" i="2"/>
  <c r="C79" i="2"/>
  <c r="D79" i="2"/>
  <c r="E79" i="2"/>
  <c r="F79" i="2"/>
  <c r="G79" i="2"/>
  <c r="H79" i="2"/>
  <c r="I79" i="2"/>
  <c r="J79" i="2"/>
  <c r="K79" i="2"/>
  <c r="B80" i="2"/>
  <c r="C80" i="2"/>
  <c r="D80" i="2"/>
  <c r="E80" i="2"/>
  <c r="F80" i="2"/>
  <c r="G80" i="2"/>
  <c r="H80" i="2"/>
  <c r="I80" i="2"/>
  <c r="J80" i="2"/>
  <c r="K80" i="2"/>
  <c r="B81" i="2"/>
  <c r="C81" i="2"/>
  <c r="D81" i="2"/>
  <c r="E81" i="2"/>
  <c r="F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F88" i="2"/>
  <c r="G88" i="2"/>
  <c r="H88" i="2"/>
  <c r="I88" i="2"/>
  <c r="J88" i="2"/>
  <c r="K88" i="2"/>
  <c r="B89" i="2"/>
  <c r="C89" i="2"/>
  <c r="D89" i="2"/>
  <c r="E89" i="2"/>
  <c r="F89" i="2"/>
  <c r="G89" i="2"/>
  <c r="H89" i="2"/>
  <c r="I89" i="2"/>
  <c r="J89" i="2"/>
  <c r="K89" i="2"/>
  <c r="B90" i="2"/>
  <c r="C90" i="2"/>
  <c r="D90" i="2"/>
  <c r="E90" i="2"/>
  <c r="F90" i="2"/>
  <c r="G90" i="2"/>
  <c r="H90" i="2"/>
  <c r="I90" i="2"/>
  <c r="J90" i="2"/>
  <c r="K90" i="2"/>
  <c r="B91" i="2"/>
  <c r="C91" i="2"/>
  <c r="D91" i="2"/>
  <c r="E91" i="2"/>
  <c r="F91" i="2"/>
  <c r="G91" i="2"/>
  <c r="H91" i="2"/>
  <c r="I91" i="2"/>
  <c r="J91" i="2"/>
  <c r="K91" i="2"/>
  <c r="B92" i="2"/>
  <c r="C92" i="2"/>
  <c r="D92" i="2"/>
  <c r="E92" i="2"/>
  <c r="F92" i="2"/>
  <c r="G92" i="2"/>
  <c r="H92" i="2"/>
  <c r="I92" i="2"/>
  <c r="J92" i="2"/>
  <c r="K92" i="2"/>
  <c r="B93" i="2"/>
  <c r="C93" i="2"/>
  <c r="D93" i="2"/>
  <c r="E93" i="2"/>
  <c r="F93" i="2"/>
  <c r="G93" i="2"/>
  <c r="H93" i="2"/>
  <c r="I93" i="2"/>
  <c r="J93" i="2"/>
  <c r="K93" i="2"/>
  <c r="B94" i="2"/>
  <c r="C94" i="2"/>
  <c r="D94" i="2"/>
  <c r="E94" i="2"/>
  <c r="F94" i="2"/>
  <c r="G94" i="2"/>
  <c r="H94" i="2"/>
  <c r="I94" i="2"/>
  <c r="J94" i="2"/>
  <c r="K94" i="2"/>
  <c r="B95" i="2"/>
  <c r="C95" i="2"/>
  <c r="D95" i="2"/>
  <c r="E95" i="2"/>
  <c r="F95" i="2"/>
  <c r="G95" i="2"/>
  <c r="H95" i="2"/>
  <c r="I95" i="2"/>
  <c r="J95" i="2"/>
  <c r="K95" i="2"/>
  <c r="B96" i="2"/>
  <c r="C96" i="2"/>
  <c r="D96" i="2"/>
  <c r="E96" i="2"/>
  <c r="F96" i="2"/>
  <c r="G96" i="2"/>
  <c r="H96" i="2"/>
  <c r="I96" i="2"/>
  <c r="J96" i="2"/>
  <c r="K96" i="2"/>
  <c r="C24" i="2"/>
  <c r="D24" i="2"/>
  <c r="E24" i="2"/>
  <c r="F24" i="2"/>
  <c r="G24" i="2"/>
  <c r="H24" i="2"/>
  <c r="I24" i="2"/>
  <c r="J24" i="2"/>
  <c r="K24" i="2"/>
  <c r="B24" i="2"/>
  <c r="C29" i="3" l="1"/>
  <c r="C30" i="3"/>
  <c r="O25" i="2" l="1"/>
  <c r="O27" i="2"/>
  <c r="O29" i="2"/>
  <c r="O31" i="2"/>
  <c r="O33" i="2"/>
  <c r="O35" i="2"/>
  <c r="O37" i="2"/>
  <c r="O39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O71" i="2"/>
  <c r="O73" i="2"/>
  <c r="O75" i="2"/>
  <c r="O77" i="2"/>
  <c r="O79" i="2"/>
  <c r="O81" i="2"/>
  <c r="O83" i="2"/>
  <c r="O85" i="2"/>
  <c r="O87" i="2"/>
  <c r="O89" i="2"/>
  <c r="O91" i="2"/>
  <c r="O93" i="2"/>
  <c r="O95" i="2"/>
  <c r="O96" i="2"/>
  <c r="O92" i="2"/>
  <c r="O88" i="2"/>
  <c r="O84" i="2"/>
  <c r="O80" i="2"/>
  <c r="O76" i="2"/>
  <c r="O72" i="2"/>
  <c r="O68" i="2"/>
  <c r="O64" i="2"/>
  <c r="O60" i="2"/>
  <c r="O56" i="2"/>
  <c r="O52" i="2"/>
  <c r="O48" i="2"/>
  <c r="O44" i="2"/>
  <c r="O40" i="2"/>
  <c r="O36" i="2"/>
  <c r="O32" i="2"/>
  <c r="O28" i="2"/>
  <c r="O24" i="2"/>
  <c r="O94" i="2"/>
  <c r="O90" i="2"/>
  <c r="O86" i="2"/>
  <c r="O82" i="2"/>
  <c r="O78" i="2"/>
  <c r="O74" i="2"/>
  <c r="O70" i="2"/>
  <c r="O66" i="2"/>
  <c r="O62" i="2"/>
  <c r="O58" i="2"/>
  <c r="O54" i="2"/>
  <c r="O50" i="2"/>
  <c r="O46" i="2"/>
  <c r="O42" i="2"/>
  <c r="O38" i="2"/>
  <c r="O34" i="2"/>
  <c r="O30" i="2"/>
  <c r="O26" i="2"/>
  <c r="C34" i="3"/>
  <c r="C33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 s="1"/>
  <c r="G13" i="3"/>
  <c r="G12" i="3"/>
  <c r="G10" i="3"/>
  <c r="G9" i="3"/>
  <c r="G7" i="3"/>
  <c r="E5" i="3"/>
  <c r="E4" i="3" l="1"/>
  <c r="H4" i="3"/>
  <c r="T3" i="2" s="1"/>
  <c r="T4" i="2" s="1"/>
  <c r="M38" i="2" l="1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37" i="2" l="1"/>
  <c r="M25" i="2" l="1"/>
  <c r="M26" i="2"/>
  <c r="M27" i="2"/>
  <c r="M28" i="2"/>
  <c r="M29" i="2"/>
  <c r="M30" i="2"/>
  <c r="M31" i="2"/>
  <c r="M32" i="2"/>
  <c r="M33" i="2"/>
  <c r="M34" i="2"/>
  <c r="M35" i="2"/>
  <c r="M36" i="2"/>
  <c r="M24" i="2"/>
</calcChain>
</file>

<file path=xl/sharedStrings.xml><?xml version="1.0" encoding="utf-8"?>
<sst xmlns="http://schemas.openxmlformats.org/spreadsheetml/2006/main" count="246" uniqueCount="194">
  <si>
    <t>date</t>
  </si>
  <si>
    <t>2015 SEP 28</t>
  </si>
  <si>
    <t>2014 JUN 17</t>
  </si>
  <si>
    <t>2015 OCT 13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</si>
  <si>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</si>
  <si>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</si>
  <si>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</si>
  <si>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</si>
  <si>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</si>
  <si>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</si>
  <si>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</si>
  <si>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</si>
  <si>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</si>
  <si>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</si>
  <si>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</si>
  <si>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</si>
  <si>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</si>
  <si>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</si>
  <si>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</si>
  <si>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</si>
  <si>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</si>
  <si>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</si>
  <si>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</si>
  <si>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</si>
  <si>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</si>
  <si>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xdate</t>
  </si>
  <si>
    <t>Raie{6,1} = 'He I 5875';</t>
  </si>
  <si>
    <t>ymax</t>
  </si>
  <si>
    <t>Raie{6,2} = 5875.65;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</si>
  <si>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</si>
  <si>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</si>
  <si>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</si>
  <si>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</si>
  <si>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</si>
  <si>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</si>
  <si>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</si>
  <si>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</si>
  <si>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</si>
  <si>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</si>
  <si>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</si>
  <si>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</si>
  <si>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</si>
  <si>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</si>
  <si>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</si>
  <si>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</si>
  <si>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</si>
  <si>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</si>
  <si>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</si>
  <si>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</si>
  <si>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</si>
  <si>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</si>
  <si>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</si>
  <si>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</si>
  <si>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</si>
  <si>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[Fe VII]</t>
  </si>
  <si>
    <t>Raie {16,1} = 'Na I D';</t>
  </si>
  <si>
    <t>Raie {16,2} = 5889.95;</t>
  </si>
  <si>
    <t>Raie {17,1} = 'Fe II 4924';</t>
  </si>
  <si>
    <t>Raman OVI</t>
  </si>
  <si>
    <t>Raie {17,2} = 4923.92;</t>
  </si>
  <si>
    <t>Raie {18,1} = 'He I 5016';</t>
  </si>
  <si>
    <t>Raie {18,2} = 5015.68;</t>
  </si>
  <si>
    <t>Raie {19,1} = 'Fe II 5018';</t>
  </si>
  <si>
    <t>Raie {19,2} = 5018.43;</t>
  </si>
  <si>
    <t>Raie {20,1} = '[N II] 5755';</t>
  </si>
  <si>
    <t>Raie {20,1} = 5755;</t>
  </si>
  <si>
    <t>Fe II</t>
  </si>
  <si>
    <t>FMT</t>
  </si>
  <si>
    <t>2000 JUN 19</t>
  </si>
  <si>
    <t>2007 SEP 6</t>
  </si>
  <si>
    <t>2007 OCT 6</t>
  </si>
  <si>
    <t>2016 OCT 25</t>
  </si>
  <si>
    <t>2011 JUN 28</t>
  </si>
  <si>
    <t>2015 SEP 27</t>
  </si>
  <si>
    <t>Z And</t>
  </si>
  <si>
    <t>\2016-2017</t>
  </si>
  <si>
    <t>x</t>
  </si>
  <si>
    <t>y</t>
  </si>
  <si>
    <t>couleur</t>
  </si>
  <si>
    <t>b</t>
  </si>
  <si>
    <t>r</t>
  </si>
  <si>
    <t>k</t>
  </si>
  <si>
    <t>g</t>
  </si>
  <si>
    <t xml:space="preserve">FMT </t>
  </si>
  <si>
    <t>ROU-FR</t>
  </si>
  <si>
    <t>SC14+eShel</t>
  </si>
  <si>
    <t>DBO</t>
  </si>
  <si>
    <t>WCO-UK</t>
  </si>
  <si>
    <t>C11+LISA+SXVR-H</t>
  </si>
  <si>
    <t>JGF</t>
  </si>
  <si>
    <t>SMM-SP</t>
  </si>
  <si>
    <t>T16+Echelle+Atik460</t>
  </si>
  <si>
    <t>PSO</t>
  </si>
  <si>
    <t>TAT-HU</t>
  </si>
  <si>
    <t>30cmLH2400_35u428exm</t>
  </si>
  <si>
    <t>CBO</t>
  </si>
  <si>
    <t>OCT-FR</t>
  </si>
  <si>
    <t>N200mmF</t>
  </si>
  <si>
    <t>BUI</t>
  </si>
  <si>
    <t>CAS-FR</t>
  </si>
  <si>
    <t>RC10UVEX2ASI183MM</t>
  </si>
  <si>
    <t>LES</t>
  </si>
  <si>
    <t>MRO-CA</t>
  </si>
  <si>
    <t>31cmDK+ESSAT</t>
  </si>
  <si>
    <t>16REMOTLINX460EX</t>
  </si>
  <si>
    <t>RC10UVEX2ATIK460EX</t>
  </si>
  <si>
    <t>C11+LISA+SXVR-H694</t>
  </si>
  <si>
    <t>FAS</t>
  </si>
  <si>
    <t>DCO-US</t>
  </si>
  <si>
    <t>CDK14LISAAtik414ex</t>
  </si>
  <si>
    <t>30cmf4LH2400u23Atik428</t>
  </si>
  <si>
    <t>RC10UVEX2ATIK414EX</t>
  </si>
  <si>
    <t>MUSSOL</t>
  </si>
  <si>
    <t>JRF</t>
  </si>
  <si>
    <t>MTP-US</t>
  </si>
  <si>
    <t>CDK17LhiresIIIATIK460EX</t>
  </si>
  <si>
    <t>PaoloBerardi</t>
  </si>
  <si>
    <t>BellavistaObs.L</t>
  </si>
  <si>
    <t>LHIRES3600C9SXVR-H694</t>
  </si>
  <si>
    <t>SCH</t>
  </si>
  <si>
    <t>DUR-FR</t>
  </si>
  <si>
    <t>T500F5-AP3600EC2Eshel#112ATIK460EX</t>
  </si>
  <si>
    <t>PIE-FR</t>
  </si>
  <si>
    <t>2001 APR 29</t>
  </si>
  <si>
    <t>2001 JUN 18</t>
  </si>
  <si>
    <t>2002 APR 25</t>
  </si>
  <si>
    <t>2005 JUL 4</t>
  </si>
  <si>
    <t>2011 APR 12</t>
  </si>
  <si>
    <t>2011 OCT 14</t>
  </si>
  <si>
    <t>2012 FEB 22</t>
  </si>
  <si>
    <t>2012 SEP 2</t>
  </si>
  <si>
    <t>2014 MAR 4</t>
  </si>
  <si>
    <t>2014 APR 13</t>
  </si>
  <si>
    <t>2014 MAY 20</t>
  </si>
  <si>
    <t>2014 JUN 26</t>
  </si>
  <si>
    <t>2014 JUL 4</t>
  </si>
  <si>
    <t>2014 AUG 5</t>
  </si>
  <si>
    <t>2014 AUG 17</t>
  </si>
  <si>
    <t>2015 SEP 25</t>
  </si>
  <si>
    <t>2015 OCT 5</t>
  </si>
  <si>
    <t>AS 270 (V)</t>
  </si>
  <si>
    <t>2000 SEP 11</t>
  </si>
  <si>
    <t>2000 SEP 20</t>
  </si>
  <si>
    <t>2001 MAY 8</t>
  </si>
  <si>
    <t>2001 JUL 20</t>
  </si>
  <si>
    <t>2001 AUG 8</t>
  </si>
  <si>
    <t>2001 AUG 26</t>
  </si>
  <si>
    <t>2006 JUL 8</t>
  </si>
  <si>
    <t>2006 JUL 11</t>
  </si>
  <si>
    <t>2006 JUL 18</t>
  </si>
  <si>
    <t>2006 JUL 22</t>
  </si>
  <si>
    <t>2006 JUL 28</t>
  </si>
  <si>
    <t>2006 JUL 29</t>
  </si>
  <si>
    <t>2006 JUL 31</t>
  </si>
  <si>
    <t>2007 SEP 18</t>
  </si>
  <si>
    <t>2007 SEP 21</t>
  </si>
  <si>
    <t>2007 SEP 25</t>
  </si>
  <si>
    <t>2007 SEP 28</t>
  </si>
  <si>
    <t>2007 SEP 29</t>
  </si>
  <si>
    <t>2007 OCT 20</t>
  </si>
  <si>
    <t>2007 OCT 23</t>
  </si>
  <si>
    <t>2007 OCT 28</t>
  </si>
  <si>
    <t>2007 NOV 10</t>
  </si>
  <si>
    <t>2009 AUG 1</t>
  </si>
  <si>
    <t>2010 JUL 31</t>
  </si>
  <si>
    <t>2010 SEP 24</t>
  </si>
  <si>
    <t>2011 APR 25</t>
  </si>
  <si>
    <t>2011 JUN 26</t>
  </si>
  <si>
    <t>2012 AUG 21</t>
  </si>
  <si>
    <t>2013 MAR 7</t>
  </si>
  <si>
    <t>2013 JUN 27</t>
  </si>
  <si>
    <t>2013 JUL 2</t>
  </si>
  <si>
    <t>2013 AUG 8</t>
  </si>
  <si>
    <t>2014 FEB 23</t>
  </si>
  <si>
    <t>2014 MAR 12</t>
  </si>
  <si>
    <t>2014 MAR 18</t>
  </si>
  <si>
    <t>2014 APR 22</t>
  </si>
  <si>
    <t>2014 MAY 15</t>
  </si>
  <si>
    <t>2015 JUL 23</t>
  </si>
  <si>
    <t>2015 SEP 15</t>
  </si>
  <si>
    <t>2015 SEP 18</t>
  </si>
  <si>
    <t>2015 SEP 20</t>
  </si>
  <si>
    <t>2015 SEP 22</t>
  </si>
  <si>
    <t>2015 SEP 24</t>
  </si>
  <si>
    <t>2015 OCT 6</t>
  </si>
  <si>
    <t>2015 OCT 9</t>
  </si>
  <si>
    <t>2015 OCT 15</t>
  </si>
  <si>
    <t>2015 OCT 17</t>
  </si>
  <si>
    <t>2016 APR 15</t>
  </si>
  <si>
    <t>2016 JUN 4</t>
  </si>
  <si>
    <t>2017 APR 5</t>
  </si>
  <si>
    <t>2017 APR 9</t>
  </si>
  <si>
    <t>2017 APR 13</t>
  </si>
  <si>
    <t>2017 JUL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</si>
</sst>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0"/>
      <color rgb="FF010101"/>
      <name val="Arial Unicode MS"/>
      <family val="2"/>
    </font>
    <font>
      <sz val="10"/>
      <color theme="1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ont="1" applyFill="1" applyBorder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4" borderId="0" xfId="0" applyFill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0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Alignment="1">
      <alignment horizontal="center"/>
    </xf>
    <xf numFmtId="0" fontId="0" fillId="3" borderId="3" xfId="0" applyFill="1" applyBorder="1"/>
    <xf numFmtId="2" fontId="0" fillId="0" borderId="0" xfId="0" applyNumberFormat="1"/>
    <xf numFmtId="1" fontId="0" fillId="3" borderId="0" xfId="0" applyNumberFormat="1" applyFill="1"/>
    <xf numFmtId="0" fontId="1" fillId="3" borderId="2" xfId="1" applyFill="1" applyBorder="1" applyAlignment="1">
      <alignment horizontal="left"/>
    </xf>
    <xf numFmtId="1" fontId="0" fillId="3" borderId="1" xfId="0" applyNumberFormat="1" applyFill="1" applyBorder="1"/>
    <xf numFmtId="14" fontId="0" fillId="3" borderId="1" xfId="0" applyNumberFormat="1" applyFill="1" applyBorder="1"/>
    <xf numFmtId="164" fontId="0" fillId="3" borderId="1" xfId="0" applyNumberFormat="1" applyFill="1" applyBorder="1"/>
    <xf numFmtId="0" fontId="3" fillId="2" borderId="0" xfId="0" applyFont="1" applyFill="1" applyAlignment="1">
      <alignment horizontal="right"/>
    </xf>
    <xf numFmtId="0" fontId="4" fillId="4" borderId="0" xfId="0" applyFont="1" applyFill="1"/>
    <xf numFmtId="0" fontId="5" fillId="0" borderId="0" xfId="0" applyFont="1" applyAlignment="1">
      <alignment vertical="center"/>
    </xf>
    <xf numFmtId="14" fontId="0" fillId="0" borderId="0" xfId="0" applyNumberFormat="1" applyAlignment="1">
      <alignment vertical="center" wrapText="1"/>
    </xf>
    <xf numFmtId="2" fontId="0" fillId="0" borderId="0" xfId="0" applyNumberFormat="1" applyAlignment="1">
      <alignment vertical="center" wrapText="1"/>
    </xf>
    <xf numFmtId="1" fontId="5" fillId="0" borderId="0" xfId="0" applyNumberFormat="1" applyFont="1" applyAlignment="1">
      <alignment vertical="center"/>
    </xf>
    <xf numFmtId="1" fontId="0" fillId="0" borderId="0" xfId="0" applyNumberFormat="1" applyAlignment="1">
      <alignment vertical="center" wrapText="1"/>
    </xf>
    <xf numFmtId="1" fontId="0" fillId="0" borderId="0" xfId="0" applyNumberFormat="1"/>
    <xf numFmtId="1" fontId="0" fillId="2" borderId="1" xfId="0" applyNumberFormat="1" applyFill="1" applyBorder="1"/>
    <xf numFmtId="14" fontId="0" fillId="2" borderId="1" xfId="0" applyNumberFormat="1" applyFill="1" applyBorder="1"/>
    <xf numFmtId="164" fontId="0" fillId="2" borderId="1" xfId="0" applyNumberFormat="1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0" fillId="5" borderId="1" xfId="0" applyNumberForma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AS 270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2451714.7492999998</c:v>
                </c:pt>
                <c:pt idx="1">
                  <c:v>2451799.0646000002</c:v>
                </c:pt>
                <c:pt idx="2">
                  <c:v>2451808.0277999998</c:v>
                </c:pt>
                <c:pt idx="3">
                  <c:v>2452028.8457999998</c:v>
                </c:pt>
                <c:pt idx="4">
                  <c:v>2452037.8486000001</c:v>
                </c:pt>
                <c:pt idx="5">
                  <c:v>2452078.7507000002</c:v>
                </c:pt>
                <c:pt idx="6">
                  <c:v>2452110.6617999999</c:v>
                </c:pt>
                <c:pt idx="7">
                  <c:v>2452129.6743000001</c:v>
                </c:pt>
                <c:pt idx="8">
                  <c:v>2452147.6006999998</c:v>
                </c:pt>
                <c:pt idx="9">
                  <c:v>2452389.8549000002</c:v>
                </c:pt>
                <c:pt idx="10">
                  <c:v>2453555.7582999999</c:v>
                </c:pt>
                <c:pt idx="11">
                  <c:v>2453925.1381999999</c:v>
                </c:pt>
                <c:pt idx="12">
                  <c:v>2453927.5712000001</c:v>
                </c:pt>
                <c:pt idx="13">
                  <c:v>2453935.0424000002</c:v>
                </c:pt>
                <c:pt idx="14">
                  <c:v>2453938.9785000002</c:v>
                </c:pt>
                <c:pt idx="15">
                  <c:v>2453945.0306000002</c:v>
                </c:pt>
                <c:pt idx="16">
                  <c:v>2453946.1139000002</c:v>
                </c:pt>
                <c:pt idx="17">
                  <c:v>2453948.0353999999</c:v>
                </c:pt>
                <c:pt idx="18">
                  <c:v>2454349.94777</c:v>
                </c:pt>
                <c:pt idx="19">
                  <c:v>2454362.4400999998</c:v>
                </c:pt>
                <c:pt idx="20">
                  <c:v>2454364.6422000001</c:v>
                </c:pt>
                <c:pt idx="21">
                  <c:v>2454368.9739700002</c:v>
                </c:pt>
                <c:pt idx="22">
                  <c:v>2454371.55804</c:v>
                </c:pt>
                <c:pt idx="23">
                  <c:v>2454372.6330599999</c:v>
                </c:pt>
                <c:pt idx="24">
                  <c:v>2454379.9246700001</c:v>
                </c:pt>
                <c:pt idx="25">
                  <c:v>2454393.9567</c:v>
                </c:pt>
                <c:pt idx="26">
                  <c:v>2454396.9438299998</c:v>
                </c:pt>
                <c:pt idx="27">
                  <c:v>2454401.9695899999</c:v>
                </c:pt>
                <c:pt idx="28">
                  <c:v>2454414.9391600001</c:v>
                </c:pt>
                <c:pt idx="29">
                  <c:v>2455045.2881700001</c:v>
                </c:pt>
                <c:pt idx="30">
                  <c:v>2455408.6673599998</c:v>
                </c:pt>
                <c:pt idx="31">
                  <c:v>2455463.602</c:v>
                </c:pt>
                <c:pt idx="32">
                  <c:v>2455663.9819999998</c:v>
                </c:pt>
                <c:pt idx="33">
                  <c:v>2455676.966</c:v>
                </c:pt>
                <c:pt idx="34">
                  <c:v>2455739.03785</c:v>
                </c:pt>
                <c:pt idx="35">
                  <c:v>2455741.0349400002</c:v>
                </c:pt>
                <c:pt idx="36">
                  <c:v>2455848.5980000002</c:v>
                </c:pt>
                <c:pt idx="37">
                  <c:v>2455980.0219999999</c:v>
                </c:pt>
                <c:pt idx="38">
                  <c:v>2456160.665</c:v>
                </c:pt>
                <c:pt idx="39">
                  <c:v>2456172.7009999999</c:v>
                </c:pt>
                <c:pt idx="40">
                  <c:v>2456359.0240000002</c:v>
                </c:pt>
                <c:pt idx="41">
                  <c:v>2456470.7429999998</c:v>
                </c:pt>
                <c:pt idx="42">
                  <c:v>2456475.503</c:v>
                </c:pt>
                <c:pt idx="43">
                  <c:v>2456512.7179999999</c:v>
                </c:pt>
                <c:pt idx="44">
                  <c:v>2456712.2799999998</c:v>
                </c:pt>
                <c:pt idx="45">
                  <c:v>2456721.0279999999</c:v>
                </c:pt>
                <c:pt idx="46">
                  <c:v>2456729.2680000002</c:v>
                </c:pt>
                <c:pt idx="47">
                  <c:v>2456735.2620000001</c:v>
                </c:pt>
                <c:pt idx="48">
                  <c:v>2456761.2039999999</c:v>
                </c:pt>
                <c:pt idx="49">
                  <c:v>2456770.264</c:v>
                </c:pt>
                <c:pt idx="50">
                  <c:v>2456793.1039999998</c:v>
                </c:pt>
                <c:pt idx="51">
                  <c:v>2456798.2930000001</c:v>
                </c:pt>
                <c:pt idx="52">
                  <c:v>2456826.2179999999</c:v>
                </c:pt>
                <c:pt idx="53">
                  <c:v>2456834.6294999998</c:v>
                </c:pt>
                <c:pt idx="54">
                  <c:v>2456843.0094900001</c:v>
                </c:pt>
                <c:pt idx="55">
                  <c:v>2456875.0136000002</c:v>
                </c:pt>
                <c:pt idx="56">
                  <c:v>2456887.00404</c:v>
                </c:pt>
                <c:pt idx="57">
                  <c:v>2457226.9853300001</c:v>
                </c:pt>
                <c:pt idx="58">
                  <c:v>2457226.9979500002</c:v>
                </c:pt>
                <c:pt idx="59">
                  <c:v>2457281.02575</c:v>
                </c:pt>
                <c:pt idx="60">
                  <c:v>2457283.7695300002</c:v>
                </c:pt>
                <c:pt idx="61">
                  <c:v>2457286.3913699999</c:v>
                </c:pt>
                <c:pt idx="62">
                  <c:v>2457287.9784599999</c:v>
                </c:pt>
                <c:pt idx="63">
                  <c:v>2457289.9140599999</c:v>
                </c:pt>
                <c:pt idx="64">
                  <c:v>2457291.3128900002</c:v>
                </c:pt>
                <c:pt idx="65">
                  <c:v>2457292.9708199999</c:v>
                </c:pt>
                <c:pt idx="66">
                  <c:v>2457294.4292100002</c:v>
                </c:pt>
                <c:pt idx="67">
                  <c:v>2457300.9111199998</c:v>
                </c:pt>
                <c:pt idx="68">
                  <c:v>2457302.2952299998</c:v>
                </c:pt>
                <c:pt idx="69">
                  <c:v>2457305.2265699999</c:v>
                </c:pt>
                <c:pt idx="70">
                  <c:v>2457309.26834</c:v>
                </c:pt>
                <c:pt idx="71">
                  <c:v>2457311.2650000001</c:v>
                </c:pt>
                <c:pt idx="72">
                  <c:v>2457312.9358399999</c:v>
                </c:pt>
                <c:pt idx="73">
                  <c:v>2457493.9792999998</c:v>
                </c:pt>
                <c:pt idx="74">
                  <c:v>2457543.9438</c:v>
                </c:pt>
                <c:pt idx="75">
                  <c:v>2457686.9229299999</c:v>
                </c:pt>
                <c:pt idx="76">
                  <c:v>2457848.9780999999</c:v>
                </c:pt>
                <c:pt idx="77">
                  <c:v>2457852.9555000002</c:v>
                </c:pt>
                <c:pt idx="78">
                  <c:v>2457857.2252000002</c:v>
                </c:pt>
                <c:pt idx="79">
                  <c:v>2457936.0733699999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11.6</c:v>
                </c:pt>
                <c:pt idx="1">
                  <c:v>11.6</c:v>
                </c:pt>
                <c:pt idx="2">
                  <c:v>11.7</c:v>
                </c:pt>
                <c:pt idx="3">
                  <c:v>13.2</c:v>
                </c:pt>
                <c:pt idx="4">
                  <c:v>13.1</c:v>
                </c:pt>
                <c:pt idx="5">
                  <c:v>12.95</c:v>
                </c:pt>
                <c:pt idx="6">
                  <c:v>12.93</c:v>
                </c:pt>
                <c:pt idx="7">
                  <c:v>12.9</c:v>
                </c:pt>
                <c:pt idx="8">
                  <c:v>12.79</c:v>
                </c:pt>
                <c:pt idx="9">
                  <c:v>12.86</c:v>
                </c:pt>
                <c:pt idx="10">
                  <c:v>12.97</c:v>
                </c:pt>
                <c:pt idx="11">
                  <c:v>12.17</c:v>
                </c:pt>
                <c:pt idx="12">
                  <c:v>12.015000000000001</c:v>
                </c:pt>
                <c:pt idx="13">
                  <c:v>11.79</c:v>
                </c:pt>
                <c:pt idx="14">
                  <c:v>11.94</c:v>
                </c:pt>
                <c:pt idx="15">
                  <c:v>11.89</c:v>
                </c:pt>
                <c:pt idx="16">
                  <c:v>11.84</c:v>
                </c:pt>
                <c:pt idx="17">
                  <c:v>11.83</c:v>
                </c:pt>
                <c:pt idx="18">
                  <c:v>11.66</c:v>
                </c:pt>
                <c:pt idx="19">
                  <c:v>11.426500000000001</c:v>
                </c:pt>
                <c:pt idx="20">
                  <c:v>11.353332999999999</c:v>
                </c:pt>
                <c:pt idx="21">
                  <c:v>11.22</c:v>
                </c:pt>
                <c:pt idx="22">
                  <c:v>11.241667</c:v>
                </c:pt>
                <c:pt idx="23">
                  <c:v>11.164</c:v>
                </c:pt>
                <c:pt idx="24">
                  <c:v>11.2</c:v>
                </c:pt>
                <c:pt idx="25">
                  <c:v>11.15</c:v>
                </c:pt>
                <c:pt idx="26">
                  <c:v>11.12</c:v>
                </c:pt>
                <c:pt idx="27">
                  <c:v>11.14</c:v>
                </c:pt>
                <c:pt idx="28">
                  <c:v>11.11</c:v>
                </c:pt>
                <c:pt idx="29">
                  <c:v>11.3</c:v>
                </c:pt>
                <c:pt idx="30">
                  <c:v>13.2</c:v>
                </c:pt>
                <c:pt idx="31">
                  <c:v>13</c:v>
                </c:pt>
                <c:pt idx="32">
                  <c:v>12.2</c:v>
                </c:pt>
                <c:pt idx="33">
                  <c:v>12.28</c:v>
                </c:pt>
                <c:pt idx="34">
                  <c:v>12.4</c:v>
                </c:pt>
                <c:pt idx="35">
                  <c:v>12.59</c:v>
                </c:pt>
                <c:pt idx="36">
                  <c:v>12.798</c:v>
                </c:pt>
                <c:pt idx="37">
                  <c:v>13.21</c:v>
                </c:pt>
                <c:pt idx="38">
                  <c:v>11.84</c:v>
                </c:pt>
                <c:pt idx="39">
                  <c:v>12.09</c:v>
                </c:pt>
                <c:pt idx="40">
                  <c:v>12.68</c:v>
                </c:pt>
                <c:pt idx="41">
                  <c:v>13.59</c:v>
                </c:pt>
                <c:pt idx="42">
                  <c:v>13.63</c:v>
                </c:pt>
                <c:pt idx="43">
                  <c:v>13.38</c:v>
                </c:pt>
                <c:pt idx="44">
                  <c:v>11.95</c:v>
                </c:pt>
                <c:pt idx="45">
                  <c:v>12</c:v>
                </c:pt>
                <c:pt idx="46">
                  <c:v>12.2</c:v>
                </c:pt>
                <c:pt idx="47">
                  <c:v>12.28</c:v>
                </c:pt>
                <c:pt idx="48">
                  <c:v>12.43</c:v>
                </c:pt>
                <c:pt idx="49">
                  <c:v>12.45</c:v>
                </c:pt>
                <c:pt idx="50">
                  <c:v>12.33</c:v>
                </c:pt>
                <c:pt idx="51">
                  <c:v>12.34</c:v>
                </c:pt>
                <c:pt idx="52">
                  <c:v>12.48</c:v>
                </c:pt>
                <c:pt idx="53">
                  <c:v>12.491</c:v>
                </c:pt>
                <c:pt idx="54">
                  <c:v>12.472</c:v>
                </c:pt>
                <c:pt idx="55">
                  <c:v>12.593</c:v>
                </c:pt>
                <c:pt idx="56">
                  <c:v>12.630385</c:v>
                </c:pt>
                <c:pt idx="57">
                  <c:v>12.761396</c:v>
                </c:pt>
                <c:pt idx="58">
                  <c:v>12.759</c:v>
                </c:pt>
                <c:pt idx="59">
                  <c:v>11.012352999999999</c:v>
                </c:pt>
                <c:pt idx="60">
                  <c:v>11.191000000000001</c:v>
                </c:pt>
                <c:pt idx="61">
                  <c:v>11.211375</c:v>
                </c:pt>
                <c:pt idx="62">
                  <c:v>11.311</c:v>
                </c:pt>
                <c:pt idx="63">
                  <c:v>11.382</c:v>
                </c:pt>
                <c:pt idx="64">
                  <c:v>11.346166999999999</c:v>
                </c:pt>
                <c:pt idx="65">
                  <c:v>11.332000000000001</c:v>
                </c:pt>
                <c:pt idx="66">
                  <c:v>11.354666999999999</c:v>
                </c:pt>
                <c:pt idx="67">
                  <c:v>11.61</c:v>
                </c:pt>
                <c:pt idx="68">
                  <c:v>11.668625</c:v>
                </c:pt>
                <c:pt idx="69">
                  <c:v>11.763286000000001</c:v>
                </c:pt>
                <c:pt idx="70">
                  <c:v>11.721571000000001</c:v>
                </c:pt>
                <c:pt idx="71">
                  <c:v>11.688650000000001</c:v>
                </c:pt>
                <c:pt idx="72">
                  <c:v>11.699</c:v>
                </c:pt>
                <c:pt idx="73">
                  <c:v>12.71</c:v>
                </c:pt>
                <c:pt idx="74">
                  <c:v>12.98</c:v>
                </c:pt>
                <c:pt idx="75">
                  <c:v>13.131</c:v>
                </c:pt>
                <c:pt idx="76">
                  <c:v>11.95</c:v>
                </c:pt>
                <c:pt idx="77">
                  <c:v>11.88</c:v>
                </c:pt>
                <c:pt idx="78">
                  <c:v>11.9</c:v>
                </c:pt>
                <c:pt idx="79">
                  <c:v>12.489000000000001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2-44E8-B02F-7AB3DB591B8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Index!$M$24:$M$225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2456179.409</c:v>
                </c:pt>
                <c:pt idx="5">
                  <c:v>2456513.6439999999</c:v>
                </c:pt>
                <c:pt idx="6">
                  <c:v>2456609.5869999998</c:v>
                </c:pt>
                <c:pt idx="7">
                  <c:v>2456627.5410000002</c:v>
                </c:pt>
                <c:pt idx="8">
                  <c:v>2456654.52</c:v>
                </c:pt>
                <c:pt idx="9">
                  <c:v>2456677.3459999999</c:v>
                </c:pt>
                <c:pt idx="10">
                  <c:v>2456845.6349999998</c:v>
                </c:pt>
                <c:pt idx="11">
                  <c:v>2456858.628</c:v>
                </c:pt>
                <c:pt idx="12">
                  <c:v>2456890.5869999998</c:v>
                </c:pt>
                <c:pt idx="13">
                  <c:v>2456893.7749999999</c:v>
                </c:pt>
                <c:pt idx="14">
                  <c:v>2456894.6800000002</c:v>
                </c:pt>
                <c:pt idx="15">
                  <c:v>2456909.6880000001</c:v>
                </c:pt>
                <c:pt idx="16">
                  <c:v>2456931.6</c:v>
                </c:pt>
                <c:pt idx="17">
                  <c:v>2456949.64</c:v>
                </c:pt>
                <c:pt idx="18">
                  <c:v>2456962.5989999999</c:v>
                </c:pt>
                <c:pt idx="19">
                  <c:v>2456967.4610000001</c:v>
                </c:pt>
                <c:pt idx="20">
                  <c:v>2456971.392</c:v>
                </c:pt>
                <c:pt idx="21">
                  <c:v>2456979.4180000001</c:v>
                </c:pt>
                <c:pt idx="22">
                  <c:v>2456981.3870000001</c:v>
                </c:pt>
                <c:pt idx="23">
                  <c:v>2456985.4350000001</c:v>
                </c:pt>
                <c:pt idx="24">
                  <c:v>2457003.406</c:v>
                </c:pt>
                <c:pt idx="25">
                  <c:v>2457005.335</c:v>
                </c:pt>
                <c:pt idx="26">
                  <c:v>2457005.4240000001</c:v>
                </c:pt>
                <c:pt idx="27">
                  <c:v>2457019.2760000001</c:v>
                </c:pt>
                <c:pt idx="28">
                  <c:v>2457054.196</c:v>
                </c:pt>
                <c:pt idx="29">
                  <c:v>2457068.1957999999</c:v>
                </c:pt>
                <c:pt idx="30">
                  <c:v>2457180.5438999999</c:v>
                </c:pt>
                <c:pt idx="31">
                  <c:v>2457209.5222999998</c:v>
                </c:pt>
                <c:pt idx="32">
                  <c:v>2457243.7727000001</c:v>
                </c:pt>
                <c:pt idx="33">
                  <c:v>2457252.3862999999</c:v>
                </c:pt>
                <c:pt idx="34">
                  <c:v>2457257.4525000001</c:v>
                </c:pt>
                <c:pt idx="35">
                  <c:v>2457257.7927999999</c:v>
                </c:pt>
                <c:pt idx="36">
                  <c:v>2457263.3213</c:v>
                </c:pt>
                <c:pt idx="37">
                  <c:v>2457277.4081000001</c:v>
                </c:pt>
                <c:pt idx="38">
                  <c:v>2457278.5422</c:v>
                </c:pt>
                <c:pt idx="39">
                  <c:v>2457280.7903999998</c:v>
                </c:pt>
                <c:pt idx="40">
                  <c:v>2457285.4101999998</c:v>
                </c:pt>
                <c:pt idx="41">
                  <c:v>2457291.3738000002</c:v>
                </c:pt>
                <c:pt idx="42">
                  <c:v>2457292.5008999999</c:v>
                </c:pt>
                <c:pt idx="43">
                  <c:v>2457293.3777999999</c:v>
                </c:pt>
                <c:pt idx="44">
                  <c:v>2457297.3868</c:v>
                </c:pt>
                <c:pt idx="45">
                  <c:v>2457319.3698999998</c:v>
                </c:pt>
                <c:pt idx="46">
                  <c:v>2457320.3860999998</c:v>
                </c:pt>
                <c:pt idx="47">
                  <c:v>2457321.2998000002</c:v>
                </c:pt>
                <c:pt idx="48">
                  <c:v>2457348.42</c:v>
                </c:pt>
                <c:pt idx="49">
                  <c:v>2457352.3662</c:v>
                </c:pt>
                <c:pt idx="50">
                  <c:v>2457356.3204000001</c:v>
                </c:pt>
                <c:pt idx="51">
                  <c:v>2457381.3336999998</c:v>
                </c:pt>
                <c:pt idx="52">
                  <c:v>2457386.3160000001</c:v>
                </c:pt>
                <c:pt idx="53">
                  <c:v>2457387.264</c:v>
                </c:pt>
                <c:pt idx="54">
                  <c:v>2457403.2669000002</c:v>
                </c:pt>
                <c:pt idx="55">
                  <c:v>2457403.3418999999</c:v>
                </c:pt>
                <c:pt idx="56">
                  <c:v>2457404.2743000002</c:v>
                </c:pt>
                <c:pt idx="57">
                  <c:v>2457424.2651999998</c:v>
                </c:pt>
                <c:pt idx="58">
                  <c:v>2457584.5060999999</c:v>
                </c:pt>
                <c:pt idx="59">
                  <c:v>2457627.4399000001</c:v>
                </c:pt>
                <c:pt idx="60">
                  <c:v>2457634.7316999999</c:v>
                </c:pt>
                <c:pt idx="61">
                  <c:v>2457644.8374000001</c:v>
                </c:pt>
                <c:pt idx="62">
                  <c:v>2457655.3892999999</c:v>
                </c:pt>
                <c:pt idx="63">
                  <c:v>2457664.372</c:v>
                </c:pt>
                <c:pt idx="64">
                  <c:v>2457690.5019</c:v>
                </c:pt>
                <c:pt idx="65">
                  <c:v>2457690.5019</c:v>
                </c:pt>
                <c:pt idx="66">
                  <c:v>2457699.4051999999</c:v>
                </c:pt>
                <c:pt idx="67">
                  <c:v>2457700.3930000002</c:v>
                </c:pt>
                <c:pt idx="68">
                  <c:v>2457723.3602</c:v>
                </c:pt>
                <c:pt idx="69">
                  <c:v>2457723.3876</c:v>
                </c:pt>
                <c:pt idx="70">
                  <c:v>2457729.4251999999</c:v>
                </c:pt>
                <c:pt idx="71">
                  <c:v>2457740.3472000002</c:v>
                </c:pt>
                <c:pt idx="72">
                  <c:v>2457740.3472000002</c:v>
                </c:pt>
                <c:pt idx="73">
                  <c:v>2457756.2809000001</c:v>
                </c:pt>
                <c:pt idx="74">
                  <c:v>2457761.389</c:v>
                </c:pt>
                <c:pt idx="75">
                  <c:v>2457766.3010999998</c:v>
                </c:pt>
                <c:pt idx="76">
                  <c:v>2457767.3678000001</c:v>
                </c:pt>
                <c:pt idx="77">
                  <c:v>2457773.2842999999</c:v>
                </c:pt>
                <c:pt idx="78">
                  <c:v>2457780.2677000002</c:v>
                </c:pt>
                <c:pt idx="79">
                  <c:v>2457803.3048</c:v>
                </c:pt>
                <c:pt idx="80">
                  <c:v>2457983.4805999999</c:v>
                </c:pt>
                <c:pt idx="81">
                  <c:v>2458007.6919999998</c:v>
                </c:pt>
                <c:pt idx="82">
                  <c:v>2458019.3898</c:v>
                </c:pt>
                <c:pt idx="83">
                  <c:v>2458031.3311000001</c:v>
                </c:pt>
                <c:pt idx="84">
                  <c:v>2458056.4005999998</c:v>
                </c:pt>
                <c:pt idx="85">
                  <c:v>2458069.6874000002</c:v>
                </c:pt>
                <c:pt idx="86">
                  <c:v>2458080.6945000002</c:v>
                </c:pt>
                <c:pt idx="87">
                  <c:v>2458089.4640000002</c:v>
                </c:pt>
                <c:pt idx="88">
                  <c:v>2458093.4012000002</c:v>
                </c:pt>
                <c:pt idx="89">
                  <c:v>2458097.5584</c:v>
                </c:pt>
                <c:pt idx="90">
                  <c:v>2458099.3961999998</c:v>
                </c:pt>
                <c:pt idx="91">
                  <c:v>2458100.3155</c:v>
                </c:pt>
                <c:pt idx="92">
                  <c:v>2458110.7122999998</c:v>
                </c:pt>
                <c:pt idx="93">
                  <c:v>2458142.3390000002</c:v>
                </c:pt>
                <c:pt idx="94">
                  <c:v>2458149.3533999999</c:v>
                </c:pt>
                <c:pt idx="95">
                  <c:v>2458166.3037999999</c:v>
                </c:pt>
                <c:pt idx="96">
                  <c:v>2458167.2976000002</c:v>
                </c:pt>
                <c:pt idx="97">
                  <c:v>2458168.2327999999</c:v>
                </c:pt>
                <c:pt idx="98">
                  <c:v>2458171.2969999998</c:v>
                </c:pt>
                <c:pt idx="99">
                  <c:v>2458172.3023999999</c:v>
                </c:pt>
                <c:pt idx="100">
                  <c:v>2458173.3147</c:v>
                </c:pt>
                <c:pt idx="101">
                  <c:v>2458174.3516000002</c:v>
                </c:pt>
                <c:pt idx="102">
                  <c:v>2458175.3021999998</c:v>
                </c:pt>
                <c:pt idx="103">
                  <c:v>2458175.523</c:v>
                </c:pt>
                <c:pt idx="104">
                  <c:v>2458177.2949000001</c:v>
                </c:pt>
                <c:pt idx="105">
                  <c:v>2458183.2804</c:v>
                </c:pt>
                <c:pt idx="106">
                  <c:v>2458185.2941999999</c:v>
                </c:pt>
                <c:pt idx="107">
                  <c:v>2458186.3146000002</c:v>
                </c:pt>
                <c:pt idx="108">
                  <c:v>2458299.5866999999</c:v>
                </c:pt>
                <c:pt idx="109">
                  <c:v>2458316.5356000001</c:v>
                </c:pt>
                <c:pt idx="110">
                  <c:v>2458316.5356000001</c:v>
                </c:pt>
                <c:pt idx="111">
                  <c:v>2458381.4383</c:v>
                </c:pt>
                <c:pt idx="112">
                  <c:v>2458358.5323999999</c:v>
                </c:pt>
                <c:pt idx="113">
                  <c:v>2458341.5520000001</c:v>
                </c:pt>
                <c:pt idx="114">
                  <c:v>2458384.4438</c:v>
                </c:pt>
                <c:pt idx="115">
                  <c:v>2458337.5855999999</c:v>
                </c:pt>
                <c:pt idx="116">
                  <c:v>2458334.4423000002</c:v>
                </c:pt>
                <c:pt idx="117">
                  <c:v>2458363.4408</c:v>
                </c:pt>
                <c:pt idx="118">
                  <c:v>2458365.7124999999</c:v>
                </c:pt>
                <c:pt idx="119">
                  <c:v>2458379.7250999999</c:v>
                </c:pt>
                <c:pt idx="120">
                  <c:v>2458368.7436000002</c:v>
                </c:pt>
                <c:pt idx="121">
                  <c:v>2458367.7467999998</c:v>
                </c:pt>
                <c:pt idx="122">
                  <c:v>2458391.8653000002</c:v>
                </c:pt>
                <c:pt idx="123">
                  <c:v>2458404.3774999999</c:v>
                </c:pt>
                <c:pt idx="124">
                  <c:v>2458335.5558000002</c:v>
                </c:pt>
                <c:pt idx="125">
                  <c:v>2458335.4759999998</c:v>
                </c:pt>
                <c:pt idx="126">
                  <c:v>2458357.4413999999</c:v>
                </c:pt>
                <c:pt idx="127">
                  <c:v>2458376.4268999998</c:v>
                </c:pt>
                <c:pt idx="128">
                  <c:v>2458382.3747999999</c:v>
                </c:pt>
                <c:pt idx="129">
                  <c:v>2458388.3884999999</c:v>
                </c:pt>
                <c:pt idx="130">
                  <c:v>2458390.3802</c:v>
                </c:pt>
                <c:pt idx="131">
                  <c:v>2458416.2993000001</c:v>
                </c:pt>
                <c:pt idx="132">
                  <c:v>2458392.8262999998</c:v>
                </c:pt>
                <c:pt idx="133">
                  <c:v>2458333.5096999998</c:v>
                </c:pt>
                <c:pt idx="134">
                  <c:v>2458379.3502000002</c:v>
                </c:pt>
                <c:pt idx="135">
                  <c:v>2458409.5068999999</c:v>
                </c:pt>
                <c:pt idx="136">
                  <c:v>2458353.7752</c:v>
                </c:pt>
                <c:pt idx="137">
                  <c:v>2458370.5554999998</c:v>
                </c:pt>
              </c:numCache>
            </c:numRef>
          </c:xVal>
          <c:yVal>
            <c:numRef>
              <c:f>Index!$N$24:$N$225</c:f>
              <c:numCache>
                <c:formatCode>General</c:formatCode>
                <c:ptCount val="202"/>
                <c:pt idx="109">
                  <c:v>8.5</c:v>
                </c:pt>
                <c:pt idx="110">
                  <c:v>8.5</c:v>
                </c:pt>
                <c:pt idx="111">
                  <c:v>8.5</c:v>
                </c:pt>
                <c:pt idx="112">
                  <c:v>8.5</c:v>
                </c:pt>
                <c:pt idx="113">
                  <c:v>8.5</c:v>
                </c:pt>
                <c:pt idx="114">
                  <c:v>8.5</c:v>
                </c:pt>
                <c:pt idx="115">
                  <c:v>8.5</c:v>
                </c:pt>
                <c:pt idx="116">
                  <c:v>8.5</c:v>
                </c:pt>
                <c:pt idx="117">
                  <c:v>8.5</c:v>
                </c:pt>
                <c:pt idx="118">
                  <c:v>8.5</c:v>
                </c:pt>
                <c:pt idx="119">
                  <c:v>8.5</c:v>
                </c:pt>
                <c:pt idx="120">
                  <c:v>8.5</c:v>
                </c:pt>
                <c:pt idx="121">
                  <c:v>8.5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8.5</c:v>
                </c:pt>
                <c:pt idx="126">
                  <c:v>8.5</c:v>
                </c:pt>
                <c:pt idx="127">
                  <c:v>8.5</c:v>
                </c:pt>
                <c:pt idx="128">
                  <c:v>8.5</c:v>
                </c:pt>
                <c:pt idx="129">
                  <c:v>8.5</c:v>
                </c:pt>
                <c:pt idx="130">
                  <c:v>8.5</c:v>
                </c:pt>
                <c:pt idx="131">
                  <c:v>8.5</c:v>
                </c:pt>
                <c:pt idx="132">
                  <c:v>8.5</c:v>
                </c:pt>
                <c:pt idx="133">
                  <c:v>8.5</c:v>
                </c:pt>
                <c:pt idx="134">
                  <c:v>8.5</c:v>
                </c:pt>
                <c:pt idx="135">
                  <c:v>8.5</c:v>
                </c:pt>
                <c:pt idx="136">
                  <c:v>8.5</c:v>
                </c:pt>
                <c:pt idx="137">
                  <c:v>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82-44E8-B02F-7AB3DB591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in val="2454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365"/>
      </c:valAx>
      <c:valAx>
        <c:axId val="821065680"/>
        <c:scaling>
          <c:orientation val="maxMin"/>
          <c:min val="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AS 270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2451714.7492999998</c:v>
                </c:pt>
                <c:pt idx="1">
                  <c:v>2451799.0646000002</c:v>
                </c:pt>
                <c:pt idx="2">
                  <c:v>2451808.0277999998</c:v>
                </c:pt>
                <c:pt idx="3">
                  <c:v>2452028.8457999998</c:v>
                </c:pt>
                <c:pt idx="4">
                  <c:v>2452037.8486000001</c:v>
                </c:pt>
                <c:pt idx="5">
                  <c:v>2452078.7507000002</c:v>
                </c:pt>
                <c:pt idx="6">
                  <c:v>2452110.6617999999</c:v>
                </c:pt>
                <c:pt idx="7">
                  <c:v>2452129.6743000001</c:v>
                </c:pt>
                <c:pt idx="8">
                  <c:v>2452147.6006999998</c:v>
                </c:pt>
                <c:pt idx="9">
                  <c:v>2452389.8549000002</c:v>
                </c:pt>
                <c:pt idx="10">
                  <c:v>2453555.7582999999</c:v>
                </c:pt>
                <c:pt idx="11">
                  <c:v>2453925.1381999999</c:v>
                </c:pt>
                <c:pt idx="12">
                  <c:v>2453927.5712000001</c:v>
                </c:pt>
                <c:pt idx="13">
                  <c:v>2453935.0424000002</c:v>
                </c:pt>
                <c:pt idx="14">
                  <c:v>2453938.9785000002</c:v>
                </c:pt>
                <c:pt idx="15">
                  <c:v>2453945.0306000002</c:v>
                </c:pt>
                <c:pt idx="16">
                  <c:v>2453946.1139000002</c:v>
                </c:pt>
                <c:pt idx="17">
                  <c:v>2453948.0353999999</c:v>
                </c:pt>
                <c:pt idx="18">
                  <c:v>2454349.94777</c:v>
                </c:pt>
                <c:pt idx="19">
                  <c:v>2454362.4400999998</c:v>
                </c:pt>
                <c:pt idx="20">
                  <c:v>2454364.6422000001</c:v>
                </c:pt>
                <c:pt idx="21">
                  <c:v>2454368.9739700002</c:v>
                </c:pt>
                <c:pt idx="22">
                  <c:v>2454371.55804</c:v>
                </c:pt>
                <c:pt idx="23">
                  <c:v>2454372.6330599999</c:v>
                </c:pt>
                <c:pt idx="24">
                  <c:v>2454379.9246700001</c:v>
                </c:pt>
                <c:pt idx="25">
                  <c:v>2454393.9567</c:v>
                </c:pt>
                <c:pt idx="26">
                  <c:v>2454396.9438299998</c:v>
                </c:pt>
                <c:pt idx="27">
                  <c:v>2454401.9695899999</c:v>
                </c:pt>
                <c:pt idx="28">
                  <c:v>2454414.9391600001</c:v>
                </c:pt>
                <c:pt idx="29">
                  <c:v>2455045.2881700001</c:v>
                </c:pt>
                <c:pt idx="30">
                  <c:v>2455408.6673599998</c:v>
                </c:pt>
                <c:pt idx="31">
                  <c:v>2455463.602</c:v>
                </c:pt>
                <c:pt idx="32">
                  <c:v>2455663.9819999998</c:v>
                </c:pt>
                <c:pt idx="33">
                  <c:v>2455676.966</c:v>
                </c:pt>
                <c:pt idx="34">
                  <c:v>2455739.03785</c:v>
                </c:pt>
                <c:pt idx="35">
                  <c:v>2455741.0349400002</c:v>
                </c:pt>
                <c:pt idx="36">
                  <c:v>2455848.5980000002</c:v>
                </c:pt>
                <c:pt idx="37">
                  <c:v>2455980.0219999999</c:v>
                </c:pt>
                <c:pt idx="38">
                  <c:v>2456160.665</c:v>
                </c:pt>
                <c:pt idx="39">
                  <c:v>2456172.7009999999</c:v>
                </c:pt>
                <c:pt idx="40">
                  <c:v>2456359.0240000002</c:v>
                </c:pt>
                <c:pt idx="41">
                  <c:v>2456470.7429999998</c:v>
                </c:pt>
                <c:pt idx="42">
                  <c:v>2456475.503</c:v>
                </c:pt>
                <c:pt idx="43">
                  <c:v>2456512.7179999999</c:v>
                </c:pt>
                <c:pt idx="44">
                  <c:v>2456712.2799999998</c:v>
                </c:pt>
                <c:pt idx="45">
                  <c:v>2456721.0279999999</c:v>
                </c:pt>
                <c:pt idx="46">
                  <c:v>2456729.2680000002</c:v>
                </c:pt>
                <c:pt idx="47">
                  <c:v>2456735.2620000001</c:v>
                </c:pt>
                <c:pt idx="48">
                  <c:v>2456761.2039999999</c:v>
                </c:pt>
                <c:pt idx="49">
                  <c:v>2456770.264</c:v>
                </c:pt>
                <c:pt idx="50">
                  <c:v>2456793.1039999998</c:v>
                </c:pt>
                <c:pt idx="51">
                  <c:v>2456798.2930000001</c:v>
                </c:pt>
                <c:pt idx="52">
                  <c:v>2456826.2179999999</c:v>
                </c:pt>
                <c:pt idx="53">
                  <c:v>2456834.6294999998</c:v>
                </c:pt>
                <c:pt idx="54">
                  <c:v>2456843.0094900001</c:v>
                </c:pt>
                <c:pt idx="55">
                  <c:v>2456875.0136000002</c:v>
                </c:pt>
                <c:pt idx="56">
                  <c:v>2456887.00404</c:v>
                </c:pt>
                <c:pt idx="57">
                  <c:v>2457226.9853300001</c:v>
                </c:pt>
                <c:pt idx="58">
                  <c:v>2457226.9979500002</c:v>
                </c:pt>
                <c:pt idx="59">
                  <c:v>2457281.02575</c:v>
                </c:pt>
                <c:pt idx="60">
                  <c:v>2457283.7695300002</c:v>
                </c:pt>
                <c:pt idx="61">
                  <c:v>2457286.3913699999</c:v>
                </c:pt>
                <c:pt idx="62">
                  <c:v>2457287.9784599999</c:v>
                </c:pt>
                <c:pt idx="63">
                  <c:v>2457289.9140599999</c:v>
                </c:pt>
                <c:pt idx="64">
                  <c:v>2457291.3128900002</c:v>
                </c:pt>
                <c:pt idx="65">
                  <c:v>2457292.9708199999</c:v>
                </c:pt>
                <c:pt idx="66">
                  <c:v>2457294.4292100002</c:v>
                </c:pt>
                <c:pt idx="67">
                  <c:v>2457300.9111199998</c:v>
                </c:pt>
                <c:pt idx="68">
                  <c:v>2457302.2952299998</c:v>
                </c:pt>
                <c:pt idx="69">
                  <c:v>2457305.2265699999</c:v>
                </c:pt>
                <c:pt idx="70">
                  <c:v>2457309.26834</c:v>
                </c:pt>
                <c:pt idx="71">
                  <c:v>2457311.2650000001</c:v>
                </c:pt>
                <c:pt idx="72">
                  <c:v>2457312.9358399999</c:v>
                </c:pt>
                <c:pt idx="73">
                  <c:v>2457493.9792999998</c:v>
                </c:pt>
                <c:pt idx="74">
                  <c:v>2457543.9438</c:v>
                </c:pt>
                <c:pt idx="75">
                  <c:v>2457686.9229299999</c:v>
                </c:pt>
                <c:pt idx="76">
                  <c:v>2457848.9780999999</c:v>
                </c:pt>
                <c:pt idx="77">
                  <c:v>2457852.9555000002</c:v>
                </c:pt>
                <c:pt idx="78">
                  <c:v>2457857.2252000002</c:v>
                </c:pt>
                <c:pt idx="79">
                  <c:v>2457936.0733699999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11.6</c:v>
                </c:pt>
                <c:pt idx="1">
                  <c:v>11.6</c:v>
                </c:pt>
                <c:pt idx="2">
                  <c:v>11.7</c:v>
                </c:pt>
                <c:pt idx="3">
                  <c:v>13.2</c:v>
                </c:pt>
                <c:pt idx="4">
                  <c:v>13.1</c:v>
                </c:pt>
                <c:pt idx="5">
                  <c:v>12.95</c:v>
                </c:pt>
                <c:pt idx="6">
                  <c:v>12.93</c:v>
                </c:pt>
                <c:pt idx="7">
                  <c:v>12.9</c:v>
                </c:pt>
                <c:pt idx="8">
                  <c:v>12.79</c:v>
                </c:pt>
                <c:pt idx="9">
                  <c:v>12.86</c:v>
                </c:pt>
                <c:pt idx="10">
                  <c:v>12.97</c:v>
                </c:pt>
                <c:pt idx="11">
                  <c:v>12.17</c:v>
                </c:pt>
                <c:pt idx="12">
                  <c:v>12.015000000000001</c:v>
                </c:pt>
                <c:pt idx="13">
                  <c:v>11.79</c:v>
                </c:pt>
                <c:pt idx="14">
                  <c:v>11.94</c:v>
                </c:pt>
                <c:pt idx="15">
                  <c:v>11.89</c:v>
                </c:pt>
                <c:pt idx="16">
                  <c:v>11.84</c:v>
                </c:pt>
                <c:pt idx="17">
                  <c:v>11.83</c:v>
                </c:pt>
                <c:pt idx="18">
                  <c:v>11.66</c:v>
                </c:pt>
                <c:pt idx="19">
                  <c:v>11.426500000000001</c:v>
                </c:pt>
                <c:pt idx="20">
                  <c:v>11.353332999999999</c:v>
                </c:pt>
                <c:pt idx="21">
                  <c:v>11.22</c:v>
                </c:pt>
                <c:pt idx="22">
                  <c:v>11.241667</c:v>
                </c:pt>
                <c:pt idx="23">
                  <c:v>11.164</c:v>
                </c:pt>
                <c:pt idx="24">
                  <c:v>11.2</c:v>
                </c:pt>
                <c:pt idx="25">
                  <c:v>11.15</c:v>
                </c:pt>
                <c:pt idx="26">
                  <c:v>11.12</c:v>
                </c:pt>
                <c:pt idx="27">
                  <c:v>11.14</c:v>
                </c:pt>
                <c:pt idx="28">
                  <c:v>11.11</c:v>
                </c:pt>
                <c:pt idx="29">
                  <c:v>11.3</c:v>
                </c:pt>
                <c:pt idx="30">
                  <c:v>13.2</c:v>
                </c:pt>
                <c:pt idx="31">
                  <c:v>13</c:v>
                </c:pt>
                <c:pt idx="32">
                  <c:v>12.2</c:v>
                </c:pt>
                <c:pt idx="33">
                  <c:v>12.28</c:v>
                </c:pt>
                <c:pt idx="34">
                  <c:v>12.4</c:v>
                </c:pt>
                <c:pt idx="35">
                  <c:v>12.59</c:v>
                </c:pt>
                <c:pt idx="36">
                  <c:v>12.798</c:v>
                </c:pt>
                <c:pt idx="37">
                  <c:v>13.21</c:v>
                </c:pt>
                <c:pt idx="38">
                  <c:v>11.84</c:v>
                </c:pt>
                <c:pt idx="39">
                  <c:v>12.09</c:v>
                </c:pt>
                <c:pt idx="40">
                  <c:v>12.68</c:v>
                </c:pt>
                <c:pt idx="41">
                  <c:v>13.59</c:v>
                </c:pt>
                <c:pt idx="42">
                  <c:v>13.63</c:v>
                </c:pt>
                <c:pt idx="43">
                  <c:v>13.38</c:v>
                </c:pt>
                <c:pt idx="44">
                  <c:v>11.95</c:v>
                </c:pt>
                <c:pt idx="45">
                  <c:v>12</c:v>
                </c:pt>
                <c:pt idx="46">
                  <c:v>12.2</c:v>
                </c:pt>
                <c:pt idx="47">
                  <c:v>12.28</c:v>
                </c:pt>
                <c:pt idx="48">
                  <c:v>12.43</c:v>
                </c:pt>
                <c:pt idx="49">
                  <c:v>12.45</c:v>
                </c:pt>
                <c:pt idx="50">
                  <c:v>12.33</c:v>
                </c:pt>
                <c:pt idx="51">
                  <c:v>12.34</c:v>
                </c:pt>
                <c:pt idx="52">
                  <c:v>12.48</c:v>
                </c:pt>
                <c:pt idx="53">
                  <c:v>12.491</c:v>
                </c:pt>
                <c:pt idx="54">
                  <c:v>12.472</c:v>
                </c:pt>
                <c:pt idx="55">
                  <c:v>12.593</c:v>
                </c:pt>
                <c:pt idx="56">
                  <c:v>12.630385</c:v>
                </c:pt>
                <c:pt idx="57">
                  <c:v>12.761396</c:v>
                </c:pt>
                <c:pt idx="58">
                  <c:v>12.759</c:v>
                </c:pt>
                <c:pt idx="59">
                  <c:v>11.012352999999999</c:v>
                </c:pt>
                <c:pt idx="60">
                  <c:v>11.191000000000001</c:v>
                </c:pt>
                <c:pt idx="61">
                  <c:v>11.211375</c:v>
                </c:pt>
                <c:pt idx="62">
                  <c:v>11.311</c:v>
                </c:pt>
                <c:pt idx="63">
                  <c:v>11.382</c:v>
                </c:pt>
                <c:pt idx="64">
                  <c:v>11.346166999999999</c:v>
                </c:pt>
                <c:pt idx="65">
                  <c:v>11.332000000000001</c:v>
                </c:pt>
                <c:pt idx="66">
                  <c:v>11.354666999999999</c:v>
                </c:pt>
                <c:pt idx="67">
                  <c:v>11.61</c:v>
                </c:pt>
                <c:pt idx="68">
                  <c:v>11.668625</c:v>
                </c:pt>
                <c:pt idx="69">
                  <c:v>11.763286000000001</c:v>
                </c:pt>
                <c:pt idx="70">
                  <c:v>11.721571000000001</c:v>
                </c:pt>
                <c:pt idx="71">
                  <c:v>11.688650000000001</c:v>
                </c:pt>
                <c:pt idx="72">
                  <c:v>11.699</c:v>
                </c:pt>
                <c:pt idx="73">
                  <c:v>12.71</c:v>
                </c:pt>
                <c:pt idx="74">
                  <c:v>12.98</c:v>
                </c:pt>
                <c:pt idx="75">
                  <c:v>13.131</c:v>
                </c:pt>
                <c:pt idx="76">
                  <c:v>11.95</c:v>
                </c:pt>
                <c:pt idx="77">
                  <c:v>11.88</c:v>
                </c:pt>
                <c:pt idx="78">
                  <c:v>11.9</c:v>
                </c:pt>
                <c:pt idx="79">
                  <c:v>12.489000000000001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1-42B9-8065-CB6C33524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ax val="2458399.9999999995"/>
          <c:min val="24581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100"/>
      </c:valAx>
      <c:valAx>
        <c:axId val="821065680"/>
        <c:scaling>
          <c:orientation val="maxMin"/>
          <c:max val="10.5"/>
          <c:min val="8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V!$H$643:$H$651</c:f>
              <c:numCache>
                <c:formatCode>General</c:formatCode>
                <c:ptCount val="9"/>
              </c:numCache>
            </c:numRef>
          </c:xVal>
          <c:yVal>
            <c:numRef>
              <c:f>V!$J$643:$J$651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9-40E7-9760-2E4735B2C4C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Index!$E$107:$E$131</c:f>
              <c:numCache>
                <c:formatCode>0</c:formatCode>
                <c:ptCount val="25"/>
                <c:pt idx="0">
                  <c:v>2458031.3311000001</c:v>
                </c:pt>
                <c:pt idx="1">
                  <c:v>2458056.4005999998</c:v>
                </c:pt>
                <c:pt idx="2">
                  <c:v>2458069.6874000002</c:v>
                </c:pt>
                <c:pt idx="3">
                  <c:v>2458080.6945000002</c:v>
                </c:pt>
                <c:pt idx="4">
                  <c:v>2458089.4640000002</c:v>
                </c:pt>
                <c:pt idx="5">
                  <c:v>2458093.4012000002</c:v>
                </c:pt>
                <c:pt idx="6">
                  <c:v>2458097.5584</c:v>
                </c:pt>
                <c:pt idx="7">
                  <c:v>2458099.3961999998</c:v>
                </c:pt>
                <c:pt idx="8">
                  <c:v>2458100.3155</c:v>
                </c:pt>
                <c:pt idx="9">
                  <c:v>2458110.7122999998</c:v>
                </c:pt>
                <c:pt idx="10">
                  <c:v>2458142.3390000002</c:v>
                </c:pt>
                <c:pt idx="11">
                  <c:v>2458149.3533999999</c:v>
                </c:pt>
                <c:pt idx="12">
                  <c:v>2458166.3037999999</c:v>
                </c:pt>
                <c:pt idx="13">
                  <c:v>2458167.2976000002</c:v>
                </c:pt>
                <c:pt idx="14">
                  <c:v>2458168.2327999999</c:v>
                </c:pt>
                <c:pt idx="15">
                  <c:v>2458171.2969999998</c:v>
                </c:pt>
                <c:pt idx="16">
                  <c:v>2458172.3023999999</c:v>
                </c:pt>
                <c:pt idx="17">
                  <c:v>2458173.3147</c:v>
                </c:pt>
                <c:pt idx="18">
                  <c:v>2458174.3516000002</c:v>
                </c:pt>
                <c:pt idx="19">
                  <c:v>2458175.3021999998</c:v>
                </c:pt>
                <c:pt idx="20">
                  <c:v>2458175.523</c:v>
                </c:pt>
                <c:pt idx="21">
                  <c:v>2458177.2949000001</c:v>
                </c:pt>
                <c:pt idx="22">
                  <c:v>2458183.2804</c:v>
                </c:pt>
                <c:pt idx="23">
                  <c:v>2458185.2941999999</c:v>
                </c:pt>
                <c:pt idx="24">
                  <c:v>2458186.3146000002</c:v>
                </c:pt>
              </c:numCache>
            </c:numRef>
          </c:xVal>
          <c:yVal>
            <c:numRef>
              <c:f>Index!$N$107:$N$131</c:f>
              <c:numCache>
                <c:formatCode>General</c:formatCode>
                <c:ptCount val="2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9-40E7-9760-2E4735B2C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287200"/>
        <c:axId val="841289168"/>
      </c:scatterChart>
      <c:valAx>
        <c:axId val="841287200"/>
        <c:scaling>
          <c:orientation val="minMax"/>
          <c:min val="24580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9168"/>
        <c:crosses val="max"/>
        <c:crossBetween val="midCat"/>
      </c:valAx>
      <c:valAx>
        <c:axId val="841289168"/>
        <c:scaling>
          <c:orientation val="maxMin"/>
          <c:min val="8.8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V!$K$645:$K$650</c:f>
              <c:numCache>
                <c:formatCode>0</c:formatCode>
                <c:ptCount val="6"/>
              </c:numCache>
            </c:numRef>
          </c:xVal>
          <c:yVal>
            <c:numRef>
              <c:f>V!$L$645:$L$650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AB-4FD2-ADB4-E6BDD117F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287200"/>
        <c:axId val="841289168"/>
      </c:scatterChart>
      <c:valAx>
        <c:axId val="84128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9168"/>
        <c:crosses val="max"/>
        <c:crossBetween val="midCat"/>
      </c:valAx>
      <c:valAx>
        <c:axId val="841289168"/>
        <c:scaling>
          <c:orientation val="maxMin"/>
          <c:min val="8.8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V!$A$1:$A$4098</c:f>
              <c:numCache>
                <c:formatCode>General</c:formatCode>
                <c:ptCount val="4098"/>
                <c:pt idx="0">
                  <c:v>2451714.7492999998</c:v>
                </c:pt>
                <c:pt idx="1">
                  <c:v>2451799.0646000002</c:v>
                </c:pt>
                <c:pt idx="2">
                  <c:v>2451808.0277999998</c:v>
                </c:pt>
                <c:pt idx="3">
                  <c:v>2452028.8457999998</c:v>
                </c:pt>
                <c:pt idx="4">
                  <c:v>2452037.8486000001</c:v>
                </c:pt>
                <c:pt idx="5">
                  <c:v>2452078.7507000002</c:v>
                </c:pt>
                <c:pt idx="6">
                  <c:v>2452110.6617999999</c:v>
                </c:pt>
                <c:pt idx="7">
                  <c:v>2452129.6743000001</c:v>
                </c:pt>
                <c:pt idx="8">
                  <c:v>2452147.6006999998</c:v>
                </c:pt>
                <c:pt idx="9">
                  <c:v>2452389.8549000002</c:v>
                </c:pt>
                <c:pt idx="10">
                  <c:v>2453555.7582999999</c:v>
                </c:pt>
                <c:pt idx="11">
                  <c:v>2453925.1381999999</c:v>
                </c:pt>
                <c:pt idx="12">
                  <c:v>2453927.5712000001</c:v>
                </c:pt>
                <c:pt idx="13">
                  <c:v>2453935.0424000002</c:v>
                </c:pt>
                <c:pt idx="14">
                  <c:v>2453938.9785000002</c:v>
                </c:pt>
                <c:pt idx="15">
                  <c:v>2453945.0306000002</c:v>
                </c:pt>
                <c:pt idx="16">
                  <c:v>2453946.1139000002</c:v>
                </c:pt>
                <c:pt idx="17">
                  <c:v>2453948.0353999999</c:v>
                </c:pt>
                <c:pt idx="18">
                  <c:v>2454349.94777</c:v>
                </c:pt>
                <c:pt idx="19">
                  <c:v>2454362.4400999998</c:v>
                </c:pt>
                <c:pt idx="20">
                  <c:v>2454364.6422000001</c:v>
                </c:pt>
                <c:pt idx="21">
                  <c:v>2454368.9739700002</c:v>
                </c:pt>
                <c:pt idx="22">
                  <c:v>2454371.55804</c:v>
                </c:pt>
                <c:pt idx="23">
                  <c:v>2454372.6330599999</c:v>
                </c:pt>
                <c:pt idx="24">
                  <c:v>2454379.9246700001</c:v>
                </c:pt>
                <c:pt idx="25">
                  <c:v>2454393.9567</c:v>
                </c:pt>
                <c:pt idx="26">
                  <c:v>2454396.9438299998</c:v>
                </c:pt>
                <c:pt idx="27">
                  <c:v>2454401.9695899999</c:v>
                </c:pt>
                <c:pt idx="28">
                  <c:v>2454414.9391600001</c:v>
                </c:pt>
                <c:pt idx="29">
                  <c:v>2455045.2881700001</c:v>
                </c:pt>
                <c:pt idx="30">
                  <c:v>2455408.6673599998</c:v>
                </c:pt>
                <c:pt idx="31">
                  <c:v>2455463.602</c:v>
                </c:pt>
                <c:pt idx="32">
                  <c:v>2455663.9819999998</c:v>
                </c:pt>
                <c:pt idx="33">
                  <c:v>2455676.966</c:v>
                </c:pt>
                <c:pt idx="34">
                  <c:v>2455739.03785</c:v>
                </c:pt>
                <c:pt idx="35">
                  <c:v>2455741.0349400002</c:v>
                </c:pt>
                <c:pt idx="36">
                  <c:v>2455848.5980000002</c:v>
                </c:pt>
                <c:pt idx="37">
                  <c:v>2455980.0219999999</c:v>
                </c:pt>
                <c:pt idx="38">
                  <c:v>2456160.665</c:v>
                </c:pt>
                <c:pt idx="39">
                  <c:v>2456172.7009999999</c:v>
                </c:pt>
                <c:pt idx="40">
                  <c:v>2456359.0240000002</c:v>
                </c:pt>
                <c:pt idx="41">
                  <c:v>2456470.7429999998</c:v>
                </c:pt>
                <c:pt idx="42">
                  <c:v>2456475.503</c:v>
                </c:pt>
                <c:pt idx="43">
                  <c:v>2456512.7179999999</c:v>
                </c:pt>
                <c:pt idx="44">
                  <c:v>2456712.2799999998</c:v>
                </c:pt>
                <c:pt idx="45">
                  <c:v>2456721.0279999999</c:v>
                </c:pt>
                <c:pt idx="46">
                  <c:v>2456729.2680000002</c:v>
                </c:pt>
                <c:pt idx="47">
                  <c:v>2456735.2620000001</c:v>
                </c:pt>
                <c:pt idx="48">
                  <c:v>2456761.2039999999</c:v>
                </c:pt>
                <c:pt idx="49">
                  <c:v>2456770.264</c:v>
                </c:pt>
                <c:pt idx="50">
                  <c:v>2456793.1039999998</c:v>
                </c:pt>
                <c:pt idx="51">
                  <c:v>2456798.2930000001</c:v>
                </c:pt>
                <c:pt idx="52">
                  <c:v>2456826.2179999999</c:v>
                </c:pt>
                <c:pt idx="53">
                  <c:v>2456834.6294999998</c:v>
                </c:pt>
                <c:pt idx="54">
                  <c:v>2456843.0094900001</c:v>
                </c:pt>
                <c:pt idx="55">
                  <c:v>2456875.0136000002</c:v>
                </c:pt>
                <c:pt idx="56">
                  <c:v>2456887.00404</c:v>
                </c:pt>
                <c:pt idx="57">
                  <c:v>2457226.9853300001</c:v>
                </c:pt>
                <c:pt idx="58">
                  <c:v>2457226.9979500002</c:v>
                </c:pt>
                <c:pt idx="59">
                  <c:v>2457281.02575</c:v>
                </c:pt>
                <c:pt idx="60">
                  <c:v>2457283.7695300002</c:v>
                </c:pt>
                <c:pt idx="61">
                  <c:v>2457286.3913699999</c:v>
                </c:pt>
                <c:pt idx="62">
                  <c:v>2457287.9784599999</c:v>
                </c:pt>
                <c:pt idx="63">
                  <c:v>2457289.9140599999</c:v>
                </c:pt>
                <c:pt idx="64">
                  <c:v>2457291.3128900002</c:v>
                </c:pt>
                <c:pt idx="65">
                  <c:v>2457292.9708199999</c:v>
                </c:pt>
                <c:pt idx="66">
                  <c:v>2457294.4292100002</c:v>
                </c:pt>
                <c:pt idx="67">
                  <c:v>2457300.9111199998</c:v>
                </c:pt>
                <c:pt idx="68">
                  <c:v>2457302.2952299998</c:v>
                </c:pt>
                <c:pt idx="69">
                  <c:v>2457305.2265699999</c:v>
                </c:pt>
                <c:pt idx="70">
                  <c:v>2457309.26834</c:v>
                </c:pt>
                <c:pt idx="71">
                  <c:v>2457311.2650000001</c:v>
                </c:pt>
                <c:pt idx="72">
                  <c:v>2457312.9358399999</c:v>
                </c:pt>
                <c:pt idx="73">
                  <c:v>2457493.9792999998</c:v>
                </c:pt>
                <c:pt idx="74">
                  <c:v>2457543.9438</c:v>
                </c:pt>
                <c:pt idx="75">
                  <c:v>2457686.9229299999</c:v>
                </c:pt>
                <c:pt idx="76">
                  <c:v>2457848.9780999999</c:v>
                </c:pt>
                <c:pt idx="77">
                  <c:v>2457852.9555000002</c:v>
                </c:pt>
                <c:pt idx="78">
                  <c:v>2457857.2252000002</c:v>
                </c:pt>
                <c:pt idx="79">
                  <c:v>2457936.0733699999</c:v>
                </c:pt>
              </c:numCache>
            </c:numRef>
          </c:xVal>
          <c:yVal>
            <c:numRef>
              <c:f>V!$C$1:$C$4098</c:f>
              <c:numCache>
                <c:formatCode>General</c:formatCode>
                <c:ptCount val="4098"/>
                <c:pt idx="0">
                  <c:v>11.6</c:v>
                </c:pt>
                <c:pt idx="1">
                  <c:v>11.6</c:v>
                </c:pt>
                <c:pt idx="2">
                  <c:v>11.7</c:v>
                </c:pt>
                <c:pt idx="3">
                  <c:v>13.2</c:v>
                </c:pt>
                <c:pt idx="4">
                  <c:v>13.1</c:v>
                </c:pt>
                <c:pt idx="5">
                  <c:v>12.95</c:v>
                </c:pt>
                <c:pt idx="6">
                  <c:v>12.93</c:v>
                </c:pt>
                <c:pt idx="7">
                  <c:v>12.9</c:v>
                </c:pt>
                <c:pt idx="8">
                  <c:v>12.79</c:v>
                </c:pt>
                <c:pt idx="9">
                  <c:v>12.86</c:v>
                </c:pt>
                <c:pt idx="10">
                  <c:v>12.97</c:v>
                </c:pt>
                <c:pt idx="11">
                  <c:v>12.17</c:v>
                </c:pt>
                <c:pt idx="12">
                  <c:v>12.015000000000001</c:v>
                </c:pt>
                <c:pt idx="13">
                  <c:v>11.79</c:v>
                </c:pt>
                <c:pt idx="14">
                  <c:v>11.94</c:v>
                </c:pt>
                <c:pt idx="15">
                  <c:v>11.89</c:v>
                </c:pt>
                <c:pt idx="16">
                  <c:v>11.84</c:v>
                </c:pt>
                <c:pt idx="17">
                  <c:v>11.83</c:v>
                </c:pt>
                <c:pt idx="18">
                  <c:v>11.66</c:v>
                </c:pt>
                <c:pt idx="19">
                  <c:v>11.426500000000001</c:v>
                </c:pt>
                <c:pt idx="20">
                  <c:v>11.353332999999999</c:v>
                </c:pt>
                <c:pt idx="21">
                  <c:v>11.22</c:v>
                </c:pt>
                <c:pt idx="22">
                  <c:v>11.241667</c:v>
                </c:pt>
                <c:pt idx="23">
                  <c:v>11.164</c:v>
                </c:pt>
                <c:pt idx="24">
                  <c:v>11.2</c:v>
                </c:pt>
                <c:pt idx="25">
                  <c:v>11.15</c:v>
                </c:pt>
                <c:pt idx="26">
                  <c:v>11.12</c:v>
                </c:pt>
                <c:pt idx="27">
                  <c:v>11.14</c:v>
                </c:pt>
                <c:pt idx="28">
                  <c:v>11.11</c:v>
                </c:pt>
                <c:pt idx="29">
                  <c:v>11.3</c:v>
                </c:pt>
                <c:pt idx="30">
                  <c:v>13.2</c:v>
                </c:pt>
                <c:pt idx="31">
                  <c:v>13</c:v>
                </c:pt>
                <c:pt idx="32">
                  <c:v>12.2</c:v>
                </c:pt>
                <c:pt idx="33">
                  <c:v>12.28</c:v>
                </c:pt>
                <c:pt idx="34">
                  <c:v>12.4</c:v>
                </c:pt>
                <c:pt idx="35">
                  <c:v>12.59</c:v>
                </c:pt>
                <c:pt idx="36">
                  <c:v>12.798</c:v>
                </c:pt>
                <c:pt idx="37">
                  <c:v>13.21</c:v>
                </c:pt>
                <c:pt idx="38">
                  <c:v>11.84</c:v>
                </c:pt>
                <c:pt idx="39">
                  <c:v>12.09</c:v>
                </c:pt>
                <c:pt idx="40">
                  <c:v>12.68</c:v>
                </c:pt>
                <c:pt idx="41">
                  <c:v>13.59</c:v>
                </c:pt>
                <c:pt idx="42">
                  <c:v>13.63</c:v>
                </c:pt>
                <c:pt idx="43">
                  <c:v>13.38</c:v>
                </c:pt>
                <c:pt idx="44">
                  <c:v>11.95</c:v>
                </c:pt>
                <c:pt idx="45">
                  <c:v>12</c:v>
                </c:pt>
                <c:pt idx="46">
                  <c:v>12.2</c:v>
                </c:pt>
                <c:pt idx="47">
                  <c:v>12.28</c:v>
                </c:pt>
                <c:pt idx="48">
                  <c:v>12.43</c:v>
                </c:pt>
                <c:pt idx="49">
                  <c:v>12.45</c:v>
                </c:pt>
                <c:pt idx="50">
                  <c:v>12.33</c:v>
                </c:pt>
                <c:pt idx="51">
                  <c:v>12.34</c:v>
                </c:pt>
                <c:pt idx="52">
                  <c:v>12.48</c:v>
                </c:pt>
                <c:pt idx="53">
                  <c:v>12.491</c:v>
                </c:pt>
                <c:pt idx="54">
                  <c:v>12.472</c:v>
                </c:pt>
                <c:pt idx="55">
                  <c:v>12.593</c:v>
                </c:pt>
                <c:pt idx="56">
                  <c:v>12.630385</c:v>
                </c:pt>
                <c:pt idx="57">
                  <c:v>12.761396</c:v>
                </c:pt>
                <c:pt idx="58">
                  <c:v>12.759</c:v>
                </c:pt>
                <c:pt idx="59">
                  <c:v>11.012352999999999</c:v>
                </c:pt>
                <c:pt idx="60">
                  <c:v>11.191000000000001</c:v>
                </c:pt>
                <c:pt idx="61">
                  <c:v>11.211375</c:v>
                </c:pt>
                <c:pt idx="62">
                  <c:v>11.311</c:v>
                </c:pt>
                <c:pt idx="63">
                  <c:v>11.382</c:v>
                </c:pt>
                <c:pt idx="64">
                  <c:v>11.346166999999999</c:v>
                </c:pt>
                <c:pt idx="65">
                  <c:v>11.332000000000001</c:v>
                </c:pt>
                <c:pt idx="66">
                  <c:v>11.354666999999999</c:v>
                </c:pt>
                <c:pt idx="67">
                  <c:v>11.61</c:v>
                </c:pt>
                <c:pt idx="68">
                  <c:v>11.668625</c:v>
                </c:pt>
                <c:pt idx="69">
                  <c:v>11.763286000000001</c:v>
                </c:pt>
                <c:pt idx="70">
                  <c:v>11.721571000000001</c:v>
                </c:pt>
                <c:pt idx="71">
                  <c:v>11.688650000000001</c:v>
                </c:pt>
                <c:pt idx="72">
                  <c:v>11.699</c:v>
                </c:pt>
                <c:pt idx="73">
                  <c:v>12.71</c:v>
                </c:pt>
                <c:pt idx="74">
                  <c:v>12.98</c:v>
                </c:pt>
                <c:pt idx="75">
                  <c:v>13.131</c:v>
                </c:pt>
                <c:pt idx="76">
                  <c:v>11.95</c:v>
                </c:pt>
                <c:pt idx="77">
                  <c:v>11.88</c:v>
                </c:pt>
                <c:pt idx="78">
                  <c:v>11.9</c:v>
                </c:pt>
                <c:pt idx="79">
                  <c:v>12.489000000000001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2-4E1D-A595-F1C37A73B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367312"/>
        <c:axId val="904371576"/>
      </c:scatterChart>
      <c:valAx>
        <c:axId val="90436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4371576"/>
        <c:crosses val="max"/>
        <c:crossBetween val="midCat"/>
      </c:valAx>
      <c:valAx>
        <c:axId val="90437157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436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30" dropStyle="combo" dx="16" fmlaLink="$J$9" fmlaRange="$C$16:$C$34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$E$13" fmlaRange="Feuil1!$B$3:$B$6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171450</xdr:rowOff>
    </xdr:from>
    <xdr:to>
      <xdr:col>9</xdr:col>
      <xdr:colOff>9525</xdr:colOff>
      <xdr:row>11</xdr:row>
      <xdr:rowOff>114300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4</xdr:row>
          <xdr:rowOff>180975</xdr:rowOff>
        </xdr:from>
        <xdr:to>
          <xdr:col>20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21</xdr:row>
      <xdr:rowOff>0</xdr:rowOff>
    </xdr:from>
    <xdr:to>
      <xdr:col>22</xdr:col>
      <xdr:colOff>304800</xdr:colOff>
      <xdr:row>30</xdr:row>
      <xdr:rowOff>133350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713826</xdr:colOff>
      <xdr:row>617</xdr:row>
      <xdr:rowOff>68099</xdr:rowOff>
    </xdr:from>
    <xdr:to>
      <xdr:col>13</xdr:col>
      <xdr:colOff>153275</xdr:colOff>
      <xdr:row>630</xdr:row>
      <xdr:rowOff>76638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617</xdr:row>
      <xdr:rowOff>0</xdr:rowOff>
    </xdr:from>
    <xdr:to>
      <xdr:col>19</xdr:col>
      <xdr:colOff>764191</xdr:colOff>
      <xdr:row>630</xdr:row>
      <xdr:rowOff>8539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700689</xdr:colOff>
      <xdr:row>15</xdr:row>
      <xdr:rowOff>51676</xdr:rowOff>
    </xdr:from>
    <xdr:to>
      <xdr:col>16</xdr:col>
      <xdr:colOff>370052</xdr:colOff>
      <xdr:row>30</xdr:row>
      <xdr:rowOff>3065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Cy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Suspected"/>
      <sheetName val="SuspectedLog"/>
      <sheetName val="TCPJ19544251+1722281"/>
      <sheetName val="AGDra"/>
      <sheetName val="AGPeg"/>
      <sheetName val="AS210"/>
      <sheetName val="AS245"/>
      <sheetName val="AS270"/>
      <sheetName val="AS289"/>
      <sheetName val="SSLep"/>
      <sheetName val="StHa32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RTel"/>
      <sheetName val="RSOph"/>
      <sheetName val="RTSer"/>
      <sheetName val="RWHya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3">
          <cell r="B13">
            <v>1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>
        <row r="13">
          <cell r="B13">
            <v>1</v>
          </cell>
          <cell r="C13">
            <v>40481</v>
          </cell>
          <cell r="D13">
            <v>0.84236111111111101</v>
          </cell>
          <cell r="E13"/>
          <cell r="F13" t="str">
            <v xml:space="preserve">FMT </v>
          </cell>
          <cell r="G13" t="str">
            <v>ROU-FR</v>
          </cell>
          <cell r="H13" t="str">
            <v>LX20025cmLhiresII</v>
          </cell>
          <cell r="I13">
            <v>1000</v>
          </cell>
          <cell r="J13">
            <v>4206</v>
          </cell>
          <cell r="K13">
            <v>7181</v>
          </cell>
        </row>
        <row r="14">
          <cell r="B14">
            <v>2</v>
          </cell>
          <cell r="C14">
            <v>40518</v>
          </cell>
          <cell r="D14">
            <v>0.82916666666666661</v>
          </cell>
          <cell r="E14"/>
          <cell r="F14" t="str">
            <v xml:space="preserve">FMT </v>
          </cell>
          <cell r="G14" t="str">
            <v>ROU-FR</v>
          </cell>
          <cell r="H14" t="str">
            <v>LX20025cmLHIRESR</v>
          </cell>
          <cell r="I14">
            <v>1000</v>
          </cell>
          <cell r="J14">
            <v>4401</v>
          </cell>
          <cell r="K14">
            <v>7208</v>
          </cell>
        </row>
        <row r="15">
          <cell r="B15">
            <v>3</v>
          </cell>
          <cell r="C15">
            <v>40552</v>
          </cell>
          <cell r="D15">
            <v>0.80069444444444438</v>
          </cell>
          <cell r="E15"/>
          <cell r="F15" t="str">
            <v xml:space="preserve">FMT </v>
          </cell>
          <cell r="G15" t="str">
            <v>ROU-FR</v>
          </cell>
          <cell r="H15" t="str">
            <v>LX20025cmLHIRESR</v>
          </cell>
          <cell r="I15">
            <v>1000</v>
          </cell>
          <cell r="J15">
            <v>4501</v>
          </cell>
          <cell r="K15">
            <v>7119</v>
          </cell>
        </row>
        <row r="16">
          <cell r="B16">
            <v>4</v>
          </cell>
          <cell r="C16">
            <v>40819</v>
          </cell>
          <cell r="D16">
            <v>0.90069444444444446</v>
          </cell>
          <cell r="E16"/>
          <cell r="F16" t="str">
            <v xml:space="preserve">FMT </v>
          </cell>
          <cell r="G16" t="str">
            <v>ROU-FR</v>
          </cell>
          <cell r="H16" t="str">
            <v>SC25cm|Lisa</v>
          </cell>
          <cell r="I16">
            <v>1000</v>
          </cell>
          <cell r="J16">
            <v>3983</v>
          </cell>
          <cell r="K16">
            <v>7555</v>
          </cell>
        </row>
        <row r="17">
          <cell r="B17">
            <v>5</v>
          </cell>
          <cell r="C17">
            <v>41160</v>
          </cell>
          <cell r="D17">
            <v>0.89444444444444438</v>
          </cell>
          <cell r="E17">
            <v>2456179.409</v>
          </cell>
          <cell r="F17" t="str">
            <v xml:space="preserve">FMT </v>
          </cell>
          <cell r="G17" t="str">
            <v>ROU-FR</v>
          </cell>
          <cell r="H17" t="str">
            <v>SC25cm+LISA</v>
          </cell>
          <cell r="I17">
            <v>1000</v>
          </cell>
          <cell r="J17">
            <v>4000</v>
          </cell>
          <cell r="K17">
            <v>7200</v>
          </cell>
        </row>
        <row r="18">
          <cell r="B18">
            <v>6</v>
          </cell>
          <cell r="C18">
            <v>41495</v>
          </cell>
          <cell r="D18">
            <v>0.13472222222222222</v>
          </cell>
          <cell r="E18">
            <v>2456513.6439999999</v>
          </cell>
          <cell r="F18" t="str">
            <v>BUI</v>
          </cell>
          <cell r="G18" t="str">
            <v>OHP-FR</v>
          </cell>
          <cell r="H18" t="str">
            <v>CN212ALPY600ATIK6</v>
          </cell>
          <cell r="I18">
            <v>606</v>
          </cell>
          <cell r="J18">
            <v>3680</v>
          </cell>
          <cell r="K18">
            <v>7400</v>
          </cell>
        </row>
        <row r="19">
          <cell r="B19">
            <v>7</v>
          </cell>
          <cell r="C19">
            <v>41591</v>
          </cell>
          <cell r="D19">
            <v>6.9444444444444434E-2</v>
          </cell>
          <cell r="E19">
            <v>2456609.5869999998</v>
          </cell>
          <cell r="F19" t="str">
            <v>GKA</v>
          </cell>
          <cell r="G19" t="str">
            <v>MAN-US</v>
          </cell>
          <cell r="H19" t="str">
            <v>lx20010"AlpyAti</v>
          </cell>
          <cell r="I19">
            <v>524</v>
          </cell>
          <cell r="J19">
            <v>3603</v>
          </cell>
          <cell r="K19">
            <v>7404</v>
          </cell>
        </row>
        <row r="20">
          <cell r="B20">
            <v>8</v>
          </cell>
          <cell r="C20">
            <v>41609</v>
          </cell>
          <cell r="D20">
            <v>2.6388888888888889E-2</v>
          </cell>
          <cell r="E20">
            <v>2456627.5410000002</v>
          </cell>
          <cell r="F20" t="str">
            <v>GKA</v>
          </cell>
          <cell r="G20" t="str">
            <v>MAN-US</v>
          </cell>
          <cell r="H20" t="str">
            <v>lx20010"AlpyAti</v>
          </cell>
          <cell r="I20">
            <v>562</v>
          </cell>
          <cell r="J20">
            <v>3603</v>
          </cell>
          <cell r="K20">
            <v>7405</v>
          </cell>
        </row>
        <row r="21">
          <cell r="B21">
            <v>9</v>
          </cell>
          <cell r="C21">
            <v>41636</v>
          </cell>
          <cell r="D21">
            <v>7.6388888888888886E-3</v>
          </cell>
          <cell r="E21">
            <v>2456654.52</v>
          </cell>
          <cell r="F21" t="str">
            <v>GKA</v>
          </cell>
          <cell r="G21" t="str">
            <v>MAN-US</v>
          </cell>
          <cell r="H21" t="str">
            <v>lx20010"AlpyAti</v>
          </cell>
          <cell r="I21">
            <v>554</v>
          </cell>
          <cell r="J21">
            <v>3698</v>
          </cell>
          <cell r="K21">
            <v>7319</v>
          </cell>
        </row>
        <row r="22">
          <cell r="B22">
            <v>10</v>
          </cell>
          <cell r="C22">
            <v>41658</v>
          </cell>
          <cell r="D22">
            <v>0.82361111111111107</v>
          </cell>
          <cell r="E22">
            <v>2456677.3459999999</v>
          </cell>
          <cell r="F22" t="str">
            <v>DBO</v>
          </cell>
          <cell r="G22" t="str">
            <v>WCO-UK</v>
          </cell>
          <cell r="H22" t="str">
            <v>C11_LISA_SXV-H9</v>
          </cell>
          <cell r="I22">
            <v>905</v>
          </cell>
          <cell r="J22">
            <v>3783</v>
          </cell>
          <cell r="K22">
            <v>7359</v>
          </cell>
        </row>
        <row r="23">
          <cell r="B23">
            <v>11</v>
          </cell>
          <cell r="C23">
            <v>41827</v>
          </cell>
          <cell r="D23">
            <v>0.12013888888888889</v>
          </cell>
          <cell r="E23">
            <v>2456845.6349999998</v>
          </cell>
          <cell r="F23" t="str">
            <v>PSO</v>
          </cell>
          <cell r="G23" t="str">
            <v>TAT-HU</v>
          </cell>
          <cell r="H23" t="str">
            <v>OrionG3</v>
          </cell>
          <cell r="I23"/>
          <cell r="J23">
            <v>3708</v>
          </cell>
          <cell r="K23">
            <v>7202</v>
          </cell>
        </row>
        <row r="24">
          <cell r="B24">
            <v>12</v>
          </cell>
          <cell r="C24">
            <v>41840</v>
          </cell>
          <cell r="D24">
            <v>0.12083333333333333</v>
          </cell>
          <cell r="E24">
            <v>2456858.628</v>
          </cell>
          <cell r="F24" t="str">
            <v>PSO</v>
          </cell>
          <cell r="G24" t="str">
            <v>TAT-HU</v>
          </cell>
          <cell r="H24" t="str">
            <v>T10+Alpy600+OrionG3</v>
          </cell>
          <cell r="I24">
            <v>600</v>
          </cell>
          <cell r="J24">
            <v>3730</v>
          </cell>
          <cell r="K24">
            <v>7234</v>
          </cell>
        </row>
        <row r="25">
          <cell r="B25">
            <v>13</v>
          </cell>
          <cell r="C25">
            <v>41872</v>
          </cell>
          <cell r="D25">
            <v>7.7777777777777779E-2</v>
          </cell>
          <cell r="E25">
            <v>2456890.5869999998</v>
          </cell>
          <cell r="F25" t="str">
            <v>JMO</v>
          </cell>
          <cell r="G25" t="str">
            <v>OLC-FR</v>
          </cell>
          <cell r="H25" t="str">
            <v>Meade355mm+Atik460E</v>
          </cell>
          <cell r="I25">
            <v>622</v>
          </cell>
          <cell r="J25">
            <v>3739</v>
          </cell>
          <cell r="K25">
            <v>7383</v>
          </cell>
        </row>
        <row r="26">
          <cell r="B26">
            <v>14</v>
          </cell>
          <cell r="C26">
            <v>41875</v>
          </cell>
          <cell r="D26">
            <v>0.25416666666666665</v>
          </cell>
          <cell r="E26">
            <v>2456893.7749999999</v>
          </cell>
          <cell r="F26" t="str">
            <v>LES</v>
          </cell>
          <cell r="G26" t="str">
            <v>MRO-CA</v>
          </cell>
          <cell r="H26" t="str">
            <v>311DK6.6+23um600+QS</v>
          </cell>
          <cell r="I26">
            <v>1834</v>
          </cell>
          <cell r="J26">
            <v>4020</v>
          </cell>
          <cell r="K26">
            <v>7474</v>
          </cell>
        </row>
        <row r="27">
          <cell r="B27">
            <v>15</v>
          </cell>
          <cell r="C27">
            <v>41876</v>
          </cell>
          <cell r="D27">
            <v>0.16180555555555556</v>
          </cell>
          <cell r="E27">
            <v>2456894.6800000002</v>
          </cell>
          <cell r="F27" t="str">
            <v>GKA</v>
          </cell>
          <cell r="G27" t="str">
            <v>GRL-US</v>
          </cell>
          <cell r="H27" t="str">
            <v>SC10+Alpy600</v>
          </cell>
          <cell r="I27">
            <v>536</v>
          </cell>
          <cell r="J27">
            <v>3669</v>
          </cell>
          <cell r="K27">
            <v>7371</v>
          </cell>
        </row>
        <row r="28">
          <cell r="B28">
            <v>16</v>
          </cell>
          <cell r="C28">
            <v>41891</v>
          </cell>
          <cell r="D28">
            <v>0.16666666666666666</v>
          </cell>
          <cell r="E28">
            <v>2456909.6880000001</v>
          </cell>
          <cell r="F28" t="str">
            <v>PSO</v>
          </cell>
          <cell r="G28" t="str">
            <v>TAT-HU</v>
          </cell>
          <cell r="H28" t="str">
            <v>T10+Alpy600+OrionG3</v>
          </cell>
          <cell r="I28">
            <v>450</v>
          </cell>
          <cell r="J28">
            <v>3717</v>
          </cell>
          <cell r="K28">
            <v>7216</v>
          </cell>
        </row>
        <row r="29">
          <cell r="B29">
            <v>17</v>
          </cell>
          <cell r="C29">
            <v>41913</v>
          </cell>
          <cell r="D29">
            <v>9.0972222222222218E-2</v>
          </cell>
          <cell r="E29">
            <v>2456931.6</v>
          </cell>
          <cell r="F29" t="str">
            <v>JMO</v>
          </cell>
          <cell r="G29" t="str">
            <v>OLC-FR</v>
          </cell>
          <cell r="H29" t="str">
            <v>Meade355mm+Atik460E</v>
          </cell>
          <cell r="I29">
            <v>612</v>
          </cell>
          <cell r="J29">
            <v>3739</v>
          </cell>
          <cell r="K29">
            <v>7387</v>
          </cell>
        </row>
        <row r="30">
          <cell r="B30">
            <v>18</v>
          </cell>
          <cell r="C30">
            <v>41931</v>
          </cell>
          <cell r="D30">
            <v>0.12569444444444444</v>
          </cell>
          <cell r="E30">
            <v>2456949.64</v>
          </cell>
          <cell r="F30" t="str">
            <v>PSO</v>
          </cell>
          <cell r="G30" t="str">
            <v>TAT-HU</v>
          </cell>
          <cell r="H30" t="str">
            <v>T10+Alpy600+OrionG3</v>
          </cell>
          <cell r="I30">
            <v>491</v>
          </cell>
          <cell r="J30">
            <v>3743</v>
          </cell>
          <cell r="K30">
            <v>7237</v>
          </cell>
        </row>
        <row r="31">
          <cell r="B31">
            <v>19</v>
          </cell>
          <cell r="C31">
            <v>41944</v>
          </cell>
          <cell r="D31">
            <v>8.9583333333333334E-2</v>
          </cell>
          <cell r="E31">
            <v>2456962.5989999999</v>
          </cell>
          <cell r="F31" t="str">
            <v>JMO</v>
          </cell>
          <cell r="G31" t="str">
            <v>OLC-FR</v>
          </cell>
          <cell r="H31" t="str">
            <v>Meade355mm+Atik460E</v>
          </cell>
          <cell r="I31"/>
          <cell r="J31">
            <v>3790</v>
          </cell>
          <cell r="K31">
            <v>7388</v>
          </cell>
        </row>
        <row r="32">
          <cell r="B32">
            <v>20</v>
          </cell>
          <cell r="C32">
            <v>41948</v>
          </cell>
          <cell r="D32">
            <v>0.93680555555555556</v>
          </cell>
          <cell r="E32">
            <v>2456967.4610000001</v>
          </cell>
          <cell r="F32" t="str">
            <v>DBO</v>
          </cell>
          <cell r="G32" t="str">
            <v>WCO-UK</v>
          </cell>
          <cell r="H32" t="str">
            <v>C11+LISA+SXVR-H694</v>
          </cell>
          <cell r="I32">
            <v>1000</v>
          </cell>
          <cell r="J32">
            <v>3801</v>
          </cell>
          <cell r="K32">
            <v>7591</v>
          </cell>
        </row>
        <row r="33">
          <cell r="B33">
            <v>21</v>
          </cell>
          <cell r="C33">
            <v>41952</v>
          </cell>
          <cell r="D33">
            <v>0.88680555555555562</v>
          </cell>
          <cell r="E33">
            <v>2456971.392</v>
          </cell>
          <cell r="F33" t="str">
            <v>JMO</v>
          </cell>
          <cell r="G33" t="str">
            <v>OLC-FR</v>
          </cell>
          <cell r="H33" t="str">
            <v>Meade355mm+Atik460E</v>
          </cell>
          <cell r="I33">
            <v>9000</v>
          </cell>
          <cell r="J33">
            <v>3777</v>
          </cell>
          <cell r="K33">
            <v>7394</v>
          </cell>
        </row>
        <row r="34">
          <cell r="B34">
            <v>22</v>
          </cell>
          <cell r="C34">
            <v>41960</v>
          </cell>
          <cell r="D34">
            <v>0.9</v>
          </cell>
          <cell r="E34">
            <v>2456979.4180000001</v>
          </cell>
          <cell r="F34" t="str">
            <v>JGF</v>
          </cell>
          <cell r="G34" t="str">
            <v>SMM-SP</v>
          </cell>
          <cell r="H34" t="str">
            <v>16REMOTATIK460EX</v>
          </cell>
          <cell r="I34">
            <v>9000</v>
          </cell>
          <cell r="J34">
            <v>3760</v>
          </cell>
          <cell r="K34">
            <v>7589</v>
          </cell>
        </row>
        <row r="35">
          <cell r="B35">
            <v>23</v>
          </cell>
          <cell r="C35">
            <v>41962</v>
          </cell>
          <cell r="D35">
            <v>0.87291666666666667</v>
          </cell>
          <cell r="E35">
            <v>2456981.3870000001</v>
          </cell>
          <cell r="F35" t="str">
            <v>JGF</v>
          </cell>
          <cell r="G35" t="str">
            <v>SMM-SP</v>
          </cell>
          <cell r="H35" t="str">
            <v>16REMOTATIK460EX</v>
          </cell>
          <cell r="I35">
            <v>9000</v>
          </cell>
          <cell r="J35">
            <v>3723</v>
          </cell>
          <cell r="K35">
            <v>7597</v>
          </cell>
        </row>
        <row r="36">
          <cell r="B36">
            <v>24</v>
          </cell>
          <cell r="C36">
            <v>41966</v>
          </cell>
          <cell r="D36">
            <v>0.89236111111111116</v>
          </cell>
          <cell r="E36">
            <v>2456985.4350000001</v>
          </cell>
          <cell r="F36" t="str">
            <v>DBO</v>
          </cell>
          <cell r="G36" t="str">
            <v>WCO-UK</v>
          </cell>
          <cell r="H36" t="str">
            <v>C11+LISA+SXVR-H694</v>
          </cell>
          <cell r="I36">
            <v>1000</v>
          </cell>
          <cell r="J36">
            <v>3800</v>
          </cell>
          <cell r="K36">
            <v>7590</v>
          </cell>
        </row>
        <row r="37">
          <cell r="B37">
            <v>25</v>
          </cell>
          <cell r="C37">
            <v>41984</v>
          </cell>
          <cell r="D37">
            <v>0.8881944444444444</v>
          </cell>
          <cell r="E37">
            <v>2457003.406</v>
          </cell>
          <cell r="F37" t="str">
            <v>JGF</v>
          </cell>
          <cell r="G37" t="str">
            <v>SMM-SP</v>
          </cell>
          <cell r="H37" t="str">
            <v>16REMOTATIK460EX</v>
          </cell>
          <cell r="I37">
            <v>9000</v>
          </cell>
          <cell r="J37">
            <v>3774</v>
          </cell>
          <cell r="K37">
            <v>7595</v>
          </cell>
        </row>
        <row r="38">
          <cell r="B38">
            <v>26</v>
          </cell>
          <cell r="C38">
            <v>41986</v>
          </cell>
          <cell r="D38">
            <v>0.82013888888888886</v>
          </cell>
          <cell r="E38">
            <v>2457005.335</v>
          </cell>
          <cell r="F38" t="str">
            <v>JGF</v>
          </cell>
          <cell r="G38" t="str">
            <v>SMM-SP</v>
          </cell>
          <cell r="H38" t="str">
            <v>16REMOTATIK460EX</v>
          </cell>
          <cell r="I38">
            <v>9000</v>
          </cell>
          <cell r="J38">
            <v>3814</v>
          </cell>
          <cell r="K38">
            <v>7597</v>
          </cell>
        </row>
        <row r="39">
          <cell r="B39">
            <v>27</v>
          </cell>
          <cell r="C39">
            <v>41986</v>
          </cell>
          <cell r="D39">
            <v>0.91736111111111107</v>
          </cell>
          <cell r="E39">
            <v>2457005.4240000001</v>
          </cell>
          <cell r="F39" t="str">
            <v>PSO</v>
          </cell>
          <cell r="G39" t="str">
            <v>TAT-HU</v>
          </cell>
          <cell r="H39" t="str">
            <v>T10+Alpy600+OrionG3</v>
          </cell>
          <cell r="I39">
            <v>600</v>
          </cell>
          <cell r="J39">
            <v>3741</v>
          </cell>
          <cell r="K39">
            <v>7235</v>
          </cell>
        </row>
        <row r="40">
          <cell r="B40">
            <v>28</v>
          </cell>
          <cell r="C40">
            <v>42000</v>
          </cell>
          <cell r="D40">
            <v>0.76388888888888884</v>
          </cell>
          <cell r="E40">
            <v>2457019.2760000001</v>
          </cell>
          <cell r="F40" t="str">
            <v>JGF</v>
          </cell>
          <cell r="G40" t="str">
            <v>SMM-SP</v>
          </cell>
          <cell r="H40" t="str">
            <v>16REMOTATIK460EX</v>
          </cell>
          <cell r="I40">
            <v>9000</v>
          </cell>
          <cell r="J40">
            <v>3730</v>
          </cell>
          <cell r="K40">
            <v>7585</v>
          </cell>
        </row>
        <row r="41">
          <cell r="B41">
            <v>29</v>
          </cell>
          <cell r="C41">
            <v>42035</v>
          </cell>
          <cell r="D41">
            <v>0.68402777777777779</v>
          </cell>
          <cell r="E41">
            <v>2457054.196</v>
          </cell>
          <cell r="F41" t="str">
            <v>PSO</v>
          </cell>
          <cell r="G41" t="str">
            <v>TAT-HU</v>
          </cell>
          <cell r="H41" t="str">
            <v>25cmf4AlpyAtik414</v>
          </cell>
          <cell r="I41">
            <v>600</v>
          </cell>
          <cell r="J41">
            <v>3650</v>
          </cell>
          <cell r="K41">
            <v>7924</v>
          </cell>
        </row>
        <row r="42">
          <cell r="B42">
            <v>30</v>
          </cell>
          <cell r="C42">
            <v>42049</v>
          </cell>
          <cell r="D42">
            <v>0.68699074074074085</v>
          </cell>
          <cell r="E42">
            <v>2457068.1957999999</v>
          </cell>
          <cell r="F42" t="str">
            <v>PSO</v>
          </cell>
          <cell r="G42" t="str">
            <v>TAT-HU</v>
          </cell>
          <cell r="H42" t="str">
            <v>25cmf4AlpyAtik414</v>
          </cell>
          <cell r="I42">
            <v>538</v>
          </cell>
          <cell r="J42">
            <v>3651</v>
          </cell>
          <cell r="K42">
            <v>7925</v>
          </cell>
        </row>
        <row r="43">
          <cell r="B43">
            <v>31</v>
          </cell>
          <cell r="C43">
            <v>42162</v>
          </cell>
          <cell r="D43">
            <v>3.6921296296296292E-2</v>
          </cell>
          <cell r="E43">
            <v>2457180.5438999999</v>
          </cell>
          <cell r="F43" t="str">
            <v>PSO</v>
          </cell>
          <cell r="G43" t="str">
            <v>TAT-HU</v>
          </cell>
          <cell r="H43" t="str">
            <v>25cmLH24K35u414exm</v>
          </cell>
          <cell r="I43">
            <v>10633</v>
          </cell>
          <cell r="J43">
            <v>6511</v>
          </cell>
          <cell r="K43">
            <v>6622</v>
          </cell>
        </row>
        <row r="44">
          <cell r="B44">
            <v>32</v>
          </cell>
          <cell r="C44">
            <v>42191</v>
          </cell>
          <cell r="D44">
            <v>3.8194444444444443E-3</v>
          </cell>
          <cell r="E44">
            <v>2457209.5222999998</v>
          </cell>
          <cell r="F44" t="str">
            <v>PSO</v>
          </cell>
          <cell r="G44" t="str">
            <v>TAT-HU</v>
          </cell>
          <cell r="H44" t="str">
            <v>25cmLH60015u414exm</v>
          </cell>
          <cell r="I44">
            <v>3503</v>
          </cell>
          <cell r="J44">
            <v>4651</v>
          </cell>
          <cell r="K44">
            <v>5379</v>
          </cell>
        </row>
        <row r="45">
          <cell r="B45">
            <v>33</v>
          </cell>
          <cell r="C45">
            <v>42225</v>
          </cell>
          <cell r="D45">
            <v>0.25111111111111112</v>
          </cell>
          <cell r="E45">
            <v>2457243.7727000001</v>
          </cell>
          <cell r="F45" t="str">
            <v>LES</v>
          </cell>
          <cell r="G45" t="str">
            <v>MRO-CA</v>
          </cell>
          <cell r="H45" t="str">
            <v>31cmDK+23um1800lpm+</v>
          </cell>
          <cell r="I45">
            <v>9000</v>
          </cell>
          <cell r="J45">
            <v>6001</v>
          </cell>
          <cell r="K45">
            <v>7104</v>
          </cell>
        </row>
        <row r="46">
          <cell r="B46">
            <v>34</v>
          </cell>
          <cell r="C46">
            <v>42233</v>
          </cell>
          <cell r="D46">
            <v>0.88248842592592591</v>
          </cell>
          <cell r="E46">
            <v>2457252.3862999999</v>
          </cell>
          <cell r="F46" t="str">
            <v>AHE</v>
          </cell>
          <cell r="G46" t="str">
            <v>SMU-FR</v>
          </cell>
          <cell r="H46" t="str">
            <v>FSQ106alpyatik4</v>
          </cell>
          <cell r="I46">
            <v>600</v>
          </cell>
          <cell r="J46">
            <v>3910</v>
          </cell>
          <cell r="K46">
            <v>7648</v>
          </cell>
        </row>
        <row r="47">
          <cell r="B47">
            <v>35</v>
          </cell>
          <cell r="C47">
            <v>42238</v>
          </cell>
          <cell r="D47">
            <v>0.92031249999999998</v>
          </cell>
          <cell r="E47">
            <v>2457257.4525000001</v>
          </cell>
          <cell r="F47" t="str">
            <v xml:space="preserve">FMT </v>
          </cell>
          <cell r="G47" t="str">
            <v>ROU-FR</v>
          </cell>
          <cell r="H47" t="str">
            <v>SC14+eShel+Atik460ex</v>
          </cell>
          <cell r="I47">
            <v>11000</v>
          </cell>
          <cell r="J47">
            <v>4209</v>
          </cell>
          <cell r="K47">
            <v>7157</v>
          </cell>
        </row>
        <row r="48">
          <cell r="B48">
            <v>36</v>
          </cell>
          <cell r="C48">
            <v>42239</v>
          </cell>
          <cell r="D48">
            <v>0.26472222222222225</v>
          </cell>
          <cell r="E48">
            <v>2457257.7927999999</v>
          </cell>
          <cell r="F48" t="str">
            <v>LES</v>
          </cell>
          <cell r="G48" t="str">
            <v>MRO-CA</v>
          </cell>
          <cell r="H48" t="str">
            <v>31cmDK+23um1800lpm+</v>
          </cell>
          <cell r="I48">
            <v>6368</v>
          </cell>
          <cell r="J48">
            <v>4269</v>
          </cell>
          <cell r="K48">
            <v>5425</v>
          </cell>
        </row>
        <row r="49">
          <cell r="B49">
            <v>37</v>
          </cell>
          <cell r="C49">
            <v>42244</v>
          </cell>
          <cell r="D49">
            <v>0.81547453703703709</v>
          </cell>
          <cell r="E49">
            <v>2457263.3213</v>
          </cell>
          <cell r="F49" t="str">
            <v>AHE</v>
          </cell>
          <cell r="G49" t="str">
            <v>SMU-FR</v>
          </cell>
          <cell r="H49" t="str">
            <v>cn212cassegrainre</v>
          </cell>
          <cell r="I49">
            <v>600</v>
          </cell>
          <cell r="J49">
            <v>6486</v>
          </cell>
          <cell r="K49">
            <v>6602</v>
          </cell>
        </row>
        <row r="50">
          <cell r="B50">
            <v>38</v>
          </cell>
          <cell r="C50">
            <v>42258</v>
          </cell>
          <cell r="D50">
            <v>0.89099537037037047</v>
          </cell>
          <cell r="E50">
            <v>2457277.4081000001</v>
          </cell>
          <cell r="F50" t="str">
            <v>BER</v>
          </cell>
          <cell r="G50" t="str">
            <v>BVO-ITA</v>
          </cell>
          <cell r="H50" t="str">
            <v>LHIRES31200C9SXV</v>
          </cell>
          <cell r="I50">
            <v>5734</v>
          </cell>
          <cell r="J50">
            <v>6340</v>
          </cell>
          <cell r="K50">
            <v>6802</v>
          </cell>
        </row>
        <row r="51">
          <cell r="B51">
            <v>39</v>
          </cell>
          <cell r="C51">
            <v>42260</v>
          </cell>
          <cell r="D51">
            <v>2.1215277777777777E-2</v>
          </cell>
          <cell r="E51">
            <v>2457278.5422</v>
          </cell>
          <cell r="F51" t="str">
            <v>PSO</v>
          </cell>
          <cell r="G51" t="str">
            <v>TAT-HU</v>
          </cell>
          <cell r="H51" t="str">
            <v>T10+Lhires600+Atik414exm</v>
          </cell>
          <cell r="I51">
            <v>3855</v>
          </cell>
          <cell r="J51">
            <v>4603</v>
          </cell>
          <cell r="K51">
            <v>5333</v>
          </cell>
        </row>
        <row r="52">
          <cell r="B52">
            <v>40</v>
          </cell>
          <cell r="C52">
            <v>42262</v>
          </cell>
          <cell r="D52">
            <v>0.2726736111111111</v>
          </cell>
          <cell r="E52">
            <v>2457280.7903999998</v>
          </cell>
          <cell r="F52" t="str">
            <v>LES</v>
          </cell>
          <cell r="G52" t="str">
            <v>MRO-CA</v>
          </cell>
          <cell r="H52" t="str">
            <v>31cmDK+23um1800lpm+</v>
          </cell>
          <cell r="I52">
            <v>9000</v>
          </cell>
          <cell r="J52">
            <v>5999</v>
          </cell>
          <cell r="K52">
            <v>7100</v>
          </cell>
        </row>
        <row r="53">
          <cell r="B53">
            <v>41</v>
          </cell>
          <cell r="C53">
            <v>42266</v>
          </cell>
          <cell r="D53">
            <v>0.88844907407407403</v>
          </cell>
          <cell r="E53">
            <v>2457285.4101999998</v>
          </cell>
          <cell r="F53" t="str">
            <v xml:space="preserve">FMT </v>
          </cell>
          <cell r="G53" t="str">
            <v>ROU-FR</v>
          </cell>
          <cell r="H53" t="str">
            <v>SC14+eShel+Atik460ex</v>
          </cell>
          <cell r="I53">
            <v>11000</v>
          </cell>
          <cell r="J53">
            <v>4209</v>
          </cell>
          <cell r="K53">
            <v>7154</v>
          </cell>
        </row>
        <row r="54">
          <cell r="B54">
            <v>42</v>
          </cell>
          <cell r="C54">
            <v>42272</v>
          </cell>
          <cell r="D54">
            <v>0.85499999999999998</v>
          </cell>
          <cell r="E54">
            <v>2457291.3738000002</v>
          </cell>
          <cell r="F54" t="str">
            <v xml:space="preserve">FMT </v>
          </cell>
          <cell r="G54" t="str">
            <v>ROU-FR</v>
          </cell>
          <cell r="H54" t="str">
            <v>SC14+eShel+Atik460ex</v>
          </cell>
          <cell r="I54">
            <v>11000</v>
          </cell>
          <cell r="J54">
            <v>4287</v>
          </cell>
          <cell r="K54">
            <v>7157</v>
          </cell>
        </row>
        <row r="55">
          <cell r="B55">
            <v>43</v>
          </cell>
          <cell r="C55">
            <v>42273</v>
          </cell>
          <cell r="D55">
            <v>0.99199074074074067</v>
          </cell>
          <cell r="E55">
            <v>2457292.5008999999</v>
          </cell>
          <cell r="F55" t="str">
            <v>JMO</v>
          </cell>
          <cell r="G55" t="str">
            <v>CAL-FR</v>
          </cell>
          <cell r="H55" t="str">
            <v>MEADE355mm+Alpy600+</v>
          </cell>
          <cell r="I55">
            <v>642</v>
          </cell>
          <cell r="J55">
            <v>3716</v>
          </cell>
          <cell r="K55">
            <v>7397</v>
          </cell>
        </row>
        <row r="56">
          <cell r="B56">
            <v>44</v>
          </cell>
          <cell r="C56">
            <v>42274</v>
          </cell>
          <cell r="D56">
            <v>0.86466435185185186</v>
          </cell>
          <cell r="E56">
            <v>2457293.3777999999</v>
          </cell>
          <cell r="F56" t="str">
            <v>DBO</v>
          </cell>
          <cell r="G56" t="str">
            <v>WCO-UK</v>
          </cell>
          <cell r="H56" t="str">
            <v>C11+LISA+SXVR-H694</v>
          </cell>
          <cell r="I56">
            <v>850</v>
          </cell>
          <cell r="J56">
            <v>3900</v>
          </cell>
          <cell r="K56">
            <v>7400</v>
          </cell>
        </row>
        <row r="57">
          <cell r="B57">
            <v>45</v>
          </cell>
          <cell r="C57">
            <v>42278</v>
          </cell>
          <cell r="D57">
            <v>0.86436342592592597</v>
          </cell>
          <cell r="E57">
            <v>2457297.3868</v>
          </cell>
          <cell r="F57" t="str">
            <v xml:space="preserve">FMT </v>
          </cell>
          <cell r="G57" t="str">
            <v>ROU-FR</v>
          </cell>
          <cell r="H57" t="str">
            <v>SC14+eShel+Atik460ex</v>
          </cell>
          <cell r="I57">
            <v>11000</v>
          </cell>
          <cell r="J57">
            <v>4370</v>
          </cell>
          <cell r="K57">
            <v>7157</v>
          </cell>
        </row>
        <row r="58">
          <cell r="B58">
            <v>46</v>
          </cell>
          <cell r="C58">
            <v>42300</v>
          </cell>
          <cell r="D58">
            <v>0.86353009259259261</v>
          </cell>
          <cell r="E58">
            <v>2457319.3698999998</v>
          </cell>
          <cell r="F58" t="str">
            <v>PSO</v>
          </cell>
          <cell r="G58" t="str">
            <v>TAT-HU</v>
          </cell>
          <cell r="H58" t="str">
            <v>25cmLH150_23u414exm</v>
          </cell>
          <cell r="I58">
            <v>526</v>
          </cell>
          <cell r="J58">
            <v>4318</v>
          </cell>
          <cell r="K58">
            <v>7244</v>
          </cell>
        </row>
        <row r="59">
          <cell r="B59">
            <v>47</v>
          </cell>
          <cell r="C59">
            <v>42301</v>
          </cell>
          <cell r="D59">
            <v>0.86563657407407402</v>
          </cell>
          <cell r="E59">
            <v>2457320.3860999998</v>
          </cell>
          <cell r="F59" t="str">
            <v>BER</v>
          </cell>
          <cell r="G59" t="str">
            <v>BVO-IT</v>
          </cell>
          <cell r="H59" t="str">
            <v>LHIRES31200C9SXV</v>
          </cell>
          <cell r="I59">
            <v>6000</v>
          </cell>
          <cell r="J59">
            <v>6332</v>
          </cell>
          <cell r="K59">
            <v>6786</v>
          </cell>
        </row>
        <row r="60">
          <cell r="B60">
            <v>48</v>
          </cell>
          <cell r="C60">
            <v>42302</v>
          </cell>
          <cell r="D60">
            <v>0.77241898148148147</v>
          </cell>
          <cell r="E60">
            <v>2457321.2998000002</v>
          </cell>
          <cell r="F60" t="str">
            <v xml:space="preserve">FMT </v>
          </cell>
          <cell r="G60" t="str">
            <v>ROU-FR</v>
          </cell>
          <cell r="H60" t="str">
            <v>SC14+eShel+Atik460ex</v>
          </cell>
          <cell r="I60">
            <v>11000</v>
          </cell>
          <cell r="J60">
            <v>4209</v>
          </cell>
          <cell r="K60">
            <v>7157</v>
          </cell>
        </row>
        <row r="61">
          <cell r="B61">
            <v>49</v>
          </cell>
          <cell r="C61">
            <v>42329</v>
          </cell>
          <cell r="D61">
            <v>0.90947916666666673</v>
          </cell>
          <cell r="E61">
            <v>2457348.42</v>
          </cell>
          <cell r="F61" t="str">
            <v>JGF</v>
          </cell>
          <cell r="G61" t="str">
            <v>SMM-SP</v>
          </cell>
          <cell r="H61" t="str">
            <v>16REMOTATIK460EX</v>
          </cell>
          <cell r="I61">
            <v>934</v>
          </cell>
          <cell r="J61">
            <v>3784</v>
          </cell>
          <cell r="K61">
            <v>7594</v>
          </cell>
        </row>
        <row r="62">
          <cell r="B62">
            <v>50</v>
          </cell>
          <cell r="C62">
            <v>42333</v>
          </cell>
          <cell r="D62">
            <v>0.84203703703703703</v>
          </cell>
          <cell r="E62">
            <v>2457352.3662</v>
          </cell>
          <cell r="F62" t="str">
            <v xml:space="preserve">FMT </v>
          </cell>
          <cell r="G62" t="str">
            <v>ROU-FR</v>
          </cell>
          <cell r="H62" t="str">
            <v>SC14+eShel+Atik460ex</v>
          </cell>
          <cell r="I62">
            <v>11000</v>
          </cell>
          <cell r="J62">
            <v>4209</v>
          </cell>
          <cell r="K62">
            <v>7152</v>
          </cell>
        </row>
        <row r="63">
          <cell r="B63">
            <v>51</v>
          </cell>
          <cell r="C63">
            <v>42337</v>
          </cell>
          <cell r="D63">
            <v>0.78670138888888896</v>
          </cell>
          <cell r="E63">
            <v>2457356.3204000001</v>
          </cell>
          <cell r="F63" t="str">
            <v>BER</v>
          </cell>
          <cell r="G63" t="str">
            <v>BVO-IT</v>
          </cell>
          <cell r="H63" t="str">
            <v>LHIRES3C9SXVR-H69</v>
          </cell>
          <cell r="I63">
            <v>14807</v>
          </cell>
          <cell r="J63">
            <v>6482</v>
          </cell>
          <cell r="K63">
            <v>6639</v>
          </cell>
        </row>
        <row r="64">
          <cell r="B64">
            <v>52</v>
          </cell>
          <cell r="C64">
            <v>42362</v>
          </cell>
          <cell r="D64">
            <v>0.81288194444444439</v>
          </cell>
          <cell r="E64">
            <v>2457381.3336999998</v>
          </cell>
          <cell r="F64" t="str">
            <v>DBO</v>
          </cell>
          <cell r="G64" t="str">
            <v>WCO-UK</v>
          </cell>
          <cell r="H64" t="str">
            <v>C11+LISA+SXVR-H</v>
          </cell>
          <cell r="I64">
            <v>806</v>
          </cell>
          <cell r="J64">
            <v>3900</v>
          </cell>
          <cell r="K64">
            <v>7400</v>
          </cell>
        </row>
        <row r="65">
          <cell r="B65">
            <v>53</v>
          </cell>
          <cell r="C65">
            <v>42367</v>
          </cell>
          <cell r="D65">
            <v>0.78388888888888886</v>
          </cell>
          <cell r="E65">
            <v>2457386.3160000001</v>
          </cell>
          <cell r="F65" t="str">
            <v xml:space="preserve">FMT </v>
          </cell>
          <cell r="G65" t="str">
            <v>ROU-FR</v>
          </cell>
          <cell r="H65" t="str">
            <v>SC14+eShel+Atik460ex</v>
          </cell>
          <cell r="I65">
            <v>11000</v>
          </cell>
          <cell r="J65">
            <v>4287</v>
          </cell>
          <cell r="K65">
            <v>7161</v>
          </cell>
        </row>
        <row r="66">
          <cell r="B66">
            <v>54</v>
          </cell>
          <cell r="C66">
            <v>42368</v>
          </cell>
          <cell r="D66">
            <v>0.74614583333333329</v>
          </cell>
          <cell r="E66">
            <v>2457387.264</v>
          </cell>
          <cell r="F66" t="str">
            <v>PSO</v>
          </cell>
          <cell r="G66" t="str">
            <v>TAT-HU</v>
          </cell>
          <cell r="H66" t="str">
            <v>T10+Lhires600+Atik414exm</v>
          </cell>
          <cell r="I66">
            <v>2281</v>
          </cell>
          <cell r="J66">
            <v>4569</v>
          </cell>
          <cell r="K66">
            <v>5297</v>
          </cell>
        </row>
        <row r="67">
          <cell r="B67">
            <v>55</v>
          </cell>
          <cell r="C67">
            <v>42384</v>
          </cell>
          <cell r="D67">
            <v>0.73881944444444436</v>
          </cell>
          <cell r="E67">
            <v>2457403.2669000002</v>
          </cell>
          <cell r="F67" t="str">
            <v xml:space="preserve">FMT </v>
          </cell>
          <cell r="G67" t="str">
            <v>ROU-FR</v>
          </cell>
          <cell r="H67" t="str">
            <v>SC14+eShel+Atik460ex</v>
          </cell>
          <cell r="I67">
            <v>11000</v>
          </cell>
          <cell r="J67">
            <v>4287</v>
          </cell>
          <cell r="K67">
            <v>7161</v>
          </cell>
        </row>
        <row r="68">
          <cell r="B68">
            <v>56</v>
          </cell>
          <cell r="C68">
            <v>42384</v>
          </cell>
          <cell r="D68">
            <v>0.82057870370370367</v>
          </cell>
          <cell r="E68">
            <v>2457403.3418999999</v>
          </cell>
          <cell r="F68" t="str">
            <v>DBO</v>
          </cell>
          <cell r="G68" t="str">
            <v>WCO-UK</v>
          </cell>
          <cell r="H68" t="str">
            <v>C11+LISA+SXVR-H</v>
          </cell>
          <cell r="I68">
            <v>817</v>
          </cell>
          <cell r="J68">
            <v>3900</v>
          </cell>
          <cell r="K68">
            <v>7400</v>
          </cell>
        </row>
        <row r="69">
          <cell r="B69">
            <v>57</v>
          </cell>
          <cell r="C69">
            <v>42385</v>
          </cell>
          <cell r="D69">
            <v>0.7599421296296297</v>
          </cell>
          <cell r="E69">
            <v>2457404.2743000002</v>
          </cell>
          <cell r="F69" t="str">
            <v>JGF</v>
          </cell>
          <cell r="G69" t="str">
            <v>SMM-SP</v>
          </cell>
          <cell r="H69" t="str">
            <v>16REMOTATIK460EX</v>
          </cell>
          <cell r="I69">
            <v>903</v>
          </cell>
          <cell r="J69">
            <v>3727</v>
          </cell>
          <cell r="K69">
            <v>7560</v>
          </cell>
        </row>
        <row r="70">
          <cell r="B70">
            <v>58</v>
          </cell>
          <cell r="C70">
            <v>42405</v>
          </cell>
          <cell r="D70">
            <v>0.74243055555555559</v>
          </cell>
          <cell r="E70">
            <v>2457424.2651999998</v>
          </cell>
          <cell r="F70" t="str">
            <v>BER</v>
          </cell>
          <cell r="G70" t="str">
            <v>BVO-IT</v>
          </cell>
          <cell r="H70" t="str">
            <v>LHIRES31200C9SXV</v>
          </cell>
          <cell r="I70">
            <v>5797</v>
          </cell>
          <cell r="J70">
            <v>6342</v>
          </cell>
          <cell r="K70">
            <v>6779</v>
          </cell>
        </row>
        <row r="71">
          <cell r="B71">
            <v>59</v>
          </cell>
          <cell r="C71">
            <v>42565</v>
          </cell>
          <cell r="D71">
            <v>0.99619212962962955</v>
          </cell>
          <cell r="E71">
            <v>2457584.5060999999</v>
          </cell>
          <cell r="F71" t="str">
            <v xml:space="preserve">FMT </v>
          </cell>
          <cell r="G71" t="str">
            <v>ROU-FR</v>
          </cell>
          <cell r="H71" t="str">
            <v>SC14+eShel+Atik460ex</v>
          </cell>
          <cell r="I71">
            <v>11000</v>
          </cell>
          <cell r="J71">
            <v>4144</v>
          </cell>
          <cell r="K71">
            <v>7161</v>
          </cell>
        </row>
        <row r="72">
          <cell r="B72">
            <v>60</v>
          </cell>
          <cell r="C72">
            <v>42608</v>
          </cell>
          <cell r="D72">
            <v>0.91872685185185177</v>
          </cell>
          <cell r="E72">
            <v>2457627.4399000001</v>
          </cell>
          <cell r="F72" t="str">
            <v xml:space="preserve">FMT </v>
          </cell>
          <cell r="G72" t="str">
            <v>ROU-FR</v>
          </cell>
          <cell r="H72" t="str">
            <v>SC14+eShel+Atik460ex</v>
          </cell>
          <cell r="I72">
            <v>11000</v>
          </cell>
          <cell r="J72">
            <v>4144</v>
          </cell>
          <cell r="K72">
            <v>7161</v>
          </cell>
        </row>
        <row r="73">
          <cell r="B73">
            <v>61</v>
          </cell>
          <cell r="C73">
            <v>42616</v>
          </cell>
          <cell r="D73">
            <v>0.21408564814814815</v>
          </cell>
          <cell r="E73">
            <v>2457634.7316999999</v>
          </cell>
          <cell r="F73" t="str">
            <v>LES</v>
          </cell>
          <cell r="G73" t="str">
            <v>MRO-CA</v>
          </cell>
          <cell r="H73" t="str">
            <v>31cmDK+23um1800lpm+</v>
          </cell>
          <cell r="I73">
            <v>9000</v>
          </cell>
          <cell r="J73">
            <v>6001</v>
          </cell>
          <cell r="K73">
            <v>7102</v>
          </cell>
        </row>
        <row r="74">
          <cell r="B74">
            <v>62</v>
          </cell>
          <cell r="C74">
            <v>42626</v>
          </cell>
          <cell r="D74">
            <v>0.30937500000000001</v>
          </cell>
          <cell r="E74">
            <v>2457644.8374000001</v>
          </cell>
          <cell r="F74" t="str">
            <v>LES</v>
          </cell>
          <cell r="G74" t="str">
            <v>MRO-CA</v>
          </cell>
          <cell r="H74" t="str">
            <v>31cmDK+23um1800lpm+</v>
          </cell>
          <cell r="I74">
            <v>6200</v>
          </cell>
          <cell r="J74">
            <v>4274</v>
          </cell>
          <cell r="K74">
            <v>5429</v>
          </cell>
        </row>
        <row r="75">
          <cell r="B75">
            <v>63</v>
          </cell>
          <cell r="C75">
            <v>42636</v>
          </cell>
          <cell r="D75">
            <v>0.86837962962962967</v>
          </cell>
          <cell r="E75">
            <v>2457655.3892999999</v>
          </cell>
          <cell r="F75" t="str">
            <v xml:space="preserve">FMT </v>
          </cell>
          <cell r="G75" t="str">
            <v>ROU-FR</v>
          </cell>
          <cell r="H75" t="str">
            <v>SC14+eShel+Atik460ex</v>
          </cell>
          <cell r="I75">
            <v>11000</v>
          </cell>
          <cell r="J75">
            <v>4144</v>
          </cell>
          <cell r="K75">
            <v>7161</v>
          </cell>
        </row>
        <row r="76">
          <cell r="B76">
            <v>64</v>
          </cell>
          <cell r="C76">
            <v>42645</v>
          </cell>
          <cell r="D76">
            <v>0.84929398148148139</v>
          </cell>
          <cell r="E76">
            <v>2457664.372</v>
          </cell>
          <cell r="F76" t="str">
            <v>BER</v>
          </cell>
          <cell r="G76" t="str">
            <v>BVO-IT</v>
          </cell>
          <cell r="H76" t="str">
            <v>LHIRES31200C9SXV</v>
          </cell>
          <cell r="I76">
            <v>5942</v>
          </cell>
          <cell r="J76">
            <v>6333</v>
          </cell>
          <cell r="K76">
            <v>6779</v>
          </cell>
        </row>
        <row r="77">
          <cell r="B77">
            <v>65</v>
          </cell>
          <cell r="C77">
            <v>42671</v>
          </cell>
          <cell r="D77">
            <v>0.995</v>
          </cell>
          <cell r="E77">
            <v>2457690.5019</v>
          </cell>
          <cell r="F77" t="str">
            <v>JMO</v>
          </cell>
          <cell r="G77" t="str">
            <v>CAL-FR</v>
          </cell>
          <cell r="H77" t="str">
            <v>Alpy600+Atik460EX</v>
          </cell>
          <cell r="I77">
            <v>660</v>
          </cell>
          <cell r="J77">
            <v>3742</v>
          </cell>
          <cell r="K77">
            <v>7397</v>
          </cell>
        </row>
        <row r="78">
          <cell r="B78">
            <v>66</v>
          </cell>
          <cell r="C78">
            <v>42671</v>
          </cell>
          <cell r="D78">
            <v>0.995</v>
          </cell>
          <cell r="E78">
            <v>2457690.5019</v>
          </cell>
          <cell r="F78" t="str">
            <v>JMO</v>
          </cell>
          <cell r="G78" t="str">
            <v>OLC-FR</v>
          </cell>
          <cell r="H78" t="str">
            <v>Alpy600+Atik460EX</v>
          </cell>
          <cell r="I78">
            <v>660</v>
          </cell>
          <cell r="J78">
            <v>3742</v>
          </cell>
          <cell r="K78">
            <v>7397</v>
          </cell>
        </row>
        <row r="79">
          <cell r="B79">
            <v>67</v>
          </cell>
          <cell r="C79">
            <v>42680</v>
          </cell>
          <cell r="D79">
            <v>0.89479166666666676</v>
          </cell>
          <cell r="E79">
            <v>2457699.4051999999</v>
          </cell>
          <cell r="F79" t="str">
            <v>FCA</v>
          </cell>
          <cell r="G79" t="str">
            <v>PAG-SP</v>
          </cell>
          <cell r="H79" t="str">
            <v>N-200DADOS-200ATI</v>
          </cell>
          <cell r="I79">
            <v>785</v>
          </cell>
          <cell r="J79">
            <v>3847</v>
          </cell>
          <cell r="K79">
            <v>7384</v>
          </cell>
        </row>
        <row r="80">
          <cell r="B80">
            <v>68</v>
          </cell>
          <cell r="C80">
            <v>42681</v>
          </cell>
          <cell r="D80">
            <v>0.85819444444444448</v>
          </cell>
          <cell r="E80">
            <v>2457700.3930000002</v>
          </cell>
          <cell r="F80" t="str">
            <v>JGF</v>
          </cell>
          <cell r="G80" t="str">
            <v>SMM-SP</v>
          </cell>
          <cell r="H80" t="str">
            <v>16REMOTATIK460EX</v>
          </cell>
          <cell r="I80">
            <v>1078</v>
          </cell>
          <cell r="J80">
            <v>3821</v>
          </cell>
          <cell r="K80">
            <v>7444</v>
          </cell>
        </row>
        <row r="81">
          <cell r="B81">
            <v>69</v>
          </cell>
          <cell r="C81">
            <v>42704</v>
          </cell>
          <cell r="D81">
            <v>0.83903935185185186</v>
          </cell>
          <cell r="E81">
            <v>2457723.3602</v>
          </cell>
          <cell r="F81" t="str">
            <v xml:space="preserve">FMT </v>
          </cell>
          <cell r="G81" t="str">
            <v>ROU-FR</v>
          </cell>
          <cell r="H81" t="str">
            <v>SC14+eShel+Atik460ex</v>
          </cell>
          <cell r="I81">
            <v>11000</v>
          </cell>
          <cell r="J81">
            <v>4207</v>
          </cell>
          <cell r="K81">
            <v>7161</v>
          </cell>
        </row>
        <row r="82">
          <cell r="B82">
            <v>70</v>
          </cell>
          <cell r="C82">
            <v>42704</v>
          </cell>
          <cell r="D82">
            <v>0.86285879629629625</v>
          </cell>
          <cell r="E82">
            <v>2457723.3876</v>
          </cell>
          <cell r="F82" t="str">
            <v>DBO</v>
          </cell>
          <cell r="G82" t="str">
            <v>WCO-UK</v>
          </cell>
          <cell r="H82" t="str">
            <v>C11+LISA+SXVR-H</v>
          </cell>
          <cell r="I82">
            <v>830</v>
          </cell>
          <cell r="J82">
            <v>3900</v>
          </cell>
          <cell r="K82">
            <v>7400</v>
          </cell>
        </row>
        <row r="83">
          <cell r="B83">
            <v>71</v>
          </cell>
          <cell r="C83">
            <v>42710</v>
          </cell>
          <cell r="D83">
            <v>0.89035879629629633</v>
          </cell>
          <cell r="E83">
            <v>2457729.4251999999</v>
          </cell>
          <cell r="F83" t="str">
            <v>JGF</v>
          </cell>
          <cell r="G83" t="str">
            <v>SMM-SP</v>
          </cell>
          <cell r="H83" t="str">
            <v>16REMOTATIK460EX</v>
          </cell>
          <cell r="I83">
            <v>1080</v>
          </cell>
          <cell r="J83">
            <v>3788</v>
          </cell>
          <cell r="K83">
            <v>7461</v>
          </cell>
        </row>
        <row r="84">
          <cell r="B84">
            <v>72</v>
          </cell>
          <cell r="C84">
            <v>42721</v>
          </cell>
          <cell r="D84">
            <v>0.82395833333333324</v>
          </cell>
          <cell r="E84">
            <v>2457740.3472000002</v>
          </cell>
          <cell r="F84" t="str">
            <v>JGF</v>
          </cell>
          <cell r="G84" t="str">
            <v>SMM-SP</v>
          </cell>
          <cell r="H84" t="str">
            <v>16REMOTATIK460EX</v>
          </cell>
          <cell r="I84">
            <v>944</v>
          </cell>
          <cell r="J84">
            <v>3777</v>
          </cell>
          <cell r="K84">
            <v>7487</v>
          </cell>
        </row>
        <row r="85">
          <cell r="B85">
            <v>73</v>
          </cell>
          <cell r="C85">
            <v>42721</v>
          </cell>
          <cell r="D85">
            <v>0.82395833333333324</v>
          </cell>
          <cell r="E85">
            <v>2457740.3472000002</v>
          </cell>
          <cell r="F85" t="str">
            <v>JGF</v>
          </cell>
          <cell r="G85" t="str">
            <v>SMM-SP</v>
          </cell>
          <cell r="H85" t="str">
            <v>16REMOTATIK460EX</v>
          </cell>
          <cell r="I85">
            <v>944</v>
          </cell>
          <cell r="J85">
            <v>3777</v>
          </cell>
          <cell r="K85">
            <v>7487</v>
          </cell>
        </row>
        <row r="86">
          <cell r="B86">
            <v>74</v>
          </cell>
          <cell r="C86">
            <v>42737</v>
          </cell>
          <cell r="D86">
            <v>0.75290509259259253</v>
          </cell>
          <cell r="E86">
            <v>2457756.2809000001</v>
          </cell>
          <cell r="F86" t="str">
            <v xml:space="preserve">FMT </v>
          </cell>
          <cell r="G86" t="str">
            <v>ROU-FR</v>
          </cell>
          <cell r="H86" t="str">
            <v>SC14+eShel+Atik460ex</v>
          </cell>
          <cell r="I86">
            <v>11000</v>
          </cell>
          <cell r="J86">
            <v>4300</v>
          </cell>
          <cell r="K86">
            <v>7150</v>
          </cell>
        </row>
        <row r="87">
          <cell r="B87">
            <v>75</v>
          </cell>
          <cell r="C87">
            <v>42742</v>
          </cell>
          <cell r="D87">
            <v>0.87331018518518511</v>
          </cell>
          <cell r="E87">
            <v>2457761.389</v>
          </cell>
          <cell r="F87" t="str">
            <v>MRO</v>
          </cell>
          <cell r="G87" t="str">
            <v>VEN-SP</v>
          </cell>
          <cell r="H87" t="str">
            <v>RC_0.2m_f/8_Alpy_60</v>
          </cell>
          <cell r="I87">
            <v>535</v>
          </cell>
          <cell r="J87">
            <v>3610</v>
          </cell>
          <cell r="K87">
            <v>7215</v>
          </cell>
        </row>
        <row r="88">
          <cell r="B88">
            <v>76</v>
          </cell>
          <cell r="C88">
            <v>42747</v>
          </cell>
          <cell r="D88">
            <v>0.78366898148148145</v>
          </cell>
          <cell r="E88">
            <v>2457766.3010999998</v>
          </cell>
          <cell r="F88" t="str">
            <v>JGF</v>
          </cell>
          <cell r="G88" t="str">
            <v>SMM-SP</v>
          </cell>
          <cell r="H88" t="str">
            <v>16REMOTATIK460EX</v>
          </cell>
          <cell r="I88">
            <v>1060</v>
          </cell>
          <cell r="J88">
            <v>3785</v>
          </cell>
          <cell r="K88">
            <v>7447</v>
          </cell>
        </row>
        <row r="89">
          <cell r="B89">
            <v>77</v>
          </cell>
          <cell r="C89">
            <v>42748</v>
          </cell>
          <cell r="D89">
            <v>0.84290509259259261</v>
          </cell>
          <cell r="E89">
            <v>2457767.3678000001</v>
          </cell>
          <cell r="F89" t="str">
            <v>DBO</v>
          </cell>
          <cell r="G89" t="str">
            <v>WCO-UK</v>
          </cell>
          <cell r="H89" t="str">
            <v>C11+LISA+SXVR-H</v>
          </cell>
          <cell r="I89">
            <v>725</v>
          </cell>
          <cell r="J89">
            <v>3900</v>
          </cell>
          <cell r="K89">
            <v>7379</v>
          </cell>
        </row>
        <row r="90">
          <cell r="B90">
            <v>78</v>
          </cell>
          <cell r="C90">
            <v>42754</v>
          </cell>
          <cell r="D90">
            <v>0.75260416666666663</v>
          </cell>
          <cell r="E90">
            <v>2457773.2842999999</v>
          </cell>
          <cell r="F90" t="str">
            <v xml:space="preserve">FMT </v>
          </cell>
          <cell r="G90" t="str">
            <v>ROU-FR</v>
          </cell>
          <cell r="H90" t="str">
            <v>SC14+eShel+Atik460ex</v>
          </cell>
          <cell r="I90">
            <v>11000</v>
          </cell>
          <cell r="J90">
            <v>4300</v>
          </cell>
          <cell r="K90">
            <v>7150</v>
          </cell>
        </row>
        <row r="91">
          <cell r="B91">
            <v>79</v>
          </cell>
          <cell r="C91">
            <v>42761</v>
          </cell>
          <cell r="D91">
            <v>0.73694444444444451</v>
          </cell>
          <cell r="E91">
            <v>2457780.2677000002</v>
          </cell>
          <cell r="F91" t="str">
            <v xml:space="preserve">FMT </v>
          </cell>
          <cell r="G91" t="str">
            <v>ROU-FR</v>
          </cell>
          <cell r="H91" t="str">
            <v>SC14+eShel+Atik460ex</v>
          </cell>
          <cell r="I91">
            <v>11000</v>
          </cell>
          <cell r="J91">
            <v>4300</v>
          </cell>
          <cell r="K91">
            <v>7150</v>
          </cell>
        </row>
        <row r="92">
          <cell r="B92">
            <v>80</v>
          </cell>
          <cell r="C92">
            <v>42784</v>
          </cell>
          <cell r="D92">
            <v>0.77260416666666665</v>
          </cell>
          <cell r="E92">
            <v>2457803.3048</v>
          </cell>
          <cell r="F92" t="str">
            <v xml:space="preserve">FMT </v>
          </cell>
          <cell r="G92" t="str">
            <v>ROU-FR</v>
          </cell>
          <cell r="H92" t="str">
            <v>SC14+eShel+Atik460ex</v>
          </cell>
          <cell r="I92">
            <v>11000</v>
          </cell>
          <cell r="J92">
            <v>4141</v>
          </cell>
          <cell r="K92">
            <v>7161</v>
          </cell>
        </row>
        <row r="93">
          <cell r="B93">
            <v>81</v>
          </cell>
          <cell r="C93">
            <v>42964</v>
          </cell>
          <cell r="D93">
            <v>0.96320601851851861</v>
          </cell>
          <cell r="E93">
            <v>2457983.4805999999</v>
          </cell>
          <cell r="F93" t="str">
            <v>FCA</v>
          </cell>
          <cell r="G93" t="str">
            <v>PAG-SP</v>
          </cell>
          <cell r="H93" t="str">
            <v>Newton-200DADOS-20</v>
          </cell>
          <cell r="I93">
            <v>762</v>
          </cell>
          <cell r="J93">
            <v>3861</v>
          </cell>
          <cell r="K93">
            <v>7406</v>
          </cell>
        </row>
        <row r="94">
          <cell r="B94">
            <v>82</v>
          </cell>
          <cell r="C94">
            <v>42989</v>
          </cell>
          <cell r="D94">
            <v>0.13570601851851852</v>
          </cell>
          <cell r="E94">
            <v>2458007.6919999998</v>
          </cell>
          <cell r="F94" t="str">
            <v>LES</v>
          </cell>
          <cell r="G94" t="str">
            <v>MRO-CA</v>
          </cell>
          <cell r="H94" t="str">
            <v>T11+Echelle</v>
          </cell>
          <cell r="I94">
            <v>13000</v>
          </cell>
          <cell r="J94">
            <v>4030</v>
          </cell>
          <cell r="K94">
            <v>7948</v>
          </cell>
        </row>
        <row r="95">
          <cell r="B95">
            <v>83</v>
          </cell>
          <cell r="C95">
            <v>43000</v>
          </cell>
          <cell r="D95">
            <v>0.86163194444444446</v>
          </cell>
          <cell r="E95">
            <v>2458019.3898</v>
          </cell>
          <cell r="F95" t="str">
            <v xml:space="preserve">FMT </v>
          </cell>
          <cell r="G95" t="str">
            <v>ROU-FR</v>
          </cell>
          <cell r="H95" t="str">
            <v>SC14+eShel+Atik460ex</v>
          </cell>
          <cell r="I95">
            <v>11000</v>
          </cell>
          <cell r="J95">
            <v>4286</v>
          </cell>
          <cell r="K95">
            <v>7159</v>
          </cell>
        </row>
        <row r="96">
          <cell r="B96">
            <v>84</v>
          </cell>
          <cell r="C96">
            <v>43012</v>
          </cell>
          <cell r="D96">
            <v>0.8100694444444444</v>
          </cell>
          <cell r="E96">
            <v>2458031.3311000001</v>
          </cell>
          <cell r="F96" t="str">
            <v xml:space="preserve">FMT </v>
          </cell>
          <cell r="G96" t="str">
            <v>ROU-FR</v>
          </cell>
          <cell r="H96" t="str">
            <v>SC14+eShel+Atik460ex</v>
          </cell>
          <cell r="I96">
            <v>11000</v>
          </cell>
          <cell r="J96">
            <v>4141</v>
          </cell>
          <cell r="K96">
            <v>7394</v>
          </cell>
        </row>
        <row r="97">
          <cell r="B97">
            <v>85</v>
          </cell>
          <cell r="C97">
            <v>43037</v>
          </cell>
          <cell r="D97">
            <v>0.8685532407407407</v>
          </cell>
          <cell r="E97">
            <v>2458056.4005999998</v>
          </cell>
          <cell r="F97" t="str">
            <v>DBO</v>
          </cell>
          <cell r="G97" t="str">
            <v>WCO-UK</v>
          </cell>
          <cell r="H97" t="str">
            <v>C11+LISA+SXVR-H</v>
          </cell>
          <cell r="I97">
            <v>1035</v>
          </cell>
          <cell r="J97">
            <v>3901</v>
          </cell>
          <cell r="K97">
            <v>7380</v>
          </cell>
        </row>
        <row r="98">
          <cell r="B98">
            <v>86</v>
          </cell>
          <cell r="C98">
            <v>43051</v>
          </cell>
          <cell r="D98">
            <v>0.17620370370370372</v>
          </cell>
          <cell r="E98">
            <v>2458069.6874000002</v>
          </cell>
          <cell r="F98" t="str">
            <v>FAS</v>
          </cell>
          <cell r="G98" t="str">
            <v>DCO-US</v>
          </cell>
          <cell r="H98" t="str">
            <v>CDK14+LISA+Atik414e</v>
          </cell>
          <cell r="I98">
            <v>1044</v>
          </cell>
          <cell r="J98">
            <v>3850</v>
          </cell>
          <cell r="K98">
            <v>7399</v>
          </cell>
        </row>
        <row r="99">
          <cell r="B99">
            <v>87</v>
          </cell>
          <cell r="C99">
            <v>43062</v>
          </cell>
          <cell r="D99">
            <v>0.18188657407407408</v>
          </cell>
          <cell r="E99">
            <v>2458080.6945000002</v>
          </cell>
          <cell r="F99" t="str">
            <v>FAS</v>
          </cell>
          <cell r="G99" t="str">
            <v>DCO-US</v>
          </cell>
          <cell r="H99" t="str">
            <v>CDK14+LISA+Atik414e</v>
          </cell>
          <cell r="I99">
            <v>1047</v>
          </cell>
          <cell r="J99">
            <v>3851</v>
          </cell>
          <cell r="K99">
            <v>7399</v>
          </cell>
        </row>
        <row r="100">
          <cell r="B100">
            <v>88</v>
          </cell>
          <cell r="C100">
            <v>43070</v>
          </cell>
          <cell r="D100">
            <v>0.92903935185185194</v>
          </cell>
          <cell r="E100">
            <v>2458089.4640000002</v>
          </cell>
          <cell r="F100" t="str">
            <v>JGF</v>
          </cell>
          <cell r="G100" t="str">
            <v>SMM-SP</v>
          </cell>
          <cell r="H100" t="str">
            <v>T16+Echelle+Atik460</v>
          </cell>
          <cell r="I100">
            <v>9000</v>
          </cell>
          <cell r="J100">
            <v>4052</v>
          </cell>
          <cell r="K100">
            <v>7497</v>
          </cell>
        </row>
        <row r="101">
          <cell r="B101">
            <v>89</v>
          </cell>
          <cell r="C101">
            <v>43074</v>
          </cell>
          <cell r="D101">
            <v>0.86711805555555566</v>
          </cell>
          <cell r="E101">
            <v>2458093.4012000002</v>
          </cell>
          <cell r="F101" t="str">
            <v>JGF</v>
          </cell>
          <cell r="G101" t="str">
            <v>PIE-SP</v>
          </cell>
          <cell r="H101" t="str">
            <v>MUSSOL</v>
          </cell>
          <cell r="I101">
            <v>9000</v>
          </cell>
          <cell r="J101">
            <v>4052</v>
          </cell>
          <cell r="K101">
            <v>7497</v>
          </cell>
        </row>
        <row r="102">
          <cell r="B102">
            <v>90</v>
          </cell>
          <cell r="C102">
            <v>43079</v>
          </cell>
          <cell r="D102">
            <v>3.1608796296296295E-2</v>
          </cell>
          <cell r="E102">
            <v>2458097.5584</v>
          </cell>
          <cell r="F102" t="str">
            <v>SMO</v>
          </cell>
          <cell r="G102" t="str">
            <v>OMB-IF</v>
          </cell>
          <cell r="H102" t="str">
            <v>Meade10LhiresI</v>
          </cell>
          <cell r="I102">
            <v>949</v>
          </cell>
          <cell r="J102">
            <v>4733</v>
          </cell>
          <cell r="K102">
            <v>6785</v>
          </cell>
        </row>
        <row r="103">
          <cell r="B103">
            <v>91</v>
          </cell>
          <cell r="C103">
            <v>43080</v>
          </cell>
          <cell r="D103">
            <v>0.88569444444444445</v>
          </cell>
          <cell r="E103">
            <v>2458099.3961999998</v>
          </cell>
          <cell r="F103" t="str">
            <v>FCA</v>
          </cell>
          <cell r="G103" t="str">
            <v>PAG-SP</v>
          </cell>
          <cell r="H103" t="str">
            <v>RC-350f/8DADOS-</v>
          </cell>
          <cell r="I103">
            <v>966</v>
          </cell>
          <cell r="J103">
            <v>3773</v>
          </cell>
          <cell r="K103">
            <v>7304</v>
          </cell>
        </row>
        <row r="104">
          <cell r="B104">
            <v>92</v>
          </cell>
          <cell r="C104">
            <v>43081</v>
          </cell>
          <cell r="D104">
            <v>0.76366898148148143</v>
          </cell>
          <cell r="E104">
            <v>2458100.3155</v>
          </cell>
          <cell r="F104" t="str">
            <v>JGF</v>
          </cell>
          <cell r="G104" t="str">
            <v>PIE-SP</v>
          </cell>
          <cell r="H104" t="str">
            <v>MUSSOL</v>
          </cell>
          <cell r="I104">
            <v>9000</v>
          </cell>
          <cell r="J104">
            <v>4052</v>
          </cell>
          <cell r="K104">
            <v>7497</v>
          </cell>
        </row>
        <row r="105">
          <cell r="B105">
            <v>93</v>
          </cell>
          <cell r="C105">
            <v>43092</v>
          </cell>
          <cell r="D105">
            <v>0.20178240740740741</v>
          </cell>
          <cell r="E105">
            <v>2458110.7122999998</v>
          </cell>
          <cell r="F105" t="str">
            <v>FAS</v>
          </cell>
          <cell r="G105" t="str">
            <v>DCO-US</v>
          </cell>
          <cell r="H105" t="str">
            <v>CDK14+LISA+Atik414e</v>
          </cell>
          <cell r="I105">
            <v>1001</v>
          </cell>
          <cell r="J105">
            <v>3726</v>
          </cell>
          <cell r="K105">
            <v>7290</v>
          </cell>
        </row>
        <row r="106">
          <cell r="B106">
            <v>94</v>
          </cell>
          <cell r="C106">
            <v>43123</v>
          </cell>
          <cell r="D106">
            <v>0.78379629629629621</v>
          </cell>
          <cell r="E106">
            <v>2458142.3390000002</v>
          </cell>
          <cell r="F106" t="str">
            <v>JGF</v>
          </cell>
          <cell r="G106" t="str">
            <v>PIE-SP</v>
          </cell>
          <cell r="H106" t="str">
            <v>MUSSOL</v>
          </cell>
          <cell r="I106">
            <v>9000</v>
          </cell>
          <cell r="J106">
            <v>3979</v>
          </cell>
          <cell r="K106">
            <v>7498</v>
          </cell>
        </row>
        <row r="108">
          <cell r="B108">
            <v>96</v>
          </cell>
          <cell r="C108">
            <v>43130</v>
          </cell>
          <cell r="D108">
            <v>0.81156249999999996</v>
          </cell>
          <cell r="E108">
            <v>2458149.3533999999</v>
          </cell>
          <cell r="F108" t="str">
            <v>JGF</v>
          </cell>
          <cell r="G108" t="str">
            <v>PIE-SP</v>
          </cell>
          <cell r="H108" t="str">
            <v>MUSSOL</v>
          </cell>
          <cell r="I108">
            <v>9000</v>
          </cell>
          <cell r="J108">
            <v>3979</v>
          </cell>
          <cell r="K108">
            <v>7498</v>
          </cell>
        </row>
        <row r="109">
          <cell r="B109">
            <v>97</v>
          </cell>
          <cell r="C109">
            <v>43147</v>
          </cell>
          <cell r="D109">
            <v>0.79465277777777776</v>
          </cell>
          <cell r="E109">
            <v>2458166.3037999999</v>
          </cell>
          <cell r="F109" t="str">
            <v>PCA</v>
          </cell>
          <cell r="G109" t="str">
            <v>LEC-IT</v>
          </cell>
          <cell r="H109" t="str">
            <v>SC10+Alpy600+Atik414</v>
          </cell>
          <cell r="I109">
            <v>547</v>
          </cell>
          <cell r="J109">
            <v>3701</v>
          </cell>
          <cell r="K109">
            <v>7198</v>
          </cell>
        </row>
        <row r="110">
          <cell r="B110">
            <v>98</v>
          </cell>
          <cell r="C110">
            <v>43148</v>
          </cell>
          <cell r="D110">
            <v>0.78180555555555553</v>
          </cell>
          <cell r="E110">
            <v>2458167.2976000002</v>
          </cell>
          <cell r="F110" t="str">
            <v xml:space="preserve">FMT </v>
          </cell>
          <cell r="G110" t="str">
            <v>ROU-FR</v>
          </cell>
          <cell r="H110" t="str">
            <v>SC14+eShel+Atik460ex</v>
          </cell>
          <cell r="I110">
            <v>11000</v>
          </cell>
          <cell r="J110">
            <v>4209</v>
          </cell>
          <cell r="K110">
            <v>7394</v>
          </cell>
        </row>
        <row r="111">
          <cell r="B111">
            <v>99</v>
          </cell>
          <cell r="C111">
            <v>43149</v>
          </cell>
          <cell r="D111">
            <v>0.74031249999999993</v>
          </cell>
          <cell r="E111">
            <v>2458168.2327999999</v>
          </cell>
          <cell r="F111" t="str">
            <v>PSO</v>
          </cell>
          <cell r="G111" t="str">
            <v>TAT-HU</v>
          </cell>
          <cell r="H111" t="str">
            <v>30cmf4LH2400u23Atik</v>
          </cell>
          <cell r="I111">
            <v>18532</v>
          </cell>
          <cell r="J111">
            <v>6504</v>
          </cell>
          <cell r="K111">
            <v>6613</v>
          </cell>
        </row>
        <row r="112">
          <cell r="B112">
            <v>100</v>
          </cell>
          <cell r="C112">
            <v>43152</v>
          </cell>
          <cell r="D112">
            <v>0.76545138888888886</v>
          </cell>
          <cell r="E112">
            <v>2458171.2969999998</v>
          </cell>
          <cell r="F112" t="str">
            <v xml:space="preserve">FMT </v>
          </cell>
          <cell r="G112" t="str">
            <v>ROU-FR</v>
          </cell>
          <cell r="H112" t="str">
            <v>SC14+eShel+Atik460ex</v>
          </cell>
          <cell r="I112">
            <v>11000</v>
          </cell>
          <cell r="J112">
            <v>4209</v>
          </cell>
          <cell r="K112">
            <v>7394</v>
          </cell>
        </row>
        <row r="113">
          <cell r="B113">
            <v>101</v>
          </cell>
          <cell r="C113">
            <v>43153</v>
          </cell>
          <cell r="D113">
            <v>0.77417824074074071</v>
          </cell>
          <cell r="E113">
            <v>2458172.3023999999</v>
          </cell>
          <cell r="F113" t="str">
            <v xml:space="preserve">FMT </v>
          </cell>
          <cell r="G113" t="str">
            <v>ROU-FR</v>
          </cell>
          <cell r="H113" t="str">
            <v>SC14+eShel+Atik460ex</v>
          </cell>
          <cell r="I113">
            <v>11000</v>
          </cell>
          <cell r="J113">
            <v>4209</v>
          </cell>
          <cell r="K113">
            <v>7394</v>
          </cell>
        </row>
        <row r="114">
          <cell r="B114">
            <v>102</v>
          </cell>
          <cell r="C114">
            <v>43154</v>
          </cell>
          <cell r="D114">
            <v>0.81120370370370365</v>
          </cell>
          <cell r="E114">
            <v>2458173.3147</v>
          </cell>
          <cell r="F114" t="str">
            <v>MRO</v>
          </cell>
          <cell r="G114" t="str">
            <v>VEN-SP</v>
          </cell>
          <cell r="H114" t="str">
            <v>RC200+Alpy600_600+A</v>
          </cell>
          <cell r="I114">
            <v>528</v>
          </cell>
          <cell r="J114">
            <v>3886</v>
          </cell>
          <cell r="K114">
            <v>7085</v>
          </cell>
        </row>
        <row r="115">
          <cell r="B115">
            <v>103</v>
          </cell>
          <cell r="C115">
            <v>43155</v>
          </cell>
          <cell r="D115">
            <v>0.82833333333333325</v>
          </cell>
          <cell r="E115">
            <v>2458174.3516000002</v>
          </cell>
          <cell r="F115" t="str">
            <v>DBO</v>
          </cell>
          <cell r="G115" t="str">
            <v>WCO-UK</v>
          </cell>
          <cell r="H115" t="str">
            <v>C11+LISA+SXVR-H</v>
          </cell>
          <cell r="I115">
            <v>970</v>
          </cell>
          <cell r="J115">
            <v>3900</v>
          </cell>
          <cell r="K115">
            <v>7380</v>
          </cell>
        </row>
        <row r="116">
          <cell r="B116">
            <v>104</v>
          </cell>
          <cell r="C116">
            <v>43156</v>
          </cell>
          <cell r="D116">
            <v>0.76876157407407408</v>
          </cell>
          <cell r="E116">
            <v>2458175.3021999998</v>
          </cell>
          <cell r="F116" t="str">
            <v xml:space="preserve">FMT </v>
          </cell>
          <cell r="G116" t="str">
            <v>ROU-FR</v>
          </cell>
          <cell r="H116" t="str">
            <v>SC14+eShel+Atik460ex</v>
          </cell>
          <cell r="I116">
            <v>11000</v>
          </cell>
          <cell r="J116">
            <v>4209</v>
          </cell>
          <cell r="K116">
            <v>7394</v>
          </cell>
        </row>
        <row r="117">
          <cell r="B117">
            <v>105</v>
          </cell>
          <cell r="C117">
            <v>43156</v>
          </cell>
          <cell r="D117">
            <v>0.9878703703703704</v>
          </cell>
          <cell r="E117">
            <v>2458175.523</v>
          </cell>
          <cell r="F117" t="str">
            <v>LES</v>
          </cell>
          <cell r="G117" t="str">
            <v>MRO-CA</v>
          </cell>
          <cell r="H117" t="str">
            <v>T11+Echelle</v>
          </cell>
          <cell r="I117">
            <v>13000</v>
          </cell>
          <cell r="J117">
            <v>4030</v>
          </cell>
          <cell r="K117">
            <v>7947</v>
          </cell>
        </row>
        <row r="118">
          <cell r="B118">
            <v>106</v>
          </cell>
          <cell r="C118">
            <v>43158</v>
          </cell>
          <cell r="D118">
            <v>0.76626157407407414</v>
          </cell>
          <cell r="E118">
            <v>2458177.2949000001</v>
          </cell>
          <cell r="F118" t="str">
            <v xml:space="preserve">FMT </v>
          </cell>
          <cell r="G118" t="str">
            <v>ROU-FR</v>
          </cell>
          <cell r="H118" t="str">
            <v>SC14+eShel+Atik460ex</v>
          </cell>
          <cell r="I118">
            <v>11000</v>
          </cell>
          <cell r="J118">
            <v>4209</v>
          </cell>
          <cell r="K118">
            <v>7394</v>
          </cell>
        </row>
        <row r="119">
          <cell r="B119">
            <v>107</v>
          </cell>
          <cell r="C119">
            <v>43164</v>
          </cell>
          <cell r="D119">
            <v>0.77346064814814808</v>
          </cell>
          <cell r="E119">
            <v>2458183.2804</v>
          </cell>
          <cell r="F119" t="str">
            <v>JGF</v>
          </cell>
          <cell r="G119" t="str">
            <v>SMM-SP</v>
          </cell>
          <cell r="H119" t="str">
            <v>T16+Echelle+Atik460</v>
          </cell>
          <cell r="I119">
            <v>9000</v>
          </cell>
          <cell r="J119">
            <v>3979</v>
          </cell>
          <cell r="K119">
            <v>7760</v>
          </cell>
        </row>
        <row r="120">
          <cell r="B120">
            <v>108</v>
          </cell>
          <cell r="C120">
            <v>43166</v>
          </cell>
          <cell r="D120">
            <v>0.77262731481481473</v>
          </cell>
          <cell r="E120">
            <v>2458185.2941999999</v>
          </cell>
          <cell r="F120" t="str">
            <v xml:space="preserve">FMT </v>
          </cell>
          <cell r="G120" t="str">
            <v>ROU-FR</v>
          </cell>
          <cell r="H120" t="str">
            <v>SC14+eShel+Atik460ex</v>
          </cell>
          <cell r="I120">
            <v>11000</v>
          </cell>
          <cell r="J120">
            <v>4210</v>
          </cell>
          <cell r="K120">
            <v>7350</v>
          </cell>
        </row>
        <row r="121">
          <cell r="B121">
            <v>109</v>
          </cell>
          <cell r="C121">
            <v>43167</v>
          </cell>
          <cell r="D121">
            <v>0.78674768518518512</v>
          </cell>
          <cell r="E121">
            <v>2458186.3146000002</v>
          </cell>
          <cell r="F121" t="str">
            <v>JGF</v>
          </cell>
          <cell r="G121" t="str">
            <v>PIE-SP</v>
          </cell>
          <cell r="H121" t="str">
            <v>MUSSOL</v>
          </cell>
          <cell r="I121">
            <v>9000</v>
          </cell>
          <cell r="J121">
            <v>3979</v>
          </cell>
          <cell r="K121">
            <v>7498</v>
          </cell>
        </row>
        <row r="122">
          <cell r="B122">
            <v>110</v>
          </cell>
          <cell r="C122">
            <v>43281</v>
          </cell>
          <cell r="D122">
            <v>7.255787037037037E-2</v>
          </cell>
          <cell r="E122">
            <v>2458299.5866999999</v>
          </cell>
          <cell r="F122" t="str">
            <v xml:space="preserve">FMT </v>
          </cell>
          <cell r="G122" t="str">
            <v>ROU-FR</v>
          </cell>
          <cell r="H122" t="str">
            <v>SC14+eShel+Atik460ex</v>
          </cell>
          <cell r="I122">
            <v>11000</v>
          </cell>
          <cell r="J122">
            <v>4286</v>
          </cell>
          <cell r="K122">
            <v>7394</v>
          </cell>
        </row>
        <row r="123">
          <cell r="B123">
            <v>111</v>
          </cell>
          <cell r="C123">
            <v>43298</v>
          </cell>
          <cell r="D123">
            <v>1.4687499999999999E-2</v>
          </cell>
          <cell r="E123">
            <v>2458316.5356000001</v>
          </cell>
          <cell r="F123" t="str">
            <v>CBO</v>
          </cell>
          <cell r="G123" t="str">
            <v>OCT-FR</v>
          </cell>
          <cell r="H123" t="str">
            <v>N200mmF</v>
          </cell>
          <cell r="I123">
            <v>507</v>
          </cell>
          <cell r="J123">
            <v>3700</v>
          </cell>
          <cell r="K123">
            <v>7570</v>
          </cell>
        </row>
        <row r="124">
          <cell r="B124">
            <v>112</v>
          </cell>
          <cell r="C124">
            <v>43298</v>
          </cell>
          <cell r="D124">
            <v>1.4687499999999999E-2</v>
          </cell>
          <cell r="E124">
            <v>2458316.5356000001</v>
          </cell>
          <cell r="F124" t="str">
            <v>CBO</v>
          </cell>
          <cell r="G124" t="str">
            <v>OCT-FR</v>
          </cell>
          <cell r="H124" t="str">
            <v>N200mmF</v>
          </cell>
          <cell r="I124">
            <v>507</v>
          </cell>
          <cell r="J124">
            <v>3700</v>
          </cell>
          <cell r="K124">
            <v>7570</v>
          </cell>
        </row>
        <row r="125">
          <cell r="J125">
            <v>4286</v>
          </cell>
          <cell r="K125">
            <v>7394</v>
          </cell>
        </row>
        <row r="126">
          <cell r="J126">
            <v>3900</v>
          </cell>
          <cell r="K126">
            <v>7380</v>
          </cell>
        </row>
        <row r="127">
          <cell r="J127">
            <v>4768</v>
          </cell>
          <cell r="K127">
            <v>7759</v>
          </cell>
        </row>
        <row r="128">
          <cell r="J128">
            <v>3824</v>
          </cell>
          <cell r="K128">
            <v>3980</v>
          </cell>
        </row>
        <row r="129">
          <cell r="J129">
            <v>3700</v>
          </cell>
          <cell r="K129">
            <v>7570</v>
          </cell>
        </row>
        <row r="130">
          <cell r="J130">
            <v>3498</v>
          </cell>
          <cell r="K130">
            <v>5070</v>
          </cell>
        </row>
        <row r="131">
          <cell r="J131">
            <v>4030</v>
          </cell>
          <cell r="K131">
            <v>7950</v>
          </cell>
        </row>
        <row r="132">
          <cell r="J132">
            <v>4052</v>
          </cell>
          <cell r="K132">
            <v>7762</v>
          </cell>
        </row>
        <row r="133">
          <cell r="J133">
            <v>3320</v>
          </cell>
          <cell r="K133">
            <v>5221</v>
          </cell>
        </row>
        <row r="134">
          <cell r="J134">
            <v>3901</v>
          </cell>
          <cell r="K134">
            <v>7379</v>
          </cell>
        </row>
        <row r="135">
          <cell r="J135">
            <v>3711</v>
          </cell>
          <cell r="K135">
            <v>7299</v>
          </cell>
        </row>
        <row r="136">
          <cell r="J136">
            <v>3707</v>
          </cell>
          <cell r="K136">
            <v>7294</v>
          </cell>
        </row>
        <row r="137">
          <cell r="J137">
            <v>3707</v>
          </cell>
          <cell r="K137">
            <v>7294</v>
          </cell>
        </row>
        <row r="138">
          <cell r="J138">
            <v>6499</v>
          </cell>
          <cell r="K138">
            <v>6609</v>
          </cell>
        </row>
        <row r="139">
          <cell r="J139">
            <v>4052</v>
          </cell>
          <cell r="K139">
            <v>7762</v>
          </cell>
        </row>
        <row r="140">
          <cell r="J140">
            <v>4286</v>
          </cell>
          <cell r="K140">
            <v>7155</v>
          </cell>
        </row>
        <row r="141">
          <cell r="J141">
            <v>3707</v>
          </cell>
          <cell r="K141">
            <v>7295</v>
          </cell>
        </row>
        <row r="142">
          <cell r="J142">
            <v>3297</v>
          </cell>
          <cell r="K142">
            <v>5787</v>
          </cell>
        </row>
        <row r="143">
          <cell r="J143">
            <v>4052</v>
          </cell>
          <cell r="K143">
            <v>7762</v>
          </cell>
        </row>
        <row r="144">
          <cell r="J144">
            <v>5801</v>
          </cell>
          <cell r="K144">
            <v>8786</v>
          </cell>
        </row>
        <row r="145">
          <cell r="J145">
            <v>3979</v>
          </cell>
          <cell r="K145">
            <v>7762</v>
          </cell>
        </row>
        <row r="146">
          <cell r="J146">
            <v>3979</v>
          </cell>
          <cell r="K146">
            <v>7762</v>
          </cell>
        </row>
        <row r="147">
          <cell r="J147">
            <v>3777</v>
          </cell>
          <cell r="K147">
            <v>4091</v>
          </cell>
        </row>
        <row r="148">
          <cell r="J148">
            <v>6425</v>
          </cell>
          <cell r="K148">
            <v>6698</v>
          </cell>
        </row>
        <row r="149">
          <cell r="J149">
            <v>4482</v>
          </cell>
          <cell r="K149">
            <v>5503</v>
          </cell>
        </row>
        <row r="150">
          <cell r="J150">
            <v>3917</v>
          </cell>
          <cell r="K150">
            <v>7592</v>
          </cell>
        </row>
        <row r="151">
          <cell r="J151">
            <v>3979</v>
          </cell>
          <cell r="K151">
            <v>7762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ExportGraphique"/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B"/>
      <sheetName val="Vis"/>
      <sheetName val="B-V"/>
      <sheetName val="M"/>
      <sheetName val="Feuil1"/>
      <sheetName val="Feuil2"/>
      <sheetName val="M_Pho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T225"/>
  <sheetViews>
    <sheetView workbookViewId="0">
      <selection activeCell="G15" sqref="G15"/>
    </sheetView>
  </sheetViews>
  <sheetFormatPr baseColWidth="10" defaultRowHeight="15"/>
  <cols>
    <col min="8" max="8" width="35.7109375" bestFit="1" customWidth="1"/>
  </cols>
  <sheetData>
    <row r="2" spans="13:20">
      <c r="N2" t="s">
        <v>67</v>
      </c>
    </row>
    <row r="3" spans="13:20">
      <c r="M3" t="s">
        <v>140</v>
      </c>
      <c r="T3" t="str">
        <f>CONCATENATE(M!H4,"\")</f>
        <v>D:\SITEWEB\SymbioticStars\Studies\ZAnd\2016-2017\</v>
      </c>
    </row>
    <row r="4" spans="13:20">
      <c r="T4" t="str">
        <f>+CONCATENATE(T3,M!E5,"_AAVSO.png")</f>
        <v>D:\SITEWEB\SymbioticStars\Studies\ZAnd\2016-2017\ZAnd_AAVSO.png</v>
      </c>
    </row>
    <row r="19" spans="2:15">
      <c r="C19" s="6"/>
    </row>
    <row r="21" spans="2:15">
      <c r="C21" t="s">
        <v>0</v>
      </c>
      <c r="M21">
        <v>8.5</v>
      </c>
    </row>
    <row r="24" spans="2:15">
      <c r="B24" s="22">
        <f>+[1]ZAnd!B13</f>
        <v>1</v>
      </c>
      <c r="C24" s="23">
        <f>+[1]ZAnd!C13</f>
        <v>40481</v>
      </c>
      <c r="D24" s="24">
        <f>+[1]ZAnd!D13</f>
        <v>0.84236111111111101</v>
      </c>
      <c r="E24" s="22">
        <f>+[1]ZAnd!E13</f>
        <v>0</v>
      </c>
      <c r="F24" s="22" t="str">
        <f>+[1]ZAnd!F13</f>
        <v xml:space="preserve">FMT </v>
      </c>
      <c r="G24" s="22" t="str">
        <f>+[1]ZAnd!G13</f>
        <v>ROU-FR</v>
      </c>
      <c r="H24" s="22" t="str">
        <f>+[1]ZAnd!H13</f>
        <v>LX20025cmLhiresII</v>
      </c>
      <c r="I24" s="22">
        <f>+[1]ZAnd!I13</f>
        <v>1000</v>
      </c>
      <c r="J24" s="22">
        <f>+[1]ZAnd!J13</f>
        <v>4206</v>
      </c>
      <c r="K24" s="22">
        <f>+[1]ZAnd!K13</f>
        <v>7181</v>
      </c>
      <c r="L24" s="12"/>
      <c r="M24" s="12">
        <f>+E24</f>
        <v>0</v>
      </c>
      <c r="O24" s="4" t="str">
        <f>+IF(F24=O$20,O$22,"")</f>
        <v/>
      </c>
    </row>
    <row r="25" spans="2:15">
      <c r="B25" s="22">
        <f>+[1]ZAnd!B14</f>
        <v>2</v>
      </c>
      <c r="C25" s="23">
        <f>+[1]ZAnd!C14</f>
        <v>40518</v>
      </c>
      <c r="D25" s="24">
        <f>+[1]ZAnd!D14</f>
        <v>0.82916666666666661</v>
      </c>
      <c r="E25" s="22">
        <f>+[1]ZAnd!E14</f>
        <v>0</v>
      </c>
      <c r="F25" s="22" t="str">
        <f>+[1]ZAnd!F14</f>
        <v xml:space="preserve">FMT </v>
      </c>
      <c r="G25" s="22" t="str">
        <f>+[1]ZAnd!G14</f>
        <v>ROU-FR</v>
      </c>
      <c r="H25" s="22" t="str">
        <f>+[1]ZAnd!H14</f>
        <v>LX20025cmLHIRESR</v>
      </c>
      <c r="I25" s="22">
        <f>+[1]ZAnd!I14</f>
        <v>1000</v>
      </c>
      <c r="J25" s="22">
        <f>+[1]ZAnd!J14</f>
        <v>4401</v>
      </c>
      <c r="K25" s="22">
        <f>+[1]ZAnd!K14</f>
        <v>7208</v>
      </c>
      <c r="L25" s="12"/>
      <c r="M25" s="12">
        <f t="shared" ref="M25:M36" si="0">+E25</f>
        <v>0</v>
      </c>
      <c r="O25" s="4" t="str">
        <f t="shared" ref="O25:O88" si="1">+IF(F25=O$20,O$22,"")</f>
        <v/>
      </c>
    </row>
    <row r="26" spans="2:15">
      <c r="B26" s="22">
        <f>+[1]ZAnd!B15</f>
        <v>3</v>
      </c>
      <c r="C26" s="23">
        <f>+[1]ZAnd!C15</f>
        <v>40552</v>
      </c>
      <c r="D26" s="24">
        <f>+[1]ZAnd!D15</f>
        <v>0.80069444444444438</v>
      </c>
      <c r="E26" s="22">
        <f>+[1]ZAnd!E15</f>
        <v>0</v>
      </c>
      <c r="F26" s="22" t="str">
        <f>+[1]ZAnd!F15</f>
        <v xml:space="preserve">FMT </v>
      </c>
      <c r="G26" s="22" t="str">
        <f>+[1]ZAnd!G15</f>
        <v>ROU-FR</v>
      </c>
      <c r="H26" s="22" t="str">
        <f>+[1]ZAnd!H15</f>
        <v>LX20025cmLHIRESR</v>
      </c>
      <c r="I26" s="22">
        <f>+[1]ZAnd!I15</f>
        <v>1000</v>
      </c>
      <c r="J26" s="22">
        <f>+[1]ZAnd!J15</f>
        <v>4501</v>
      </c>
      <c r="K26" s="22">
        <f>+[1]ZAnd!K15</f>
        <v>7119</v>
      </c>
      <c r="L26" s="12"/>
      <c r="M26" s="12">
        <f t="shared" si="0"/>
        <v>0</v>
      </c>
      <c r="O26" s="4" t="str">
        <f t="shared" si="1"/>
        <v/>
      </c>
    </row>
    <row r="27" spans="2:15">
      <c r="B27" s="22">
        <f>+[1]ZAnd!B16</f>
        <v>4</v>
      </c>
      <c r="C27" s="23">
        <f>+[1]ZAnd!C16</f>
        <v>40819</v>
      </c>
      <c r="D27" s="24">
        <f>+[1]ZAnd!D16</f>
        <v>0.90069444444444446</v>
      </c>
      <c r="E27" s="22">
        <f>+[1]ZAnd!E16</f>
        <v>0</v>
      </c>
      <c r="F27" s="22" t="str">
        <f>+[1]ZAnd!F16</f>
        <v xml:space="preserve">FMT </v>
      </c>
      <c r="G27" s="22" t="str">
        <f>+[1]ZAnd!G16</f>
        <v>ROU-FR</v>
      </c>
      <c r="H27" s="22" t="str">
        <f>+[1]ZAnd!H16</f>
        <v>SC25cm|Lisa</v>
      </c>
      <c r="I27" s="22">
        <f>+[1]ZAnd!I16</f>
        <v>1000</v>
      </c>
      <c r="J27" s="22">
        <f>+[1]ZAnd!J16</f>
        <v>3983</v>
      </c>
      <c r="K27" s="22">
        <f>+[1]ZAnd!K16</f>
        <v>7555</v>
      </c>
      <c r="L27" s="12"/>
      <c r="M27" s="12">
        <f t="shared" si="0"/>
        <v>0</v>
      </c>
      <c r="O27" s="4" t="str">
        <f t="shared" si="1"/>
        <v/>
      </c>
    </row>
    <row r="28" spans="2:15">
      <c r="B28" s="22">
        <f>+[1]ZAnd!B17</f>
        <v>5</v>
      </c>
      <c r="C28" s="23">
        <f>+[1]ZAnd!C17</f>
        <v>41160</v>
      </c>
      <c r="D28" s="24">
        <f>+[1]ZAnd!D17</f>
        <v>0.89444444444444438</v>
      </c>
      <c r="E28" s="22">
        <f>+[1]ZAnd!E17</f>
        <v>2456179.409</v>
      </c>
      <c r="F28" s="22" t="str">
        <f>+[1]ZAnd!F17</f>
        <v xml:space="preserve">FMT </v>
      </c>
      <c r="G28" s="22" t="str">
        <f>+[1]ZAnd!G17</f>
        <v>ROU-FR</v>
      </c>
      <c r="H28" s="22" t="str">
        <f>+[1]ZAnd!H17</f>
        <v>SC25cm+LISA</v>
      </c>
      <c r="I28" s="22">
        <f>+[1]ZAnd!I17</f>
        <v>1000</v>
      </c>
      <c r="J28" s="22">
        <f>+[1]ZAnd!J17</f>
        <v>4000</v>
      </c>
      <c r="K28" s="22">
        <f>+[1]ZAnd!K17</f>
        <v>7200</v>
      </c>
      <c r="L28" s="12"/>
      <c r="M28" s="12">
        <f t="shared" si="0"/>
        <v>2456179.409</v>
      </c>
      <c r="O28" s="4" t="str">
        <f t="shared" si="1"/>
        <v/>
      </c>
    </row>
    <row r="29" spans="2:15">
      <c r="B29" s="22">
        <f>+[1]ZAnd!B18</f>
        <v>6</v>
      </c>
      <c r="C29" s="23">
        <f>+[1]ZAnd!C18</f>
        <v>41495</v>
      </c>
      <c r="D29" s="24">
        <f>+[1]ZAnd!D18</f>
        <v>0.13472222222222222</v>
      </c>
      <c r="E29" s="22">
        <f>+[1]ZAnd!E18</f>
        <v>2456513.6439999999</v>
      </c>
      <c r="F29" s="22" t="str">
        <f>+[1]ZAnd!F18</f>
        <v>BUI</v>
      </c>
      <c r="G29" s="22" t="str">
        <f>+[1]ZAnd!G18</f>
        <v>OHP-FR</v>
      </c>
      <c r="H29" s="22" t="str">
        <f>+[1]ZAnd!H18</f>
        <v>CN212ALPY600ATIK6</v>
      </c>
      <c r="I29" s="22">
        <f>+[1]ZAnd!I18</f>
        <v>606</v>
      </c>
      <c r="J29" s="22">
        <f>+[1]ZAnd!J18</f>
        <v>3680</v>
      </c>
      <c r="K29" s="22">
        <f>+[1]ZAnd!K18</f>
        <v>7400</v>
      </c>
      <c r="L29" s="12"/>
      <c r="M29" s="12">
        <f t="shared" si="0"/>
        <v>2456513.6439999999</v>
      </c>
      <c r="O29" s="4" t="str">
        <f t="shared" si="1"/>
        <v/>
      </c>
    </row>
    <row r="30" spans="2:15">
      <c r="B30" s="22">
        <f>+[1]ZAnd!B19</f>
        <v>7</v>
      </c>
      <c r="C30" s="23">
        <f>+[1]ZAnd!C19</f>
        <v>41591</v>
      </c>
      <c r="D30" s="24">
        <f>+[1]ZAnd!D19</f>
        <v>6.9444444444444434E-2</v>
      </c>
      <c r="E30" s="22">
        <f>+[1]ZAnd!E19</f>
        <v>2456609.5869999998</v>
      </c>
      <c r="F30" s="22" t="str">
        <f>+[1]ZAnd!F19</f>
        <v>GKA</v>
      </c>
      <c r="G30" s="22" t="str">
        <f>+[1]ZAnd!G19</f>
        <v>MAN-US</v>
      </c>
      <c r="H30" s="22" t="str">
        <f>+[1]ZAnd!H19</f>
        <v>lx20010"AlpyAti</v>
      </c>
      <c r="I30" s="22">
        <f>+[1]ZAnd!I19</f>
        <v>524</v>
      </c>
      <c r="J30" s="22">
        <f>+[1]ZAnd!J19</f>
        <v>3603</v>
      </c>
      <c r="K30" s="22">
        <f>+[1]ZAnd!K19</f>
        <v>7404</v>
      </c>
      <c r="L30" s="12"/>
      <c r="M30" s="12">
        <f t="shared" si="0"/>
        <v>2456609.5869999998</v>
      </c>
      <c r="O30" s="4" t="str">
        <f t="shared" si="1"/>
        <v/>
      </c>
    </row>
    <row r="31" spans="2:15">
      <c r="B31" s="22">
        <f>+[1]ZAnd!B20</f>
        <v>8</v>
      </c>
      <c r="C31" s="23">
        <f>+[1]ZAnd!C20</f>
        <v>41609</v>
      </c>
      <c r="D31" s="24">
        <f>+[1]ZAnd!D20</f>
        <v>2.6388888888888889E-2</v>
      </c>
      <c r="E31" s="22">
        <f>+[1]ZAnd!E20</f>
        <v>2456627.5410000002</v>
      </c>
      <c r="F31" s="22" t="str">
        <f>+[1]ZAnd!F20</f>
        <v>GKA</v>
      </c>
      <c r="G31" s="22" t="str">
        <f>+[1]ZAnd!G20</f>
        <v>MAN-US</v>
      </c>
      <c r="H31" s="22" t="str">
        <f>+[1]ZAnd!H20</f>
        <v>lx20010"AlpyAti</v>
      </c>
      <c r="I31" s="22">
        <f>+[1]ZAnd!I20</f>
        <v>562</v>
      </c>
      <c r="J31" s="22">
        <f>+[1]ZAnd!J20</f>
        <v>3603</v>
      </c>
      <c r="K31" s="22">
        <f>+[1]ZAnd!K20</f>
        <v>7405</v>
      </c>
      <c r="L31" s="12"/>
      <c r="M31" s="12">
        <f t="shared" si="0"/>
        <v>2456627.5410000002</v>
      </c>
      <c r="O31" s="4" t="str">
        <f t="shared" si="1"/>
        <v/>
      </c>
    </row>
    <row r="32" spans="2:15">
      <c r="B32" s="22">
        <f>+[1]ZAnd!B21</f>
        <v>9</v>
      </c>
      <c r="C32" s="23">
        <f>+[1]ZAnd!C21</f>
        <v>41636</v>
      </c>
      <c r="D32" s="24">
        <f>+[1]ZAnd!D21</f>
        <v>7.6388888888888886E-3</v>
      </c>
      <c r="E32" s="22">
        <f>+[1]ZAnd!E21</f>
        <v>2456654.52</v>
      </c>
      <c r="F32" s="22" t="str">
        <f>+[1]ZAnd!F21</f>
        <v>GKA</v>
      </c>
      <c r="G32" s="22" t="str">
        <f>+[1]ZAnd!G21</f>
        <v>MAN-US</v>
      </c>
      <c r="H32" s="22" t="str">
        <f>+[1]ZAnd!H21</f>
        <v>lx20010"AlpyAti</v>
      </c>
      <c r="I32" s="22">
        <f>+[1]ZAnd!I21</f>
        <v>554</v>
      </c>
      <c r="J32" s="22">
        <f>+[1]ZAnd!J21</f>
        <v>3698</v>
      </c>
      <c r="K32" s="22">
        <f>+[1]ZAnd!K21</f>
        <v>7319</v>
      </c>
      <c r="L32" s="12"/>
      <c r="M32" s="12">
        <f t="shared" si="0"/>
        <v>2456654.52</v>
      </c>
      <c r="O32" s="4" t="str">
        <f t="shared" si="1"/>
        <v/>
      </c>
    </row>
    <row r="33" spans="2:15">
      <c r="B33" s="22">
        <f>+[1]ZAnd!B22</f>
        <v>10</v>
      </c>
      <c r="C33" s="23">
        <f>+[1]ZAnd!C22</f>
        <v>41658</v>
      </c>
      <c r="D33" s="24">
        <f>+[1]ZAnd!D22</f>
        <v>0.82361111111111107</v>
      </c>
      <c r="E33" s="22">
        <f>+[1]ZAnd!E22</f>
        <v>2456677.3459999999</v>
      </c>
      <c r="F33" s="22" t="str">
        <f>+[1]ZAnd!F22</f>
        <v>DBO</v>
      </c>
      <c r="G33" s="22" t="str">
        <f>+[1]ZAnd!G22</f>
        <v>WCO-UK</v>
      </c>
      <c r="H33" s="22" t="str">
        <f>+[1]ZAnd!H22</f>
        <v>C11_LISA_SXV-H9</v>
      </c>
      <c r="I33" s="22">
        <f>+[1]ZAnd!I22</f>
        <v>905</v>
      </c>
      <c r="J33" s="22">
        <f>+[1]ZAnd!J22</f>
        <v>3783</v>
      </c>
      <c r="K33" s="22">
        <f>+[1]ZAnd!K22</f>
        <v>7359</v>
      </c>
      <c r="L33" s="12"/>
      <c r="M33" s="12">
        <f t="shared" si="0"/>
        <v>2456677.3459999999</v>
      </c>
      <c r="O33" s="4" t="str">
        <f t="shared" si="1"/>
        <v/>
      </c>
    </row>
    <row r="34" spans="2:15">
      <c r="B34" s="22">
        <f>+[1]ZAnd!B23</f>
        <v>11</v>
      </c>
      <c r="C34" s="23">
        <f>+[1]ZAnd!C23</f>
        <v>41827</v>
      </c>
      <c r="D34" s="24">
        <f>+[1]ZAnd!D23</f>
        <v>0.12013888888888889</v>
      </c>
      <c r="E34" s="22">
        <f>+[1]ZAnd!E23</f>
        <v>2456845.6349999998</v>
      </c>
      <c r="F34" s="22" t="str">
        <f>+[1]ZAnd!F23</f>
        <v>PSO</v>
      </c>
      <c r="G34" s="22" t="str">
        <f>+[1]ZAnd!G23</f>
        <v>TAT-HU</v>
      </c>
      <c r="H34" s="22" t="str">
        <f>+[1]ZAnd!H23</f>
        <v>OrionG3</v>
      </c>
      <c r="I34" s="22">
        <f>+[1]ZAnd!I23</f>
        <v>0</v>
      </c>
      <c r="J34" s="22">
        <f>+[1]ZAnd!J23</f>
        <v>3708</v>
      </c>
      <c r="K34" s="22">
        <f>+[1]ZAnd!K23</f>
        <v>7202</v>
      </c>
      <c r="L34" s="12"/>
      <c r="M34" s="12">
        <f t="shared" si="0"/>
        <v>2456845.6349999998</v>
      </c>
      <c r="O34" s="4" t="str">
        <f t="shared" si="1"/>
        <v/>
      </c>
    </row>
    <row r="35" spans="2:15">
      <c r="B35" s="22">
        <f>+[1]ZAnd!B24</f>
        <v>12</v>
      </c>
      <c r="C35" s="23">
        <f>+[1]ZAnd!C24</f>
        <v>41840</v>
      </c>
      <c r="D35" s="24">
        <f>+[1]ZAnd!D24</f>
        <v>0.12083333333333333</v>
      </c>
      <c r="E35" s="22">
        <f>+[1]ZAnd!E24</f>
        <v>2456858.628</v>
      </c>
      <c r="F35" s="22" t="str">
        <f>+[1]ZAnd!F24</f>
        <v>PSO</v>
      </c>
      <c r="G35" s="22" t="str">
        <f>+[1]ZAnd!G24</f>
        <v>TAT-HU</v>
      </c>
      <c r="H35" s="22" t="str">
        <f>+[1]ZAnd!H24</f>
        <v>T10+Alpy600+OrionG3</v>
      </c>
      <c r="I35" s="22">
        <f>+[1]ZAnd!I24</f>
        <v>600</v>
      </c>
      <c r="J35" s="22">
        <f>+[1]ZAnd!J24</f>
        <v>3730</v>
      </c>
      <c r="K35" s="22">
        <f>+[1]ZAnd!K24</f>
        <v>7234</v>
      </c>
      <c r="L35" s="12"/>
      <c r="M35" s="12">
        <f t="shared" si="0"/>
        <v>2456858.628</v>
      </c>
      <c r="O35" s="4" t="str">
        <f t="shared" si="1"/>
        <v/>
      </c>
    </row>
    <row r="36" spans="2:15">
      <c r="B36" s="22">
        <f>+[1]ZAnd!B25</f>
        <v>13</v>
      </c>
      <c r="C36" s="23">
        <f>+[1]ZAnd!C25</f>
        <v>41872</v>
      </c>
      <c r="D36" s="24">
        <f>+[1]ZAnd!D25</f>
        <v>7.7777777777777779E-2</v>
      </c>
      <c r="E36" s="22">
        <f>+[1]ZAnd!E25</f>
        <v>2456890.5869999998</v>
      </c>
      <c r="F36" s="22" t="str">
        <f>+[1]ZAnd!F25</f>
        <v>JMO</v>
      </c>
      <c r="G36" s="22" t="str">
        <f>+[1]ZAnd!G25</f>
        <v>OLC-FR</v>
      </c>
      <c r="H36" s="22" t="str">
        <f>+[1]ZAnd!H25</f>
        <v>Meade355mm+Atik460E</v>
      </c>
      <c r="I36" s="22">
        <f>+[1]ZAnd!I25</f>
        <v>622</v>
      </c>
      <c r="J36" s="22">
        <f>+[1]ZAnd!J25</f>
        <v>3739</v>
      </c>
      <c r="K36" s="22">
        <f>+[1]ZAnd!K25</f>
        <v>7383</v>
      </c>
      <c r="L36" s="12"/>
      <c r="M36" s="12">
        <f t="shared" si="0"/>
        <v>2456890.5869999998</v>
      </c>
      <c r="O36" s="4" t="str">
        <f t="shared" si="1"/>
        <v/>
      </c>
    </row>
    <row r="37" spans="2:15" ht="15.75">
      <c r="B37" s="22">
        <f>+[1]ZAnd!B26</f>
        <v>14</v>
      </c>
      <c r="C37" s="23">
        <f>+[1]ZAnd!C26</f>
        <v>41875</v>
      </c>
      <c r="D37" s="24">
        <f>+[1]ZAnd!D26</f>
        <v>0.25416666666666665</v>
      </c>
      <c r="E37" s="22">
        <f>+[1]ZAnd!E26</f>
        <v>2456893.7749999999</v>
      </c>
      <c r="F37" s="22" t="str">
        <f>+[1]ZAnd!F26</f>
        <v>LES</v>
      </c>
      <c r="G37" s="22" t="str">
        <f>+[1]ZAnd!G26</f>
        <v>MRO-CA</v>
      </c>
      <c r="H37" s="22" t="str">
        <f>+[1]ZAnd!H26</f>
        <v>311DK6.6+23um600+QS</v>
      </c>
      <c r="I37" s="22">
        <f>+[1]ZAnd!I26</f>
        <v>1834</v>
      </c>
      <c r="J37" s="22">
        <f>+[1]ZAnd!J26</f>
        <v>4020</v>
      </c>
      <c r="K37" s="22">
        <f>+[1]ZAnd!K26</f>
        <v>7474</v>
      </c>
      <c r="L37" s="21"/>
      <c r="M37" s="11">
        <f>+E37</f>
        <v>2456893.7749999999</v>
      </c>
      <c r="O37" s="4" t="str">
        <f t="shared" si="1"/>
        <v/>
      </c>
    </row>
    <row r="38" spans="2:15">
      <c r="B38" s="22">
        <f>+[1]ZAnd!B27</f>
        <v>15</v>
      </c>
      <c r="C38" s="23">
        <f>+[1]ZAnd!C27</f>
        <v>41876</v>
      </c>
      <c r="D38" s="24">
        <f>+[1]ZAnd!D27</f>
        <v>0.16180555555555556</v>
      </c>
      <c r="E38" s="22">
        <f>+[1]ZAnd!E27</f>
        <v>2456894.6800000002</v>
      </c>
      <c r="F38" s="22" t="str">
        <f>+[1]ZAnd!F27</f>
        <v>GKA</v>
      </c>
      <c r="G38" s="22" t="str">
        <f>+[1]ZAnd!G27</f>
        <v>GRL-US</v>
      </c>
      <c r="H38" s="22" t="str">
        <f>+[1]ZAnd!H27</f>
        <v>SC10+Alpy600</v>
      </c>
      <c r="I38" s="22">
        <f>+[1]ZAnd!I27</f>
        <v>536</v>
      </c>
      <c r="J38" s="22">
        <f>+[1]ZAnd!J27</f>
        <v>3669</v>
      </c>
      <c r="K38" s="22">
        <f>+[1]ZAnd!K27</f>
        <v>7371</v>
      </c>
      <c r="L38" s="12"/>
      <c r="M38" s="11">
        <f t="shared" ref="M38:M96" si="2">+E38</f>
        <v>2456894.6800000002</v>
      </c>
      <c r="O38" s="4" t="str">
        <f t="shared" si="1"/>
        <v/>
      </c>
    </row>
    <row r="39" spans="2:15">
      <c r="B39" s="22">
        <f>+[1]ZAnd!B28</f>
        <v>16</v>
      </c>
      <c r="C39" s="23">
        <f>+[1]ZAnd!C28</f>
        <v>41891</v>
      </c>
      <c r="D39" s="24">
        <f>+[1]ZAnd!D28</f>
        <v>0.16666666666666666</v>
      </c>
      <c r="E39" s="22">
        <f>+[1]ZAnd!E28</f>
        <v>2456909.6880000001</v>
      </c>
      <c r="F39" s="22" t="str">
        <f>+[1]ZAnd!F28</f>
        <v>PSO</v>
      </c>
      <c r="G39" s="22" t="str">
        <f>+[1]ZAnd!G28</f>
        <v>TAT-HU</v>
      </c>
      <c r="H39" s="22" t="str">
        <f>+[1]ZAnd!H28</f>
        <v>T10+Alpy600+OrionG3</v>
      </c>
      <c r="I39" s="22">
        <f>+[1]ZAnd!I28</f>
        <v>450</v>
      </c>
      <c r="J39" s="22">
        <f>+[1]ZAnd!J28</f>
        <v>3717</v>
      </c>
      <c r="K39" s="22">
        <f>+[1]ZAnd!K28</f>
        <v>7216</v>
      </c>
      <c r="L39" s="12"/>
      <c r="M39" s="11">
        <f t="shared" si="2"/>
        <v>2456909.6880000001</v>
      </c>
      <c r="O39" s="4" t="str">
        <f t="shared" si="1"/>
        <v/>
      </c>
    </row>
    <row r="40" spans="2:15">
      <c r="B40" s="22">
        <f>+[1]ZAnd!B29</f>
        <v>17</v>
      </c>
      <c r="C40" s="23">
        <f>+[1]ZAnd!C29</f>
        <v>41913</v>
      </c>
      <c r="D40" s="24">
        <f>+[1]ZAnd!D29</f>
        <v>9.0972222222222218E-2</v>
      </c>
      <c r="E40" s="22">
        <f>+[1]ZAnd!E29</f>
        <v>2456931.6</v>
      </c>
      <c r="F40" s="22" t="str">
        <f>+[1]ZAnd!F29</f>
        <v>JMO</v>
      </c>
      <c r="G40" s="22" t="str">
        <f>+[1]ZAnd!G29</f>
        <v>OLC-FR</v>
      </c>
      <c r="H40" s="22" t="str">
        <f>+[1]ZAnd!H29</f>
        <v>Meade355mm+Atik460E</v>
      </c>
      <c r="I40" s="22">
        <f>+[1]ZAnd!I29</f>
        <v>612</v>
      </c>
      <c r="J40" s="22">
        <f>+[1]ZAnd!J29</f>
        <v>3739</v>
      </c>
      <c r="K40" s="22">
        <f>+[1]ZAnd!K29</f>
        <v>7387</v>
      </c>
      <c r="L40" s="12"/>
      <c r="M40" s="11">
        <f t="shared" si="2"/>
        <v>2456931.6</v>
      </c>
      <c r="O40" s="4" t="str">
        <f t="shared" si="1"/>
        <v/>
      </c>
    </row>
    <row r="41" spans="2:15">
      <c r="B41" s="22">
        <f>+[1]ZAnd!B30</f>
        <v>18</v>
      </c>
      <c r="C41" s="23">
        <f>+[1]ZAnd!C30</f>
        <v>41931</v>
      </c>
      <c r="D41" s="24">
        <f>+[1]ZAnd!D30</f>
        <v>0.12569444444444444</v>
      </c>
      <c r="E41" s="22">
        <f>+[1]ZAnd!E30</f>
        <v>2456949.64</v>
      </c>
      <c r="F41" s="22" t="str">
        <f>+[1]ZAnd!F30</f>
        <v>PSO</v>
      </c>
      <c r="G41" s="22" t="str">
        <f>+[1]ZAnd!G30</f>
        <v>TAT-HU</v>
      </c>
      <c r="H41" s="22" t="str">
        <f>+[1]ZAnd!H30</f>
        <v>T10+Alpy600+OrionG3</v>
      </c>
      <c r="I41" s="22">
        <f>+[1]ZAnd!I30</f>
        <v>491</v>
      </c>
      <c r="J41" s="22">
        <f>+[1]ZAnd!J30</f>
        <v>3743</v>
      </c>
      <c r="K41" s="22">
        <f>+[1]ZAnd!K30</f>
        <v>7237</v>
      </c>
      <c r="L41" s="12"/>
      <c r="M41" s="11">
        <f t="shared" si="2"/>
        <v>2456949.64</v>
      </c>
      <c r="O41" s="4" t="str">
        <f t="shared" si="1"/>
        <v/>
      </c>
    </row>
    <row r="42" spans="2:15">
      <c r="B42" s="22">
        <f>+[1]ZAnd!B31</f>
        <v>19</v>
      </c>
      <c r="C42" s="23">
        <f>+[1]ZAnd!C31</f>
        <v>41944</v>
      </c>
      <c r="D42" s="24">
        <f>+[1]ZAnd!D31</f>
        <v>8.9583333333333334E-2</v>
      </c>
      <c r="E42" s="22">
        <f>+[1]ZAnd!E31</f>
        <v>2456962.5989999999</v>
      </c>
      <c r="F42" s="22" t="str">
        <f>+[1]ZAnd!F31</f>
        <v>JMO</v>
      </c>
      <c r="G42" s="22" t="str">
        <f>+[1]ZAnd!G31</f>
        <v>OLC-FR</v>
      </c>
      <c r="H42" s="22" t="str">
        <f>+[1]ZAnd!H31</f>
        <v>Meade355mm+Atik460E</v>
      </c>
      <c r="I42" s="22">
        <f>+[1]ZAnd!I31</f>
        <v>0</v>
      </c>
      <c r="J42" s="22">
        <f>+[1]ZAnd!J31</f>
        <v>3790</v>
      </c>
      <c r="K42" s="22">
        <f>+[1]ZAnd!K31</f>
        <v>7388</v>
      </c>
      <c r="L42" s="12"/>
      <c r="M42" s="11">
        <f t="shared" si="2"/>
        <v>2456962.5989999999</v>
      </c>
      <c r="O42" s="4" t="str">
        <f t="shared" si="1"/>
        <v/>
      </c>
    </row>
    <row r="43" spans="2:15">
      <c r="B43" s="22">
        <f>+[1]ZAnd!B32</f>
        <v>20</v>
      </c>
      <c r="C43" s="23">
        <f>+[1]ZAnd!C32</f>
        <v>41948</v>
      </c>
      <c r="D43" s="24">
        <f>+[1]ZAnd!D32</f>
        <v>0.93680555555555556</v>
      </c>
      <c r="E43" s="22">
        <f>+[1]ZAnd!E32</f>
        <v>2456967.4610000001</v>
      </c>
      <c r="F43" s="22" t="str">
        <f>+[1]ZAnd!F32</f>
        <v>DBO</v>
      </c>
      <c r="G43" s="22" t="str">
        <f>+[1]ZAnd!G32</f>
        <v>WCO-UK</v>
      </c>
      <c r="H43" s="22" t="str">
        <f>+[1]ZAnd!H32</f>
        <v>C11+LISA+SXVR-H694</v>
      </c>
      <c r="I43" s="22">
        <f>+[1]ZAnd!I32</f>
        <v>1000</v>
      </c>
      <c r="J43" s="22">
        <f>+[1]ZAnd!J32</f>
        <v>3801</v>
      </c>
      <c r="K43" s="22">
        <f>+[1]ZAnd!K32</f>
        <v>7591</v>
      </c>
      <c r="L43" s="12"/>
      <c r="M43" s="11">
        <f t="shared" si="2"/>
        <v>2456967.4610000001</v>
      </c>
      <c r="O43" s="4" t="str">
        <f t="shared" si="1"/>
        <v/>
      </c>
    </row>
    <row r="44" spans="2:15">
      <c r="B44" s="22">
        <f>+[1]ZAnd!B33</f>
        <v>21</v>
      </c>
      <c r="C44" s="23">
        <f>+[1]ZAnd!C33</f>
        <v>41952</v>
      </c>
      <c r="D44" s="24">
        <f>+[1]ZAnd!D33</f>
        <v>0.88680555555555562</v>
      </c>
      <c r="E44" s="22">
        <f>+[1]ZAnd!E33</f>
        <v>2456971.392</v>
      </c>
      <c r="F44" s="22" t="str">
        <f>+[1]ZAnd!F33</f>
        <v>JMO</v>
      </c>
      <c r="G44" s="22" t="str">
        <f>+[1]ZAnd!G33</f>
        <v>OLC-FR</v>
      </c>
      <c r="H44" s="22" t="str">
        <f>+[1]ZAnd!H33</f>
        <v>Meade355mm+Atik460E</v>
      </c>
      <c r="I44" s="22">
        <f>+[1]ZAnd!I33</f>
        <v>9000</v>
      </c>
      <c r="J44" s="22">
        <f>+[1]ZAnd!J33</f>
        <v>3777</v>
      </c>
      <c r="K44" s="22">
        <f>+[1]ZAnd!K33</f>
        <v>7394</v>
      </c>
      <c r="L44" s="12"/>
      <c r="M44" s="11">
        <f t="shared" si="2"/>
        <v>2456971.392</v>
      </c>
      <c r="O44" s="4" t="str">
        <f t="shared" si="1"/>
        <v/>
      </c>
    </row>
    <row r="45" spans="2:15">
      <c r="B45" s="22">
        <f>+[1]ZAnd!B34</f>
        <v>22</v>
      </c>
      <c r="C45" s="23">
        <f>+[1]ZAnd!C34</f>
        <v>41960</v>
      </c>
      <c r="D45" s="24">
        <f>+[1]ZAnd!D34</f>
        <v>0.9</v>
      </c>
      <c r="E45" s="22">
        <f>+[1]ZAnd!E34</f>
        <v>2456979.4180000001</v>
      </c>
      <c r="F45" s="22" t="str">
        <f>+[1]ZAnd!F34</f>
        <v>JGF</v>
      </c>
      <c r="G45" s="22" t="str">
        <f>+[1]ZAnd!G34</f>
        <v>SMM-SP</v>
      </c>
      <c r="H45" s="22" t="str">
        <f>+[1]ZAnd!H34</f>
        <v>16REMOTATIK460EX</v>
      </c>
      <c r="I45" s="22">
        <f>+[1]ZAnd!I34</f>
        <v>9000</v>
      </c>
      <c r="J45" s="22">
        <f>+[1]ZAnd!J34</f>
        <v>3760</v>
      </c>
      <c r="K45" s="22">
        <f>+[1]ZAnd!K34</f>
        <v>7589</v>
      </c>
      <c r="L45" s="12"/>
      <c r="M45" s="11">
        <f t="shared" si="2"/>
        <v>2456979.4180000001</v>
      </c>
      <c r="O45" s="4" t="str">
        <f t="shared" si="1"/>
        <v/>
      </c>
    </row>
    <row r="46" spans="2:15">
      <c r="B46" s="22">
        <f>+[1]ZAnd!B35</f>
        <v>23</v>
      </c>
      <c r="C46" s="23">
        <f>+[1]ZAnd!C35</f>
        <v>41962</v>
      </c>
      <c r="D46" s="24">
        <f>+[1]ZAnd!D35</f>
        <v>0.87291666666666667</v>
      </c>
      <c r="E46" s="22">
        <f>+[1]ZAnd!E35</f>
        <v>2456981.3870000001</v>
      </c>
      <c r="F46" s="22" t="str">
        <f>+[1]ZAnd!F35</f>
        <v>JGF</v>
      </c>
      <c r="G46" s="22" t="str">
        <f>+[1]ZAnd!G35</f>
        <v>SMM-SP</v>
      </c>
      <c r="H46" s="22" t="str">
        <f>+[1]ZAnd!H35</f>
        <v>16REMOTATIK460EX</v>
      </c>
      <c r="I46" s="22">
        <f>+[1]ZAnd!I35</f>
        <v>9000</v>
      </c>
      <c r="J46" s="22">
        <f>+[1]ZAnd!J35</f>
        <v>3723</v>
      </c>
      <c r="K46" s="22">
        <f>+[1]ZAnd!K35</f>
        <v>7597</v>
      </c>
      <c r="L46" s="12"/>
      <c r="M46" s="11">
        <f t="shared" si="2"/>
        <v>2456981.3870000001</v>
      </c>
      <c r="O46" s="4" t="str">
        <f t="shared" si="1"/>
        <v/>
      </c>
    </row>
    <row r="47" spans="2:15">
      <c r="B47" s="22">
        <f>+[1]ZAnd!B36</f>
        <v>24</v>
      </c>
      <c r="C47" s="23">
        <f>+[1]ZAnd!C36</f>
        <v>41966</v>
      </c>
      <c r="D47" s="24">
        <f>+[1]ZAnd!D36</f>
        <v>0.89236111111111116</v>
      </c>
      <c r="E47" s="22">
        <f>+[1]ZAnd!E36</f>
        <v>2456985.4350000001</v>
      </c>
      <c r="F47" s="22" t="str">
        <f>+[1]ZAnd!F36</f>
        <v>DBO</v>
      </c>
      <c r="G47" s="22" t="str">
        <f>+[1]ZAnd!G36</f>
        <v>WCO-UK</v>
      </c>
      <c r="H47" s="22" t="str">
        <f>+[1]ZAnd!H36</f>
        <v>C11+LISA+SXVR-H694</v>
      </c>
      <c r="I47" s="22">
        <f>+[1]ZAnd!I36</f>
        <v>1000</v>
      </c>
      <c r="J47" s="22">
        <f>+[1]ZAnd!J36</f>
        <v>3800</v>
      </c>
      <c r="K47" s="22">
        <f>+[1]ZAnd!K36</f>
        <v>7590</v>
      </c>
      <c r="L47" s="12"/>
      <c r="M47" s="11">
        <f t="shared" si="2"/>
        <v>2456985.4350000001</v>
      </c>
      <c r="O47" s="4" t="str">
        <f t="shared" si="1"/>
        <v/>
      </c>
    </row>
    <row r="48" spans="2:15">
      <c r="B48" s="22">
        <f>+[1]ZAnd!B37</f>
        <v>25</v>
      </c>
      <c r="C48" s="23">
        <f>+[1]ZAnd!C37</f>
        <v>41984</v>
      </c>
      <c r="D48" s="24">
        <f>+[1]ZAnd!D37</f>
        <v>0.8881944444444444</v>
      </c>
      <c r="E48" s="22">
        <f>+[1]ZAnd!E37</f>
        <v>2457003.406</v>
      </c>
      <c r="F48" s="22" t="str">
        <f>+[1]ZAnd!F37</f>
        <v>JGF</v>
      </c>
      <c r="G48" s="22" t="str">
        <f>+[1]ZAnd!G37</f>
        <v>SMM-SP</v>
      </c>
      <c r="H48" s="22" t="str">
        <f>+[1]ZAnd!H37</f>
        <v>16REMOTATIK460EX</v>
      </c>
      <c r="I48" s="22">
        <f>+[1]ZAnd!I37</f>
        <v>9000</v>
      </c>
      <c r="J48" s="22">
        <f>+[1]ZAnd!J37</f>
        <v>3774</v>
      </c>
      <c r="K48" s="22">
        <f>+[1]ZAnd!K37</f>
        <v>7595</v>
      </c>
      <c r="L48" s="12"/>
      <c r="M48" s="11">
        <f t="shared" si="2"/>
        <v>2457003.406</v>
      </c>
      <c r="O48" s="4" t="str">
        <f t="shared" si="1"/>
        <v/>
      </c>
    </row>
    <row r="49" spans="2:15">
      <c r="B49" s="22">
        <f>+[1]ZAnd!B38</f>
        <v>26</v>
      </c>
      <c r="C49" s="23">
        <f>+[1]ZAnd!C38</f>
        <v>41986</v>
      </c>
      <c r="D49" s="24">
        <f>+[1]ZAnd!D38</f>
        <v>0.82013888888888886</v>
      </c>
      <c r="E49" s="22">
        <f>+[1]ZAnd!E38</f>
        <v>2457005.335</v>
      </c>
      <c r="F49" s="22" t="str">
        <f>+[1]ZAnd!F38</f>
        <v>JGF</v>
      </c>
      <c r="G49" s="22" t="str">
        <f>+[1]ZAnd!G38</f>
        <v>SMM-SP</v>
      </c>
      <c r="H49" s="22" t="str">
        <f>+[1]ZAnd!H38</f>
        <v>16REMOTATIK460EX</v>
      </c>
      <c r="I49" s="22">
        <f>+[1]ZAnd!I38</f>
        <v>9000</v>
      </c>
      <c r="J49" s="22">
        <f>+[1]ZAnd!J38</f>
        <v>3814</v>
      </c>
      <c r="K49" s="22">
        <f>+[1]ZAnd!K38</f>
        <v>7597</v>
      </c>
      <c r="L49" s="12"/>
      <c r="M49" s="11">
        <f t="shared" si="2"/>
        <v>2457005.335</v>
      </c>
      <c r="O49" s="4" t="str">
        <f t="shared" si="1"/>
        <v/>
      </c>
    </row>
    <row r="50" spans="2:15">
      <c r="B50" s="22">
        <f>+[1]ZAnd!B39</f>
        <v>27</v>
      </c>
      <c r="C50" s="23">
        <f>+[1]ZAnd!C39</f>
        <v>41986</v>
      </c>
      <c r="D50" s="24">
        <f>+[1]ZAnd!D39</f>
        <v>0.91736111111111107</v>
      </c>
      <c r="E50" s="22">
        <f>+[1]ZAnd!E39</f>
        <v>2457005.4240000001</v>
      </c>
      <c r="F50" s="22" t="str">
        <f>+[1]ZAnd!F39</f>
        <v>PSO</v>
      </c>
      <c r="G50" s="22" t="str">
        <f>+[1]ZAnd!G39</f>
        <v>TAT-HU</v>
      </c>
      <c r="H50" s="22" t="str">
        <f>+[1]ZAnd!H39</f>
        <v>T10+Alpy600+OrionG3</v>
      </c>
      <c r="I50" s="22">
        <f>+[1]ZAnd!I39</f>
        <v>600</v>
      </c>
      <c r="J50" s="22">
        <f>+[1]ZAnd!J39</f>
        <v>3741</v>
      </c>
      <c r="K50" s="22">
        <f>+[1]ZAnd!K39</f>
        <v>7235</v>
      </c>
      <c r="L50" s="12"/>
      <c r="M50" s="11">
        <f t="shared" si="2"/>
        <v>2457005.4240000001</v>
      </c>
      <c r="O50" s="4" t="str">
        <f t="shared" si="1"/>
        <v/>
      </c>
    </row>
    <row r="51" spans="2:15">
      <c r="B51" s="22">
        <f>+[1]ZAnd!B40</f>
        <v>28</v>
      </c>
      <c r="C51" s="23">
        <f>+[1]ZAnd!C40</f>
        <v>42000</v>
      </c>
      <c r="D51" s="24">
        <f>+[1]ZAnd!D40</f>
        <v>0.76388888888888884</v>
      </c>
      <c r="E51" s="22">
        <f>+[1]ZAnd!E40</f>
        <v>2457019.2760000001</v>
      </c>
      <c r="F51" s="22" t="str">
        <f>+[1]ZAnd!F40</f>
        <v>JGF</v>
      </c>
      <c r="G51" s="22" t="str">
        <f>+[1]ZAnd!G40</f>
        <v>SMM-SP</v>
      </c>
      <c r="H51" s="22" t="str">
        <f>+[1]ZAnd!H40</f>
        <v>16REMOTATIK460EX</v>
      </c>
      <c r="I51" s="22">
        <f>+[1]ZAnd!I40</f>
        <v>9000</v>
      </c>
      <c r="J51" s="22">
        <f>+[1]ZAnd!J40</f>
        <v>3730</v>
      </c>
      <c r="K51" s="22">
        <f>+[1]ZAnd!K40</f>
        <v>7585</v>
      </c>
      <c r="L51" s="12"/>
      <c r="M51" s="11">
        <f t="shared" si="2"/>
        <v>2457019.2760000001</v>
      </c>
      <c r="O51" s="4" t="str">
        <f t="shared" si="1"/>
        <v/>
      </c>
    </row>
    <row r="52" spans="2:15">
      <c r="B52" s="22">
        <f>+[1]ZAnd!B41</f>
        <v>29</v>
      </c>
      <c r="C52" s="23">
        <f>+[1]ZAnd!C41</f>
        <v>42035</v>
      </c>
      <c r="D52" s="24">
        <f>+[1]ZAnd!D41</f>
        <v>0.68402777777777779</v>
      </c>
      <c r="E52" s="22">
        <f>+[1]ZAnd!E41</f>
        <v>2457054.196</v>
      </c>
      <c r="F52" s="22" t="str">
        <f>+[1]ZAnd!F41</f>
        <v>PSO</v>
      </c>
      <c r="G52" s="22" t="str">
        <f>+[1]ZAnd!G41</f>
        <v>TAT-HU</v>
      </c>
      <c r="H52" s="22" t="str">
        <f>+[1]ZAnd!H41</f>
        <v>25cmf4AlpyAtik414</v>
      </c>
      <c r="I52" s="22">
        <f>+[1]ZAnd!I41</f>
        <v>600</v>
      </c>
      <c r="J52" s="22">
        <f>+[1]ZAnd!J41</f>
        <v>3650</v>
      </c>
      <c r="K52" s="22">
        <f>+[1]ZAnd!K41</f>
        <v>7924</v>
      </c>
      <c r="L52" s="12"/>
      <c r="M52" s="11">
        <f t="shared" si="2"/>
        <v>2457054.196</v>
      </c>
      <c r="O52" s="4" t="str">
        <f t="shared" si="1"/>
        <v/>
      </c>
    </row>
    <row r="53" spans="2:15">
      <c r="B53" s="22">
        <f>+[1]ZAnd!B42</f>
        <v>30</v>
      </c>
      <c r="C53" s="23">
        <f>+[1]ZAnd!C42</f>
        <v>42049</v>
      </c>
      <c r="D53" s="24">
        <f>+[1]ZAnd!D42</f>
        <v>0.68699074074074085</v>
      </c>
      <c r="E53" s="22">
        <f>+[1]ZAnd!E42</f>
        <v>2457068.1957999999</v>
      </c>
      <c r="F53" s="22" t="str">
        <f>+[1]ZAnd!F42</f>
        <v>PSO</v>
      </c>
      <c r="G53" s="22" t="str">
        <f>+[1]ZAnd!G42</f>
        <v>TAT-HU</v>
      </c>
      <c r="H53" s="22" t="str">
        <f>+[1]ZAnd!H42</f>
        <v>25cmf4AlpyAtik414</v>
      </c>
      <c r="I53" s="22">
        <f>+[1]ZAnd!I42</f>
        <v>538</v>
      </c>
      <c r="J53" s="22">
        <f>+[1]ZAnd!J42</f>
        <v>3651</v>
      </c>
      <c r="K53" s="22">
        <f>+[1]ZAnd!K42</f>
        <v>7925</v>
      </c>
      <c r="L53" s="12"/>
      <c r="M53" s="11">
        <f t="shared" si="2"/>
        <v>2457068.1957999999</v>
      </c>
      <c r="O53" s="4" t="str">
        <f t="shared" si="1"/>
        <v/>
      </c>
    </row>
    <row r="54" spans="2:15">
      <c r="B54" s="22">
        <f>+[1]ZAnd!B43</f>
        <v>31</v>
      </c>
      <c r="C54" s="23">
        <f>+[1]ZAnd!C43</f>
        <v>42162</v>
      </c>
      <c r="D54" s="24">
        <f>+[1]ZAnd!D43</f>
        <v>3.6921296296296292E-2</v>
      </c>
      <c r="E54" s="22">
        <f>+[1]ZAnd!E43</f>
        <v>2457180.5438999999</v>
      </c>
      <c r="F54" s="22" t="str">
        <f>+[1]ZAnd!F43</f>
        <v>PSO</v>
      </c>
      <c r="G54" s="22" t="str">
        <f>+[1]ZAnd!G43</f>
        <v>TAT-HU</v>
      </c>
      <c r="H54" s="22" t="str">
        <f>+[1]ZAnd!H43</f>
        <v>25cmLH24K35u414exm</v>
      </c>
      <c r="I54" s="22">
        <f>+[1]ZAnd!I43</f>
        <v>10633</v>
      </c>
      <c r="J54" s="22">
        <f>+[1]ZAnd!J43</f>
        <v>6511</v>
      </c>
      <c r="K54" s="22">
        <f>+[1]ZAnd!K43</f>
        <v>6622</v>
      </c>
      <c r="L54" s="12"/>
      <c r="M54" s="11">
        <f t="shared" si="2"/>
        <v>2457180.5438999999</v>
      </c>
      <c r="O54" s="4" t="str">
        <f t="shared" si="1"/>
        <v/>
      </c>
    </row>
    <row r="55" spans="2:15">
      <c r="B55" s="22">
        <f>+[1]ZAnd!B44</f>
        <v>32</v>
      </c>
      <c r="C55" s="23">
        <f>+[1]ZAnd!C44</f>
        <v>42191</v>
      </c>
      <c r="D55" s="24">
        <f>+[1]ZAnd!D44</f>
        <v>3.8194444444444443E-3</v>
      </c>
      <c r="E55" s="22">
        <f>+[1]ZAnd!E44</f>
        <v>2457209.5222999998</v>
      </c>
      <c r="F55" s="22" t="str">
        <f>+[1]ZAnd!F44</f>
        <v>PSO</v>
      </c>
      <c r="G55" s="22" t="str">
        <f>+[1]ZAnd!G44</f>
        <v>TAT-HU</v>
      </c>
      <c r="H55" s="22" t="str">
        <f>+[1]ZAnd!H44</f>
        <v>25cmLH60015u414exm</v>
      </c>
      <c r="I55" s="22">
        <f>+[1]ZAnd!I44</f>
        <v>3503</v>
      </c>
      <c r="J55" s="22">
        <f>+[1]ZAnd!J44</f>
        <v>4651</v>
      </c>
      <c r="K55" s="22">
        <f>+[1]ZAnd!K44</f>
        <v>5379</v>
      </c>
      <c r="L55" s="12"/>
      <c r="M55" s="11">
        <f t="shared" si="2"/>
        <v>2457209.5222999998</v>
      </c>
      <c r="O55" s="4" t="str">
        <f t="shared" si="1"/>
        <v/>
      </c>
    </row>
    <row r="56" spans="2:15">
      <c r="B56" s="22">
        <f>+[1]ZAnd!B45</f>
        <v>33</v>
      </c>
      <c r="C56" s="23">
        <f>+[1]ZAnd!C45</f>
        <v>42225</v>
      </c>
      <c r="D56" s="24">
        <f>+[1]ZAnd!D45</f>
        <v>0.25111111111111112</v>
      </c>
      <c r="E56" s="22">
        <f>+[1]ZAnd!E45</f>
        <v>2457243.7727000001</v>
      </c>
      <c r="F56" s="22" t="str">
        <f>+[1]ZAnd!F45</f>
        <v>LES</v>
      </c>
      <c r="G56" s="22" t="str">
        <f>+[1]ZAnd!G45</f>
        <v>MRO-CA</v>
      </c>
      <c r="H56" s="22" t="str">
        <f>+[1]ZAnd!H45</f>
        <v>31cmDK+23um1800lpm+</v>
      </c>
      <c r="I56" s="22">
        <f>+[1]ZAnd!I45</f>
        <v>9000</v>
      </c>
      <c r="J56" s="22">
        <f>+[1]ZAnd!J45</f>
        <v>6001</v>
      </c>
      <c r="K56" s="22">
        <f>+[1]ZAnd!K45</f>
        <v>7104</v>
      </c>
      <c r="L56" s="12"/>
      <c r="M56" s="11">
        <f t="shared" si="2"/>
        <v>2457243.7727000001</v>
      </c>
      <c r="O56" s="4" t="str">
        <f t="shared" si="1"/>
        <v/>
      </c>
    </row>
    <row r="57" spans="2:15">
      <c r="B57" s="22">
        <f>+[1]ZAnd!B46</f>
        <v>34</v>
      </c>
      <c r="C57" s="23">
        <f>+[1]ZAnd!C46</f>
        <v>42233</v>
      </c>
      <c r="D57" s="24">
        <f>+[1]ZAnd!D46</f>
        <v>0.88248842592592591</v>
      </c>
      <c r="E57" s="22">
        <f>+[1]ZAnd!E46</f>
        <v>2457252.3862999999</v>
      </c>
      <c r="F57" s="22" t="str">
        <f>+[1]ZAnd!F46</f>
        <v>AHE</v>
      </c>
      <c r="G57" s="22" t="str">
        <f>+[1]ZAnd!G46</f>
        <v>SMU-FR</v>
      </c>
      <c r="H57" s="22" t="str">
        <f>+[1]ZAnd!H46</f>
        <v>FSQ106alpyatik4</v>
      </c>
      <c r="I57" s="22">
        <f>+[1]ZAnd!I46</f>
        <v>600</v>
      </c>
      <c r="J57" s="22">
        <f>+[1]ZAnd!J46</f>
        <v>3910</v>
      </c>
      <c r="K57" s="22">
        <f>+[1]ZAnd!K46</f>
        <v>7648</v>
      </c>
      <c r="L57" s="12"/>
      <c r="M57" s="11">
        <f t="shared" si="2"/>
        <v>2457252.3862999999</v>
      </c>
      <c r="O57" s="4" t="str">
        <f t="shared" si="1"/>
        <v/>
      </c>
    </row>
    <row r="58" spans="2:15">
      <c r="B58" s="22">
        <f>+[1]ZAnd!B47</f>
        <v>35</v>
      </c>
      <c r="C58" s="23">
        <f>+[1]ZAnd!C47</f>
        <v>42238</v>
      </c>
      <c r="D58" s="24">
        <f>+[1]ZAnd!D47</f>
        <v>0.92031249999999998</v>
      </c>
      <c r="E58" s="22">
        <f>+[1]ZAnd!E47</f>
        <v>2457257.4525000001</v>
      </c>
      <c r="F58" s="22" t="str">
        <f>+[1]ZAnd!F47</f>
        <v xml:space="preserve">FMT </v>
      </c>
      <c r="G58" s="22" t="str">
        <f>+[1]ZAnd!G47</f>
        <v>ROU-FR</v>
      </c>
      <c r="H58" s="22" t="str">
        <f>+[1]ZAnd!H47</f>
        <v>SC14+eShel+Atik460ex</v>
      </c>
      <c r="I58" s="22">
        <f>+[1]ZAnd!I47</f>
        <v>11000</v>
      </c>
      <c r="J58" s="22">
        <f>+[1]ZAnd!J47</f>
        <v>4209</v>
      </c>
      <c r="K58" s="22">
        <f>+[1]ZAnd!K47</f>
        <v>7157</v>
      </c>
      <c r="L58" s="12"/>
      <c r="M58" s="11">
        <f t="shared" si="2"/>
        <v>2457257.4525000001</v>
      </c>
      <c r="O58" s="4" t="str">
        <f t="shared" si="1"/>
        <v/>
      </c>
    </row>
    <row r="59" spans="2:15">
      <c r="B59" s="22">
        <f>+[1]ZAnd!B48</f>
        <v>36</v>
      </c>
      <c r="C59" s="23">
        <f>+[1]ZAnd!C48</f>
        <v>42239</v>
      </c>
      <c r="D59" s="24">
        <f>+[1]ZAnd!D48</f>
        <v>0.26472222222222225</v>
      </c>
      <c r="E59" s="22">
        <f>+[1]ZAnd!E48</f>
        <v>2457257.7927999999</v>
      </c>
      <c r="F59" s="22" t="str">
        <f>+[1]ZAnd!F48</f>
        <v>LES</v>
      </c>
      <c r="G59" s="22" t="str">
        <f>+[1]ZAnd!G48</f>
        <v>MRO-CA</v>
      </c>
      <c r="H59" s="22" t="str">
        <f>+[1]ZAnd!H48</f>
        <v>31cmDK+23um1800lpm+</v>
      </c>
      <c r="I59" s="22">
        <f>+[1]ZAnd!I48</f>
        <v>6368</v>
      </c>
      <c r="J59" s="22">
        <f>+[1]ZAnd!J48</f>
        <v>4269</v>
      </c>
      <c r="K59" s="22">
        <f>+[1]ZAnd!K48</f>
        <v>5425</v>
      </c>
      <c r="L59" s="12"/>
      <c r="M59" s="11">
        <f t="shared" si="2"/>
        <v>2457257.7927999999</v>
      </c>
      <c r="O59" s="4" t="str">
        <f t="shared" si="1"/>
        <v/>
      </c>
    </row>
    <row r="60" spans="2:15">
      <c r="B60" s="22">
        <f>+[1]ZAnd!B49</f>
        <v>37</v>
      </c>
      <c r="C60" s="23">
        <f>+[1]ZAnd!C49</f>
        <v>42244</v>
      </c>
      <c r="D60" s="24">
        <f>+[1]ZAnd!D49</f>
        <v>0.81547453703703709</v>
      </c>
      <c r="E60" s="22">
        <f>+[1]ZAnd!E49</f>
        <v>2457263.3213</v>
      </c>
      <c r="F60" s="22" t="str">
        <f>+[1]ZAnd!F49</f>
        <v>AHE</v>
      </c>
      <c r="G60" s="22" t="str">
        <f>+[1]ZAnd!G49</f>
        <v>SMU-FR</v>
      </c>
      <c r="H60" s="22" t="str">
        <f>+[1]ZAnd!H49</f>
        <v>cn212cassegrainre</v>
      </c>
      <c r="I60" s="22">
        <f>+[1]ZAnd!I49</f>
        <v>600</v>
      </c>
      <c r="J60" s="22">
        <f>+[1]ZAnd!J49</f>
        <v>6486</v>
      </c>
      <c r="K60" s="22">
        <f>+[1]ZAnd!K49</f>
        <v>6602</v>
      </c>
      <c r="L60" s="12"/>
      <c r="M60" s="11">
        <f t="shared" si="2"/>
        <v>2457263.3213</v>
      </c>
      <c r="O60" s="4" t="str">
        <f t="shared" si="1"/>
        <v/>
      </c>
    </row>
    <row r="61" spans="2:15">
      <c r="B61" s="22">
        <f>+[1]ZAnd!B50</f>
        <v>38</v>
      </c>
      <c r="C61" s="23">
        <f>+[1]ZAnd!C50</f>
        <v>42258</v>
      </c>
      <c r="D61" s="24">
        <f>+[1]ZAnd!D50</f>
        <v>0.89099537037037047</v>
      </c>
      <c r="E61" s="22">
        <f>+[1]ZAnd!E50</f>
        <v>2457277.4081000001</v>
      </c>
      <c r="F61" s="22" t="str">
        <f>+[1]ZAnd!F50</f>
        <v>BER</v>
      </c>
      <c r="G61" s="22" t="str">
        <f>+[1]ZAnd!G50</f>
        <v>BVO-ITA</v>
      </c>
      <c r="H61" s="22" t="str">
        <f>+[1]ZAnd!H50</f>
        <v>LHIRES31200C9SXV</v>
      </c>
      <c r="I61" s="22">
        <f>+[1]ZAnd!I50</f>
        <v>5734</v>
      </c>
      <c r="J61" s="22">
        <f>+[1]ZAnd!J50</f>
        <v>6340</v>
      </c>
      <c r="K61" s="22">
        <f>+[1]ZAnd!K50</f>
        <v>6802</v>
      </c>
      <c r="L61" s="12"/>
      <c r="M61" s="11">
        <f t="shared" si="2"/>
        <v>2457277.4081000001</v>
      </c>
      <c r="O61" s="4" t="str">
        <f t="shared" si="1"/>
        <v/>
      </c>
    </row>
    <row r="62" spans="2:15">
      <c r="B62" s="22">
        <f>+[1]ZAnd!B51</f>
        <v>39</v>
      </c>
      <c r="C62" s="23">
        <f>+[1]ZAnd!C51</f>
        <v>42260</v>
      </c>
      <c r="D62" s="24">
        <f>+[1]ZAnd!D51</f>
        <v>2.1215277777777777E-2</v>
      </c>
      <c r="E62" s="22">
        <f>+[1]ZAnd!E51</f>
        <v>2457278.5422</v>
      </c>
      <c r="F62" s="22" t="str">
        <f>+[1]ZAnd!F51</f>
        <v>PSO</v>
      </c>
      <c r="G62" s="22" t="str">
        <f>+[1]ZAnd!G51</f>
        <v>TAT-HU</v>
      </c>
      <c r="H62" s="22" t="str">
        <f>+[1]ZAnd!H51</f>
        <v>T10+Lhires600+Atik414exm</v>
      </c>
      <c r="I62" s="22">
        <f>+[1]ZAnd!I51</f>
        <v>3855</v>
      </c>
      <c r="J62" s="22">
        <f>+[1]ZAnd!J51</f>
        <v>4603</v>
      </c>
      <c r="K62" s="22">
        <f>+[1]ZAnd!K51</f>
        <v>5333</v>
      </c>
      <c r="L62" s="12"/>
      <c r="M62" s="11">
        <f t="shared" si="2"/>
        <v>2457278.5422</v>
      </c>
      <c r="O62" s="4" t="str">
        <f t="shared" si="1"/>
        <v/>
      </c>
    </row>
    <row r="63" spans="2:15">
      <c r="B63" s="22">
        <f>+[1]ZAnd!B52</f>
        <v>40</v>
      </c>
      <c r="C63" s="23">
        <f>+[1]ZAnd!C52</f>
        <v>42262</v>
      </c>
      <c r="D63" s="24">
        <f>+[1]ZAnd!D52</f>
        <v>0.2726736111111111</v>
      </c>
      <c r="E63" s="22">
        <f>+[1]ZAnd!E52</f>
        <v>2457280.7903999998</v>
      </c>
      <c r="F63" s="22" t="str">
        <f>+[1]ZAnd!F52</f>
        <v>LES</v>
      </c>
      <c r="G63" s="22" t="str">
        <f>+[1]ZAnd!G52</f>
        <v>MRO-CA</v>
      </c>
      <c r="H63" s="22" t="str">
        <f>+[1]ZAnd!H52</f>
        <v>31cmDK+23um1800lpm+</v>
      </c>
      <c r="I63" s="22">
        <f>+[1]ZAnd!I52</f>
        <v>9000</v>
      </c>
      <c r="J63" s="22">
        <f>+[1]ZAnd!J52</f>
        <v>5999</v>
      </c>
      <c r="K63" s="22">
        <f>+[1]ZAnd!K52</f>
        <v>7100</v>
      </c>
      <c r="L63" s="12"/>
      <c r="M63" s="11">
        <f t="shared" si="2"/>
        <v>2457280.7903999998</v>
      </c>
      <c r="O63" s="4" t="str">
        <f t="shared" si="1"/>
        <v/>
      </c>
    </row>
    <row r="64" spans="2:15">
      <c r="B64" s="22">
        <f>+[1]ZAnd!B53</f>
        <v>41</v>
      </c>
      <c r="C64" s="23">
        <f>+[1]ZAnd!C53</f>
        <v>42266</v>
      </c>
      <c r="D64" s="24">
        <f>+[1]ZAnd!D53</f>
        <v>0.88844907407407403</v>
      </c>
      <c r="E64" s="22">
        <f>+[1]ZAnd!E53</f>
        <v>2457285.4101999998</v>
      </c>
      <c r="F64" s="22" t="str">
        <f>+[1]ZAnd!F53</f>
        <v xml:space="preserve">FMT </v>
      </c>
      <c r="G64" s="22" t="str">
        <f>+[1]ZAnd!G53</f>
        <v>ROU-FR</v>
      </c>
      <c r="H64" s="22" t="str">
        <f>+[1]ZAnd!H53</f>
        <v>SC14+eShel+Atik460ex</v>
      </c>
      <c r="I64" s="22">
        <f>+[1]ZAnd!I53</f>
        <v>11000</v>
      </c>
      <c r="J64" s="22">
        <f>+[1]ZAnd!J53</f>
        <v>4209</v>
      </c>
      <c r="K64" s="22">
        <f>+[1]ZAnd!K53</f>
        <v>7154</v>
      </c>
      <c r="L64" s="12"/>
      <c r="M64" s="11">
        <f t="shared" si="2"/>
        <v>2457285.4101999998</v>
      </c>
      <c r="O64" s="4" t="str">
        <f t="shared" si="1"/>
        <v/>
      </c>
    </row>
    <row r="65" spans="2:15">
      <c r="B65" s="22">
        <f>+[1]ZAnd!B54</f>
        <v>42</v>
      </c>
      <c r="C65" s="23">
        <f>+[1]ZAnd!C54</f>
        <v>42272</v>
      </c>
      <c r="D65" s="24">
        <f>+[1]ZAnd!D54</f>
        <v>0.85499999999999998</v>
      </c>
      <c r="E65" s="22">
        <f>+[1]ZAnd!E54</f>
        <v>2457291.3738000002</v>
      </c>
      <c r="F65" s="22" t="str">
        <f>+[1]ZAnd!F54</f>
        <v xml:space="preserve">FMT </v>
      </c>
      <c r="G65" s="22" t="str">
        <f>+[1]ZAnd!G54</f>
        <v>ROU-FR</v>
      </c>
      <c r="H65" s="22" t="str">
        <f>+[1]ZAnd!H54</f>
        <v>SC14+eShel+Atik460ex</v>
      </c>
      <c r="I65" s="22">
        <f>+[1]ZAnd!I54</f>
        <v>11000</v>
      </c>
      <c r="J65" s="22">
        <f>+[1]ZAnd!J54</f>
        <v>4287</v>
      </c>
      <c r="K65" s="22">
        <f>+[1]ZAnd!K54</f>
        <v>7157</v>
      </c>
      <c r="L65" s="12"/>
      <c r="M65" s="11">
        <f t="shared" si="2"/>
        <v>2457291.3738000002</v>
      </c>
      <c r="O65" s="4" t="str">
        <f t="shared" si="1"/>
        <v/>
      </c>
    </row>
    <row r="66" spans="2:15">
      <c r="B66" s="22">
        <f>+[1]ZAnd!B55</f>
        <v>43</v>
      </c>
      <c r="C66" s="23">
        <f>+[1]ZAnd!C55</f>
        <v>42273</v>
      </c>
      <c r="D66" s="24">
        <f>+[1]ZAnd!D55</f>
        <v>0.99199074074074067</v>
      </c>
      <c r="E66" s="22">
        <f>+[1]ZAnd!E55</f>
        <v>2457292.5008999999</v>
      </c>
      <c r="F66" s="22" t="str">
        <f>+[1]ZAnd!F55</f>
        <v>JMO</v>
      </c>
      <c r="G66" s="22" t="str">
        <f>+[1]ZAnd!G55</f>
        <v>CAL-FR</v>
      </c>
      <c r="H66" s="22" t="str">
        <f>+[1]ZAnd!H55</f>
        <v>MEADE355mm+Alpy600+</v>
      </c>
      <c r="I66" s="22">
        <f>+[1]ZAnd!I55</f>
        <v>642</v>
      </c>
      <c r="J66" s="22">
        <f>+[1]ZAnd!J55</f>
        <v>3716</v>
      </c>
      <c r="K66" s="22">
        <f>+[1]ZAnd!K55</f>
        <v>7397</v>
      </c>
      <c r="L66" s="12"/>
      <c r="M66" s="11">
        <f t="shared" si="2"/>
        <v>2457292.5008999999</v>
      </c>
      <c r="O66" s="4" t="str">
        <f t="shared" si="1"/>
        <v/>
      </c>
    </row>
    <row r="67" spans="2:15">
      <c r="B67" s="22">
        <f>+[1]ZAnd!B56</f>
        <v>44</v>
      </c>
      <c r="C67" s="23">
        <f>+[1]ZAnd!C56</f>
        <v>42274</v>
      </c>
      <c r="D67" s="24">
        <f>+[1]ZAnd!D56</f>
        <v>0.86466435185185186</v>
      </c>
      <c r="E67" s="22">
        <f>+[1]ZAnd!E56</f>
        <v>2457293.3777999999</v>
      </c>
      <c r="F67" s="22" t="str">
        <f>+[1]ZAnd!F56</f>
        <v>DBO</v>
      </c>
      <c r="G67" s="22" t="str">
        <f>+[1]ZAnd!G56</f>
        <v>WCO-UK</v>
      </c>
      <c r="H67" s="22" t="str">
        <f>+[1]ZAnd!H56</f>
        <v>C11+LISA+SXVR-H694</v>
      </c>
      <c r="I67" s="22">
        <f>+[1]ZAnd!I56</f>
        <v>850</v>
      </c>
      <c r="J67" s="22">
        <f>+[1]ZAnd!J56</f>
        <v>3900</v>
      </c>
      <c r="K67" s="22">
        <f>+[1]ZAnd!K56</f>
        <v>7400</v>
      </c>
      <c r="L67" s="12"/>
      <c r="M67" s="11">
        <f t="shared" si="2"/>
        <v>2457293.3777999999</v>
      </c>
      <c r="O67" s="4" t="str">
        <f t="shared" si="1"/>
        <v/>
      </c>
    </row>
    <row r="68" spans="2:15">
      <c r="B68" s="22">
        <f>+[1]ZAnd!B57</f>
        <v>45</v>
      </c>
      <c r="C68" s="23">
        <f>+[1]ZAnd!C57</f>
        <v>42278</v>
      </c>
      <c r="D68" s="24">
        <f>+[1]ZAnd!D57</f>
        <v>0.86436342592592597</v>
      </c>
      <c r="E68" s="22">
        <f>+[1]ZAnd!E57</f>
        <v>2457297.3868</v>
      </c>
      <c r="F68" s="22" t="str">
        <f>+[1]ZAnd!F57</f>
        <v xml:space="preserve">FMT </v>
      </c>
      <c r="G68" s="22" t="str">
        <f>+[1]ZAnd!G57</f>
        <v>ROU-FR</v>
      </c>
      <c r="H68" s="22" t="str">
        <f>+[1]ZAnd!H57</f>
        <v>SC14+eShel+Atik460ex</v>
      </c>
      <c r="I68" s="22">
        <f>+[1]ZAnd!I57</f>
        <v>11000</v>
      </c>
      <c r="J68" s="22">
        <f>+[1]ZAnd!J57</f>
        <v>4370</v>
      </c>
      <c r="K68" s="22">
        <f>+[1]ZAnd!K57</f>
        <v>7157</v>
      </c>
      <c r="L68" s="12"/>
      <c r="M68" s="11">
        <f t="shared" si="2"/>
        <v>2457297.3868</v>
      </c>
      <c r="O68" s="4" t="str">
        <f t="shared" si="1"/>
        <v/>
      </c>
    </row>
    <row r="69" spans="2:15">
      <c r="B69" s="22">
        <f>+[1]ZAnd!B58</f>
        <v>46</v>
      </c>
      <c r="C69" s="23">
        <f>+[1]ZAnd!C58</f>
        <v>42300</v>
      </c>
      <c r="D69" s="24">
        <f>+[1]ZAnd!D58</f>
        <v>0.86353009259259261</v>
      </c>
      <c r="E69" s="22">
        <f>+[1]ZAnd!E58</f>
        <v>2457319.3698999998</v>
      </c>
      <c r="F69" s="22" t="str">
        <f>+[1]ZAnd!F58</f>
        <v>PSO</v>
      </c>
      <c r="G69" s="22" t="str">
        <f>+[1]ZAnd!G58</f>
        <v>TAT-HU</v>
      </c>
      <c r="H69" s="22" t="str">
        <f>+[1]ZAnd!H58</f>
        <v>25cmLH150_23u414exm</v>
      </c>
      <c r="I69" s="22">
        <f>+[1]ZAnd!I58</f>
        <v>526</v>
      </c>
      <c r="J69" s="22">
        <f>+[1]ZAnd!J58</f>
        <v>4318</v>
      </c>
      <c r="K69" s="22">
        <f>+[1]ZAnd!K58</f>
        <v>7244</v>
      </c>
      <c r="L69" s="12"/>
      <c r="M69" s="11">
        <f t="shared" si="2"/>
        <v>2457319.3698999998</v>
      </c>
      <c r="O69" s="4" t="str">
        <f t="shared" si="1"/>
        <v/>
      </c>
    </row>
    <row r="70" spans="2:15">
      <c r="B70" s="22">
        <f>+[1]ZAnd!B59</f>
        <v>47</v>
      </c>
      <c r="C70" s="23">
        <f>+[1]ZAnd!C59</f>
        <v>42301</v>
      </c>
      <c r="D70" s="24">
        <f>+[1]ZAnd!D59</f>
        <v>0.86563657407407402</v>
      </c>
      <c r="E70" s="22">
        <f>+[1]ZAnd!E59</f>
        <v>2457320.3860999998</v>
      </c>
      <c r="F70" s="22" t="str">
        <f>+[1]ZAnd!F59</f>
        <v>BER</v>
      </c>
      <c r="G70" s="22" t="str">
        <f>+[1]ZAnd!G59</f>
        <v>BVO-IT</v>
      </c>
      <c r="H70" s="22" t="str">
        <f>+[1]ZAnd!H59</f>
        <v>LHIRES31200C9SXV</v>
      </c>
      <c r="I70" s="22">
        <f>+[1]ZAnd!I59</f>
        <v>6000</v>
      </c>
      <c r="J70" s="22">
        <f>+[1]ZAnd!J59</f>
        <v>6332</v>
      </c>
      <c r="K70" s="22">
        <f>+[1]ZAnd!K59</f>
        <v>6786</v>
      </c>
      <c r="L70" s="12"/>
      <c r="M70" s="11">
        <f t="shared" si="2"/>
        <v>2457320.3860999998</v>
      </c>
      <c r="O70" s="4" t="str">
        <f t="shared" si="1"/>
        <v/>
      </c>
    </row>
    <row r="71" spans="2:15">
      <c r="B71" s="22">
        <f>+[1]ZAnd!B60</f>
        <v>48</v>
      </c>
      <c r="C71" s="23">
        <f>+[1]ZAnd!C60</f>
        <v>42302</v>
      </c>
      <c r="D71" s="24">
        <f>+[1]ZAnd!D60</f>
        <v>0.77241898148148147</v>
      </c>
      <c r="E71" s="22">
        <f>+[1]ZAnd!E60</f>
        <v>2457321.2998000002</v>
      </c>
      <c r="F71" s="22" t="str">
        <f>+[1]ZAnd!F60</f>
        <v xml:space="preserve">FMT </v>
      </c>
      <c r="G71" s="22" t="str">
        <f>+[1]ZAnd!G60</f>
        <v>ROU-FR</v>
      </c>
      <c r="H71" s="22" t="str">
        <f>+[1]ZAnd!H60</f>
        <v>SC14+eShel+Atik460ex</v>
      </c>
      <c r="I71" s="22">
        <f>+[1]ZAnd!I60</f>
        <v>11000</v>
      </c>
      <c r="J71" s="22">
        <f>+[1]ZAnd!J60</f>
        <v>4209</v>
      </c>
      <c r="K71" s="22">
        <f>+[1]ZAnd!K60</f>
        <v>7157</v>
      </c>
      <c r="L71" s="12"/>
      <c r="M71" s="11">
        <f t="shared" si="2"/>
        <v>2457321.2998000002</v>
      </c>
      <c r="O71" s="4" t="str">
        <f t="shared" si="1"/>
        <v/>
      </c>
    </row>
    <row r="72" spans="2:15">
      <c r="B72" s="22">
        <f>+[1]ZAnd!B61</f>
        <v>49</v>
      </c>
      <c r="C72" s="23">
        <f>+[1]ZAnd!C61</f>
        <v>42329</v>
      </c>
      <c r="D72" s="24">
        <f>+[1]ZAnd!D61</f>
        <v>0.90947916666666673</v>
      </c>
      <c r="E72" s="22">
        <f>+[1]ZAnd!E61</f>
        <v>2457348.42</v>
      </c>
      <c r="F72" s="22" t="str">
        <f>+[1]ZAnd!F61</f>
        <v>JGF</v>
      </c>
      <c r="G72" s="22" t="str">
        <f>+[1]ZAnd!G61</f>
        <v>SMM-SP</v>
      </c>
      <c r="H72" s="22" t="str">
        <f>+[1]ZAnd!H61</f>
        <v>16REMOTATIK460EX</v>
      </c>
      <c r="I72" s="22">
        <f>+[1]ZAnd!I61</f>
        <v>934</v>
      </c>
      <c r="J72" s="22">
        <f>+[1]ZAnd!J61</f>
        <v>3784</v>
      </c>
      <c r="K72" s="22">
        <f>+[1]ZAnd!K61</f>
        <v>7594</v>
      </c>
      <c r="L72" s="12"/>
      <c r="M72" s="11">
        <f t="shared" si="2"/>
        <v>2457348.42</v>
      </c>
      <c r="O72" s="4" t="str">
        <f t="shared" si="1"/>
        <v/>
      </c>
    </row>
    <row r="73" spans="2:15">
      <c r="B73" s="22">
        <f>+[1]ZAnd!B62</f>
        <v>50</v>
      </c>
      <c r="C73" s="23">
        <f>+[1]ZAnd!C62</f>
        <v>42333</v>
      </c>
      <c r="D73" s="24">
        <f>+[1]ZAnd!D62</f>
        <v>0.84203703703703703</v>
      </c>
      <c r="E73" s="22">
        <f>+[1]ZAnd!E62</f>
        <v>2457352.3662</v>
      </c>
      <c r="F73" s="22" t="str">
        <f>+[1]ZAnd!F62</f>
        <v xml:space="preserve">FMT </v>
      </c>
      <c r="G73" s="22" t="str">
        <f>+[1]ZAnd!G62</f>
        <v>ROU-FR</v>
      </c>
      <c r="H73" s="22" t="str">
        <f>+[1]ZAnd!H62</f>
        <v>SC14+eShel+Atik460ex</v>
      </c>
      <c r="I73" s="22">
        <f>+[1]ZAnd!I62</f>
        <v>11000</v>
      </c>
      <c r="J73" s="22">
        <f>+[1]ZAnd!J62</f>
        <v>4209</v>
      </c>
      <c r="K73" s="22">
        <f>+[1]ZAnd!K62</f>
        <v>7152</v>
      </c>
      <c r="L73" s="12"/>
      <c r="M73" s="11">
        <f t="shared" si="2"/>
        <v>2457352.3662</v>
      </c>
      <c r="O73" s="4" t="str">
        <f t="shared" si="1"/>
        <v/>
      </c>
    </row>
    <row r="74" spans="2:15">
      <c r="B74" s="22">
        <f>+[1]ZAnd!B63</f>
        <v>51</v>
      </c>
      <c r="C74" s="23">
        <f>+[1]ZAnd!C63</f>
        <v>42337</v>
      </c>
      <c r="D74" s="24">
        <f>+[1]ZAnd!D63</f>
        <v>0.78670138888888896</v>
      </c>
      <c r="E74" s="22">
        <f>+[1]ZAnd!E63</f>
        <v>2457356.3204000001</v>
      </c>
      <c r="F74" s="22" t="str">
        <f>+[1]ZAnd!F63</f>
        <v>BER</v>
      </c>
      <c r="G74" s="22" t="str">
        <f>+[1]ZAnd!G63</f>
        <v>BVO-IT</v>
      </c>
      <c r="H74" s="22" t="str">
        <f>+[1]ZAnd!H63</f>
        <v>LHIRES3C9SXVR-H69</v>
      </c>
      <c r="I74" s="22">
        <f>+[1]ZAnd!I63</f>
        <v>14807</v>
      </c>
      <c r="J74" s="22">
        <f>+[1]ZAnd!J63</f>
        <v>6482</v>
      </c>
      <c r="K74" s="22">
        <f>+[1]ZAnd!K63</f>
        <v>6639</v>
      </c>
      <c r="L74" s="12"/>
      <c r="M74" s="11">
        <f t="shared" si="2"/>
        <v>2457356.3204000001</v>
      </c>
      <c r="O74" s="4" t="str">
        <f t="shared" si="1"/>
        <v/>
      </c>
    </row>
    <row r="75" spans="2:15">
      <c r="B75" s="22">
        <f>+[1]ZAnd!B64</f>
        <v>52</v>
      </c>
      <c r="C75" s="23">
        <f>+[1]ZAnd!C64</f>
        <v>42362</v>
      </c>
      <c r="D75" s="24">
        <f>+[1]ZAnd!D64</f>
        <v>0.81288194444444439</v>
      </c>
      <c r="E75" s="22">
        <f>+[1]ZAnd!E64</f>
        <v>2457381.3336999998</v>
      </c>
      <c r="F75" s="22" t="str">
        <f>+[1]ZAnd!F64</f>
        <v>DBO</v>
      </c>
      <c r="G75" s="22" t="str">
        <f>+[1]ZAnd!G64</f>
        <v>WCO-UK</v>
      </c>
      <c r="H75" s="22" t="str">
        <f>+[1]ZAnd!H64</f>
        <v>C11+LISA+SXVR-H</v>
      </c>
      <c r="I75" s="22">
        <f>+[1]ZAnd!I64</f>
        <v>806</v>
      </c>
      <c r="J75" s="22">
        <f>+[1]ZAnd!J64</f>
        <v>3900</v>
      </c>
      <c r="K75" s="22">
        <f>+[1]ZAnd!K64</f>
        <v>7400</v>
      </c>
      <c r="L75" s="12"/>
      <c r="M75" s="11">
        <f t="shared" si="2"/>
        <v>2457381.3336999998</v>
      </c>
      <c r="O75" s="4" t="str">
        <f t="shared" si="1"/>
        <v/>
      </c>
    </row>
    <row r="76" spans="2:15">
      <c r="B76" s="22">
        <f>+[1]ZAnd!B65</f>
        <v>53</v>
      </c>
      <c r="C76" s="23">
        <f>+[1]ZAnd!C65</f>
        <v>42367</v>
      </c>
      <c r="D76" s="24">
        <f>+[1]ZAnd!D65</f>
        <v>0.78388888888888886</v>
      </c>
      <c r="E76" s="22">
        <f>+[1]ZAnd!E65</f>
        <v>2457386.3160000001</v>
      </c>
      <c r="F76" s="22" t="str">
        <f>+[1]ZAnd!F65</f>
        <v xml:space="preserve">FMT </v>
      </c>
      <c r="G76" s="22" t="str">
        <f>+[1]ZAnd!G65</f>
        <v>ROU-FR</v>
      </c>
      <c r="H76" s="22" t="str">
        <f>+[1]ZAnd!H65</f>
        <v>SC14+eShel+Atik460ex</v>
      </c>
      <c r="I76" s="22">
        <f>+[1]ZAnd!I65</f>
        <v>11000</v>
      </c>
      <c r="J76" s="22">
        <f>+[1]ZAnd!J65</f>
        <v>4287</v>
      </c>
      <c r="K76" s="22">
        <f>+[1]ZAnd!K65</f>
        <v>7161</v>
      </c>
      <c r="L76" s="12"/>
      <c r="M76" s="11">
        <f t="shared" si="2"/>
        <v>2457386.3160000001</v>
      </c>
      <c r="O76" s="4" t="str">
        <f t="shared" si="1"/>
        <v/>
      </c>
    </row>
    <row r="77" spans="2:15">
      <c r="B77" s="22">
        <f>+[1]ZAnd!B66</f>
        <v>54</v>
      </c>
      <c r="C77" s="23">
        <f>+[1]ZAnd!C66</f>
        <v>42368</v>
      </c>
      <c r="D77" s="24">
        <f>+[1]ZAnd!D66</f>
        <v>0.74614583333333329</v>
      </c>
      <c r="E77" s="22">
        <f>+[1]ZAnd!E66</f>
        <v>2457387.264</v>
      </c>
      <c r="F77" s="22" t="str">
        <f>+[1]ZAnd!F66</f>
        <v>PSO</v>
      </c>
      <c r="G77" s="22" t="str">
        <f>+[1]ZAnd!G66</f>
        <v>TAT-HU</v>
      </c>
      <c r="H77" s="22" t="str">
        <f>+[1]ZAnd!H66</f>
        <v>T10+Lhires600+Atik414exm</v>
      </c>
      <c r="I77" s="22">
        <f>+[1]ZAnd!I66</f>
        <v>2281</v>
      </c>
      <c r="J77" s="22">
        <f>+[1]ZAnd!J66</f>
        <v>4569</v>
      </c>
      <c r="K77" s="22">
        <f>+[1]ZAnd!K66</f>
        <v>5297</v>
      </c>
      <c r="L77" s="12"/>
      <c r="M77" s="11">
        <f t="shared" si="2"/>
        <v>2457387.264</v>
      </c>
      <c r="O77" s="4" t="str">
        <f t="shared" si="1"/>
        <v/>
      </c>
    </row>
    <row r="78" spans="2:15">
      <c r="B78" s="22">
        <f>+[1]ZAnd!B67</f>
        <v>55</v>
      </c>
      <c r="C78" s="23">
        <f>+[1]ZAnd!C67</f>
        <v>42384</v>
      </c>
      <c r="D78" s="24">
        <f>+[1]ZAnd!D67</f>
        <v>0.73881944444444436</v>
      </c>
      <c r="E78" s="22">
        <f>+[1]ZAnd!E67</f>
        <v>2457403.2669000002</v>
      </c>
      <c r="F78" s="22" t="str">
        <f>+[1]ZAnd!F67</f>
        <v xml:space="preserve">FMT </v>
      </c>
      <c r="G78" s="22" t="str">
        <f>+[1]ZAnd!G67</f>
        <v>ROU-FR</v>
      </c>
      <c r="H78" s="22" t="str">
        <f>+[1]ZAnd!H67</f>
        <v>SC14+eShel+Atik460ex</v>
      </c>
      <c r="I78" s="22">
        <f>+[1]ZAnd!I67</f>
        <v>11000</v>
      </c>
      <c r="J78" s="22">
        <f>+[1]ZAnd!J67</f>
        <v>4287</v>
      </c>
      <c r="K78" s="22">
        <f>+[1]ZAnd!K67</f>
        <v>7161</v>
      </c>
      <c r="L78" s="12"/>
      <c r="M78" s="11">
        <f t="shared" si="2"/>
        <v>2457403.2669000002</v>
      </c>
      <c r="O78" s="4" t="str">
        <f t="shared" si="1"/>
        <v/>
      </c>
    </row>
    <row r="79" spans="2:15">
      <c r="B79" s="22">
        <f>+[1]ZAnd!B68</f>
        <v>56</v>
      </c>
      <c r="C79" s="23">
        <f>+[1]ZAnd!C68</f>
        <v>42384</v>
      </c>
      <c r="D79" s="24">
        <f>+[1]ZAnd!D68</f>
        <v>0.82057870370370367</v>
      </c>
      <c r="E79" s="22">
        <f>+[1]ZAnd!E68</f>
        <v>2457403.3418999999</v>
      </c>
      <c r="F79" s="22" t="str">
        <f>+[1]ZAnd!F68</f>
        <v>DBO</v>
      </c>
      <c r="G79" s="22" t="str">
        <f>+[1]ZAnd!G68</f>
        <v>WCO-UK</v>
      </c>
      <c r="H79" s="22" t="str">
        <f>+[1]ZAnd!H68</f>
        <v>C11+LISA+SXVR-H</v>
      </c>
      <c r="I79" s="22">
        <f>+[1]ZAnd!I68</f>
        <v>817</v>
      </c>
      <c r="J79" s="22">
        <f>+[1]ZAnd!J68</f>
        <v>3900</v>
      </c>
      <c r="K79" s="22">
        <f>+[1]ZAnd!K68</f>
        <v>7400</v>
      </c>
      <c r="L79" s="12"/>
      <c r="M79" s="11">
        <f t="shared" si="2"/>
        <v>2457403.3418999999</v>
      </c>
      <c r="O79" s="4" t="str">
        <f t="shared" si="1"/>
        <v/>
      </c>
    </row>
    <row r="80" spans="2:15">
      <c r="B80" s="22">
        <f>+[1]ZAnd!B69</f>
        <v>57</v>
      </c>
      <c r="C80" s="23">
        <f>+[1]ZAnd!C69</f>
        <v>42385</v>
      </c>
      <c r="D80" s="24">
        <f>+[1]ZAnd!D69</f>
        <v>0.7599421296296297</v>
      </c>
      <c r="E80" s="22">
        <f>+[1]ZAnd!E69</f>
        <v>2457404.2743000002</v>
      </c>
      <c r="F80" s="22" t="str">
        <f>+[1]ZAnd!F69</f>
        <v>JGF</v>
      </c>
      <c r="G80" s="22" t="str">
        <f>+[1]ZAnd!G69</f>
        <v>SMM-SP</v>
      </c>
      <c r="H80" s="22" t="str">
        <f>+[1]ZAnd!H69</f>
        <v>16REMOTATIK460EX</v>
      </c>
      <c r="I80" s="22">
        <f>+[1]ZAnd!I69</f>
        <v>903</v>
      </c>
      <c r="J80" s="22">
        <f>+[1]ZAnd!J69</f>
        <v>3727</v>
      </c>
      <c r="K80" s="22">
        <f>+[1]ZAnd!K69</f>
        <v>7560</v>
      </c>
      <c r="L80" s="12"/>
      <c r="M80" s="11">
        <f t="shared" si="2"/>
        <v>2457404.2743000002</v>
      </c>
      <c r="O80" s="4" t="str">
        <f t="shared" si="1"/>
        <v/>
      </c>
    </row>
    <row r="81" spans="2:15">
      <c r="B81" s="22">
        <f>+[1]ZAnd!B70</f>
        <v>58</v>
      </c>
      <c r="C81" s="23">
        <f>+[1]ZAnd!C70</f>
        <v>42405</v>
      </c>
      <c r="D81" s="24">
        <f>+[1]ZAnd!D70</f>
        <v>0.74243055555555559</v>
      </c>
      <c r="E81" s="22">
        <f>+[1]ZAnd!E70</f>
        <v>2457424.2651999998</v>
      </c>
      <c r="F81" s="22" t="str">
        <f>+[1]ZAnd!F70</f>
        <v>BER</v>
      </c>
      <c r="G81" s="22" t="str">
        <f>+[1]ZAnd!G70</f>
        <v>BVO-IT</v>
      </c>
      <c r="H81" s="22" t="str">
        <f>+[1]ZAnd!H70</f>
        <v>LHIRES31200C9SXV</v>
      </c>
      <c r="I81" s="22">
        <f>+[1]ZAnd!I70</f>
        <v>5797</v>
      </c>
      <c r="J81" s="22">
        <f>+[1]ZAnd!J70</f>
        <v>6342</v>
      </c>
      <c r="K81" s="22">
        <f>+[1]ZAnd!K70</f>
        <v>6779</v>
      </c>
      <c r="L81" s="12"/>
      <c r="M81" s="11">
        <f t="shared" si="2"/>
        <v>2457424.2651999998</v>
      </c>
      <c r="O81" s="4" t="str">
        <f t="shared" si="1"/>
        <v/>
      </c>
    </row>
    <row r="82" spans="2:15">
      <c r="B82" s="22">
        <f>+[1]ZAnd!B71</f>
        <v>59</v>
      </c>
      <c r="C82" s="23">
        <f>+[1]ZAnd!C71</f>
        <v>42565</v>
      </c>
      <c r="D82" s="24">
        <f>+[1]ZAnd!D71</f>
        <v>0.99619212962962955</v>
      </c>
      <c r="E82" s="22">
        <f>+[1]ZAnd!E71</f>
        <v>2457584.5060999999</v>
      </c>
      <c r="F82" s="22" t="str">
        <f>+[1]ZAnd!F71</f>
        <v xml:space="preserve">FMT </v>
      </c>
      <c r="G82" s="22" t="str">
        <f>+[1]ZAnd!G71</f>
        <v>ROU-FR</v>
      </c>
      <c r="H82" s="22" t="str">
        <f>+[1]ZAnd!H71</f>
        <v>SC14+eShel+Atik460ex</v>
      </c>
      <c r="I82" s="22">
        <f>+[1]ZAnd!I71</f>
        <v>11000</v>
      </c>
      <c r="J82" s="22">
        <f>+[1]ZAnd!J71</f>
        <v>4144</v>
      </c>
      <c r="K82" s="22">
        <f>+[1]ZAnd!K71</f>
        <v>7161</v>
      </c>
      <c r="L82" s="12"/>
      <c r="M82" s="11">
        <f t="shared" si="2"/>
        <v>2457584.5060999999</v>
      </c>
      <c r="O82" s="4" t="str">
        <f t="shared" si="1"/>
        <v/>
      </c>
    </row>
    <row r="83" spans="2:15">
      <c r="B83" s="22">
        <f>+[1]ZAnd!B72</f>
        <v>60</v>
      </c>
      <c r="C83" s="23">
        <f>+[1]ZAnd!C72</f>
        <v>42608</v>
      </c>
      <c r="D83" s="24">
        <f>+[1]ZAnd!D72</f>
        <v>0.91872685185185177</v>
      </c>
      <c r="E83" s="22">
        <f>+[1]ZAnd!E72</f>
        <v>2457627.4399000001</v>
      </c>
      <c r="F83" s="22" t="str">
        <f>+[1]ZAnd!F72</f>
        <v xml:space="preserve">FMT </v>
      </c>
      <c r="G83" s="22" t="str">
        <f>+[1]ZAnd!G72</f>
        <v>ROU-FR</v>
      </c>
      <c r="H83" s="22" t="str">
        <f>+[1]ZAnd!H72</f>
        <v>SC14+eShel+Atik460ex</v>
      </c>
      <c r="I83" s="22">
        <f>+[1]ZAnd!I72</f>
        <v>11000</v>
      </c>
      <c r="J83" s="22">
        <f>+[1]ZAnd!J72</f>
        <v>4144</v>
      </c>
      <c r="K83" s="22">
        <f>+[1]ZAnd!K72</f>
        <v>7161</v>
      </c>
      <c r="L83" s="12"/>
      <c r="M83" s="11">
        <f t="shared" si="2"/>
        <v>2457627.4399000001</v>
      </c>
      <c r="O83" s="4" t="str">
        <f t="shared" si="1"/>
        <v/>
      </c>
    </row>
    <row r="84" spans="2:15">
      <c r="B84" s="22">
        <f>+[1]ZAnd!B73</f>
        <v>61</v>
      </c>
      <c r="C84" s="23">
        <f>+[1]ZAnd!C73</f>
        <v>42616</v>
      </c>
      <c r="D84" s="24">
        <f>+[1]ZAnd!D73</f>
        <v>0.21408564814814815</v>
      </c>
      <c r="E84" s="22">
        <f>+[1]ZAnd!E73</f>
        <v>2457634.7316999999</v>
      </c>
      <c r="F84" s="22" t="str">
        <f>+[1]ZAnd!F73</f>
        <v>LES</v>
      </c>
      <c r="G84" s="22" t="str">
        <f>+[1]ZAnd!G73</f>
        <v>MRO-CA</v>
      </c>
      <c r="H84" s="22" t="str">
        <f>+[1]ZAnd!H73</f>
        <v>31cmDK+23um1800lpm+</v>
      </c>
      <c r="I84" s="22">
        <f>+[1]ZAnd!I73</f>
        <v>9000</v>
      </c>
      <c r="J84" s="22">
        <f>+[1]ZAnd!J73</f>
        <v>6001</v>
      </c>
      <c r="K84" s="22">
        <f>+[1]ZAnd!K73</f>
        <v>7102</v>
      </c>
      <c r="L84" s="12"/>
      <c r="M84" s="11">
        <f t="shared" si="2"/>
        <v>2457634.7316999999</v>
      </c>
      <c r="O84" s="4" t="str">
        <f t="shared" si="1"/>
        <v/>
      </c>
    </row>
    <row r="85" spans="2:15">
      <c r="B85" s="22">
        <f>+[1]ZAnd!B74</f>
        <v>62</v>
      </c>
      <c r="C85" s="23">
        <f>+[1]ZAnd!C74</f>
        <v>42626</v>
      </c>
      <c r="D85" s="24">
        <f>+[1]ZAnd!D74</f>
        <v>0.30937500000000001</v>
      </c>
      <c r="E85" s="22">
        <f>+[1]ZAnd!E74</f>
        <v>2457644.8374000001</v>
      </c>
      <c r="F85" s="22" t="str">
        <f>+[1]ZAnd!F74</f>
        <v>LES</v>
      </c>
      <c r="G85" s="22" t="str">
        <f>+[1]ZAnd!G74</f>
        <v>MRO-CA</v>
      </c>
      <c r="H85" s="22" t="str">
        <f>+[1]ZAnd!H74</f>
        <v>31cmDK+23um1800lpm+</v>
      </c>
      <c r="I85" s="22">
        <f>+[1]ZAnd!I74</f>
        <v>6200</v>
      </c>
      <c r="J85" s="22">
        <f>+[1]ZAnd!J74</f>
        <v>4274</v>
      </c>
      <c r="K85" s="22">
        <f>+[1]ZAnd!K74</f>
        <v>5429</v>
      </c>
      <c r="L85" s="12"/>
      <c r="M85" s="11">
        <f t="shared" si="2"/>
        <v>2457644.8374000001</v>
      </c>
      <c r="O85" s="4" t="str">
        <f t="shared" si="1"/>
        <v/>
      </c>
    </row>
    <row r="86" spans="2:15">
      <c r="B86" s="22">
        <f>+[1]ZAnd!B75</f>
        <v>63</v>
      </c>
      <c r="C86" s="23">
        <f>+[1]ZAnd!C75</f>
        <v>42636</v>
      </c>
      <c r="D86" s="24">
        <f>+[1]ZAnd!D75</f>
        <v>0.86837962962962967</v>
      </c>
      <c r="E86" s="22">
        <f>+[1]ZAnd!E75</f>
        <v>2457655.3892999999</v>
      </c>
      <c r="F86" s="22" t="str">
        <f>+[1]ZAnd!F75</f>
        <v xml:space="preserve">FMT </v>
      </c>
      <c r="G86" s="22" t="str">
        <f>+[1]ZAnd!G75</f>
        <v>ROU-FR</v>
      </c>
      <c r="H86" s="22" t="str">
        <f>+[1]ZAnd!H75</f>
        <v>SC14+eShel+Atik460ex</v>
      </c>
      <c r="I86" s="22">
        <f>+[1]ZAnd!I75</f>
        <v>11000</v>
      </c>
      <c r="J86" s="22">
        <f>+[1]ZAnd!J75</f>
        <v>4144</v>
      </c>
      <c r="K86" s="22">
        <f>+[1]ZAnd!K75</f>
        <v>7161</v>
      </c>
      <c r="L86" s="12"/>
      <c r="M86" s="11">
        <f t="shared" si="2"/>
        <v>2457655.3892999999</v>
      </c>
      <c r="O86" s="4" t="str">
        <f t="shared" si="1"/>
        <v/>
      </c>
    </row>
    <row r="87" spans="2:15">
      <c r="B87" s="22">
        <f>+[1]ZAnd!B76</f>
        <v>64</v>
      </c>
      <c r="C87" s="23">
        <f>+[1]ZAnd!C76</f>
        <v>42645</v>
      </c>
      <c r="D87" s="24">
        <f>+[1]ZAnd!D76</f>
        <v>0.84929398148148139</v>
      </c>
      <c r="E87" s="22">
        <f>+[1]ZAnd!E76</f>
        <v>2457664.372</v>
      </c>
      <c r="F87" s="22" t="str">
        <f>+[1]ZAnd!F76</f>
        <v>BER</v>
      </c>
      <c r="G87" s="22" t="str">
        <f>+[1]ZAnd!G76</f>
        <v>BVO-IT</v>
      </c>
      <c r="H87" s="22" t="str">
        <f>+[1]ZAnd!H76</f>
        <v>LHIRES31200C9SXV</v>
      </c>
      <c r="I87" s="22">
        <f>+[1]ZAnd!I76</f>
        <v>5942</v>
      </c>
      <c r="J87" s="22">
        <f>+[1]ZAnd!J76</f>
        <v>6333</v>
      </c>
      <c r="K87" s="22">
        <f>+[1]ZAnd!K76</f>
        <v>6779</v>
      </c>
      <c r="L87" s="12"/>
      <c r="M87" s="11">
        <f t="shared" si="2"/>
        <v>2457664.372</v>
      </c>
      <c r="O87" s="4" t="str">
        <f t="shared" si="1"/>
        <v/>
      </c>
    </row>
    <row r="88" spans="2:15">
      <c r="B88" s="22">
        <f>+[1]ZAnd!B77</f>
        <v>65</v>
      </c>
      <c r="C88" s="23">
        <f>+[1]ZAnd!C77</f>
        <v>42671</v>
      </c>
      <c r="D88" s="24">
        <f>+[1]ZAnd!D77</f>
        <v>0.995</v>
      </c>
      <c r="E88" s="22">
        <f>+[1]ZAnd!E77</f>
        <v>2457690.5019</v>
      </c>
      <c r="F88" s="22" t="str">
        <f>+[1]ZAnd!F77</f>
        <v>JMO</v>
      </c>
      <c r="G88" s="22" t="str">
        <f>+[1]ZAnd!G77</f>
        <v>CAL-FR</v>
      </c>
      <c r="H88" s="22" t="str">
        <f>+[1]ZAnd!H77</f>
        <v>Alpy600+Atik460EX</v>
      </c>
      <c r="I88" s="22">
        <f>+[1]ZAnd!I77</f>
        <v>660</v>
      </c>
      <c r="J88" s="22">
        <f>+[1]ZAnd!J77</f>
        <v>3742</v>
      </c>
      <c r="K88" s="22">
        <f>+[1]ZAnd!K77</f>
        <v>7397</v>
      </c>
      <c r="L88" s="12"/>
      <c r="M88" s="11">
        <f t="shared" si="2"/>
        <v>2457690.5019</v>
      </c>
      <c r="O88" s="4" t="str">
        <f t="shared" si="1"/>
        <v/>
      </c>
    </row>
    <row r="89" spans="2:15">
      <c r="B89" s="22">
        <f>+[1]ZAnd!B78</f>
        <v>66</v>
      </c>
      <c r="C89" s="23">
        <f>+[1]ZAnd!C78</f>
        <v>42671</v>
      </c>
      <c r="D89" s="24">
        <f>+[1]ZAnd!D78</f>
        <v>0.995</v>
      </c>
      <c r="E89" s="22">
        <f>+[1]ZAnd!E78</f>
        <v>2457690.5019</v>
      </c>
      <c r="F89" s="22" t="str">
        <f>+[1]ZAnd!F78</f>
        <v>JMO</v>
      </c>
      <c r="G89" s="22" t="str">
        <f>+[1]ZAnd!G78</f>
        <v>OLC-FR</v>
      </c>
      <c r="H89" s="22" t="str">
        <f>+[1]ZAnd!H78</f>
        <v>Alpy600+Atik460EX</v>
      </c>
      <c r="I89" s="22">
        <f>+[1]ZAnd!I78</f>
        <v>660</v>
      </c>
      <c r="J89" s="22">
        <f>+[1]ZAnd!J78</f>
        <v>3742</v>
      </c>
      <c r="K89" s="22">
        <f>+[1]ZAnd!K78</f>
        <v>7397</v>
      </c>
      <c r="L89" s="12"/>
      <c r="M89" s="11">
        <f t="shared" si="2"/>
        <v>2457690.5019</v>
      </c>
      <c r="O89" s="4" t="str">
        <f t="shared" ref="O89:O96" si="3">+IF(F89=O$20,O$22,"")</f>
        <v/>
      </c>
    </row>
    <row r="90" spans="2:15">
      <c r="B90" s="22">
        <f>+[1]ZAnd!B79</f>
        <v>67</v>
      </c>
      <c r="C90" s="23">
        <f>+[1]ZAnd!C79</f>
        <v>42680</v>
      </c>
      <c r="D90" s="24">
        <f>+[1]ZAnd!D79</f>
        <v>0.89479166666666676</v>
      </c>
      <c r="E90" s="22">
        <f>+[1]ZAnd!E79</f>
        <v>2457699.4051999999</v>
      </c>
      <c r="F90" s="22" t="str">
        <f>+[1]ZAnd!F79</f>
        <v>FCA</v>
      </c>
      <c r="G90" s="22" t="str">
        <f>+[1]ZAnd!G79</f>
        <v>PAG-SP</v>
      </c>
      <c r="H90" s="22" t="str">
        <f>+[1]ZAnd!H79</f>
        <v>N-200DADOS-200ATI</v>
      </c>
      <c r="I90" s="22">
        <f>+[1]ZAnd!I79</f>
        <v>785</v>
      </c>
      <c r="J90" s="22">
        <f>+[1]ZAnd!J79</f>
        <v>3847</v>
      </c>
      <c r="K90" s="22">
        <f>+[1]ZAnd!K79</f>
        <v>7384</v>
      </c>
      <c r="L90" s="12"/>
      <c r="M90" s="11">
        <f t="shared" si="2"/>
        <v>2457699.4051999999</v>
      </c>
      <c r="O90" s="4" t="str">
        <f t="shared" si="3"/>
        <v/>
      </c>
    </row>
    <row r="91" spans="2:15">
      <c r="B91" s="22">
        <f>+[1]ZAnd!B80</f>
        <v>68</v>
      </c>
      <c r="C91" s="23">
        <f>+[1]ZAnd!C80</f>
        <v>42681</v>
      </c>
      <c r="D91" s="24">
        <f>+[1]ZAnd!D80</f>
        <v>0.85819444444444448</v>
      </c>
      <c r="E91" s="22">
        <f>+[1]ZAnd!E80</f>
        <v>2457700.3930000002</v>
      </c>
      <c r="F91" s="22" t="str">
        <f>+[1]ZAnd!F80</f>
        <v>JGF</v>
      </c>
      <c r="G91" s="22" t="str">
        <f>+[1]ZAnd!G80</f>
        <v>SMM-SP</v>
      </c>
      <c r="H91" s="22" t="str">
        <f>+[1]ZAnd!H80</f>
        <v>16REMOTATIK460EX</v>
      </c>
      <c r="I91" s="22">
        <f>+[1]ZAnd!I80</f>
        <v>1078</v>
      </c>
      <c r="J91" s="22">
        <f>+[1]ZAnd!J80</f>
        <v>3821</v>
      </c>
      <c r="K91" s="22">
        <f>+[1]ZAnd!K80</f>
        <v>7444</v>
      </c>
      <c r="L91" s="12"/>
      <c r="M91" s="11">
        <f t="shared" si="2"/>
        <v>2457700.3930000002</v>
      </c>
      <c r="O91" s="4" t="str">
        <f t="shared" si="3"/>
        <v/>
      </c>
    </row>
    <row r="92" spans="2:15">
      <c r="B92" s="22">
        <f>+[1]ZAnd!B81</f>
        <v>69</v>
      </c>
      <c r="C92" s="23">
        <f>+[1]ZAnd!C81</f>
        <v>42704</v>
      </c>
      <c r="D92" s="24">
        <f>+[1]ZAnd!D81</f>
        <v>0.83903935185185186</v>
      </c>
      <c r="E92" s="22">
        <f>+[1]ZAnd!E81</f>
        <v>2457723.3602</v>
      </c>
      <c r="F92" s="22" t="str">
        <f>+[1]ZAnd!F81</f>
        <v xml:space="preserve">FMT </v>
      </c>
      <c r="G92" s="22" t="str">
        <f>+[1]ZAnd!G81</f>
        <v>ROU-FR</v>
      </c>
      <c r="H92" s="22" t="str">
        <f>+[1]ZAnd!H81</f>
        <v>SC14+eShel+Atik460ex</v>
      </c>
      <c r="I92" s="22">
        <f>+[1]ZAnd!I81</f>
        <v>11000</v>
      </c>
      <c r="J92" s="22">
        <f>+[1]ZAnd!J81</f>
        <v>4207</v>
      </c>
      <c r="K92" s="22">
        <f>+[1]ZAnd!K81</f>
        <v>7161</v>
      </c>
      <c r="L92" s="12"/>
      <c r="M92" s="11">
        <f t="shared" si="2"/>
        <v>2457723.3602</v>
      </c>
      <c r="O92" s="4" t="str">
        <f t="shared" si="3"/>
        <v/>
      </c>
    </row>
    <row r="93" spans="2:15">
      <c r="B93" s="22">
        <f>+[1]ZAnd!B82</f>
        <v>70</v>
      </c>
      <c r="C93" s="23">
        <f>+[1]ZAnd!C82</f>
        <v>42704</v>
      </c>
      <c r="D93" s="24">
        <f>+[1]ZAnd!D82</f>
        <v>0.86285879629629625</v>
      </c>
      <c r="E93" s="22">
        <f>+[1]ZAnd!E82</f>
        <v>2457723.3876</v>
      </c>
      <c r="F93" s="22" t="str">
        <f>+[1]ZAnd!F82</f>
        <v>DBO</v>
      </c>
      <c r="G93" s="22" t="str">
        <f>+[1]ZAnd!G82</f>
        <v>WCO-UK</v>
      </c>
      <c r="H93" s="22" t="str">
        <f>+[1]ZAnd!H82</f>
        <v>C11+LISA+SXVR-H</v>
      </c>
      <c r="I93" s="22">
        <f>+[1]ZAnd!I82</f>
        <v>830</v>
      </c>
      <c r="J93" s="22">
        <f>+[1]ZAnd!J82</f>
        <v>3900</v>
      </c>
      <c r="K93" s="22">
        <f>+[1]ZAnd!K82</f>
        <v>7400</v>
      </c>
      <c r="L93" s="12"/>
      <c r="M93" s="11">
        <f t="shared" si="2"/>
        <v>2457723.3876</v>
      </c>
      <c r="O93" s="4" t="str">
        <f t="shared" si="3"/>
        <v/>
      </c>
    </row>
    <row r="94" spans="2:15">
      <c r="B94" s="22">
        <f>+[1]ZAnd!B83</f>
        <v>71</v>
      </c>
      <c r="C94" s="23">
        <f>+[1]ZAnd!C83</f>
        <v>42710</v>
      </c>
      <c r="D94" s="24">
        <f>+[1]ZAnd!D83</f>
        <v>0.89035879629629633</v>
      </c>
      <c r="E94" s="22">
        <f>+[1]ZAnd!E83</f>
        <v>2457729.4251999999</v>
      </c>
      <c r="F94" s="22" t="str">
        <f>+[1]ZAnd!F83</f>
        <v>JGF</v>
      </c>
      <c r="G94" s="22" t="str">
        <f>+[1]ZAnd!G83</f>
        <v>SMM-SP</v>
      </c>
      <c r="H94" s="22" t="str">
        <f>+[1]ZAnd!H83</f>
        <v>16REMOTATIK460EX</v>
      </c>
      <c r="I94" s="22">
        <f>+[1]ZAnd!I83</f>
        <v>1080</v>
      </c>
      <c r="J94" s="22">
        <f>+[1]ZAnd!J83</f>
        <v>3788</v>
      </c>
      <c r="K94" s="22">
        <f>+[1]ZAnd!K83</f>
        <v>7461</v>
      </c>
      <c r="L94" s="12"/>
      <c r="M94" s="11">
        <f t="shared" si="2"/>
        <v>2457729.4251999999</v>
      </c>
      <c r="O94" s="4" t="str">
        <f t="shared" si="3"/>
        <v/>
      </c>
    </row>
    <row r="95" spans="2:15">
      <c r="B95" s="22">
        <f>+[1]ZAnd!B84</f>
        <v>72</v>
      </c>
      <c r="C95" s="23">
        <f>+[1]ZAnd!C84</f>
        <v>42721</v>
      </c>
      <c r="D95" s="24">
        <f>+[1]ZAnd!D84</f>
        <v>0.82395833333333324</v>
      </c>
      <c r="E95" s="22">
        <f>+[1]ZAnd!E84</f>
        <v>2457740.3472000002</v>
      </c>
      <c r="F95" s="22" t="str">
        <f>+[1]ZAnd!F84</f>
        <v>JGF</v>
      </c>
      <c r="G95" s="22" t="str">
        <f>+[1]ZAnd!G84</f>
        <v>SMM-SP</v>
      </c>
      <c r="H95" s="22" t="str">
        <f>+[1]ZAnd!H84</f>
        <v>16REMOTATIK460EX</v>
      </c>
      <c r="I95" s="22">
        <f>+[1]ZAnd!I84</f>
        <v>944</v>
      </c>
      <c r="J95" s="22">
        <f>+[1]ZAnd!J84</f>
        <v>3777</v>
      </c>
      <c r="K95" s="22">
        <f>+[1]ZAnd!K84</f>
        <v>7487</v>
      </c>
      <c r="L95" s="12"/>
      <c r="M95" s="11">
        <f t="shared" si="2"/>
        <v>2457740.3472000002</v>
      </c>
      <c r="O95" s="4" t="str">
        <f t="shared" si="3"/>
        <v/>
      </c>
    </row>
    <row r="96" spans="2:15">
      <c r="B96" s="22">
        <f>+[1]ZAnd!B85</f>
        <v>73</v>
      </c>
      <c r="C96" s="23">
        <f>+[1]ZAnd!C85</f>
        <v>42721</v>
      </c>
      <c r="D96" s="24">
        <f>+[1]ZAnd!D85</f>
        <v>0.82395833333333324</v>
      </c>
      <c r="E96" s="22">
        <f>+[1]ZAnd!E85</f>
        <v>2457740.3472000002</v>
      </c>
      <c r="F96" s="22" t="str">
        <f>+[1]ZAnd!F85</f>
        <v>JGF</v>
      </c>
      <c r="G96" s="22" t="str">
        <f>+[1]ZAnd!G85</f>
        <v>SMM-SP</v>
      </c>
      <c r="H96" s="22" t="str">
        <f>+[1]ZAnd!H85</f>
        <v>16REMOTATIK460EX</v>
      </c>
      <c r="I96" s="22">
        <f>+[1]ZAnd!I85</f>
        <v>944</v>
      </c>
      <c r="J96" s="22">
        <f>+[1]ZAnd!J85</f>
        <v>3777</v>
      </c>
      <c r="K96" s="22">
        <f>+[1]ZAnd!K85</f>
        <v>7487</v>
      </c>
      <c r="L96" s="12"/>
      <c r="M96" s="11">
        <f t="shared" si="2"/>
        <v>2457740.3472000002</v>
      </c>
      <c r="O96" s="4" t="str">
        <f t="shared" si="3"/>
        <v/>
      </c>
    </row>
    <row r="97" spans="2:15">
      <c r="B97" s="22">
        <f>+[1]ZAnd!B86</f>
        <v>74</v>
      </c>
      <c r="C97" s="23">
        <f>+[1]ZAnd!C86</f>
        <v>42737</v>
      </c>
      <c r="D97" s="24">
        <f>+[1]ZAnd!D86</f>
        <v>0.75290509259259253</v>
      </c>
      <c r="E97" s="22">
        <f>+[1]ZAnd!E86</f>
        <v>2457756.2809000001</v>
      </c>
      <c r="F97" s="22" t="str">
        <f>+[1]ZAnd!F86</f>
        <v xml:space="preserve">FMT </v>
      </c>
      <c r="G97" s="22" t="str">
        <f>+[1]ZAnd!G86</f>
        <v>ROU-FR</v>
      </c>
      <c r="H97" s="22" t="str">
        <f>+[1]ZAnd!H86</f>
        <v>SC14+eShel+Atik460ex</v>
      </c>
      <c r="I97" s="22">
        <f>+[1]ZAnd!I86</f>
        <v>11000</v>
      </c>
      <c r="J97" s="22">
        <f>+[1]ZAnd!J86</f>
        <v>4300</v>
      </c>
      <c r="K97" s="22">
        <f>+[1]ZAnd!K86</f>
        <v>7150</v>
      </c>
      <c r="L97" s="12"/>
      <c r="M97" s="11">
        <f t="shared" ref="M97:M98" si="4">+E97</f>
        <v>2457756.2809000001</v>
      </c>
      <c r="O97" s="4"/>
    </row>
    <row r="98" spans="2:15">
      <c r="B98" s="22">
        <f>+[1]ZAnd!B87</f>
        <v>75</v>
      </c>
      <c r="C98" s="23">
        <f>+[1]ZAnd!C87</f>
        <v>42742</v>
      </c>
      <c r="D98" s="24">
        <f>+[1]ZAnd!D87</f>
        <v>0.87331018518518511</v>
      </c>
      <c r="E98" s="22">
        <f>+[1]ZAnd!E87</f>
        <v>2457761.389</v>
      </c>
      <c r="F98" s="22" t="str">
        <f>+[1]ZAnd!F87</f>
        <v>MRO</v>
      </c>
      <c r="G98" s="22" t="str">
        <f>+[1]ZAnd!G87</f>
        <v>VEN-SP</v>
      </c>
      <c r="H98" s="22" t="str">
        <f>+[1]ZAnd!H87</f>
        <v>RC_0.2m_f/8_Alpy_60</v>
      </c>
      <c r="I98" s="22">
        <f>+[1]ZAnd!I87</f>
        <v>535</v>
      </c>
      <c r="J98" s="22">
        <f>+[1]ZAnd!J87</f>
        <v>3610</v>
      </c>
      <c r="K98" s="22">
        <f>+[1]ZAnd!K87</f>
        <v>7215</v>
      </c>
      <c r="L98" s="12"/>
      <c r="M98" s="11">
        <f t="shared" si="4"/>
        <v>2457761.389</v>
      </c>
      <c r="O98" s="4"/>
    </row>
    <row r="99" spans="2:15">
      <c r="B99" s="22">
        <f>+[1]ZAnd!B88</f>
        <v>76</v>
      </c>
      <c r="C99" s="23">
        <f>+[1]ZAnd!C88</f>
        <v>42747</v>
      </c>
      <c r="D99" s="24">
        <f>+[1]ZAnd!D88</f>
        <v>0.78366898148148145</v>
      </c>
      <c r="E99" s="22">
        <f>+[1]ZAnd!E88</f>
        <v>2457766.3010999998</v>
      </c>
      <c r="F99" s="22" t="str">
        <f>+[1]ZAnd!F88</f>
        <v>JGF</v>
      </c>
      <c r="G99" s="22" t="str">
        <f>+[1]ZAnd!G88</f>
        <v>SMM-SP</v>
      </c>
      <c r="H99" s="22" t="str">
        <f>+[1]ZAnd!H88</f>
        <v>16REMOTATIK460EX</v>
      </c>
      <c r="I99" s="22">
        <f>+[1]ZAnd!I88</f>
        <v>1060</v>
      </c>
      <c r="J99" s="22">
        <f>+[1]ZAnd!J88</f>
        <v>3785</v>
      </c>
      <c r="K99" s="22">
        <f>+[1]ZAnd!K88</f>
        <v>7447</v>
      </c>
      <c r="L99" s="12"/>
      <c r="M99" s="11">
        <f t="shared" ref="M99" si="5">+E99</f>
        <v>2457766.3010999998</v>
      </c>
      <c r="O99" s="4"/>
    </row>
    <row r="100" spans="2:15">
      <c r="B100" s="22">
        <f>+[1]ZAnd!B89</f>
        <v>77</v>
      </c>
      <c r="C100" s="23">
        <f>+[1]ZAnd!C89</f>
        <v>42748</v>
      </c>
      <c r="D100" s="24">
        <f>+[1]ZAnd!D89</f>
        <v>0.84290509259259261</v>
      </c>
      <c r="E100" s="22">
        <f>+[1]ZAnd!E89</f>
        <v>2457767.3678000001</v>
      </c>
      <c r="F100" s="22" t="str">
        <f>+[1]ZAnd!F89</f>
        <v>DBO</v>
      </c>
      <c r="G100" s="22" t="str">
        <f>+[1]ZAnd!G89</f>
        <v>WCO-UK</v>
      </c>
      <c r="H100" s="22" t="str">
        <f>+[1]ZAnd!H89</f>
        <v>C11+LISA+SXVR-H</v>
      </c>
      <c r="I100" s="22">
        <f>+[1]ZAnd!I89</f>
        <v>725</v>
      </c>
      <c r="J100" s="22">
        <f>+[1]ZAnd!J89</f>
        <v>3900</v>
      </c>
      <c r="K100" s="22">
        <f>+[1]ZAnd!K89</f>
        <v>7379</v>
      </c>
      <c r="L100" s="12"/>
      <c r="M100" s="11">
        <f t="shared" ref="M100" si="6">+E100</f>
        <v>2457767.3678000001</v>
      </c>
      <c r="O100" s="4"/>
    </row>
    <row r="101" spans="2:15">
      <c r="B101" s="22">
        <f>+[1]ZAnd!B90</f>
        <v>78</v>
      </c>
      <c r="C101" s="23">
        <f>+[1]ZAnd!C90</f>
        <v>42754</v>
      </c>
      <c r="D101" s="24">
        <f>+[1]ZAnd!D90</f>
        <v>0.75260416666666663</v>
      </c>
      <c r="E101" s="22">
        <f>+[1]ZAnd!E90</f>
        <v>2457773.2842999999</v>
      </c>
      <c r="F101" s="22" t="str">
        <f>+[1]ZAnd!F90</f>
        <v xml:space="preserve">FMT </v>
      </c>
      <c r="G101" s="22" t="str">
        <f>+[1]ZAnd!G90</f>
        <v>ROU-FR</v>
      </c>
      <c r="H101" s="22" t="str">
        <f>+[1]ZAnd!H90</f>
        <v>SC14+eShel+Atik460ex</v>
      </c>
      <c r="I101" s="22">
        <f>+[1]ZAnd!I90</f>
        <v>11000</v>
      </c>
      <c r="J101" s="22">
        <f>+[1]ZAnd!J90</f>
        <v>4300</v>
      </c>
      <c r="K101" s="22">
        <f>+[1]ZAnd!K90</f>
        <v>7150</v>
      </c>
      <c r="L101" s="12"/>
      <c r="M101" s="11">
        <f t="shared" ref="M101:M106" si="7">+E101</f>
        <v>2457773.2842999999</v>
      </c>
      <c r="O101" s="4"/>
    </row>
    <row r="102" spans="2:15">
      <c r="B102" s="22">
        <f>+[1]ZAnd!B91</f>
        <v>79</v>
      </c>
      <c r="C102" s="23">
        <f>+[1]ZAnd!C91</f>
        <v>42761</v>
      </c>
      <c r="D102" s="24">
        <f>+[1]ZAnd!D91</f>
        <v>0.73694444444444451</v>
      </c>
      <c r="E102" s="22">
        <f>+[1]ZAnd!E91</f>
        <v>2457780.2677000002</v>
      </c>
      <c r="F102" s="22" t="str">
        <f>+[1]ZAnd!F91</f>
        <v xml:space="preserve">FMT </v>
      </c>
      <c r="G102" s="22" t="str">
        <f>+[1]ZAnd!G91</f>
        <v>ROU-FR</v>
      </c>
      <c r="H102" s="22" t="str">
        <f>+[1]ZAnd!H91</f>
        <v>SC14+eShel+Atik460ex</v>
      </c>
      <c r="I102" s="22">
        <f>+[1]ZAnd!I91</f>
        <v>11000</v>
      </c>
      <c r="J102" s="22">
        <f>+[1]ZAnd!J91</f>
        <v>4300</v>
      </c>
      <c r="K102" s="22">
        <f>+[1]ZAnd!K91</f>
        <v>7150</v>
      </c>
      <c r="L102" s="12"/>
      <c r="M102" s="11">
        <f t="shared" si="7"/>
        <v>2457780.2677000002</v>
      </c>
      <c r="O102" s="4"/>
    </row>
    <row r="103" spans="2:15">
      <c r="B103" s="22">
        <f>+[1]ZAnd!B92</f>
        <v>80</v>
      </c>
      <c r="C103" s="23">
        <f>+[1]ZAnd!C92</f>
        <v>42784</v>
      </c>
      <c r="D103" s="24">
        <f>+[1]ZAnd!D92</f>
        <v>0.77260416666666665</v>
      </c>
      <c r="E103" s="22">
        <f>+[1]ZAnd!E92</f>
        <v>2457803.3048</v>
      </c>
      <c r="F103" s="22" t="str">
        <f>+[1]ZAnd!F92</f>
        <v xml:space="preserve">FMT </v>
      </c>
      <c r="G103" s="22" t="str">
        <f>+[1]ZAnd!G92</f>
        <v>ROU-FR</v>
      </c>
      <c r="H103" s="22" t="str">
        <f>+[1]ZAnd!H92</f>
        <v>SC14+eShel+Atik460ex</v>
      </c>
      <c r="I103" s="22">
        <f>+[1]ZAnd!I92</f>
        <v>11000</v>
      </c>
      <c r="J103" s="22">
        <f>+[1]ZAnd!J92</f>
        <v>4141</v>
      </c>
      <c r="K103" s="22">
        <f>+[1]ZAnd!K92</f>
        <v>7161</v>
      </c>
      <c r="L103" s="12"/>
      <c r="M103" s="11">
        <f t="shared" si="7"/>
        <v>2457803.3048</v>
      </c>
      <c r="O103" s="4"/>
    </row>
    <row r="104" spans="2:15">
      <c r="B104" s="22">
        <f>+[1]ZAnd!B93</f>
        <v>81</v>
      </c>
      <c r="C104" s="23">
        <f>+[1]ZAnd!C93</f>
        <v>42964</v>
      </c>
      <c r="D104" s="24">
        <f>+[1]ZAnd!D93</f>
        <v>0.96320601851851861</v>
      </c>
      <c r="E104" s="22">
        <f>+[1]ZAnd!E93</f>
        <v>2457983.4805999999</v>
      </c>
      <c r="F104" s="22" t="str">
        <f>+[1]ZAnd!F93</f>
        <v>FCA</v>
      </c>
      <c r="G104" s="22" t="str">
        <f>+[1]ZAnd!G93</f>
        <v>PAG-SP</v>
      </c>
      <c r="H104" s="22" t="str">
        <f>+[1]ZAnd!H93</f>
        <v>Newton-200DADOS-20</v>
      </c>
      <c r="I104" s="22">
        <f>+[1]ZAnd!I93</f>
        <v>762</v>
      </c>
      <c r="J104" s="22">
        <f>+[1]ZAnd!J93</f>
        <v>3861</v>
      </c>
      <c r="K104" s="22">
        <f>+[1]ZAnd!K93</f>
        <v>7406</v>
      </c>
      <c r="L104" s="12"/>
      <c r="M104" s="11">
        <f t="shared" si="7"/>
        <v>2457983.4805999999</v>
      </c>
      <c r="O104" s="4"/>
    </row>
    <row r="105" spans="2:15">
      <c r="B105" s="22">
        <f>+[1]ZAnd!B94</f>
        <v>82</v>
      </c>
      <c r="C105" s="23">
        <f>+[1]ZAnd!C94</f>
        <v>42989</v>
      </c>
      <c r="D105" s="24">
        <f>+[1]ZAnd!D94</f>
        <v>0.13570601851851852</v>
      </c>
      <c r="E105" s="22">
        <f>+[1]ZAnd!E94</f>
        <v>2458007.6919999998</v>
      </c>
      <c r="F105" s="22" t="str">
        <f>+[1]ZAnd!F94</f>
        <v>LES</v>
      </c>
      <c r="G105" s="22" t="str">
        <f>+[1]ZAnd!G94</f>
        <v>MRO-CA</v>
      </c>
      <c r="H105" s="22" t="str">
        <f>+[1]ZAnd!H94</f>
        <v>T11+Echelle</v>
      </c>
      <c r="I105" s="22">
        <f>+[1]ZAnd!I94</f>
        <v>13000</v>
      </c>
      <c r="J105" s="22">
        <f>+[1]ZAnd!J94</f>
        <v>4030</v>
      </c>
      <c r="K105" s="22">
        <f>+[1]ZAnd!K94</f>
        <v>7948</v>
      </c>
      <c r="L105" s="12"/>
      <c r="M105" s="11">
        <f t="shared" si="7"/>
        <v>2458007.6919999998</v>
      </c>
      <c r="O105" s="4"/>
    </row>
    <row r="106" spans="2:15">
      <c r="B106" s="22">
        <f>+[1]ZAnd!B95</f>
        <v>83</v>
      </c>
      <c r="C106" s="23">
        <f>+[1]ZAnd!C95</f>
        <v>43000</v>
      </c>
      <c r="D106" s="24">
        <f>+[1]ZAnd!D95</f>
        <v>0.86163194444444446</v>
      </c>
      <c r="E106" s="22">
        <f>+[1]ZAnd!E95</f>
        <v>2458019.3898</v>
      </c>
      <c r="F106" s="22" t="str">
        <f>+[1]ZAnd!F95</f>
        <v xml:space="preserve">FMT </v>
      </c>
      <c r="G106" s="22" t="str">
        <f>+[1]ZAnd!G95</f>
        <v>ROU-FR</v>
      </c>
      <c r="H106" s="22" t="str">
        <f>+[1]ZAnd!H95</f>
        <v>SC14+eShel+Atik460ex</v>
      </c>
      <c r="I106" s="22">
        <f>+[1]ZAnd!I95</f>
        <v>11000</v>
      </c>
      <c r="J106" s="22">
        <f>+[1]ZAnd!J95</f>
        <v>4286</v>
      </c>
      <c r="K106" s="22">
        <f>+[1]ZAnd!K95</f>
        <v>7159</v>
      </c>
      <c r="L106" s="12"/>
      <c r="M106" s="11">
        <f t="shared" si="7"/>
        <v>2458019.3898</v>
      </c>
      <c r="O106" s="4"/>
    </row>
    <row r="107" spans="2:15">
      <c r="B107" s="22">
        <f>+[1]ZAnd!B96</f>
        <v>84</v>
      </c>
      <c r="C107" s="23">
        <f>+[1]ZAnd!C96</f>
        <v>43012</v>
      </c>
      <c r="D107" s="24">
        <f>+[1]ZAnd!D96</f>
        <v>0.8100694444444444</v>
      </c>
      <c r="E107" s="22">
        <f>+[1]ZAnd!E96</f>
        <v>2458031.3311000001</v>
      </c>
      <c r="F107" s="22" t="str">
        <f>+[1]ZAnd!F96</f>
        <v xml:space="preserve">FMT </v>
      </c>
      <c r="G107" s="22" t="str">
        <f>+[1]ZAnd!G96</f>
        <v>ROU-FR</v>
      </c>
      <c r="H107" s="22" t="str">
        <f>+[1]ZAnd!H96</f>
        <v>SC14+eShel+Atik460ex</v>
      </c>
      <c r="I107" s="22">
        <f>+[1]ZAnd!I96</f>
        <v>11000</v>
      </c>
      <c r="J107" s="22">
        <f>+[1]ZAnd!J96</f>
        <v>4141</v>
      </c>
      <c r="K107" s="22">
        <f>+[1]ZAnd!K96</f>
        <v>7394</v>
      </c>
      <c r="L107" s="12"/>
      <c r="M107" s="11">
        <f t="shared" ref="M107:M110" si="8">+E107</f>
        <v>2458031.3311000001</v>
      </c>
      <c r="O107" s="4"/>
    </row>
    <row r="108" spans="2:15">
      <c r="B108" s="22">
        <f>+[1]ZAnd!B97</f>
        <v>85</v>
      </c>
      <c r="C108" s="23">
        <f>+[1]ZAnd!C97</f>
        <v>43037</v>
      </c>
      <c r="D108" s="24">
        <f>+[1]ZAnd!D97</f>
        <v>0.8685532407407407</v>
      </c>
      <c r="E108" s="22">
        <f>+[1]ZAnd!E97</f>
        <v>2458056.4005999998</v>
      </c>
      <c r="F108" s="22" t="str">
        <f>+[1]ZAnd!F97</f>
        <v>DBO</v>
      </c>
      <c r="G108" s="22" t="str">
        <f>+[1]ZAnd!G97</f>
        <v>WCO-UK</v>
      </c>
      <c r="H108" s="22" t="str">
        <f>+[1]ZAnd!H97</f>
        <v>C11+LISA+SXVR-H</v>
      </c>
      <c r="I108" s="22">
        <f>+[1]ZAnd!I97</f>
        <v>1035</v>
      </c>
      <c r="J108" s="22">
        <f>+[1]ZAnd!J97</f>
        <v>3901</v>
      </c>
      <c r="K108" s="22">
        <f>+[1]ZAnd!K97</f>
        <v>7380</v>
      </c>
      <c r="L108" s="12"/>
      <c r="M108" s="11">
        <f t="shared" si="8"/>
        <v>2458056.4005999998</v>
      </c>
      <c r="O108" s="4"/>
    </row>
    <row r="109" spans="2:15">
      <c r="B109" s="22">
        <f>+[1]ZAnd!B98</f>
        <v>86</v>
      </c>
      <c r="C109" s="23">
        <f>+[1]ZAnd!C98</f>
        <v>43051</v>
      </c>
      <c r="D109" s="24">
        <f>+[1]ZAnd!D98</f>
        <v>0.17620370370370372</v>
      </c>
      <c r="E109" s="22">
        <f>+[1]ZAnd!E98</f>
        <v>2458069.6874000002</v>
      </c>
      <c r="F109" s="22" t="str">
        <f>+[1]ZAnd!F98</f>
        <v>FAS</v>
      </c>
      <c r="G109" s="22" t="str">
        <f>+[1]ZAnd!G98</f>
        <v>DCO-US</v>
      </c>
      <c r="H109" s="22" t="str">
        <f>+[1]ZAnd!H98</f>
        <v>CDK14+LISA+Atik414e</v>
      </c>
      <c r="I109" s="22">
        <f>+[1]ZAnd!I98</f>
        <v>1044</v>
      </c>
      <c r="J109" s="22">
        <f>+[1]ZAnd!J98</f>
        <v>3850</v>
      </c>
      <c r="K109" s="22">
        <f>+[1]ZAnd!K98</f>
        <v>7399</v>
      </c>
      <c r="L109" s="12"/>
      <c r="M109" s="11">
        <f t="shared" si="8"/>
        <v>2458069.6874000002</v>
      </c>
      <c r="O109" s="4"/>
    </row>
    <row r="110" spans="2:15">
      <c r="B110" s="22">
        <f>+[1]ZAnd!B99</f>
        <v>87</v>
      </c>
      <c r="C110" s="23">
        <f>+[1]ZAnd!C99</f>
        <v>43062</v>
      </c>
      <c r="D110" s="24">
        <f>+[1]ZAnd!D99</f>
        <v>0.18188657407407408</v>
      </c>
      <c r="E110" s="22">
        <f>+[1]ZAnd!E99</f>
        <v>2458080.6945000002</v>
      </c>
      <c r="F110" s="22" t="str">
        <f>+[1]ZAnd!F99</f>
        <v>FAS</v>
      </c>
      <c r="G110" s="22" t="str">
        <f>+[1]ZAnd!G99</f>
        <v>DCO-US</v>
      </c>
      <c r="H110" s="22" t="str">
        <f>+[1]ZAnd!H99</f>
        <v>CDK14+LISA+Atik414e</v>
      </c>
      <c r="I110" s="22">
        <f>+[1]ZAnd!I99</f>
        <v>1047</v>
      </c>
      <c r="J110" s="22">
        <f>+[1]ZAnd!J99</f>
        <v>3851</v>
      </c>
      <c r="K110" s="22">
        <f>+[1]ZAnd!K99</f>
        <v>7399</v>
      </c>
      <c r="L110" s="12"/>
      <c r="M110" s="11">
        <f t="shared" si="8"/>
        <v>2458080.6945000002</v>
      </c>
      <c r="O110" s="4"/>
    </row>
    <row r="111" spans="2:15">
      <c r="B111" s="22">
        <f>+[1]ZAnd!B100</f>
        <v>88</v>
      </c>
      <c r="C111" s="23">
        <f>+[1]ZAnd!C100</f>
        <v>43070</v>
      </c>
      <c r="D111" s="24">
        <f>+[1]ZAnd!D100</f>
        <v>0.92903935185185194</v>
      </c>
      <c r="E111" s="22">
        <f>+[1]ZAnd!E100</f>
        <v>2458089.4640000002</v>
      </c>
      <c r="F111" s="22" t="str">
        <f>+[1]ZAnd!F100</f>
        <v>JGF</v>
      </c>
      <c r="G111" s="22" t="str">
        <f>+[1]ZAnd!G100</f>
        <v>SMM-SP</v>
      </c>
      <c r="H111" s="22" t="str">
        <f>+[1]ZAnd!H100</f>
        <v>T16+Echelle+Atik460</v>
      </c>
      <c r="I111" s="22">
        <f>+[1]ZAnd!I100</f>
        <v>9000</v>
      </c>
      <c r="J111" s="22">
        <f>+[1]ZAnd!J100</f>
        <v>4052</v>
      </c>
      <c r="K111" s="22">
        <f>+[1]ZAnd!K100</f>
        <v>7497</v>
      </c>
      <c r="L111" s="12"/>
      <c r="M111" s="11">
        <f t="shared" ref="M111:M114" si="9">+E111</f>
        <v>2458089.4640000002</v>
      </c>
      <c r="O111" s="4">
        <v>10</v>
      </c>
    </row>
    <row r="112" spans="2:15">
      <c r="B112" s="22">
        <f>+[1]ZAnd!B101</f>
        <v>89</v>
      </c>
      <c r="C112" s="23">
        <f>+[1]ZAnd!C101</f>
        <v>43074</v>
      </c>
      <c r="D112" s="24">
        <f>+[1]ZAnd!D101</f>
        <v>0.86711805555555566</v>
      </c>
      <c r="E112" s="22">
        <f>+[1]ZAnd!E101</f>
        <v>2458093.4012000002</v>
      </c>
      <c r="F112" s="22" t="str">
        <f>+[1]ZAnd!F101</f>
        <v>JGF</v>
      </c>
      <c r="G112" s="22" t="str">
        <f>+[1]ZAnd!G101</f>
        <v>PIE-SP</v>
      </c>
      <c r="H112" s="22" t="str">
        <f>+[1]ZAnd!H101</f>
        <v>MUSSOL</v>
      </c>
      <c r="I112" s="22">
        <f>+[1]ZAnd!I101</f>
        <v>9000</v>
      </c>
      <c r="J112" s="22">
        <f>+[1]ZAnd!J101</f>
        <v>4052</v>
      </c>
      <c r="K112" s="22">
        <f>+[1]ZAnd!K101</f>
        <v>7497</v>
      </c>
      <c r="L112" s="12"/>
      <c r="M112" s="11">
        <f t="shared" si="9"/>
        <v>2458093.4012000002</v>
      </c>
      <c r="O112" s="4"/>
    </row>
    <row r="113" spans="2:15">
      <c r="B113" s="22">
        <f>+[1]ZAnd!B102</f>
        <v>90</v>
      </c>
      <c r="C113" s="23">
        <f>+[1]ZAnd!C102</f>
        <v>43079</v>
      </c>
      <c r="D113" s="24">
        <f>+[1]ZAnd!D102</f>
        <v>3.1608796296296295E-2</v>
      </c>
      <c r="E113" s="22">
        <f>+[1]ZAnd!E102</f>
        <v>2458097.5584</v>
      </c>
      <c r="F113" s="22" t="str">
        <f>+[1]ZAnd!F102</f>
        <v>SMO</v>
      </c>
      <c r="G113" s="22" t="str">
        <f>+[1]ZAnd!G102</f>
        <v>OMB-IF</v>
      </c>
      <c r="H113" s="22" t="str">
        <f>+[1]ZAnd!H102</f>
        <v>Meade10LhiresI</v>
      </c>
      <c r="I113" s="22">
        <f>+[1]ZAnd!I102</f>
        <v>949</v>
      </c>
      <c r="J113" s="22">
        <f>+[1]ZAnd!J102</f>
        <v>4733</v>
      </c>
      <c r="K113" s="22">
        <f>+[1]ZAnd!K102</f>
        <v>6785</v>
      </c>
      <c r="L113" s="12"/>
      <c r="M113" s="11">
        <f t="shared" si="9"/>
        <v>2458097.5584</v>
      </c>
      <c r="O113" s="4"/>
    </row>
    <row r="114" spans="2:15">
      <c r="B114" s="22">
        <f>+[1]ZAnd!B103</f>
        <v>91</v>
      </c>
      <c r="C114" s="23">
        <f>+[1]ZAnd!C103</f>
        <v>43080</v>
      </c>
      <c r="D114" s="24">
        <f>+[1]ZAnd!D103</f>
        <v>0.88569444444444445</v>
      </c>
      <c r="E114" s="22">
        <f>+[1]ZAnd!E103</f>
        <v>2458099.3961999998</v>
      </c>
      <c r="F114" s="22" t="str">
        <f>+[1]ZAnd!F103</f>
        <v>FCA</v>
      </c>
      <c r="G114" s="22" t="str">
        <f>+[1]ZAnd!G103</f>
        <v>PAG-SP</v>
      </c>
      <c r="H114" s="22" t="str">
        <f>+[1]ZAnd!H103</f>
        <v>RC-350f/8DADOS-</v>
      </c>
      <c r="I114" s="22">
        <f>+[1]ZAnd!I103</f>
        <v>966</v>
      </c>
      <c r="J114" s="22">
        <f>+[1]ZAnd!J103</f>
        <v>3773</v>
      </c>
      <c r="K114" s="22">
        <f>+[1]ZAnd!K103</f>
        <v>7304</v>
      </c>
      <c r="L114" s="12"/>
      <c r="M114" s="11">
        <f t="shared" si="9"/>
        <v>2458099.3961999998</v>
      </c>
      <c r="O114" s="4"/>
    </row>
    <row r="115" spans="2:15">
      <c r="B115" s="22">
        <f>+[1]ZAnd!B104</f>
        <v>92</v>
      </c>
      <c r="C115" s="23">
        <f>+[1]ZAnd!C104</f>
        <v>43081</v>
      </c>
      <c r="D115" s="24">
        <f>+[1]ZAnd!D104</f>
        <v>0.76366898148148143</v>
      </c>
      <c r="E115" s="22">
        <f>+[1]ZAnd!E104</f>
        <v>2458100.3155</v>
      </c>
      <c r="F115" s="22" t="str">
        <f>+[1]ZAnd!F104</f>
        <v>JGF</v>
      </c>
      <c r="G115" s="22" t="str">
        <f>+[1]ZAnd!G104</f>
        <v>PIE-SP</v>
      </c>
      <c r="H115" s="22" t="str">
        <f>+[1]ZAnd!H104</f>
        <v>MUSSOL</v>
      </c>
      <c r="I115" s="22">
        <f>+[1]ZAnd!I104</f>
        <v>9000</v>
      </c>
      <c r="J115" s="22">
        <f>+[1]ZAnd!J104</f>
        <v>4052</v>
      </c>
      <c r="K115" s="22">
        <f>+[1]ZAnd!K104</f>
        <v>7497</v>
      </c>
      <c r="L115" s="12"/>
      <c r="M115" s="11">
        <f t="shared" ref="M115:M131" si="10">+E115</f>
        <v>2458100.3155</v>
      </c>
      <c r="O115" s="4"/>
    </row>
    <row r="116" spans="2:15">
      <c r="B116" s="22">
        <f>+[1]ZAnd!B105</f>
        <v>93</v>
      </c>
      <c r="C116" s="23">
        <f>+[1]ZAnd!C105</f>
        <v>43092</v>
      </c>
      <c r="D116" s="24">
        <f>+[1]ZAnd!D105</f>
        <v>0.20178240740740741</v>
      </c>
      <c r="E116" s="22">
        <f>+[1]ZAnd!E105</f>
        <v>2458110.7122999998</v>
      </c>
      <c r="F116" s="22" t="str">
        <f>+[1]ZAnd!F105</f>
        <v>FAS</v>
      </c>
      <c r="G116" s="22" t="str">
        <f>+[1]ZAnd!G105</f>
        <v>DCO-US</v>
      </c>
      <c r="H116" s="22" t="str">
        <f>+[1]ZAnd!H105</f>
        <v>CDK14+LISA+Atik414e</v>
      </c>
      <c r="I116" s="22">
        <f>+[1]ZAnd!I105</f>
        <v>1001</v>
      </c>
      <c r="J116" s="22">
        <f>+[1]ZAnd!J105</f>
        <v>3726</v>
      </c>
      <c r="K116" s="22">
        <f>+[1]ZAnd!K105</f>
        <v>7290</v>
      </c>
      <c r="L116" s="12"/>
      <c r="M116" s="11">
        <f t="shared" si="10"/>
        <v>2458110.7122999998</v>
      </c>
      <c r="O116" s="4"/>
    </row>
    <row r="117" spans="2:15">
      <c r="B117" s="22">
        <f>+[1]ZAnd!B106</f>
        <v>94</v>
      </c>
      <c r="C117" s="23">
        <f>+[1]ZAnd!C106</f>
        <v>43123</v>
      </c>
      <c r="D117" s="24">
        <f>+[1]ZAnd!D106</f>
        <v>0.78379629629629621</v>
      </c>
      <c r="E117" s="22">
        <f>+[1]ZAnd!E106</f>
        <v>2458142.3390000002</v>
      </c>
      <c r="F117" s="22" t="str">
        <f>+[1]ZAnd!F106</f>
        <v>JGF</v>
      </c>
      <c r="G117" s="22" t="str">
        <f>+[1]ZAnd!G106</f>
        <v>PIE-SP</v>
      </c>
      <c r="H117" s="22" t="str">
        <f>+[1]ZAnd!H106</f>
        <v>MUSSOL</v>
      </c>
      <c r="I117" s="22">
        <f>+[1]ZAnd!I106</f>
        <v>9000</v>
      </c>
      <c r="J117" s="22">
        <f>+[1]ZAnd!J106</f>
        <v>3979</v>
      </c>
      <c r="K117" s="22">
        <f>+[1]ZAnd!K106</f>
        <v>7498</v>
      </c>
      <c r="L117" s="12"/>
      <c r="M117" s="11">
        <f t="shared" si="10"/>
        <v>2458142.3390000002</v>
      </c>
      <c r="O117" s="4"/>
    </row>
    <row r="118" spans="2:15">
      <c r="B118" s="22">
        <f>+[1]ZAnd!B108</f>
        <v>96</v>
      </c>
      <c r="C118" s="23">
        <f>+[1]ZAnd!C108</f>
        <v>43130</v>
      </c>
      <c r="D118" s="24">
        <f>+[1]ZAnd!D108</f>
        <v>0.81156249999999996</v>
      </c>
      <c r="E118" s="22">
        <f>+[1]ZAnd!E108</f>
        <v>2458149.3533999999</v>
      </c>
      <c r="F118" s="22" t="str">
        <f>+[1]ZAnd!F108</f>
        <v>JGF</v>
      </c>
      <c r="G118" s="22" t="str">
        <f>+[1]ZAnd!G108</f>
        <v>PIE-SP</v>
      </c>
      <c r="H118" s="22" t="str">
        <f>+[1]ZAnd!H108</f>
        <v>MUSSOL</v>
      </c>
      <c r="I118" s="22">
        <f>+[1]ZAnd!I108</f>
        <v>9000</v>
      </c>
      <c r="J118" s="22">
        <f>+[1]ZAnd!J108</f>
        <v>3979</v>
      </c>
      <c r="K118" s="22">
        <f>+[1]ZAnd!K108</f>
        <v>7498</v>
      </c>
      <c r="L118" s="12"/>
      <c r="M118" s="11">
        <f t="shared" si="10"/>
        <v>2458149.3533999999</v>
      </c>
      <c r="O118" s="4"/>
    </row>
    <row r="119" spans="2:15">
      <c r="B119" s="22">
        <f>+[1]ZAnd!B109</f>
        <v>97</v>
      </c>
      <c r="C119" s="23">
        <f>+[1]ZAnd!C109</f>
        <v>43147</v>
      </c>
      <c r="D119" s="24">
        <f>+[1]ZAnd!D109</f>
        <v>0.79465277777777776</v>
      </c>
      <c r="E119" s="22">
        <f>+[1]ZAnd!E109</f>
        <v>2458166.3037999999</v>
      </c>
      <c r="F119" s="22" t="str">
        <f>+[1]ZAnd!F109</f>
        <v>PCA</v>
      </c>
      <c r="G119" s="22" t="str">
        <f>+[1]ZAnd!G109</f>
        <v>LEC-IT</v>
      </c>
      <c r="H119" s="22" t="str">
        <f>+[1]ZAnd!H109</f>
        <v>SC10+Alpy600+Atik414</v>
      </c>
      <c r="I119" s="22">
        <f>+[1]ZAnd!I109</f>
        <v>547</v>
      </c>
      <c r="J119" s="22">
        <f>+[1]ZAnd!J109</f>
        <v>3701</v>
      </c>
      <c r="K119" s="22">
        <f>+[1]ZAnd!K109</f>
        <v>7198</v>
      </c>
      <c r="L119" s="12"/>
      <c r="M119" s="11">
        <f t="shared" si="10"/>
        <v>2458166.3037999999</v>
      </c>
      <c r="O119" s="4"/>
    </row>
    <row r="120" spans="2:15">
      <c r="B120" s="22">
        <f>+[1]ZAnd!B110</f>
        <v>98</v>
      </c>
      <c r="C120" s="23">
        <f>+[1]ZAnd!C110</f>
        <v>43148</v>
      </c>
      <c r="D120" s="24">
        <f>+[1]ZAnd!D110</f>
        <v>0.78180555555555553</v>
      </c>
      <c r="E120" s="22">
        <f>+[1]ZAnd!E110</f>
        <v>2458167.2976000002</v>
      </c>
      <c r="F120" s="22" t="str">
        <f>+[1]ZAnd!F110</f>
        <v xml:space="preserve">FMT </v>
      </c>
      <c r="G120" s="22" t="str">
        <f>+[1]ZAnd!G110</f>
        <v>ROU-FR</v>
      </c>
      <c r="H120" s="22" t="str">
        <f>+[1]ZAnd!H110</f>
        <v>SC14+eShel+Atik460ex</v>
      </c>
      <c r="I120" s="22">
        <f>+[1]ZAnd!I110</f>
        <v>11000</v>
      </c>
      <c r="J120" s="22">
        <f>+[1]ZAnd!J110</f>
        <v>4209</v>
      </c>
      <c r="K120" s="22">
        <f>+[1]ZAnd!K110</f>
        <v>7394</v>
      </c>
      <c r="L120" s="12"/>
      <c r="M120" s="11">
        <f t="shared" si="10"/>
        <v>2458167.2976000002</v>
      </c>
      <c r="O120" s="4"/>
    </row>
    <row r="121" spans="2:15">
      <c r="B121" s="22">
        <f>+[1]ZAnd!B111</f>
        <v>99</v>
      </c>
      <c r="C121" s="23">
        <f>+[1]ZAnd!C111</f>
        <v>43149</v>
      </c>
      <c r="D121" s="24">
        <f>+[1]ZAnd!D111</f>
        <v>0.74031249999999993</v>
      </c>
      <c r="E121" s="22">
        <f>+[1]ZAnd!E111</f>
        <v>2458168.2327999999</v>
      </c>
      <c r="F121" s="22" t="str">
        <f>+[1]ZAnd!F111</f>
        <v>PSO</v>
      </c>
      <c r="G121" s="22" t="str">
        <f>+[1]ZAnd!G111</f>
        <v>TAT-HU</v>
      </c>
      <c r="H121" s="22" t="str">
        <f>+[1]ZAnd!H111</f>
        <v>30cmf4LH2400u23Atik</v>
      </c>
      <c r="I121" s="22">
        <f>+[1]ZAnd!I111</f>
        <v>18532</v>
      </c>
      <c r="J121" s="22">
        <f>+[1]ZAnd!J111</f>
        <v>6504</v>
      </c>
      <c r="K121" s="22">
        <f>+[1]ZAnd!K111</f>
        <v>6613</v>
      </c>
      <c r="L121" s="12"/>
      <c r="M121" s="11">
        <f t="shared" si="10"/>
        <v>2458168.2327999999</v>
      </c>
      <c r="O121" s="4"/>
    </row>
    <row r="122" spans="2:15">
      <c r="B122" s="22">
        <f>+[1]ZAnd!B112</f>
        <v>100</v>
      </c>
      <c r="C122" s="23">
        <f>+[1]ZAnd!C112</f>
        <v>43152</v>
      </c>
      <c r="D122" s="24">
        <f>+[1]ZAnd!D112</f>
        <v>0.76545138888888886</v>
      </c>
      <c r="E122" s="22">
        <f>+[1]ZAnd!E112</f>
        <v>2458171.2969999998</v>
      </c>
      <c r="F122" s="22" t="str">
        <f>+[1]ZAnd!F112</f>
        <v xml:space="preserve">FMT </v>
      </c>
      <c r="G122" s="22" t="str">
        <f>+[1]ZAnd!G112</f>
        <v>ROU-FR</v>
      </c>
      <c r="H122" s="22" t="str">
        <f>+[1]ZAnd!H112</f>
        <v>SC14+eShel+Atik460ex</v>
      </c>
      <c r="I122" s="22">
        <f>+[1]ZAnd!I112</f>
        <v>11000</v>
      </c>
      <c r="J122" s="22">
        <f>+[1]ZAnd!J112</f>
        <v>4209</v>
      </c>
      <c r="K122" s="22">
        <f>+[1]ZAnd!K112</f>
        <v>7394</v>
      </c>
      <c r="L122" s="12"/>
      <c r="M122" s="11">
        <f t="shared" si="10"/>
        <v>2458171.2969999998</v>
      </c>
      <c r="O122" s="4"/>
    </row>
    <row r="123" spans="2:15">
      <c r="B123" s="22">
        <f>+[1]ZAnd!B113</f>
        <v>101</v>
      </c>
      <c r="C123" s="23">
        <f>+[1]ZAnd!C113</f>
        <v>43153</v>
      </c>
      <c r="D123" s="24">
        <f>+[1]ZAnd!D113</f>
        <v>0.77417824074074071</v>
      </c>
      <c r="E123" s="22">
        <f>+[1]ZAnd!E113</f>
        <v>2458172.3023999999</v>
      </c>
      <c r="F123" s="22" t="str">
        <f>+[1]ZAnd!F113</f>
        <v xml:space="preserve">FMT </v>
      </c>
      <c r="G123" s="22" t="str">
        <f>+[1]ZAnd!G113</f>
        <v>ROU-FR</v>
      </c>
      <c r="H123" s="22" t="str">
        <f>+[1]ZAnd!H113</f>
        <v>SC14+eShel+Atik460ex</v>
      </c>
      <c r="I123" s="22">
        <f>+[1]ZAnd!I113</f>
        <v>11000</v>
      </c>
      <c r="J123" s="22">
        <f>+[1]ZAnd!J113</f>
        <v>4209</v>
      </c>
      <c r="K123" s="22">
        <f>+[1]ZAnd!K113</f>
        <v>7394</v>
      </c>
      <c r="L123" s="12"/>
      <c r="M123" s="11">
        <f t="shared" si="10"/>
        <v>2458172.3023999999</v>
      </c>
      <c r="O123" s="4"/>
    </row>
    <row r="124" spans="2:15">
      <c r="B124" s="22">
        <f>+[1]ZAnd!B114</f>
        <v>102</v>
      </c>
      <c r="C124" s="23">
        <f>+[1]ZAnd!C114</f>
        <v>43154</v>
      </c>
      <c r="D124" s="24">
        <f>+[1]ZAnd!D114</f>
        <v>0.81120370370370365</v>
      </c>
      <c r="E124" s="22">
        <f>+[1]ZAnd!E114</f>
        <v>2458173.3147</v>
      </c>
      <c r="F124" s="22" t="str">
        <f>+[1]ZAnd!F114</f>
        <v>MRO</v>
      </c>
      <c r="G124" s="22" t="str">
        <f>+[1]ZAnd!G114</f>
        <v>VEN-SP</v>
      </c>
      <c r="H124" s="22" t="str">
        <f>+[1]ZAnd!H114</f>
        <v>RC200+Alpy600_600+A</v>
      </c>
      <c r="I124" s="22">
        <f>+[1]ZAnd!I114</f>
        <v>528</v>
      </c>
      <c r="J124" s="22">
        <f>+[1]ZAnd!J114</f>
        <v>3886</v>
      </c>
      <c r="K124" s="22">
        <f>+[1]ZAnd!K114</f>
        <v>7085</v>
      </c>
      <c r="L124" s="12"/>
      <c r="M124" s="11">
        <f t="shared" si="10"/>
        <v>2458173.3147</v>
      </c>
      <c r="O124" s="4"/>
    </row>
    <row r="125" spans="2:15">
      <c r="B125" s="22">
        <f>+[1]ZAnd!B115</f>
        <v>103</v>
      </c>
      <c r="C125" s="23">
        <f>+[1]ZAnd!C115</f>
        <v>43155</v>
      </c>
      <c r="D125" s="24">
        <f>+[1]ZAnd!D115</f>
        <v>0.82833333333333325</v>
      </c>
      <c r="E125" s="22">
        <f>+[1]ZAnd!E115</f>
        <v>2458174.3516000002</v>
      </c>
      <c r="F125" s="22" t="str">
        <f>+[1]ZAnd!F115</f>
        <v>DBO</v>
      </c>
      <c r="G125" s="22" t="str">
        <f>+[1]ZAnd!G115</f>
        <v>WCO-UK</v>
      </c>
      <c r="H125" s="22" t="str">
        <f>+[1]ZAnd!H115</f>
        <v>C11+LISA+SXVR-H</v>
      </c>
      <c r="I125" s="22">
        <f>+[1]ZAnd!I115</f>
        <v>970</v>
      </c>
      <c r="J125" s="22">
        <f>+[1]ZAnd!J115</f>
        <v>3900</v>
      </c>
      <c r="K125" s="22">
        <f>+[1]ZAnd!K115</f>
        <v>7380</v>
      </c>
      <c r="L125" s="12"/>
      <c r="M125" s="11">
        <f t="shared" si="10"/>
        <v>2458174.3516000002</v>
      </c>
      <c r="O125" s="4"/>
    </row>
    <row r="126" spans="2:15">
      <c r="B126" s="22">
        <f>+[1]ZAnd!B116</f>
        <v>104</v>
      </c>
      <c r="C126" s="23">
        <f>+[1]ZAnd!C116</f>
        <v>43156</v>
      </c>
      <c r="D126" s="24">
        <f>+[1]ZAnd!D116</f>
        <v>0.76876157407407408</v>
      </c>
      <c r="E126" s="22">
        <f>+[1]ZAnd!E116</f>
        <v>2458175.3021999998</v>
      </c>
      <c r="F126" s="22" t="str">
        <f>+[1]ZAnd!F116</f>
        <v xml:space="preserve">FMT </v>
      </c>
      <c r="G126" s="22" t="str">
        <f>+[1]ZAnd!G116</f>
        <v>ROU-FR</v>
      </c>
      <c r="H126" s="22" t="str">
        <f>+[1]ZAnd!H116</f>
        <v>SC14+eShel+Atik460ex</v>
      </c>
      <c r="I126" s="22">
        <f>+[1]ZAnd!I116</f>
        <v>11000</v>
      </c>
      <c r="J126" s="22">
        <f>+[1]ZAnd!J116</f>
        <v>4209</v>
      </c>
      <c r="K126" s="22">
        <f>+[1]ZAnd!K116</f>
        <v>7394</v>
      </c>
      <c r="L126" s="12"/>
      <c r="M126" s="11">
        <f t="shared" si="10"/>
        <v>2458175.3021999998</v>
      </c>
      <c r="O126" s="4"/>
    </row>
    <row r="127" spans="2:15">
      <c r="B127" s="22">
        <f>+[1]ZAnd!B117</f>
        <v>105</v>
      </c>
      <c r="C127" s="23">
        <f>+[1]ZAnd!C117</f>
        <v>43156</v>
      </c>
      <c r="D127" s="24">
        <f>+[1]ZAnd!D117</f>
        <v>0.9878703703703704</v>
      </c>
      <c r="E127" s="22">
        <f>+[1]ZAnd!E117</f>
        <v>2458175.523</v>
      </c>
      <c r="F127" s="22" t="str">
        <f>+[1]ZAnd!F117</f>
        <v>LES</v>
      </c>
      <c r="G127" s="22" t="str">
        <f>+[1]ZAnd!G117</f>
        <v>MRO-CA</v>
      </c>
      <c r="H127" s="22" t="str">
        <f>+[1]ZAnd!H117</f>
        <v>T11+Echelle</v>
      </c>
      <c r="I127" s="22">
        <f>+[1]ZAnd!I117</f>
        <v>13000</v>
      </c>
      <c r="J127" s="22">
        <f>+[1]ZAnd!J117</f>
        <v>4030</v>
      </c>
      <c r="K127" s="22">
        <f>+[1]ZAnd!K117</f>
        <v>7947</v>
      </c>
      <c r="L127" s="12"/>
      <c r="M127" s="11">
        <f t="shared" si="10"/>
        <v>2458175.523</v>
      </c>
      <c r="O127" s="4"/>
    </row>
    <row r="128" spans="2:15">
      <c r="B128" s="22">
        <f>+[1]ZAnd!B118</f>
        <v>106</v>
      </c>
      <c r="C128" s="23">
        <f>+[1]ZAnd!C118</f>
        <v>43158</v>
      </c>
      <c r="D128" s="24">
        <f>+[1]ZAnd!D118</f>
        <v>0.76626157407407414</v>
      </c>
      <c r="E128" s="22">
        <f>+[1]ZAnd!E118</f>
        <v>2458177.2949000001</v>
      </c>
      <c r="F128" s="22" t="str">
        <f>+[1]ZAnd!F118</f>
        <v xml:space="preserve">FMT </v>
      </c>
      <c r="G128" s="22" t="str">
        <f>+[1]ZAnd!G118</f>
        <v>ROU-FR</v>
      </c>
      <c r="H128" s="22" t="str">
        <f>+[1]ZAnd!H118</f>
        <v>SC14+eShel+Atik460ex</v>
      </c>
      <c r="I128" s="22">
        <f>+[1]ZAnd!I118</f>
        <v>11000</v>
      </c>
      <c r="J128" s="22">
        <f>+[1]ZAnd!J118</f>
        <v>4209</v>
      </c>
      <c r="K128" s="22">
        <f>+[1]ZAnd!K118</f>
        <v>7394</v>
      </c>
      <c r="L128" s="12"/>
      <c r="M128" s="11">
        <f t="shared" si="10"/>
        <v>2458177.2949000001</v>
      </c>
      <c r="O128" s="4"/>
    </row>
    <row r="129" spans="2:15">
      <c r="B129" s="22">
        <f>+[1]ZAnd!B119</f>
        <v>107</v>
      </c>
      <c r="C129" s="23">
        <f>+[1]ZAnd!C119</f>
        <v>43164</v>
      </c>
      <c r="D129" s="24">
        <f>+[1]ZAnd!D119</f>
        <v>0.77346064814814808</v>
      </c>
      <c r="E129" s="22">
        <f>+[1]ZAnd!E119</f>
        <v>2458183.2804</v>
      </c>
      <c r="F129" s="22" t="str">
        <f>+[1]ZAnd!F119</f>
        <v>JGF</v>
      </c>
      <c r="G129" s="22" t="str">
        <f>+[1]ZAnd!G119</f>
        <v>SMM-SP</v>
      </c>
      <c r="H129" s="22" t="str">
        <f>+[1]ZAnd!H119</f>
        <v>T16+Echelle+Atik460</v>
      </c>
      <c r="I129" s="22">
        <f>+[1]ZAnd!I119</f>
        <v>9000</v>
      </c>
      <c r="J129" s="22">
        <f>+[1]ZAnd!J119</f>
        <v>3979</v>
      </c>
      <c r="K129" s="22">
        <f>+[1]ZAnd!K119</f>
        <v>7760</v>
      </c>
      <c r="L129" s="12"/>
      <c r="M129" s="11">
        <f t="shared" si="10"/>
        <v>2458183.2804</v>
      </c>
      <c r="O129" s="4"/>
    </row>
    <row r="130" spans="2:15">
      <c r="B130" s="22">
        <f>+[1]ZAnd!B120</f>
        <v>108</v>
      </c>
      <c r="C130" s="23">
        <f>+[1]ZAnd!C120</f>
        <v>43166</v>
      </c>
      <c r="D130" s="24">
        <f>+[1]ZAnd!D120</f>
        <v>0.77262731481481473</v>
      </c>
      <c r="E130" s="22">
        <f>+[1]ZAnd!E120</f>
        <v>2458185.2941999999</v>
      </c>
      <c r="F130" s="22" t="str">
        <f>+[1]ZAnd!F120</f>
        <v xml:space="preserve">FMT </v>
      </c>
      <c r="G130" s="22" t="str">
        <f>+[1]ZAnd!G120</f>
        <v>ROU-FR</v>
      </c>
      <c r="H130" s="22" t="str">
        <f>+[1]ZAnd!H120</f>
        <v>SC14+eShel+Atik460ex</v>
      </c>
      <c r="I130" s="22">
        <f>+[1]ZAnd!I120</f>
        <v>11000</v>
      </c>
      <c r="J130" s="22">
        <f>+[1]ZAnd!J120</f>
        <v>4210</v>
      </c>
      <c r="K130" s="22">
        <f>+[1]ZAnd!K120</f>
        <v>7350</v>
      </c>
      <c r="L130" s="12"/>
      <c r="M130" s="11">
        <f t="shared" si="10"/>
        <v>2458185.2941999999</v>
      </c>
      <c r="O130" s="4"/>
    </row>
    <row r="131" spans="2:15">
      <c r="B131" s="22">
        <f>+[1]ZAnd!B121</f>
        <v>109</v>
      </c>
      <c r="C131" s="23">
        <f>+[1]ZAnd!C121</f>
        <v>43167</v>
      </c>
      <c r="D131" s="24">
        <f>+[1]ZAnd!D121</f>
        <v>0.78674768518518512</v>
      </c>
      <c r="E131" s="22">
        <f>+[1]ZAnd!E121</f>
        <v>2458186.3146000002</v>
      </c>
      <c r="F131" s="22" t="str">
        <f>+[1]ZAnd!F121</f>
        <v>JGF</v>
      </c>
      <c r="G131" s="22" t="str">
        <f>+[1]ZAnd!G121</f>
        <v>PIE-SP</v>
      </c>
      <c r="H131" s="22" t="str">
        <f>+[1]ZAnd!H121</f>
        <v>MUSSOL</v>
      </c>
      <c r="I131" s="22">
        <f>+[1]ZAnd!I121</f>
        <v>9000</v>
      </c>
      <c r="J131" s="22">
        <f>+[1]ZAnd!J121</f>
        <v>3979</v>
      </c>
      <c r="K131" s="22">
        <f>+[1]ZAnd!K121</f>
        <v>7498</v>
      </c>
      <c r="L131" s="12"/>
      <c r="M131" s="11">
        <f t="shared" si="10"/>
        <v>2458186.3146000002</v>
      </c>
      <c r="O131" s="4"/>
    </row>
    <row r="132" spans="2:15">
      <c r="B132" s="22">
        <f>+[1]ZAnd!B122</f>
        <v>110</v>
      </c>
      <c r="C132" s="23">
        <f>+[1]ZAnd!C122</f>
        <v>43281</v>
      </c>
      <c r="D132" s="24">
        <f>+[1]ZAnd!D122</f>
        <v>7.255787037037037E-2</v>
      </c>
      <c r="E132" s="22">
        <f>+[1]ZAnd!E122</f>
        <v>2458299.5866999999</v>
      </c>
      <c r="F132" s="22" t="str">
        <f>+[1]ZAnd!F122</f>
        <v xml:space="preserve">FMT </v>
      </c>
      <c r="G132" s="22" t="str">
        <f>+[1]ZAnd!G122</f>
        <v>ROU-FR</v>
      </c>
      <c r="H132" s="22" t="str">
        <f>+[1]ZAnd!H122</f>
        <v>SC14+eShel+Atik460ex</v>
      </c>
      <c r="I132" s="22">
        <f>+[1]ZAnd!I122</f>
        <v>11000</v>
      </c>
      <c r="J132" s="22">
        <f>+[1]ZAnd!J122</f>
        <v>4286</v>
      </c>
      <c r="K132" s="22">
        <f>+[1]ZAnd!K122</f>
        <v>7394</v>
      </c>
      <c r="L132" s="12"/>
      <c r="M132" s="11">
        <f t="shared" ref="M132" si="11">+E132</f>
        <v>2458299.5866999999</v>
      </c>
      <c r="O132" s="4"/>
    </row>
    <row r="133" spans="2:15">
      <c r="B133" s="22">
        <f>+[1]ZAnd!B123</f>
        <v>111</v>
      </c>
      <c r="C133" s="23">
        <f>+[1]ZAnd!C123</f>
        <v>43298</v>
      </c>
      <c r="D133" s="24">
        <f>+[1]ZAnd!D123</f>
        <v>1.4687499999999999E-2</v>
      </c>
      <c r="E133" s="22">
        <f>+[1]ZAnd!E123</f>
        <v>2458316.5356000001</v>
      </c>
      <c r="F133" s="22" t="str">
        <f>+[1]ZAnd!F123</f>
        <v>CBO</v>
      </c>
      <c r="G133" s="22" t="str">
        <f>+[1]ZAnd!G123</f>
        <v>OCT-FR</v>
      </c>
      <c r="H133" s="22" t="str">
        <f>+[1]ZAnd!H123</f>
        <v>N200mmF</v>
      </c>
      <c r="I133" s="22">
        <f>+[1]ZAnd!I123</f>
        <v>507</v>
      </c>
      <c r="J133" s="22">
        <f>+[1]ZAnd!J123</f>
        <v>3700</v>
      </c>
      <c r="K133" s="22">
        <f>+[1]ZAnd!K123</f>
        <v>7570</v>
      </c>
      <c r="L133" s="12"/>
      <c r="M133" s="11">
        <f t="shared" ref="M133:M149" si="12">+E133</f>
        <v>2458316.5356000001</v>
      </c>
      <c r="N133">
        <f>+M$21</f>
        <v>8.5</v>
      </c>
      <c r="O133" s="4"/>
    </row>
    <row r="134" spans="2:15">
      <c r="B134" s="22">
        <f>+[1]ZAnd!B124</f>
        <v>112</v>
      </c>
      <c r="C134" s="23">
        <f>+[1]ZAnd!C124</f>
        <v>43298</v>
      </c>
      <c r="D134" s="24">
        <f>+[1]ZAnd!D124</f>
        <v>1.4687499999999999E-2</v>
      </c>
      <c r="E134" s="22">
        <f>+[1]ZAnd!E124</f>
        <v>2458316.5356000001</v>
      </c>
      <c r="F134" s="22" t="str">
        <f>+[1]ZAnd!F124</f>
        <v>CBO</v>
      </c>
      <c r="G134" s="22" t="str">
        <f>+[1]ZAnd!G124</f>
        <v>OCT-FR</v>
      </c>
      <c r="H134" s="22" t="str">
        <f>+[1]ZAnd!H124</f>
        <v>N200mmF</v>
      </c>
      <c r="I134" s="22">
        <f>+[1]ZAnd!I124</f>
        <v>507</v>
      </c>
      <c r="J134" s="22">
        <f>+[1]ZAnd!J124</f>
        <v>3700</v>
      </c>
      <c r="K134" s="22">
        <f>+[1]ZAnd!K124</f>
        <v>7570</v>
      </c>
      <c r="L134" s="12"/>
      <c r="M134" s="11">
        <f t="shared" si="12"/>
        <v>2458316.5356000001</v>
      </c>
      <c r="N134">
        <f t="shared" ref="N134:N161" si="13">+M$21</f>
        <v>8.5</v>
      </c>
      <c r="O134" s="4"/>
    </row>
    <row r="135" spans="2:15">
      <c r="B135" s="33">
        <v>130</v>
      </c>
      <c r="C135" s="34">
        <v>43362</v>
      </c>
      <c r="D135" s="35">
        <v>0.89680555555555552</v>
      </c>
      <c r="E135" s="33">
        <v>2458381.4383</v>
      </c>
      <c r="F135" s="33" t="s">
        <v>98</v>
      </c>
      <c r="G135" s="33" t="s">
        <v>99</v>
      </c>
      <c r="H135" s="33" t="s">
        <v>111</v>
      </c>
      <c r="I135" s="33">
        <v>600</v>
      </c>
      <c r="J135" s="22">
        <f>+[1]ZAnd!J126</f>
        <v>3900</v>
      </c>
      <c r="K135" s="22">
        <f>+[1]ZAnd!K126</f>
        <v>7380</v>
      </c>
      <c r="L135" s="12"/>
      <c r="M135" s="11">
        <f t="shared" si="12"/>
        <v>2458381.4383</v>
      </c>
      <c r="N135">
        <f t="shared" si="13"/>
        <v>8.5</v>
      </c>
      <c r="O135" s="4"/>
    </row>
    <row r="136" spans="2:15">
      <c r="B136" s="33">
        <v>121</v>
      </c>
      <c r="C136" s="34">
        <v>43339</v>
      </c>
      <c r="D136" s="35">
        <v>0.98494212962962957</v>
      </c>
      <c r="E136" s="33">
        <v>2458358.5323999999</v>
      </c>
      <c r="F136" s="33" t="s">
        <v>98</v>
      </c>
      <c r="G136" s="33" t="s">
        <v>99</v>
      </c>
      <c r="H136" s="33" t="s">
        <v>105</v>
      </c>
      <c r="I136" s="33">
        <v>639</v>
      </c>
      <c r="J136" s="22">
        <f>+[1]ZAnd!J127</f>
        <v>4768</v>
      </c>
      <c r="K136" s="22">
        <f>+[1]ZAnd!K127</f>
        <v>7759</v>
      </c>
      <c r="L136" s="12"/>
      <c r="M136" s="11">
        <f t="shared" si="12"/>
        <v>2458358.5323999999</v>
      </c>
      <c r="N136">
        <f t="shared" si="13"/>
        <v>8.5</v>
      </c>
      <c r="O136" s="4"/>
    </row>
    <row r="137" spans="2:15">
      <c r="B137" s="33">
        <v>118</v>
      </c>
      <c r="C137" s="34">
        <v>43323</v>
      </c>
      <c r="D137" s="35">
        <v>1.2361111111111113E-2</v>
      </c>
      <c r="E137" s="33">
        <v>2458341.5520000001</v>
      </c>
      <c r="F137" s="33" t="s">
        <v>98</v>
      </c>
      <c r="G137" s="33" t="s">
        <v>99</v>
      </c>
      <c r="H137" s="33" t="s">
        <v>100</v>
      </c>
      <c r="I137" s="33">
        <v>1206</v>
      </c>
      <c r="J137" s="22">
        <f>+[1]ZAnd!J134</f>
        <v>3901</v>
      </c>
      <c r="K137" s="22">
        <f>+[1]ZAnd!K134</f>
        <v>7379</v>
      </c>
      <c r="L137" s="12"/>
      <c r="M137" s="11">
        <f t="shared" si="12"/>
        <v>2458341.5520000001</v>
      </c>
      <c r="N137">
        <f t="shared" si="13"/>
        <v>8.5</v>
      </c>
      <c r="O137" s="4"/>
    </row>
    <row r="138" spans="2:15">
      <c r="B138" s="33">
        <v>132</v>
      </c>
      <c r="C138" s="34">
        <v>43365</v>
      </c>
      <c r="D138" s="35">
        <v>0.9115509259259259</v>
      </c>
      <c r="E138" s="33">
        <v>2458384.4438</v>
      </c>
      <c r="F138" s="33" t="s">
        <v>98</v>
      </c>
      <c r="G138" s="33" t="s">
        <v>99</v>
      </c>
      <c r="H138" s="33" t="s">
        <v>111</v>
      </c>
      <c r="I138" s="33">
        <v>1278</v>
      </c>
      <c r="J138" s="22">
        <f>+[1]ZAnd!J135</f>
        <v>3711</v>
      </c>
      <c r="K138" s="22">
        <f>+[1]ZAnd!K135</f>
        <v>7299</v>
      </c>
      <c r="L138" s="12"/>
      <c r="M138" s="11">
        <f t="shared" si="12"/>
        <v>2458384.4438</v>
      </c>
      <c r="N138">
        <f t="shared" si="13"/>
        <v>8.5</v>
      </c>
      <c r="O138" s="4"/>
    </row>
    <row r="139" spans="2:15">
      <c r="B139" s="33">
        <v>117</v>
      </c>
      <c r="C139" s="34">
        <v>43319</v>
      </c>
      <c r="D139" s="35">
        <v>6.9918981481481471E-2</v>
      </c>
      <c r="E139" s="33">
        <v>2458337.5855999999</v>
      </c>
      <c r="F139" s="33" t="s">
        <v>95</v>
      </c>
      <c r="G139" s="33" t="s">
        <v>96</v>
      </c>
      <c r="H139" s="33" t="s">
        <v>97</v>
      </c>
      <c r="I139" s="33">
        <v>501</v>
      </c>
      <c r="J139" s="22">
        <f>+[1]ZAnd!J125</f>
        <v>4286</v>
      </c>
      <c r="K139" s="22">
        <f>+[1]ZAnd!K125</f>
        <v>7394</v>
      </c>
      <c r="L139" s="12"/>
      <c r="M139" s="11">
        <f t="shared" si="12"/>
        <v>2458337.5855999999</v>
      </c>
      <c r="N139">
        <f t="shared" si="13"/>
        <v>8.5</v>
      </c>
      <c r="O139" s="4"/>
    </row>
    <row r="140" spans="2:15">
      <c r="B140" s="33">
        <v>114</v>
      </c>
      <c r="C140" s="34">
        <v>43315</v>
      </c>
      <c r="D140" s="35">
        <v>0.9202662037037036</v>
      </c>
      <c r="E140" s="33">
        <v>2458334.4423000002</v>
      </c>
      <c r="F140" s="33" t="s">
        <v>86</v>
      </c>
      <c r="G140" s="33" t="s">
        <v>87</v>
      </c>
      <c r="H140" s="33" t="s">
        <v>88</v>
      </c>
      <c r="I140" s="33">
        <v>978</v>
      </c>
      <c r="J140" s="22">
        <f>+[1]ZAnd!J128</f>
        <v>3824</v>
      </c>
      <c r="K140" s="22">
        <f>+[1]ZAnd!K128</f>
        <v>3980</v>
      </c>
      <c r="L140" s="12"/>
      <c r="M140" s="11">
        <f t="shared" si="12"/>
        <v>2458334.4423000002</v>
      </c>
      <c r="N140">
        <f t="shared" si="13"/>
        <v>8.5</v>
      </c>
      <c r="O140" s="4"/>
    </row>
    <row r="141" spans="2:15">
      <c r="B141" s="33">
        <v>122</v>
      </c>
      <c r="C141" s="34">
        <v>43344</v>
      </c>
      <c r="D141" s="35">
        <v>0.9177777777777778</v>
      </c>
      <c r="E141" s="33">
        <v>2458363.4408</v>
      </c>
      <c r="F141" s="33" t="s">
        <v>86</v>
      </c>
      <c r="G141" s="33" t="s">
        <v>87</v>
      </c>
      <c r="H141" s="33" t="s">
        <v>106</v>
      </c>
      <c r="I141" s="33">
        <v>1060</v>
      </c>
      <c r="J141" s="22">
        <f>+[1]ZAnd!J133</f>
        <v>3320</v>
      </c>
      <c r="K141" s="22">
        <f>+[1]ZAnd!K133</f>
        <v>5221</v>
      </c>
      <c r="L141" s="12"/>
      <c r="M141" s="11">
        <f t="shared" si="12"/>
        <v>2458363.4408</v>
      </c>
      <c r="N141">
        <f t="shared" si="13"/>
        <v>8.5</v>
      </c>
      <c r="O141" s="4"/>
    </row>
    <row r="142" spans="2:15">
      <c r="B142" s="33">
        <v>123</v>
      </c>
      <c r="C142" s="34">
        <v>43347</v>
      </c>
      <c r="D142" s="35">
        <v>0.20195601851851852</v>
      </c>
      <c r="E142" s="33">
        <v>2458365.7124999999</v>
      </c>
      <c r="F142" s="33" t="s">
        <v>107</v>
      </c>
      <c r="G142" s="33" t="s">
        <v>108</v>
      </c>
      <c r="H142" s="33" t="s">
        <v>109</v>
      </c>
      <c r="I142" s="33">
        <v>1000</v>
      </c>
      <c r="J142" s="22">
        <f>+[1]ZAnd!J129</f>
        <v>3700</v>
      </c>
      <c r="K142" s="22">
        <f>+[1]ZAnd!K129</f>
        <v>7570</v>
      </c>
      <c r="L142" s="12"/>
      <c r="M142" s="11">
        <f t="shared" si="12"/>
        <v>2458365.7124999999</v>
      </c>
      <c r="N142">
        <f t="shared" si="13"/>
        <v>8.5</v>
      </c>
      <c r="O142" s="4"/>
    </row>
    <row r="143" spans="2:15">
      <c r="B143" s="33">
        <v>129</v>
      </c>
      <c r="C143" s="34">
        <v>43361</v>
      </c>
      <c r="D143" s="35">
        <v>0.21458333333333335</v>
      </c>
      <c r="E143" s="33">
        <v>2458379.7250999999</v>
      </c>
      <c r="F143" s="33" t="s">
        <v>107</v>
      </c>
      <c r="G143" s="33" t="s">
        <v>108</v>
      </c>
      <c r="H143" s="33" t="s">
        <v>109</v>
      </c>
      <c r="I143" s="33">
        <v>1022</v>
      </c>
      <c r="J143" s="22">
        <f>+[1]ZAnd!J130</f>
        <v>3498</v>
      </c>
      <c r="K143" s="22">
        <f>+[1]ZAnd!K130</f>
        <v>5070</v>
      </c>
      <c r="L143" s="12"/>
      <c r="M143" s="11">
        <f t="shared" si="12"/>
        <v>2458379.7250999999</v>
      </c>
      <c r="N143">
        <f t="shared" si="13"/>
        <v>8.5</v>
      </c>
      <c r="O143" s="4"/>
    </row>
    <row r="144" spans="2:15">
      <c r="B144" s="33">
        <v>125</v>
      </c>
      <c r="C144" s="34">
        <v>43350</v>
      </c>
      <c r="D144" s="35">
        <v>0.23303240740740741</v>
      </c>
      <c r="E144" s="33">
        <v>2458368.7436000002</v>
      </c>
      <c r="F144" s="33" t="s">
        <v>107</v>
      </c>
      <c r="G144" s="33" t="s">
        <v>108</v>
      </c>
      <c r="H144" s="33" t="s">
        <v>109</v>
      </c>
      <c r="I144" s="33">
        <v>1024</v>
      </c>
      <c r="J144" s="22">
        <f>+[1]ZAnd!J131</f>
        <v>4030</v>
      </c>
      <c r="K144" s="22">
        <f>+[1]ZAnd!K131</f>
        <v>7950</v>
      </c>
      <c r="L144" s="12"/>
      <c r="M144" s="11">
        <f t="shared" si="12"/>
        <v>2458368.7436000002</v>
      </c>
      <c r="N144">
        <f t="shared" si="13"/>
        <v>8.5</v>
      </c>
      <c r="O144" s="4"/>
    </row>
    <row r="145" spans="2:15">
      <c r="B145" s="33">
        <v>124</v>
      </c>
      <c r="C145" s="34">
        <v>43349</v>
      </c>
      <c r="D145" s="35">
        <v>0.23620370370370369</v>
      </c>
      <c r="E145" s="33">
        <v>2458367.7467999998</v>
      </c>
      <c r="F145" s="33" t="s">
        <v>107</v>
      </c>
      <c r="G145" s="33" t="s">
        <v>108</v>
      </c>
      <c r="H145" s="33" t="s">
        <v>109</v>
      </c>
      <c r="I145" s="33">
        <v>1029</v>
      </c>
      <c r="J145" s="22">
        <f>+[1]ZAnd!J132</f>
        <v>4052</v>
      </c>
      <c r="K145" s="22">
        <f>+[1]ZAnd!K132</f>
        <v>7762</v>
      </c>
      <c r="L145" s="12"/>
      <c r="M145" s="11">
        <f t="shared" si="12"/>
        <v>2458367.7467999998</v>
      </c>
      <c r="N145">
        <f t="shared" si="13"/>
        <v>8.5</v>
      </c>
      <c r="O145" s="4"/>
    </row>
    <row r="146" spans="2:15">
      <c r="B146" s="33">
        <v>135</v>
      </c>
      <c r="C146" s="34">
        <v>43373</v>
      </c>
      <c r="D146" s="35">
        <v>0.31268518518518518</v>
      </c>
      <c r="E146" s="33">
        <v>2458391.8653000002</v>
      </c>
      <c r="F146" s="33" t="s">
        <v>113</v>
      </c>
      <c r="G146" s="33" t="s">
        <v>114</v>
      </c>
      <c r="H146" s="33" t="s">
        <v>115</v>
      </c>
      <c r="I146" s="33">
        <v>3665</v>
      </c>
      <c r="J146" s="22">
        <f>+[1]ZAnd!J137</f>
        <v>3707</v>
      </c>
      <c r="K146" s="22">
        <f>+[1]ZAnd!K137</f>
        <v>7294</v>
      </c>
      <c r="L146" s="12"/>
      <c r="M146" s="11">
        <f t="shared" si="12"/>
        <v>2458391.8653000002</v>
      </c>
      <c r="N146">
        <f t="shared" si="13"/>
        <v>8.5</v>
      </c>
      <c r="O146" s="4"/>
    </row>
    <row r="147" spans="2:15">
      <c r="B147" s="33">
        <v>137</v>
      </c>
      <c r="C147" s="34">
        <v>43385</v>
      </c>
      <c r="D147" s="35">
        <v>0.85503472222222221</v>
      </c>
      <c r="E147" s="33">
        <v>2458404.3774999999</v>
      </c>
      <c r="F147" s="33" t="s">
        <v>116</v>
      </c>
      <c r="G147" s="33" t="s">
        <v>117</v>
      </c>
      <c r="H147" s="33" t="s">
        <v>118</v>
      </c>
      <c r="I147" s="33">
        <v>1878</v>
      </c>
      <c r="J147" s="22">
        <f>+[1]ZAnd!J136</f>
        <v>3707</v>
      </c>
      <c r="K147" s="22">
        <f>+[1]ZAnd!K136</f>
        <v>7294</v>
      </c>
      <c r="L147" s="12"/>
      <c r="M147" s="11">
        <f t="shared" si="12"/>
        <v>2458404.3774999999</v>
      </c>
      <c r="N147">
        <f t="shared" si="13"/>
        <v>8.5</v>
      </c>
      <c r="O147" s="4"/>
    </row>
    <row r="148" spans="2:15">
      <c r="B148" s="33">
        <v>116</v>
      </c>
      <c r="C148" s="34">
        <v>43317</v>
      </c>
      <c r="D148" s="35">
        <v>0.10049768518518519</v>
      </c>
      <c r="E148" s="33">
        <v>2458335.5558000002</v>
      </c>
      <c r="F148" s="33" t="s">
        <v>92</v>
      </c>
      <c r="G148" s="33" t="s">
        <v>93</v>
      </c>
      <c r="H148" s="33" t="s">
        <v>94</v>
      </c>
      <c r="I148" s="33">
        <v>5845</v>
      </c>
      <c r="J148" s="22">
        <f>+[1]ZAnd!J138</f>
        <v>6499</v>
      </c>
      <c r="K148" s="22">
        <f>+[1]ZAnd!K138</f>
        <v>6609</v>
      </c>
      <c r="L148" s="12"/>
      <c r="M148" s="11">
        <f t="shared" si="12"/>
        <v>2458335.5558000002</v>
      </c>
      <c r="N148">
        <f t="shared" si="13"/>
        <v>8.5</v>
      </c>
      <c r="O148" s="4"/>
    </row>
    <row r="149" spans="2:15">
      <c r="B149" s="36">
        <v>115</v>
      </c>
      <c r="C149" s="37">
        <v>43316</v>
      </c>
      <c r="D149" s="38">
        <v>0.94814814814814818</v>
      </c>
      <c r="E149" s="36">
        <v>2458335.4759999998</v>
      </c>
      <c r="F149" s="36" t="s">
        <v>89</v>
      </c>
      <c r="G149" s="36" t="s">
        <v>90</v>
      </c>
      <c r="H149" s="36" t="s">
        <v>91</v>
      </c>
      <c r="I149" s="36">
        <v>9000</v>
      </c>
      <c r="J149" s="22">
        <f>+[1]ZAnd!J139</f>
        <v>4052</v>
      </c>
      <c r="K149" s="22">
        <f>+[1]ZAnd!K139</f>
        <v>7762</v>
      </c>
      <c r="L149" s="12"/>
      <c r="M149" s="11">
        <f t="shared" si="12"/>
        <v>2458335.4759999998</v>
      </c>
      <c r="N149">
        <f t="shared" si="13"/>
        <v>8.5</v>
      </c>
      <c r="O149" s="4"/>
    </row>
    <row r="150" spans="2:15">
      <c r="B150" s="36">
        <v>120</v>
      </c>
      <c r="C150" s="37">
        <v>43338</v>
      </c>
      <c r="D150" s="38">
        <v>0.913599537037037</v>
      </c>
      <c r="E150" s="36">
        <v>2458357.4413999999</v>
      </c>
      <c r="F150" s="36" t="s">
        <v>89</v>
      </c>
      <c r="G150" s="36" t="s">
        <v>90</v>
      </c>
      <c r="H150" s="36" t="s">
        <v>104</v>
      </c>
      <c r="I150" s="36">
        <v>9000</v>
      </c>
      <c r="J150" s="22">
        <f>+[1]ZAnd!J140</f>
        <v>4286</v>
      </c>
      <c r="K150" s="22">
        <f>+[1]ZAnd!K140</f>
        <v>7155</v>
      </c>
      <c r="L150" s="12"/>
      <c r="M150" s="11">
        <f t="shared" ref="M150:M159" si="14">+E150</f>
        <v>2458357.4413999999</v>
      </c>
      <c r="N150">
        <f t="shared" si="13"/>
        <v>8.5</v>
      </c>
      <c r="O150" s="4"/>
    </row>
    <row r="151" spans="2:15">
      <c r="B151" s="36">
        <v>127</v>
      </c>
      <c r="C151" s="37">
        <v>43357</v>
      </c>
      <c r="D151" s="38">
        <v>0.88516203703703711</v>
      </c>
      <c r="E151" s="36">
        <v>2458376.4268999998</v>
      </c>
      <c r="F151" s="36" t="s">
        <v>89</v>
      </c>
      <c r="G151" s="36" t="s">
        <v>90</v>
      </c>
      <c r="H151" s="36" t="s">
        <v>104</v>
      </c>
      <c r="I151" s="36">
        <v>9000</v>
      </c>
      <c r="J151" s="22">
        <f>+[1]ZAnd!J141</f>
        <v>3707</v>
      </c>
      <c r="K151" s="22">
        <f>+[1]ZAnd!K141</f>
        <v>7295</v>
      </c>
      <c r="L151" s="12"/>
      <c r="M151" s="11">
        <f t="shared" si="14"/>
        <v>2458376.4268999998</v>
      </c>
      <c r="N151">
        <f t="shared" si="13"/>
        <v>8.5</v>
      </c>
      <c r="O151" s="4"/>
    </row>
    <row r="152" spans="2:15">
      <c r="B152" s="36">
        <v>131</v>
      </c>
      <c r="C152" s="37">
        <v>43363</v>
      </c>
      <c r="D152" s="38">
        <v>0.80519675925925915</v>
      </c>
      <c r="E152" s="36">
        <v>2458382.3747999999</v>
      </c>
      <c r="F152" s="36" t="s">
        <v>89</v>
      </c>
      <c r="G152" s="36" t="s">
        <v>90</v>
      </c>
      <c r="H152" s="36" t="s">
        <v>104</v>
      </c>
      <c r="I152" s="36">
        <v>9000</v>
      </c>
      <c r="J152" s="22">
        <f>+[1]ZAnd!J142</f>
        <v>3297</v>
      </c>
      <c r="K152" s="22">
        <f>+[1]ZAnd!K142</f>
        <v>5787</v>
      </c>
      <c r="L152" s="12"/>
      <c r="M152" s="11">
        <f t="shared" si="14"/>
        <v>2458382.3747999999</v>
      </c>
      <c r="N152">
        <f t="shared" si="13"/>
        <v>8.5</v>
      </c>
      <c r="O152" s="4"/>
    </row>
    <row r="153" spans="2:15">
      <c r="B153" s="36">
        <v>133</v>
      </c>
      <c r="C153" s="37">
        <v>43369</v>
      </c>
      <c r="D153" s="38">
        <v>0.85372685185185182</v>
      </c>
      <c r="E153" s="36">
        <v>2458388.3884999999</v>
      </c>
      <c r="F153" s="36" t="s">
        <v>89</v>
      </c>
      <c r="G153" s="36">
        <v>0</v>
      </c>
      <c r="H153" s="36" t="s">
        <v>112</v>
      </c>
      <c r="I153" s="36">
        <v>9000</v>
      </c>
      <c r="J153" s="22">
        <f>+[1]ZAnd!J143</f>
        <v>4052</v>
      </c>
      <c r="K153" s="22">
        <f>+[1]ZAnd!K143</f>
        <v>7762</v>
      </c>
      <c r="L153" s="12"/>
      <c r="M153" s="11">
        <f t="shared" si="14"/>
        <v>2458388.3884999999</v>
      </c>
      <c r="N153">
        <f t="shared" si="13"/>
        <v>8.5</v>
      </c>
      <c r="O153" s="4"/>
    </row>
    <row r="154" spans="2:15">
      <c r="B154" s="36">
        <v>134</v>
      </c>
      <c r="C154" s="37">
        <v>43371</v>
      </c>
      <c r="D154" s="38">
        <v>0.81057870370370377</v>
      </c>
      <c r="E154" s="36">
        <v>2458390.3802</v>
      </c>
      <c r="F154" s="36" t="s">
        <v>89</v>
      </c>
      <c r="G154" s="36">
        <v>0</v>
      </c>
      <c r="H154" s="36" t="s">
        <v>112</v>
      </c>
      <c r="I154" s="36">
        <v>9000</v>
      </c>
      <c r="J154" s="22">
        <f>+[1]ZAnd!J144</f>
        <v>5801</v>
      </c>
      <c r="K154" s="22">
        <f>+[1]ZAnd!K144</f>
        <v>8786</v>
      </c>
      <c r="L154" s="12"/>
      <c r="M154" s="11">
        <f t="shared" si="14"/>
        <v>2458390.3802</v>
      </c>
      <c r="N154">
        <f t="shared" si="13"/>
        <v>8.5</v>
      </c>
      <c r="O154" s="4"/>
    </row>
    <row r="155" spans="2:15">
      <c r="B155" s="36">
        <v>139</v>
      </c>
      <c r="C155" s="37">
        <v>43397</v>
      </c>
      <c r="D155" s="38">
        <v>0.76447916666666671</v>
      </c>
      <c r="E155" s="36">
        <v>2458416.2993000001</v>
      </c>
      <c r="F155" s="36" t="s">
        <v>89</v>
      </c>
      <c r="G155" s="36" t="s">
        <v>122</v>
      </c>
      <c r="H155" s="36" t="s">
        <v>112</v>
      </c>
      <c r="I155" s="36">
        <v>9000</v>
      </c>
      <c r="J155" s="22">
        <f>+[1]ZAnd!J145</f>
        <v>3979</v>
      </c>
      <c r="K155" s="22">
        <f>+[1]ZAnd!K145</f>
        <v>7762</v>
      </c>
      <c r="L155" s="12"/>
      <c r="M155" s="11">
        <f t="shared" si="14"/>
        <v>2458416.2993000001</v>
      </c>
      <c r="N155">
        <f t="shared" si="13"/>
        <v>8.5</v>
      </c>
      <c r="O155" s="4"/>
    </row>
    <row r="156" spans="2:15">
      <c r="B156" s="36">
        <v>136</v>
      </c>
      <c r="C156" s="37">
        <v>43374</v>
      </c>
      <c r="D156" s="38">
        <v>0.30343749999999997</v>
      </c>
      <c r="E156" s="36">
        <v>2458392.8262999998</v>
      </c>
      <c r="F156" s="36" t="s">
        <v>113</v>
      </c>
      <c r="G156" s="36" t="s">
        <v>114</v>
      </c>
      <c r="H156" s="36" t="s">
        <v>115</v>
      </c>
      <c r="I156" s="36">
        <v>9153</v>
      </c>
      <c r="J156" s="22">
        <f>+[1]ZAnd!J146</f>
        <v>3979</v>
      </c>
      <c r="K156" s="22">
        <f>+[1]ZAnd!K146</f>
        <v>7762</v>
      </c>
      <c r="L156" s="12"/>
      <c r="M156" s="11">
        <f t="shared" si="14"/>
        <v>2458392.8262999998</v>
      </c>
      <c r="N156">
        <f t="shared" si="13"/>
        <v>8.5</v>
      </c>
      <c r="O156" s="4"/>
    </row>
    <row r="157" spans="2:15">
      <c r="B157" s="36">
        <v>113</v>
      </c>
      <c r="C157" s="37">
        <v>43314</v>
      </c>
      <c r="D157" s="38">
        <v>0.98464120370370367</v>
      </c>
      <c r="E157" s="36">
        <v>2458333.5096999998</v>
      </c>
      <c r="F157" s="36" t="s">
        <v>83</v>
      </c>
      <c r="G157" s="36" t="s">
        <v>84</v>
      </c>
      <c r="H157" s="36" t="s">
        <v>85</v>
      </c>
      <c r="I157" s="36">
        <v>11000</v>
      </c>
      <c r="J157" s="22">
        <f>+[1]ZAnd!J147</f>
        <v>3777</v>
      </c>
      <c r="K157" s="22">
        <f>+[1]ZAnd!K147</f>
        <v>4091</v>
      </c>
      <c r="L157" s="12"/>
      <c r="M157" s="11">
        <f t="shared" si="14"/>
        <v>2458333.5096999998</v>
      </c>
      <c r="N157">
        <f t="shared" si="13"/>
        <v>8.5</v>
      </c>
      <c r="O157" s="4"/>
    </row>
    <row r="158" spans="2:15">
      <c r="B158" s="36">
        <v>128</v>
      </c>
      <c r="C158" s="37">
        <v>43360</v>
      </c>
      <c r="D158" s="38">
        <v>0.83248842592592587</v>
      </c>
      <c r="E158" s="36">
        <v>2458379.3502000002</v>
      </c>
      <c r="F158" s="36" t="s">
        <v>83</v>
      </c>
      <c r="G158" s="36" t="s">
        <v>84</v>
      </c>
      <c r="H158" s="36" t="s">
        <v>85</v>
      </c>
      <c r="I158" s="36">
        <v>11000</v>
      </c>
      <c r="J158" s="22">
        <f>+[1]ZAnd!J148</f>
        <v>6425</v>
      </c>
      <c r="K158" s="22">
        <f>+[1]ZAnd!K148</f>
        <v>6698</v>
      </c>
      <c r="L158" s="12"/>
      <c r="M158" s="11">
        <f t="shared" si="14"/>
        <v>2458379.3502000002</v>
      </c>
      <c r="N158">
        <f t="shared" si="13"/>
        <v>8.5</v>
      </c>
      <c r="O158" s="4"/>
    </row>
    <row r="159" spans="2:15">
      <c r="B159" s="36">
        <v>138</v>
      </c>
      <c r="C159" s="37">
        <v>43390</v>
      </c>
      <c r="D159" s="38">
        <v>0.97182870370370367</v>
      </c>
      <c r="E159" s="36">
        <v>2458409.5068999999</v>
      </c>
      <c r="F159" s="36" t="s">
        <v>119</v>
      </c>
      <c r="G159" s="36" t="s">
        <v>120</v>
      </c>
      <c r="H159" s="36" t="s">
        <v>121</v>
      </c>
      <c r="I159" s="36">
        <v>11000</v>
      </c>
      <c r="J159" s="22">
        <f>+[1]ZAnd!J149</f>
        <v>4482</v>
      </c>
      <c r="K159" s="22">
        <f>+[1]ZAnd!K149</f>
        <v>5503</v>
      </c>
      <c r="L159" s="12"/>
      <c r="M159" s="11">
        <f t="shared" si="14"/>
        <v>2458409.5068999999</v>
      </c>
      <c r="N159">
        <f t="shared" si="13"/>
        <v>8.5</v>
      </c>
      <c r="O159" s="4"/>
    </row>
    <row r="160" spans="2:15">
      <c r="B160" s="36">
        <v>119</v>
      </c>
      <c r="C160" s="37">
        <v>43335</v>
      </c>
      <c r="D160" s="38">
        <v>0.2316087962962963</v>
      </c>
      <c r="E160" s="36">
        <v>2458353.7752</v>
      </c>
      <c r="F160" s="36" t="s">
        <v>101</v>
      </c>
      <c r="G160" s="36" t="s">
        <v>102</v>
      </c>
      <c r="H160" s="36" t="s">
        <v>103</v>
      </c>
      <c r="I160" s="36">
        <v>14000</v>
      </c>
      <c r="J160" s="22">
        <f>+[1]ZAnd!J150</f>
        <v>3917</v>
      </c>
      <c r="K160" s="22">
        <f>+[1]ZAnd!K150</f>
        <v>7592</v>
      </c>
      <c r="L160" s="12"/>
      <c r="M160" s="11">
        <f t="shared" ref="M160:M161" si="15">+E160</f>
        <v>2458353.7752</v>
      </c>
      <c r="N160">
        <f t="shared" si="13"/>
        <v>8.5</v>
      </c>
      <c r="O160" s="4"/>
    </row>
    <row r="161" spans="2:15">
      <c r="B161" s="33">
        <v>126</v>
      </c>
      <c r="C161" s="34">
        <v>43352</v>
      </c>
      <c r="D161" s="35">
        <v>6.2870370370370368E-2</v>
      </c>
      <c r="E161" s="33">
        <v>2458370.5554999998</v>
      </c>
      <c r="F161" s="33" t="s">
        <v>92</v>
      </c>
      <c r="G161" s="33" t="s">
        <v>93</v>
      </c>
      <c r="H161" s="33" t="s">
        <v>110</v>
      </c>
      <c r="I161" s="33">
        <v>15556</v>
      </c>
      <c r="J161" s="22">
        <f>+[1]ZAnd!J151</f>
        <v>3979</v>
      </c>
      <c r="K161" s="22">
        <f>+[1]ZAnd!K151</f>
        <v>7762</v>
      </c>
      <c r="L161" s="12"/>
      <c r="M161" s="11">
        <f t="shared" si="15"/>
        <v>2458370.5554999998</v>
      </c>
      <c r="N161">
        <f t="shared" si="13"/>
        <v>8.5</v>
      </c>
      <c r="O161" s="4"/>
    </row>
    <row r="162" spans="2:15">
      <c r="B162" s="33">
        <f>+[1]ZAnd!B152</f>
        <v>0</v>
      </c>
      <c r="C162" s="34">
        <f>+[1]ZAnd!C152</f>
        <v>0</v>
      </c>
      <c r="D162" s="35">
        <f>+[1]ZAnd!D152</f>
        <v>0</v>
      </c>
      <c r="E162" s="33">
        <f>+[1]ZAnd!E152</f>
        <v>0</v>
      </c>
      <c r="F162" s="33">
        <f>+[1]ZAnd!F152</f>
        <v>0</v>
      </c>
      <c r="G162" s="33">
        <f>+[1]ZAnd!G152</f>
        <v>0</v>
      </c>
      <c r="H162" s="33">
        <f>+[1]ZAnd!H152</f>
        <v>0</v>
      </c>
      <c r="I162" s="33">
        <v>9001</v>
      </c>
      <c r="J162" s="22">
        <f>+[1]ZAnd!J152</f>
        <v>0</v>
      </c>
      <c r="K162" s="22">
        <f>+[1]ZAnd!K152</f>
        <v>0</v>
      </c>
      <c r="L162" s="12"/>
      <c r="M162" s="11"/>
      <c r="O162" s="4"/>
    </row>
    <row r="163" spans="2:15">
      <c r="B163" s="22"/>
      <c r="C163" s="23"/>
      <c r="D163" s="24"/>
      <c r="E163" s="22"/>
      <c r="F163" s="22"/>
      <c r="G163" s="22"/>
      <c r="H163" s="22"/>
      <c r="I163" s="22"/>
      <c r="J163" s="22"/>
      <c r="K163" s="22"/>
      <c r="L163" s="12"/>
      <c r="M163" s="11"/>
      <c r="O163" s="4"/>
    </row>
    <row r="164" spans="2:15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12"/>
      <c r="M164" s="11"/>
      <c r="O164" s="4"/>
    </row>
    <row r="165" spans="2:15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12"/>
      <c r="M165" s="11"/>
      <c r="O165" s="4"/>
    </row>
    <row r="166" spans="2:15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12"/>
      <c r="M166" s="11"/>
      <c r="O166" s="4"/>
    </row>
    <row r="167" spans="2:15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12"/>
      <c r="M167" s="11"/>
      <c r="O167" s="4"/>
    </row>
    <row r="168" spans="2:15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12"/>
      <c r="M168" s="11"/>
      <c r="O168" s="4"/>
    </row>
    <row r="169" spans="2:15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5"/>
      <c r="M169" s="11"/>
      <c r="O169" s="4"/>
    </row>
    <row r="170" spans="2:15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3"/>
      <c r="M170" s="11"/>
      <c r="O170" s="4"/>
    </row>
    <row r="171" spans="2:15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13"/>
      <c r="M171" s="11"/>
      <c r="O171" s="4"/>
    </row>
    <row r="172" spans="2:15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13"/>
      <c r="M172" s="11"/>
      <c r="O172" s="4"/>
    </row>
    <row r="173" spans="2:15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3"/>
      <c r="M173" s="11"/>
      <c r="O173" s="4"/>
    </row>
    <row r="174" spans="2:15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3"/>
      <c r="M174" s="11"/>
      <c r="O174" s="4"/>
    </row>
    <row r="175" spans="2:15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14"/>
      <c r="M175" s="11"/>
      <c r="O175" s="4"/>
    </row>
    <row r="176" spans="2:15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15"/>
      <c r="M176" s="11"/>
      <c r="O176" s="4"/>
    </row>
    <row r="177" spans="2:15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13"/>
      <c r="M177" s="11"/>
      <c r="O177" s="4"/>
    </row>
    <row r="178" spans="2:15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3"/>
      <c r="M178" s="11"/>
      <c r="O178" s="4"/>
    </row>
    <row r="179" spans="2:15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13"/>
      <c r="M179" s="11"/>
      <c r="O179" s="4"/>
    </row>
    <row r="180" spans="2:15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3"/>
      <c r="M180" s="11"/>
      <c r="O180" s="4"/>
    </row>
    <row r="181" spans="2:15"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3"/>
      <c r="M181" s="11"/>
      <c r="O181" s="4"/>
    </row>
    <row r="182" spans="2:15"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17"/>
      <c r="M182" s="11"/>
      <c r="O182" s="4"/>
    </row>
    <row r="183" spans="2:15"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17"/>
      <c r="M183" s="11"/>
      <c r="O183" s="4"/>
    </row>
    <row r="184" spans="2:15"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17"/>
      <c r="M184" s="11"/>
      <c r="O184" s="4"/>
    </row>
    <row r="185" spans="2:15"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17"/>
      <c r="M185" s="11"/>
      <c r="O185" s="4"/>
    </row>
    <row r="186" spans="2:15"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3"/>
      <c r="M186" s="11"/>
      <c r="O186" s="4"/>
    </row>
    <row r="187" spans="2:15"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12"/>
      <c r="M187" s="11"/>
      <c r="O187" s="4"/>
    </row>
    <row r="188" spans="2:15"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12"/>
      <c r="M188" s="11"/>
      <c r="O188" s="4"/>
    </row>
    <row r="189" spans="2:15"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12"/>
      <c r="M189" s="11"/>
      <c r="O189" s="4"/>
    </row>
    <row r="190" spans="2:15"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12"/>
      <c r="M190" s="11"/>
      <c r="O190" s="4"/>
    </row>
    <row r="191" spans="2:15"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12"/>
      <c r="M191" s="11"/>
      <c r="O191" s="4"/>
    </row>
    <row r="192" spans="2:15"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12"/>
      <c r="M192" s="11"/>
      <c r="O192" s="4"/>
    </row>
    <row r="193" spans="2:15"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13"/>
      <c r="M193" s="11"/>
      <c r="O193" s="4"/>
    </row>
    <row r="194" spans="2:15"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3"/>
      <c r="M194" s="11"/>
      <c r="O194" s="4"/>
    </row>
    <row r="195" spans="2:15"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16"/>
      <c r="M195" s="11"/>
      <c r="O195" s="4"/>
    </row>
    <row r="196" spans="2:15"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13"/>
      <c r="M196" s="11"/>
      <c r="O196" s="4"/>
    </row>
    <row r="197" spans="2:15"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12"/>
      <c r="M197" s="11"/>
      <c r="O197" s="4"/>
    </row>
    <row r="198" spans="2:15"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12"/>
      <c r="M198" s="11"/>
      <c r="O198" s="4"/>
    </row>
    <row r="199" spans="2:15"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18"/>
      <c r="M199" s="11"/>
      <c r="O199" s="4"/>
    </row>
    <row r="200" spans="2:15"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18"/>
      <c r="M200" s="11"/>
      <c r="O200" s="4"/>
    </row>
    <row r="201" spans="2:15"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12"/>
      <c r="M201" s="11"/>
      <c r="O201" s="4"/>
    </row>
    <row r="202" spans="2:15"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18"/>
      <c r="M202" s="11"/>
      <c r="O202" s="4"/>
    </row>
    <row r="203" spans="2:15"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16"/>
      <c r="M203" s="11"/>
      <c r="O203" s="4"/>
    </row>
    <row r="204" spans="2:15"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12"/>
      <c r="M204" s="11"/>
      <c r="O204" s="4"/>
    </row>
    <row r="205" spans="2:15"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18"/>
      <c r="M205" s="11"/>
      <c r="O205" s="4"/>
    </row>
    <row r="206" spans="2:15"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18"/>
      <c r="M206" s="11"/>
      <c r="O206" s="4"/>
    </row>
    <row r="207" spans="2:15"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18"/>
      <c r="M207" s="11"/>
      <c r="O207" s="4"/>
    </row>
    <row r="208" spans="2:15"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16"/>
      <c r="M208" s="11"/>
      <c r="O208" s="4"/>
    </row>
    <row r="209" spans="2:15"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12"/>
      <c r="M209" s="11"/>
      <c r="O209" s="4"/>
    </row>
    <row r="210" spans="2:15"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12"/>
      <c r="M210" s="11"/>
      <c r="O210" s="4"/>
    </row>
    <row r="211" spans="2:15"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12"/>
      <c r="M211" s="11"/>
      <c r="O211" s="4"/>
    </row>
    <row r="212" spans="2:15"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12"/>
      <c r="M212" s="11"/>
      <c r="O212" s="4"/>
    </row>
    <row r="213" spans="2:15"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12"/>
      <c r="M213" s="11"/>
      <c r="O213" s="4"/>
    </row>
    <row r="214" spans="2:15"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12"/>
      <c r="M214" s="11"/>
      <c r="O214" s="4"/>
    </row>
    <row r="215" spans="2:15"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12"/>
      <c r="M215" s="11"/>
      <c r="O215" s="4"/>
    </row>
    <row r="216" spans="2:15"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7"/>
      <c r="M216" s="2"/>
      <c r="O216" s="4"/>
    </row>
    <row r="217" spans="2:15"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7"/>
      <c r="M217" s="2"/>
      <c r="O217" s="4"/>
    </row>
    <row r="218" spans="2:15"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7"/>
      <c r="M218" s="2"/>
      <c r="O218" s="4"/>
    </row>
    <row r="219" spans="2:15"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7"/>
      <c r="M219" s="2"/>
      <c r="O219" s="4"/>
    </row>
    <row r="220" spans="2:15"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7"/>
      <c r="M220" s="2"/>
      <c r="O220" s="4"/>
    </row>
    <row r="221" spans="2:15"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7"/>
      <c r="M221" s="2"/>
      <c r="O221" s="4"/>
    </row>
    <row r="222" spans="2:15"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7"/>
      <c r="M222" s="2"/>
      <c r="O222" s="4"/>
    </row>
    <row r="223" spans="2:15"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7"/>
      <c r="M223" s="2"/>
      <c r="O223" s="4"/>
    </row>
    <row r="224" spans="2:15"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7"/>
      <c r="M224" s="2"/>
      <c r="O224" s="4"/>
    </row>
    <row r="225" spans="2:15"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7"/>
      <c r="M225" s="2"/>
      <c r="O225" s="4"/>
    </row>
  </sheetData>
  <sortState ref="B135:K148">
    <sortCondition ref="F135:F148"/>
  </sortState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ExportGraphique">
                <anchor moveWithCells="1" sizeWithCells="1">
                  <from>
                    <xdr:col>19</xdr:col>
                    <xdr:colOff>9525</xdr:colOff>
                    <xdr:row>4</xdr:row>
                    <xdr:rowOff>180975</xdr:rowOff>
                  </from>
                  <to>
                    <xdr:col>20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4098"/>
  <sheetViews>
    <sheetView topLeftCell="A65" zoomScale="87" zoomScaleNormal="87" workbookViewId="0">
      <selection activeCell="K78" sqref="K78"/>
    </sheetView>
  </sheetViews>
  <sheetFormatPr baseColWidth="10" defaultRowHeight="15"/>
  <cols>
    <col min="1" max="1" width="13.5703125" bestFit="1" customWidth="1"/>
    <col min="2" max="2" width="13.140625" bestFit="1" customWidth="1"/>
    <col min="3" max="3" width="7.5703125" bestFit="1" customWidth="1"/>
    <col min="4" max="4" width="6.5703125" bestFit="1" customWidth="1"/>
    <col min="5" max="5" width="10" bestFit="1" customWidth="1"/>
    <col min="6" max="6" width="8.28515625" customWidth="1"/>
    <col min="7" max="7" width="11.42578125" customWidth="1"/>
    <col min="8" max="8" width="12" bestFit="1" customWidth="1"/>
    <col min="9" max="9" width="17.7109375" customWidth="1"/>
    <col min="11" max="11" width="12.5703125" bestFit="1" customWidth="1"/>
    <col min="13" max="13" width="12" bestFit="1" customWidth="1"/>
  </cols>
  <sheetData>
    <row r="1" spans="1:27">
      <c r="A1" s="1">
        <v>2451714.7492999998</v>
      </c>
      <c r="B1" s="1" t="s">
        <v>68</v>
      </c>
      <c r="C1" s="1">
        <v>11.6</v>
      </c>
      <c r="D1" s="1"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>
      <c r="A2" s="1">
        <v>2451799.0646000002</v>
      </c>
      <c r="B2" s="1" t="s">
        <v>141</v>
      </c>
      <c r="C2" s="1">
        <v>11.6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>
      <c r="A3" s="1">
        <v>2451808.0277999998</v>
      </c>
      <c r="B3" s="1" t="s">
        <v>142</v>
      </c>
      <c r="C3" s="1">
        <v>11.7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>
      <c r="A4" s="1">
        <v>2452028.8457999998</v>
      </c>
      <c r="B4" s="1" t="s">
        <v>123</v>
      </c>
      <c r="C4" s="1">
        <v>13.2</v>
      </c>
      <c r="D4" s="1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>
      <c r="A5" s="1">
        <v>2452037.8486000001</v>
      </c>
      <c r="B5" s="1" t="s">
        <v>143</v>
      </c>
      <c r="C5" s="1">
        <v>13.1</v>
      </c>
      <c r="D5" s="1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>
      <c r="A6" s="1">
        <v>2452078.7507000002</v>
      </c>
      <c r="B6" s="1" t="s">
        <v>124</v>
      </c>
      <c r="C6" s="1">
        <v>12.95</v>
      </c>
      <c r="D6" s="1"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>
      <c r="A7" s="1">
        <v>2452110.6617999999</v>
      </c>
      <c r="B7" s="1" t="s">
        <v>144</v>
      </c>
      <c r="C7" s="1">
        <v>12.93</v>
      </c>
      <c r="D7" s="1"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1">
        <v>2452129.6743000001</v>
      </c>
      <c r="B8" s="1" t="s">
        <v>145</v>
      </c>
      <c r="C8" s="1">
        <v>12.9</v>
      </c>
      <c r="D8" s="1"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1">
        <v>2452147.6006999998</v>
      </c>
      <c r="B9" s="1" t="s">
        <v>146</v>
      </c>
      <c r="C9" s="1">
        <v>12.79</v>
      </c>
      <c r="D9" s="1"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1">
        <v>2452389.8549000002</v>
      </c>
      <c r="B10" s="1" t="s">
        <v>125</v>
      </c>
      <c r="C10" s="1">
        <v>12.86</v>
      </c>
      <c r="D10" s="1"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1">
        <v>2453555.7582999999</v>
      </c>
      <c r="B11" s="1" t="s">
        <v>126</v>
      </c>
      <c r="C11" s="1">
        <v>12.97</v>
      </c>
      <c r="D11" s="1"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1">
        <v>2453925.1381999999</v>
      </c>
      <c r="B12" s="1" t="s">
        <v>147</v>
      </c>
      <c r="C12" s="1">
        <v>12.17</v>
      </c>
      <c r="D12" s="1"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1">
        <v>2453927.5712000001</v>
      </c>
      <c r="B13" s="1" t="s">
        <v>148</v>
      </c>
      <c r="C13" s="1">
        <v>12.015000000000001</v>
      </c>
      <c r="D13" s="1">
        <v>2.5000000000000001E-2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1">
        <v>2453935.0424000002</v>
      </c>
      <c r="B14" s="1" t="s">
        <v>149</v>
      </c>
      <c r="C14" s="1">
        <v>11.79</v>
      </c>
      <c r="D14" s="1"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1">
        <v>2453938.9785000002</v>
      </c>
      <c r="B15" s="1" t="s">
        <v>150</v>
      </c>
      <c r="C15" s="1">
        <v>11.94</v>
      </c>
      <c r="D15" s="1"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1">
        <v>2453945.0306000002</v>
      </c>
      <c r="B16" s="1" t="s">
        <v>151</v>
      </c>
      <c r="C16" s="1">
        <v>11.89</v>
      </c>
      <c r="D16" s="1"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1">
        <v>2453946.1139000002</v>
      </c>
      <c r="B17" s="1" t="s">
        <v>152</v>
      </c>
      <c r="C17" s="1">
        <v>11.84</v>
      </c>
      <c r="D17" s="1"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1">
        <v>2453948.0353999999</v>
      </c>
      <c r="B18" s="1" t="s">
        <v>153</v>
      </c>
      <c r="C18" s="1">
        <v>11.83</v>
      </c>
      <c r="D18" s="1"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1">
        <v>2454349.94777</v>
      </c>
      <c r="B19" s="1" t="s">
        <v>69</v>
      </c>
      <c r="C19" s="1">
        <v>11.66</v>
      </c>
      <c r="D19" s="1"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30">
      <c r="A20" s="1">
        <v>2454362.4400999998</v>
      </c>
      <c r="B20" s="1" t="s">
        <v>154</v>
      </c>
      <c r="C20" s="1">
        <v>11.426500000000001</v>
      </c>
      <c r="D20" s="1">
        <v>5.5599999999999998E-3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30">
      <c r="A21" s="1">
        <v>2454364.6422000001</v>
      </c>
      <c r="B21" s="1" t="s">
        <v>155</v>
      </c>
      <c r="C21" s="1">
        <v>11.353332999999999</v>
      </c>
      <c r="D21" s="1">
        <v>7.6880000000000004E-3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1">
        <v>2454368.9739700002</v>
      </c>
      <c r="B22" s="1" t="s">
        <v>156</v>
      </c>
      <c r="C22" s="1">
        <v>11.22</v>
      </c>
      <c r="D22" s="1"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30">
      <c r="A23" s="1">
        <v>2454371.55804</v>
      </c>
      <c r="B23" s="1" t="s">
        <v>157</v>
      </c>
      <c r="C23" s="1">
        <v>11.241667</v>
      </c>
      <c r="D23" s="1">
        <v>5.0439999999999999E-3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1">
        <v>2454372.6330599999</v>
      </c>
      <c r="B24" s="1" t="s">
        <v>158</v>
      </c>
      <c r="C24" s="1">
        <v>11.164</v>
      </c>
      <c r="D24" s="1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1">
        <v>2454379.9246700001</v>
      </c>
      <c r="B25" s="1" t="s">
        <v>70</v>
      </c>
      <c r="C25" s="1">
        <v>11.2</v>
      </c>
      <c r="D25" s="1"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1">
        <v>2454393.9567</v>
      </c>
      <c r="B26" s="1" t="s">
        <v>159</v>
      </c>
      <c r="C26" s="1">
        <v>11.15</v>
      </c>
      <c r="D26" s="1"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1">
        <v>2454396.9438299998</v>
      </c>
      <c r="B27" s="1" t="s">
        <v>160</v>
      </c>
      <c r="C27" s="1">
        <v>11.12</v>
      </c>
      <c r="D27" s="1"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1">
        <v>2454401.9695899999</v>
      </c>
      <c r="B28" s="1" t="s">
        <v>161</v>
      </c>
      <c r="C28" s="1">
        <v>11.14</v>
      </c>
      <c r="D28" s="1"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1">
        <v>2454414.9391600001</v>
      </c>
      <c r="B29" s="1" t="s">
        <v>162</v>
      </c>
      <c r="C29" s="1">
        <v>11.11</v>
      </c>
      <c r="D29" s="1"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1">
        <v>2455045.2881700001</v>
      </c>
      <c r="B30" s="1" t="s">
        <v>163</v>
      </c>
      <c r="C30" s="1">
        <v>11.3</v>
      </c>
      <c r="D30" s="1"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A31" s="1">
        <v>2455408.6673599998</v>
      </c>
      <c r="B31" s="1" t="s">
        <v>164</v>
      </c>
      <c r="C31" s="1">
        <v>13.2</v>
      </c>
      <c r="D31" s="1"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A32" s="1">
        <v>2455463.602</v>
      </c>
      <c r="B32" s="1" t="s">
        <v>165</v>
      </c>
      <c r="C32" s="1">
        <v>13</v>
      </c>
      <c r="D32" s="1"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>
      <c r="A33" s="1">
        <v>2455663.9819999998</v>
      </c>
      <c r="B33" s="1" t="s">
        <v>127</v>
      </c>
      <c r="C33" s="1">
        <v>12.2</v>
      </c>
      <c r="D33" s="1">
        <v>0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>
      <c r="A34" s="1">
        <v>2455676.966</v>
      </c>
      <c r="B34" s="1" t="s">
        <v>166</v>
      </c>
      <c r="C34" s="1">
        <v>12.28</v>
      </c>
      <c r="D34" s="1">
        <v>0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>
      <c r="A35" s="1">
        <v>2455739.03785</v>
      </c>
      <c r="B35" s="1" t="s">
        <v>167</v>
      </c>
      <c r="C35" s="1">
        <v>12.4</v>
      </c>
      <c r="D35" s="1">
        <v>0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>
      <c r="A36" s="1">
        <v>2455741.0349400002</v>
      </c>
      <c r="B36" s="1" t="s">
        <v>72</v>
      </c>
      <c r="C36" s="1">
        <v>12.59</v>
      </c>
      <c r="D36" s="1">
        <v>0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>
      <c r="A37" s="1">
        <v>2455848.5980000002</v>
      </c>
      <c r="B37" s="1" t="s">
        <v>128</v>
      </c>
      <c r="C37" s="1">
        <v>12.798</v>
      </c>
      <c r="D37" s="1">
        <v>0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>
      <c r="A38" s="1">
        <v>2455980.0219999999</v>
      </c>
      <c r="B38" s="1" t="s">
        <v>129</v>
      </c>
      <c r="C38" s="1">
        <v>13.21</v>
      </c>
      <c r="D38" s="1">
        <v>0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>
      <c r="A39" s="1">
        <v>2456160.665</v>
      </c>
      <c r="B39" s="1" t="s">
        <v>168</v>
      </c>
      <c r="C39" s="1">
        <v>11.84</v>
      </c>
      <c r="D39" s="1">
        <v>0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1">
        <v>2456172.7009999999</v>
      </c>
      <c r="B40" s="1" t="s">
        <v>130</v>
      </c>
      <c r="C40" s="1">
        <v>12.09</v>
      </c>
      <c r="D40" s="1">
        <v>0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>
      <c r="A41" s="1">
        <v>2456359.0240000002</v>
      </c>
      <c r="B41" s="1" t="s">
        <v>169</v>
      </c>
      <c r="C41" s="1">
        <v>12.68</v>
      </c>
      <c r="D41" s="1">
        <v>0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1">
        <v>2456470.7429999998</v>
      </c>
      <c r="B42" s="1" t="s">
        <v>170</v>
      </c>
      <c r="C42" s="1">
        <v>13.59</v>
      </c>
      <c r="D42" s="1">
        <v>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>
      <c r="A43" s="1">
        <v>2456475.503</v>
      </c>
      <c r="B43" s="1" t="s">
        <v>171</v>
      </c>
      <c r="C43" s="1">
        <v>13.63</v>
      </c>
      <c r="D43" s="1">
        <v>0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1">
        <v>2456512.7179999999</v>
      </c>
      <c r="B44" s="1" t="s">
        <v>172</v>
      </c>
      <c r="C44" s="1">
        <v>13.38</v>
      </c>
      <c r="D44" s="1">
        <v>0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>
      <c r="A45" s="1">
        <v>2456712.2799999998</v>
      </c>
      <c r="B45" s="1" t="s">
        <v>173</v>
      </c>
      <c r="C45" s="1">
        <v>11.95</v>
      </c>
      <c r="D45" s="1">
        <v>0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1">
        <v>2456721.0279999999</v>
      </c>
      <c r="B46" s="1" t="s">
        <v>131</v>
      </c>
      <c r="C46" s="1">
        <v>12</v>
      </c>
      <c r="D46" s="1">
        <v>0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1">
        <v>2456729.2680000002</v>
      </c>
      <c r="B47" s="1" t="s">
        <v>174</v>
      </c>
      <c r="C47" s="1">
        <v>12.2</v>
      </c>
      <c r="D47" s="1">
        <v>0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1">
        <v>2456735.2620000001</v>
      </c>
      <c r="B48" s="1" t="s">
        <v>175</v>
      </c>
      <c r="C48" s="1">
        <v>12.28</v>
      </c>
      <c r="D48" s="1">
        <v>0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1">
        <v>2456761.2039999999</v>
      </c>
      <c r="B49" s="1" t="s">
        <v>132</v>
      </c>
      <c r="C49" s="1">
        <v>12.43</v>
      </c>
      <c r="D49" s="1">
        <v>0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1">
        <v>2456770.264</v>
      </c>
      <c r="B50" s="1" t="s">
        <v>176</v>
      </c>
      <c r="C50" s="1">
        <v>12.45</v>
      </c>
      <c r="D50" s="1"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1">
        <v>2456793.1039999998</v>
      </c>
      <c r="B51" s="1" t="s">
        <v>177</v>
      </c>
      <c r="C51" s="1">
        <v>12.33</v>
      </c>
      <c r="D51" s="1">
        <v>0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1">
        <v>2456798.2930000001</v>
      </c>
      <c r="B52" s="1" t="s">
        <v>133</v>
      </c>
      <c r="C52" s="1">
        <v>12.34</v>
      </c>
      <c r="D52" s="1">
        <v>0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1">
        <v>2456826.2179999999</v>
      </c>
      <c r="B53" s="1" t="s">
        <v>2</v>
      </c>
      <c r="C53" s="1">
        <v>12.48</v>
      </c>
      <c r="D53" s="1">
        <v>0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30">
      <c r="A54" s="1">
        <v>2456834.6294999998</v>
      </c>
      <c r="B54" s="1" t="s">
        <v>134</v>
      </c>
      <c r="C54" s="1">
        <v>12.491</v>
      </c>
      <c r="D54" s="1">
        <v>4.509E-3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>
      <c r="A55" s="1">
        <v>2456843.0094900001</v>
      </c>
      <c r="B55" s="1" t="s">
        <v>135</v>
      </c>
      <c r="C55" s="1">
        <v>12.472</v>
      </c>
      <c r="D55" s="1">
        <v>0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1">
        <v>2456875.0136000002</v>
      </c>
      <c r="B56" s="1" t="s">
        <v>136</v>
      </c>
      <c r="C56" s="1">
        <v>12.593</v>
      </c>
      <c r="D56" s="1">
        <v>3.0000000000000001E-3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30">
      <c r="A57" s="1">
        <v>2456887.00404</v>
      </c>
      <c r="B57" s="1" t="s">
        <v>137</v>
      </c>
      <c r="C57" s="1">
        <v>12.630385</v>
      </c>
      <c r="D57" s="1">
        <v>2.6050000000000001E-3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30">
      <c r="A58" s="1">
        <v>2457226.9853300001</v>
      </c>
      <c r="B58" s="1" t="s">
        <v>178</v>
      </c>
      <c r="C58" s="1">
        <v>12.761396</v>
      </c>
      <c r="D58" s="1">
        <v>3.7569999999999999E-3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1">
        <v>2457226.9979500002</v>
      </c>
      <c r="B59" s="1" t="s">
        <v>178</v>
      </c>
      <c r="C59" s="1">
        <v>12.759</v>
      </c>
      <c r="D59" s="1">
        <v>0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30">
      <c r="A60" s="1">
        <v>2457281.02575</v>
      </c>
      <c r="B60" s="1" t="s">
        <v>179</v>
      </c>
      <c r="C60" s="1">
        <v>11.012352999999999</v>
      </c>
      <c r="D60" s="1">
        <v>6.3920000000000001E-3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30">
      <c r="A61" s="1">
        <v>2457283.7695300002</v>
      </c>
      <c r="B61" s="1" t="s">
        <v>180</v>
      </c>
      <c r="C61" s="1">
        <v>11.191000000000001</v>
      </c>
      <c r="D61" s="1">
        <v>6.7879999999999998E-3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30">
      <c r="A62" s="1">
        <v>2457286.3913699999</v>
      </c>
      <c r="B62" s="1" t="s">
        <v>181</v>
      </c>
      <c r="C62" s="1">
        <v>11.211375</v>
      </c>
      <c r="D62" s="1">
        <v>1.2971999999999999E-2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1">
        <v>2457287.9784599999</v>
      </c>
      <c r="B63" s="1" t="s">
        <v>182</v>
      </c>
      <c r="C63" s="1">
        <v>11.311</v>
      </c>
      <c r="D63" s="1">
        <v>0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1">
        <v>2457289.9140599999</v>
      </c>
      <c r="B64" s="1" t="s">
        <v>183</v>
      </c>
      <c r="C64" s="1">
        <v>11.382</v>
      </c>
      <c r="D64" s="1">
        <v>0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30">
      <c r="A65" s="1">
        <v>2457291.3128900002</v>
      </c>
      <c r="B65" s="1" t="s">
        <v>138</v>
      </c>
      <c r="C65" s="1">
        <v>11.346166999999999</v>
      </c>
      <c r="D65" s="1">
        <v>1.8500000000000001E-3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>
      <c r="A66" s="1">
        <v>2457292.9708199999</v>
      </c>
      <c r="B66" s="1" t="s">
        <v>73</v>
      </c>
      <c r="C66" s="1">
        <v>11.332000000000001</v>
      </c>
      <c r="D66" s="1">
        <v>0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30">
      <c r="A67" s="1">
        <v>2457294.4292100002</v>
      </c>
      <c r="B67" s="1" t="s">
        <v>1</v>
      </c>
      <c r="C67" s="1">
        <v>11.354666999999999</v>
      </c>
      <c r="D67" s="1">
        <v>4.8830000000000002E-3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>
      <c r="A68" s="1">
        <v>2457300.9111199998</v>
      </c>
      <c r="B68" s="1" t="s">
        <v>139</v>
      </c>
      <c r="C68" s="1">
        <v>11.61</v>
      </c>
      <c r="D68" s="1">
        <v>0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30">
      <c r="A69" s="1">
        <v>2457302.2952299998</v>
      </c>
      <c r="B69" s="1" t="s">
        <v>184</v>
      </c>
      <c r="C69" s="1">
        <v>11.668625</v>
      </c>
      <c r="D69" s="1">
        <v>9.990000000000001E-4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30">
      <c r="A70" s="1">
        <v>2457305.2265699999</v>
      </c>
      <c r="B70" s="1" t="s">
        <v>185</v>
      </c>
      <c r="C70" s="1">
        <v>11.763286000000001</v>
      </c>
      <c r="D70" s="1">
        <v>1.34E-3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30">
      <c r="A71" s="1">
        <v>2457309.26834</v>
      </c>
      <c r="B71" s="1" t="s">
        <v>3</v>
      </c>
      <c r="C71" s="1">
        <v>11.721571000000001</v>
      </c>
      <c r="D71" s="1">
        <v>9.9700000000000006E-4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30">
      <c r="A72" s="1">
        <v>2457311.2650000001</v>
      </c>
      <c r="B72" s="1" t="s">
        <v>186</v>
      </c>
      <c r="C72" s="1">
        <v>11.688650000000001</v>
      </c>
      <c r="D72" s="1">
        <v>1.7030000000000001E-3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>
      <c r="A73" s="1">
        <v>2457312.9358399999</v>
      </c>
      <c r="B73" s="1" t="s">
        <v>187</v>
      </c>
      <c r="C73" s="1">
        <v>11.699</v>
      </c>
      <c r="D73" s="1">
        <v>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>
      <c r="A74" s="1">
        <v>2457493.9792999998</v>
      </c>
      <c r="B74" s="1" t="s">
        <v>188</v>
      </c>
      <c r="C74" s="1">
        <v>12.71</v>
      </c>
      <c r="D74" s="1">
        <v>0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>
      <c r="A75" s="1">
        <v>2457543.9438</v>
      </c>
      <c r="B75" s="1" t="s">
        <v>189</v>
      </c>
      <c r="C75" s="1">
        <v>12.98</v>
      </c>
      <c r="D75" s="1">
        <v>0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1">
        <v>2457686.9229299999</v>
      </c>
      <c r="B76" s="1" t="s">
        <v>71</v>
      </c>
      <c r="C76" s="1">
        <v>13.131</v>
      </c>
      <c r="D76" s="1">
        <v>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1">
        <v>2457848.9780999999</v>
      </c>
      <c r="B77" s="1" t="s">
        <v>190</v>
      </c>
      <c r="C77" s="1">
        <v>11.95</v>
      </c>
      <c r="D77" s="1">
        <v>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1">
        <v>2457852.9555000002</v>
      </c>
      <c r="B78" s="1" t="s">
        <v>191</v>
      </c>
      <c r="C78" s="1">
        <v>11.88</v>
      </c>
      <c r="D78" s="1">
        <v>0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1">
        <v>2457857.2252000002</v>
      </c>
      <c r="B79" s="1" t="s">
        <v>192</v>
      </c>
      <c r="C79" s="1">
        <v>11.9</v>
      </c>
      <c r="D79" s="1">
        <v>0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1">
        <v>2457936.0733699999</v>
      </c>
      <c r="B80" s="1" t="s">
        <v>193</v>
      </c>
      <c r="C80" s="1">
        <v>12.489000000000001</v>
      </c>
      <c r="D80" s="1">
        <v>0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>
      <c r="A638" s="1"/>
      <c r="B638" s="1"/>
      <c r="C638" s="1"/>
      <c r="D638" s="1"/>
      <c r="E638" s="1"/>
      <c r="F638" s="1"/>
      <c r="G638" s="1"/>
      <c r="H638" s="29"/>
      <c r="I638" s="1"/>
      <c r="J638" s="1"/>
      <c r="K638" s="29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28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>
      <c r="A643" s="1"/>
      <c r="B643" s="1"/>
      <c r="C643" s="1"/>
      <c r="D643" s="1"/>
      <c r="E643" s="1"/>
      <c r="F643" s="1"/>
      <c r="G643" s="1"/>
      <c r="H643" s="31"/>
      <c r="I643" s="28"/>
      <c r="J643" s="1"/>
      <c r="K643" s="32"/>
      <c r="L643" s="1"/>
      <c r="M643" s="28"/>
      <c r="P643" s="1"/>
      <c r="Q643" s="1"/>
      <c r="R643" s="1"/>
      <c r="S643" s="1"/>
      <c r="T643" s="27"/>
      <c r="U643" s="1"/>
      <c r="V643" s="1"/>
      <c r="W643" s="1"/>
      <c r="X643" s="1"/>
      <c r="Y643" s="1"/>
      <c r="Z643" s="1"/>
      <c r="AA643" s="1"/>
    </row>
    <row r="644" spans="1:27">
      <c r="A644" s="1"/>
      <c r="B644" s="1"/>
      <c r="C644" s="1"/>
      <c r="D644" s="1"/>
      <c r="E644" s="1"/>
      <c r="F644" s="1"/>
      <c r="G644" s="1"/>
      <c r="I644" s="6"/>
      <c r="K644" s="32"/>
      <c r="M644" s="6"/>
      <c r="P644" s="1"/>
      <c r="Q644" s="1"/>
      <c r="R644" s="1"/>
      <c r="S644" s="1"/>
      <c r="T644" s="27"/>
      <c r="U644" s="1"/>
      <c r="V644" s="1"/>
      <c r="W644" s="1"/>
      <c r="X644" s="1"/>
      <c r="Y644" s="1"/>
      <c r="Z644" s="1"/>
      <c r="AA644" s="1"/>
    </row>
    <row r="645" spans="1:27">
      <c r="A645" s="1"/>
      <c r="B645" s="1"/>
      <c r="C645" s="1"/>
      <c r="D645" s="1"/>
      <c r="E645" s="1"/>
      <c r="F645" s="1"/>
      <c r="G645" s="1"/>
      <c r="I645" s="6"/>
      <c r="K645" s="32"/>
      <c r="M645" s="6"/>
      <c r="P645" s="1"/>
      <c r="Q645" s="29"/>
      <c r="S645" s="1"/>
      <c r="T645" s="27"/>
      <c r="U645" s="1"/>
      <c r="V645" s="1"/>
      <c r="W645" s="1"/>
      <c r="X645" s="1"/>
      <c r="Y645" s="1"/>
      <c r="Z645" s="1"/>
      <c r="AA645" s="1"/>
    </row>
    <row r="646" spans="1:27">
      <c r="A646" s="1"/>
      <c r="B646" s="1"/>
      <c r="C646" s="1"/>
      <c r="D646" s="1"/>
      <c r="E646" s="1"/>
      <c r="F646" s="1"/>
      <c r="G646" s="1"/>
      <c r="I646" s="6"/>
      <c r="K646" s="32"/>
      <c r="M646" s="6"/>
      <c r="P646" s="1"/>
      <c r="Q646" s="29"/>
      <c r="S646" s="1"/>
      <c r="T646" s="27"/>
      <c r="U646" s="1"/>
      <c r="V646" s="1"/>
      <c r="W646" s="1"/>
      <c r="Y646" s="1"/>
      <c r="Z646" s="1"/>
      <c r="AA646" s="1"/>
    </row>
    <row r="647" spans="1:27">
      <c r="A647" s="1"/>
      <c r="B647" s="1"/>
      <c r="C647" s="1"/>
      <c r="D647" s="1"/>
      <c r="E647" s="1"/>
      <c r="F647" s="1"/>
      <c r="G647" s="1"/>
      <c r="I647" s="6"/>
      <c r="K647" s="32"/>
      <c r="M647" s="6"/>
      <c r="P647" s="1"/>
      <c r="Q647" s="29"/>
      <c r="S647" s="1"/>
      <c r="T647" s="27"/>
      <c r="U647" s="1"/>
      <c r="V647" s="1"/>
      <c r="W647" s="1"/>
      <c r="X647" s="1"/>
      <c r="Y647" s="1"/>
      <c r="Z647" s="1"/>
      <c r="AA647" s="1"/>
    </row>
    <row r="648" spans="1:27">
      <c r="A648" s="1"/>
      <c r="B648" s="1"/>
      <c r="C648" s="1"/>
      <c r="D648" s="1"/>
      <c r="E648" s="1"/>
      <c r="F648" s="1"/>
      <c r="G648" s="1"/>
      <c r="I648" s="6"/>
      <c r="K648" s="32"/>
      <c r="M648" s="6"/>
      <c r="P648" s="1"/>
      <c r="Q648" s="29"/>
      <c r="S648" s="1"/>
      <c r="T648" s="27"/>
      <c r="U648" s="1"/>
      <c r="V648" s="1"/>
      <c r="W648" s="1"/>
      <c r="X648" s="1"/>
      <c r="Y648" s="1"/>
      <c r="Z648" s="1"/>
      <c r="AA648" s="1"/>
    </row>
    <row r="649" spans="1:27">
      <c r="A649" s="1"/>
      <c r="B649" s="1"/>
      <c r="C649" s="1"/>
      <c r="D649" s="1"/>
      <c r="E649" s="1"/>
      <c r="F649" s="1"/>
      <c r="G649" s="1"/>
      <c r="I649" s="6"/>
      <c r="K649" s="32"/>
      <c r="M649" s="28"/>
      <c r="P649" s="1"/>
      <c r="Q649" s="29"/>
      <c r="S649" s="1"/>
      <c r="T649" s="1"/>
      <c r="U649" s="1"/>
      <c r="V649" s="1"/>
      <c r="W649" s="1"/>
      <c r="X649" s="1"/>
      <c r="Y649" s="1"/>
      <c r="Z649" s="1"/>
      <c r="AA649" s="1"/>
    </row>
    <row r="650" spans="1:27">
      <c r="A650" s="1"/>
      <c r="B650" s="1"/>
      <c r="C650" s="1"/>
      <c r="D650" s="1"/>
      <c r="E650" s="1"/>
      <c r="F650" s="1"/>
      <c r="G650" s="1"/>
      <c r="H650" s="30"/>
      <c r="I650" s="28"/>
      <c r="J650" s="1"/>
      <c r="K650" s="32"/>
      <c r="L650" s="1"/>
      <c r="M650" s="28"/>
      <c r="P650" s="1"/>
      <c r="Q650" s="29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>
      <c r="A651" s="1"/>
      <c r="B651" s="1"/>
      <c r="C651" s="1"/>
      <c r="D651" s="1"/>
      <c r="E651" s="1"/>
      <c r="F651" s="1"/>
      <c r="G651" s="1"/>
      <c r="H651" s="30"/>
      <c r="I651" s="28"/>
      <c r="J651" s="1"/>
      <c r="K651" s="1"/>
      <c r="L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>
      <c r="A652" s="1"/>
      <c r="B652" s="1"/>
      <c r="C652" s="1"/>
      <c r="D652" s="1"/>
      <c r="E652" s="1"/>
      <c r="F652" s="1"/>
      <c r="G652" s="1"/>
      <c r="H652" s="30"/>
      <c r="I652" s="28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>
      <c r="B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>
      <c r="B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>
      <c r="B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>
      <c r="B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>
      <c r="B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>
      <c r="B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1:27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1:27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1:27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1:27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1:27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1:27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1:27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1:27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</sheetData>
  <sortState ref="A1:F1310">
    <sortCondition ref="F1:F1310"/>
  </sortState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7D33C-8411-4AF4-B253-94AFBE59E6FB}">
  <dimension ref="A1:B80"/>
  <sheetViews>
    <sheetView tabSelected="1" workbookViewId="0">
      <selection activeCell="F15" sqref="F15"/>
    </sheetView>
  </sheetViews>
  <sheetFormatPr baseColWidth="10" defaultRowHeight="15"/>
  <sheetData>
    <row r="1" spans="1:2">
      <c r="A1">
        <f>+V!A1-2450000</f>
        <v>1714.7492999997921</v>
      </c>
      <c r="B1">
        <f>+V!C1</f>
        <v>11.6</v>
      </c>
    </row>
    <row r="2" spans="1:2">
      <c r="A2">
        <f>+V!A2-2450000</f>
        <v>1799.064600000158</v>
      </c>
      <c r="B2">
        <f>+V!C2</f>
        <v>11.6</v>
      </c>
    </row>
    <row r="3" spans="1:2">
      <c r="A3">
        <f>+V!A3-2450000</f>
        <v>1808.027799999807</v>
      </c>
      <c r="B3">
        <f>+V!C3</f>
        <v>11.7</v>
      </c>
    </row>
    <row r="4" spans="1:2">
      <c r="A4">
        <f>+V!A4-2450000</f>
        <v>2028.8457999997772</v>
      </c>
      <c r="B4">
        <f>+V!C4</f>
        <v>13.2</v>
      </c>
    </row>
    <row r="5" spans="1:2">
      <c r="A5">
        <f>+V!A5-2450000</f>
        <v>2037.8486000001431</v>
      </c>
      <c r="B5">
        <f>+V!C5</f>
        <v>13.1</v>
      </c>
    </row>
    <row r="6" spans="1:2">
      <c r="A6">
        <f>+V!A6-2450000</f>
        <v>2078.7507000002079</v>
      </c>
      <c r="B6">
        <f>+V!C6</f>
        <v>12.95</v>
      </c>
    </row>
    <row r="7" spans="1:2">
      <c r="A7">
        <f>+V!A7-2450000</f>
        <v>2110.6617999998853</v>
      </c>
      <c r="B7">
        <f>+V!C7</f>
        <v>12.93</v>
      </c>
    </row>
    <row r="8" spans="1:2">
      <c r="A8">
        <f>+V!A8-2450000</f>
        <v>2129.6743000000715</v>
      </c>
      <c r="B8">
        <f>+V!C8</f>
        <v>12.9</v>
      </c>
    </row>
    <row r="9" spans="1:2">
      <c r="A9">
        <f>+V!A9-2450000</f>
        <v>2147.6006999998353</v>
      </c>
      <c r="B9">
        <f>+V!C9</f>
        <v>12.79</v>
      </c>
    </row>
    <row r="10" spans="1:2">
      <c r="A10">
        <f>+V!A10-2450000</f>
        <v>2389.8549000001512</v>
      </c>
      <c r="B10">
        <f>+V!C10</f>
        <v>12.86</v>
      </c>
    </row>
    <row r="11" spans="1:2">
      <c r="A11">
        <f>+V!A11-2450000</f>
        <v>3555.7582999998704</v>
      </c>
      <c r="B11">
        <f>+V!C11</f>
        <v>12.97</v>
      </c>
    </row>
    <row r="12" spans="1:2">
      <c r="A12">
        <f>+V!A12-2450000</f>
        <v>3925.1381999999285</v>
      </c>
      <c r="B12">
        <f>+V!C12</f>
        <v>12.17</v>
      </c>
    </row>
    <row r="13" spans="1:2">
      <c r="A13">
        <f>+V!A13-2450000</f>
        <v>3927.5712000001222</v>
      </c>
      <c r="B13">
        <f>+V!C13</f>
        <v>12.015000000000001</v>
      </c>
    </row>
    <row r="14" spans="1:2">
      <c r="A14">
        <f>+V!A14-2450000</f>
        <v>3935.0424000001512</v>
      </c>
      <c r="B14">
        <f>+V!C14</f>
        <v>11.79</v>
      </c>
    </row>
    <row r="15" spans="1:2">
      <c r="A15">
        <f>+V!A15-2450000</f>
        <v>3938.9785000002012</v>
      </c>
      <c r="B15">
        <f>+V!C15</f>
        <v>11.94</v>
      </c>
    </row>
    <row r="16" spans="1:2">
      <c r="A16">
        <f>+V!A16-2450000</f>
        <v>3945.0306000001729</v>
      </c>
      <c r="B16">
        <f>+V!C16</f>
        <v>11.89</v>
      </c>
    </row>
    <row r="17" spans="1:2">
      <c r="A17">
        <f>+V!A17-2450000</f>
        <v>3946.1139000002295</v>
      </c>
      <c r="B17">
        <f>+V!C17</f>
        <v>11.84</v>
      </c>
    </row>
    <row r="18" spans="1:2">
      <c r="A18">
        <f>+V!A18-2450000</f>
        <v>3948.0353999999352</v>
      </c>
      <c r="B18">
        <f>+V!C18</f>
        <v>11.83</v>
      </c>
    </row>
    <row r="19" spans="1:2">
      <c r="A19">
        <f>+V!A19-2450000</f>
        <v>4349.9477699999698</v>
      </c>
      <c r="B19">
        <f>+V!C19</f>
        <v>11.66</v>
      </c>
    </row>
    <row r="20" spans="1:2">
      <c r="A20">
        <f>+V!A20-2450000</f>
        <v>4362.4400999997742</v>
      </c>
      <c r="B20">
        <f>+V!C20</f>
        <v>11.426500000000001</v>
      </c>
    </row>
    <row r="21" spans="1:2">
      <c r="A21">
        <f>+V!A21-2450000</f>
        <v>4364.6422000001185</v>
      </c>
      <c r="B21">
        <f>+V!C21</f>
        <v>11.353332999999999</v>
      </c>
    </row>
    <row r="22" spans="1:2">
      <c r="A22">
        <f>+V!A22-2450000</f>
        <v>4368.9739700001664</v>
      </c>
      <c r="B22">
        <f>+V!C22</f>
        <v>11.22</v>
      </c>
    </row>
    <row r="23" spans="1:2">
      <c r="A23">
        <f>+V!A23-2450000</f>
        <v>4371.5580400000326</v>
      </c>
      <c r="B23">
        <f>+V!C23</f>
        <v>11.241667</v>
      </c>
    </row>
    <row r="24" spans="1:2">
      <c r="A24">
        <f>+V!A24-2450000</f>
        <v>4372.6330599999055</v>
      </c>
      <c r="B24">
        <f>+V!C24</f>
        <v>11.164</v>
      </c>
    </row>
    <row r="25" spans="1:2">
      <c r="A25">
        <f>+V!A25-2450000</f>
        <v>4379.9246700000949</v>
      </c>
      <c r="B25">
        <f>+V!C25</f>
        <v>11.2</v>
      </c>
    </row>
    <row r="26" spans="1:2">
      <c r="A26">
        <f>+V!A26-2450000</f>
        <v>4393.9566999999806</v>
      </c>
      <c r="B26">
        <f>+V!C26</f>
        <v>11.15</v>
      </c>
    </row>
    <row r="27" spans="1:2">
      <c r="A27">
        <f>+V!A27-2450000</f>
        <v>4396.943829999771</v>
      </c>
      <c r="B27">
        <f>+V!C27</f>
        <v>11.12</v>
      </c>
    </row>
    <row r="28" spans="1:2">
      <c r="A28">
        <f>+V!A28-2450000</f>
        <v>4401.9695899998769</v>
      </c>
      <c r="B28">
        <f>+V!C28</f>
        <v>11.14</v>
      </c>
    </row>
    <row r="29" spans="1:2">
      <c r="A29">
        <f>+V!A29-2450000</f>
        <v>4414.9391600000672</v>
      </c>
      <c r="B29">
        <f>+V!C29</f>
        <v>11.11</v>
      </c>
    </row>
    <row r="30" spans="1:2">
      <c r="A30">
        <f>+V!A30-2450000</f>
        <v>5045.2881700000726</v>
      </c>
      <c r="B30">
        <f>+V!C30</f>
        <v>11.3</v>
      </c>
    </row>
    <row r="31" spans="1:2">
      <c r="A31">
        <f>+V!A31-2450000</f>
        <v>5408.6673599998467</v>
      </c>
      <c r="B31">
        <f>+V!C31</f>
        <v>13.2</v>
      </c>
    </row>
    <row r="32" spans="1:2">
      <c r="A32">
        <f>+V!A32-2450000</f>
        <v>5463.6019999999553</v>
      </c>
      <c r="B32">
        <f>+V!C32</f>
        <v>13</v>
      </c>
    </row>
    <row r="33" spans="1:2">
      <c r="A33">
        <f>+V!A33-2450000</f>
        <v>5663.9819999998435</v>
      </c>
      <c r="B33">
        <f>+V!C33</f>
        <v>12.2</v>
      </c>
    </row>
    <row r="34" spans="1:2">
      <c r="A34">
        <f>+V!A34-2450000</f>
        <v>5676.9660000000149</v>
      </c>
      <c r="B34">
        <f>+V!C34</f>
        <v>12.28</v>
      </c>
    </row>
    <row r="35" spans="1:2">
      <c r="A35">
        <f>+V!A35-2450000</f>
        <v>5739.0378499999642</v>
      </c>
      <c r="B35">
        <f>+V!C35</f>
        <v>12.4</v>
      </c>
    </row>
    <row r="36" spans="1:2">
      <c r="A36">
        <f>+V!A36-2450000</f>
        <v>5741.0349400001578</v>
      </c>
      <c r="B36">
        <f>+V!C36</f>
        <v>12.59</v>
      </c>
    </row>
    <row r="37" spans="1:2">
      <c r="A37">
        <f>+V!A37-2450000</f>
        <v>5848.598000000231</v>
      </c>
      <c r="B37">
        <f>+V!C37</f>
        <v>12.798</v>
      </c>
    </row>
    <row r="38" spans="1:2">
      <c r="A38">
        <f>+V!A38-2450000</f>
        <v>5980.0219999998808</v>
      </c>
      <c r="B38">
        <f>+V!C38</f>
        <v>13.21</v>
      </c>
    </row>
    <row r="39" spans="1:2">
      <c r="A39">
        <f>+V!A39-2450000</f>
        <v>6160.6650000000373</v>
      </c>
      <c r="B39">
        <f>+V!C39</f>
        <v>11.84</v>
      </c>
    </row>
    <row r="40" spans="1:2">
      <c r="A40">
        <f>+V!A40-2450000</f>
        <v>6172.7009999998845</v>
      </c>
      <c r="B40">
        <f>+V!C40</f>
        <v>12.09</v>
      </c>
    </row>
    <row r="41" spans="1:2">
      <c r="A41">
        <f>+V!A41-2450000</f>
        <v>6359.0240000002086</v>
      </c>
      <c r="B41">
        <f>+V!C41</f>
        <v>12.68</v>
      </c>
    </row>
    <row r="42" spans="1:2">
      <c r="A42">
        <f>+V!A42-2450000</f>
        <v>6470.7429999997839</v>
      </c>
      <c r="B42">
        <f>+V!C42</f>
        <v>13.59</v>
      </c>
    </row>
    <row r="43" spans="1:2">
      <c r="A43">
        <f>+V!A43-2450000</f>
        <v>6475.5030000000261</v>
      </c>
      <c r="B43">
        <f>+V!C43</f>
        <v>13.63</v>
      </c>
    </row>
    <row r="44" spans="1:2">
      <c r="A44">
        <f>+V!A44-2450000</f>
        <v>6512.7179999998771</v>
      </c>
      <c r="B44">
        <f>+V!C44</f>
        <v>13.38</v>
      </c>
    </row>
    <row r="45" spans="1:2">
      <c r="A45">
        <f>+V!A45-2450000</f>
        <v>6712.2799999997951</v>
      </c>
      <c r="B45">
        <f>+V!C45</f>
        <v>11.95</v>
      </c>
    </row>
    <row r="46" spans="1:2">
      <c r="A46">
        <f>+V!A46-2450000</f>
        <v>6721.0279999999329</v>
      </c>
      <c r="B46">
        <f>+V!C46</f>
        <v>12</v>
      </c>
    </row>
    <row r="47" spans="1:2">
      <c r="A47">
        <f>+V!A47-2450000</f>
        <v>6729.2680000001565</v>
      </c>
      <c r="B47">
        <f>+V!C47</f>
        <v>12.2</v>
      </c>
    </row>
    <row r="48" spans="1:2">
      <c r="A48">
        <f>+V!A48-2450000</f>
        <v>6735.2620000001043</v>
      </c>
      <c r="B48">
        <f>+V!C48</f>
        <v>12.28</v>
      </c>
    </row>
    <row r="49" spans="1:2">
      <c r="A49">
        <f>+V!A49-2450000</f>
        <v>6761.2039999999106</v>
      </c>
      <c r="B49">
        <f>+V!C49</f>
        <v>12.43</v>
      </c>
    </row>
    <row r="50" spans="1:2">
      <c r="A50">
        <f>+V!A50-2450000</f>
        <v>6770.2639999999665</v>
      </c>
      <c r="B50">
        <f>+V!C50</f>
        <v>12.45</v>
      </c>
    </row>
    <row r="51" spans="1:2">
      <c r="A51">
        <f>+V!A51-2450000</f>
        <v>6793.1039999998175</v>
      </c>
      <c r="B51">
        <f>+V!C51</f>
        <v>12.33</v>
      </c>
    </row>
    <row r="52" spans="1:2">
      <c r="A52">
        <f>+V!A52-2450000</f>
        <v>6798.2930000000633</v>
      </c>
      <c r="B52">
        <f>+V!C52</f>
        <v>12.34</v>
      </c>
    </row>
    <row r="53" spans="1:2">
      <c r="A53">
        <f>+V!A53-2450000</f>
        <v>6826.2179999998771</v>
      </c>
      <c r="B53">
        <f>+V!C53</f>
        <v>12.48</v>
      </c>
    </row>
    <row r="54" spans="1:2">
      <c r="A54">
        <f>+V!A54-2450000</f>
        <v>6834.6294999998063</v>
      </c>
      <c r="B54">
        <f>+V!C54</f>
        <v>12.491</v>
      </c>
    </row>
    <row r="55" spans="1:2">
      <c r="A55">
        <f>+V!A55-2450000</f>
        <v>6843.009490000084</v>
      </c>
      <c r="B55">
        <f>+V!C55</f>
        <v>12.472</v>
      </c>
    </row>
    <row r="56" spans="1:2">
      <c r="A56">
        <f>+V!A56-2450000</f>
        <v>6875.0136000001803</v>
      </c>
      <c r="B56">
        <f>+V!C56</f>
        <v>12.593</v>
      </c>
    </row>
    <row r="57" spans="1:2">
      <c r="A57">
        <f>+V!A57-2450000</f>
        <v>6887.0040400000289</v>
      </c>
      <c r="B57">
        <f>+V!C57</f>
        <v>12.630385</v>
      </c>
    </row>
    <row r="58" spans="1:2">
      <c r="A58">
        <f>+V!A58-2450000</f>
        <v>7226.9853300000541</v>
      </c>
      <c r="B58">
        <f>+V!C58</f>
        <v>12.761396</v>
      </c>
    </row>
    <row r="59" spans="1:2">
      <c r="A59">
        <f>+V!A59-2450000</f>
        <v>7226.9979500002228</v>
      </c>
      <c r="B59">
        <f>+V!C59</f>
        <v>12.759</v>
      </c>
    </row>
    <row r="60" spans="1:2">
      <c r="A60">
        <f>+V!A60-2450000</f>
        <v>7281.0257500000298</v>
      </c>
      <c r="B60">
        <f>+V!C60</f>
        <v>11.012352999999999</v>
      </c>
    </row>
    <row r="61" spans="1:2">
      <c r="A61">
        <f>+V!A61-2450000</f>
        <v>7283.7695300001651</v>
      </c>
      <c r="B61">
        <f>+V!C61</f>
        <v>11.191000000000001</v>
      </c>
    </row>
    <row r="62" spans="1:2">
      <c r="A62">
        <f>+V!A62-2450000</f>
        <v>7286.391369999852</v>
      </c>
      <c r="B62">
        <f>+V!C62</f>
        <v>11.211375</v>
      </c>
    </row>
    <row r="63" spans="1:2">
      <c r="A63">
        <f>+V!A63-2450000</f>
        <v>7287.9784599998966</v>
      </c>
      <c r="B63">
        <f>+V!C63</f>
        <v>11.311</v>
      </c>
    </row>
    <row r="64" spans="1:2">
      <c r="A64">
        <f>+V!A64-2450000</f>
        <v>7289.9140599998645</v>
      </c>
      <c r="B64">
        <f>+V!C64</f>
        <v>11.382</v>
      </c>
    </row>
    <row r="65" spans="1:2">
      <c r="A65">
        <f>+V!A65-2450000</f>
        <v>7291.3128900001757</v>
      </c>
      <c r="B65">
        <f>+V!C65</f>
        <v>11.346166999999999</v>
      </c>
    </row>
    <row r="66" spans="1:2">
      <c r="A66">
        <f>+V!A66-2450000</f>
        <v>7292.9708199999295</v>
      </c>
      <c r="B66">
        <f>+V!C66</f>
        <v>11.332000000000001</v>
      </c>
    </row>
    <row r="67" spans="1:2">
      <c r="A67">
        <f>+V!A67-2450000</f>
        <v>7294.4292100002058</v>
      </c>
      <c r="B67">
        <f>+V!C67</f>
        <v>11.354666999999999</v>
      </c>
    </row>
    <row r="68" spans="1:2">
      <c r="A68">
        <f>+V!A68-2450000</f>
        <v>7300.9111199998297</v>
      </c>
      <c r="B68">
        <f>+V!C68</f>
        <v>11.61</v>
      </c>
    </row>
    <row r="69" spans="1:2">
      <c r="A69">
        <f>+V!A69-2450000</f>
        <v>7302.2952299998142</v>
      </c>
      <c r="B69">
        <f>+V!C69</f>
        <v>11.668625</v>
      </c>
    </row>
    <row r="70" spans="1:2">
      <c r="A70">
        <f>+V!A70-2450000</f>
        <v>7305.2265699999407</v>
      </c>
      <c r="B70">
        <f>+V!C70</f>
        <v>11.763286000000001</v>
      </c>
    </row>
    <row r="71" spans="1:2">
      <c r="A71">
        <f>+V!A71-2450000</f>
        <v>7309.2683399999514</v>
      </c>
      <c r="B71">
        <f>+V!C71</f>
        <v>11.721571000000001</v>
      </c>
    </row>
    <row r="72" spans="1:2">
      <c r="A72">
        <f>+V!A72-2450000</f>
        <v>7311.2650000001304</v>
      </c>
      <c r="B72">
        <f>+V!C72</f>
        <v>11.688650000000001</v>
      </c>
    </row>
    <row r="73" spans="1:2">
      <c r="A73">
        <f>+V!A73-2450000</f>
        <v>7312.9358399999328</v>
      </c>
      <c r="B73">
        <f>+V!C73</f>
        <v>11.699</v>
      </c>
    </row>
    <row r="74" spans="1:2">
      <c r="A74">
        <f>+V!A74-2450000</f>
        <v>7493.9792999997735</v>
      </c>
      <c r="B74">
        <f>+V!C74</f>
        <v>12.71</v>
      </c>
    </row>
    <row r="75" spans="1:2">
      <c r="A75">
        <f>+V!A75-2450000</f>
        <v>7543.9438000000082</v>
      </c>
      <c r="B75">
        <f>+V!C75</f>
        <v>12.98</v>
      </c>
    </row>
    <row r="76" spans="1:2">
      <c r="A76">
        <f>+V!A76-2450000</f>
        <v>7686.9229299998842</v>
      </c>
      <c r="B76">
        <f>+V!C76</f>
        <v>13.131</v>
      </c>
    </row>
    <row r="77" spans="1:2">
      <c r="A77">
        <f>+V!A77-2450000</f>
        <v>7848.9780999999493</v>
      </c>
      <c r="B77">
        <f>+V!C77</f>
        <v>11.95</v>
      </c>
    </row>
    <row r="78" spans="1:2">
      <c r="A78">
        <f>+V!A78-2450000</f>
        <v>7852.9555000001565</v>
      </c>
      <c r="B78">
        <f>+V!C78</f>
        <v>11.88</v>
      </c>
    </row>
    <row r="79" spans="1:2">
      <c r="A79">
        <f>+V!A79-2450000</f>
        <v>7857.225200000219</v>
      </c>
      <c r="B79">
        <f>+V!C79</f>
        <v>11.9</v>
      </c>
    </row>
    <row r="80" spans="1:2">
      <c r="A80">
        <f>+V!A80-2450000</f>
        <v>7936.0733699998818</v>
      </c>
      <c r="B80">
        <f>+V!C80</f>
        <v>12.489000000000001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B1:P38"/>
  <sheetViews>
    <sheetView showGridLines="0" workbookViewId="0">
      <selection activeCell="I16" sqref="I16"/>
    </sheetView>
  </sheetViews>
  <sheetFormatPr baseColWidth="10" defaultRowHeight="15"/>
  <cols>
    <col min="3" max="3" width="11.85546875" bestFit="1" customWidth="1"/>
    <col min="5" max="5" width="7.5703125" bestFit="1" customWidth="1"/>
    <col min="7" max="7" width="14" customWidth="1"/>
  </cols>
  <sheetData>
    <row r="1" spans="2:16">
      <c r="P1" t="s">
        <v>4</v>
      </c>
    </row>
    <row r="2" spans="2:16">
      <c r="P2" t="s">
        <v>5</v>
      </c>
    </row>
    <row r="3" spans="2:16">
      <c r="C3" s="7"/>
      <c r="D3" s="7" t="s">
        <v>6</v>
      </c>
      <c r="E3" s="7" t="s">
        <v>74</v>
      </c>
      <c r="F3" s="7" t="s">
        <v>75</v>
      </c>
      <c r="G3" s="7"/>
      <c r="H3" s="7"/>
      <c r="I3" s="7"/>
      <c r="J3" s="7"/>
      <c r="K3" s="7"/>
      <c r="L3" s="7"/>
      <c r="P3" t="s">
        <v>7</v>
      </c>
    </row>
    <row r="4" spans="2:16">
      <c r="C4" s="7"/>
      <c r="D4" s="7" t="s">
        <v>8</v>
      </c>
      <c r="E4" s="7" t="str">
        <f>CONCATENATE("D:\SymbioticStudies\" &amp; E5&amp;F3)</f>
        <v>D:\SymbioticStudies\ZAnd\2016-2017</v>
      </c>
      <c r="F4" s="7"/>
      <c r="G4" s="7"/>
      <c r="H4" s="7" t="str">
        <f>+CONCATENATE("D:\SITEWEB\SymbioticStars\Studies\" &amp; E5&amp;F3)</f>
        <v>D:\SITEWEB\SymbioticStars\Studies\ZAnd\2016-2017</v>
      </c>
      <c r="I4" s="7"/>
      <c r="J4" s="7"/>
      <c r="K4" s="7"/>
      <c r="L4" s="7"/>
      <c r="P4" t="s">
        <v>9</v>
      </c>
    </row>
    <row r="5" spans="2:16">
      <c r="C5" s="7"/>
      <c r="D5" s="7" t="s">
        <v>10</v>
      </c>
      <c r="E5" s="7" t="str">
        <f>+SUBSTITUTE(E3," ","")</f>
        <v>ZAnd</v>
      </c>
      <c r="F5" s="7"/>
      <c r="G5" s="7"/>
      <c r="H5" s="7"/>
      <c r="I5" s="7"/>
      <c r="J5" s="7"/>
      <c r="K5" s="7"/>
      <c r="L5" s="7"/>
      <c r="P5" t="s">
        <v>11</v>
      </c>
    </row>
    <row r="6" spans="2:16">
      <c r="P6" t="s">
        <v>12</v>
      </c>
    </row>
    <row r="7" spans="2:16">
      <c r="C7" s="8" t="s">
        <v>13</v>
      </c>
      <c r="D7" s="8">
        <v>759</v>
      </c>
      <c r="F7" s="7" t="s">
        <v>14</v>
      </c>
      <c r="G7" s="7">
        <f>+VLOOKUP($J$9,$B$16:$G$37,5)</f>
        <v>10</v>
      </c>
      <c r="H7" s="7"/>
      <c r="P7" t="s">
        <v>15</v>
      </c>
    </row>
    <row r="8" spans="2:16">
      <c r="C8" s="8" t="s">
        <v>16</v>
      </c>
      <c r="D8" s="8">
        <v>2450260</v>
      </c>
      <c r="F8" s="7" t="s">
        <v>17</v>
      </c>
      <c r="G8" s="7">
        <v>1000</v>
      </c>
      <c r="H8" s="7" t="s">
        <v>18</v>
      </c>
      <c r="P8" t="s">
        <v>19</v>
      </c>
    </row>
    <row r="9" spans="2:16">
      <c r="C9" s="8" t="s">
        <v>20</v>
      </c>
      <c r="D9" s="26">
        <v>-0.59</v>
      </c>
      <c r="F9" s="7" t="s">
        <v>21</v>
      </c>
      <c r="G9" s="7">
        <f>+G8/2</f>
        <v>500</v>
      </c>
      <c r="H9" s="7"/>
      <c r="J9">
        <v>1</v>
      </c>
      <c r="P9" t="s">
        <v>22</v>
      </c>
    </row>
    <row r="10" spans="2:16">
      <c r="F10" s="7" t="s">
        <v>23</v>
      </c>
      <c r="G10" s="7">
        <f>+VLOOKUP($J$9,$B$16:$G$37,6)</f>
        <v>1</v>
      </c>
      <c r="H10" s="7"/>
      <c r="P10" t="s">
        <v>24</v>
      </c>
    </row>
    <row r="11" spans="2:16">
      <c r="C11" s="7" t="s">
        <v>76</v>
      </c>
      <c r="D11" s="7">
        <v>250</v>
      </c>
      <c r="F11" s="7" t="s">
        <v>25</v>
      </c>
      <c r="G11" s="7"/>
      <c r="H11" s="7"/>
      <c r="P11" t="s">
        <v>26</v>
      </c>
    </row>
    <row r="12" spans="2:16">
      <c r="C12" s="7" t="s">
        <v>77</v>
      </c>
      <c r="D12" s="7">
        <v>450</v>
      </c>
      <c r="F12" s="7" t="s">
        <v>27</v>
      </c>
      <c r="G12" s="7">
        <f>+VLOOKUP($J$9,$B$16:$H$37,7)</f>
        <v>120</v>
      </c>
      <c r="H12" s="7"/>
      <c r="P12" t="s">
        <v>28</v>
      </c>
    </row>
    <row r="13" spans="2:16">
      <c r="C13" s="7" t="s">
        <v>78</v>
      </c>
      <c r="D13" s="25" t="str">
        <f>+VLOOKUP(E1:E13,[3]Feuil1!A3:B6,2)</f>
        <v>b</v>
      </c>
      <c r="E13">
        <v>1</v>
      </c>
      <c r="F13" s="7" t="s">
        <v>29</v>
      </c>
      <c r="G13" s="9">
        <f>+VLOOKUP($J$9,$B$16:$H$37,4)</f>
        <v>6562.82</v>
      </c>
      <c r="H13" s="7"/>
      <c r="P13" t="s">
        <v>30</v>
      </c>
    </row>
    <row r="14" spans="2:16">
      <c r="F14" s="7" t="s">
        <v>31</v>
      </c>
      <c r="G14" s="10" t="str">
        <f>+VLOOKUP($J$9,$B$16:$H$37,2)</f>
        <v>Ha 6563</v>
      </c>
      <c r="H14" s="7"/>
      <c r="P14" t="s">
        <v>32</v>
      </c>
    </row>
    <row r="15" spans="2:16" ht="36" customHeight="1">
      <c r="F15" s="4" t="s">
        <v>14</v>
      </c>
      <c r="G15" s="4" t="s">
        <v>23</v>
      </c>
      <c r="H15" s="4"/>
      <c r="P15" t="s">
        <v>33</v>
      </c>
    </row>
    <row r="16" spans="2:16">
      <c r="B16">
        <v>1</v>
      </c>
      <c r="C16" t="str">
        <f>+CONCATENATE(D16 &amp; " " &amp; ROUND( E16,0))</f>
        <v>Ha 6563</v>
      </c>
      <c r="D16" t="s">
        <v>34</v>
      </c>
      <c r="E16" s="19">
        <v>6562.82</v>
      </c>
      <c r="F16" s="4">
        <v>10</v>
      </c>
      <c r="G16" s="4">
        <v>1</v>
      </c>
      <c r="H16" s="4">
        <v>120</v>
      </c>
      <c r="P16" t="s">
        <v>35</v>
      </c>
    </row>
    <row r="17" spans="2:16">
      <c r="B17">
        <v>2</v>
      </c>
      <c r="C17" t="str">
        <f t="shared" ref="C17:C34" si="0">+CONCATENATE(D17 &amp; " " &amp; ROUND( E17,0))</f>
        <v>Hb 4861</v>
      </c>
      <c r="D17" t="s">
        <v>36</v>
      </c>
      <c r="E17" s="19">
        <v>4861.34</v>
      </c>
      <c r="F17" s="4">
        <v>3</v>
      </c>
      <c r="G17" s="4">
        <v>1</v>
      </c>
      <c r="H17" s="4">
        <v>60</v>
      </c>
      <c r="P17" t="s">
        <v>37</v>
      </c>
    </row>
    <row r="18" spans="2:16">
      <c r="B18">
        <v>3</v>
      </c>
      <c r="C18" t="str">
        <f t="shared" si="0"/>
        <v>Hg 4340</v>
      </c>
      <c r="D18" t="s">
        <v>38</v>
      </c>
      <c r="E18" s="19">
        <v>4340</v>
      </c>
      <c r="F18" s="4"/>
      <c r="G18" s="4"/>
      <c r="H18" s="4"/>
      <c r="P18" t="s">
        <v>39</v>
      </c>
    </row>
    <row r="19" spans="2:16">
      <c r="B19">
        <v>4</v>
      </c>
      <c r="C19" t="str">
        <f t="shared" si="0"/>
        <v>[OI] 6300</v>
      </c>
      <c r="D19" t="s">
        <v>40</v>
      </c>
      <c r="E19" s="19">
        <v>6300.32</v>
      </c>
      <c r="F19" s="4">
        <v>1</v>
      </c>
      <c r="G19" s="4">
        <v>0.5</v>
      </c>
      <c r="H19" s="4">
        <v>22</v>
      </c>
      <c r="P19" t="s">
        <v>41</v>
      </c>
    </row>
    <row r="20" spans="2:16">
      <c r="B20">
        <v>5</v>
      </c>
      <c r="C20" t="str">
        <f t="shared" si="0"/>
        <v>[OI] 6363</v>
      </c>
      <c r="D20" t="s">
        <v>40</v>
      </c>
      <c r="E20" s="19">
        <v>6363</v>
      </c>
      <c r="F20" s="4"/>
      <c r="G20" s="4"/>
      <c r="H20" s="4"/>
      <c r="P20" t="s">
        <v>42</v>
      </c>
    </row>
    <row r="21" spans="2:16">
      <c r="B21">
        <v>6</v>
      </c>
      <c r="C21" t="str">
        <f>+CONCATENATE(D21 &amp; " " &amp; ROUND( E21,0))</f>
        <v>He I 5016</v>
      </c>
      <c r="D21" t="s">
        <v>43</v>
      </c>
      <c r="E21" s="19">
        <v>5015.68</v>
      </c>
      <c r="F21" s="4"/>
      <c r="G21" s="4"/>
      <c r="H21" s="4"/>
      <c r="P21" t="s">
        <v>44</v>
      </c>
    </row>
    <row r="22" spans="2:16">
      <c r="B22">
        <v>7</v>
      </c>
      <c r="C22" t="str">
        <f t="shared" si="0"/>
        <v>He I 5876</v>
      </c>
      <c r="D22" t="s">
        <v>43</v>
      </c>
      <c r="E22" s="19">
        <v>5875.65</v>
      </c>
      <c r="F22" s="4">
        <v>1</v>
      </c>
      <c r="G22" s="4">
        <v>0.5</v>
      </c>
      <c r="H22" s="4">
        <v>20</v>
      </c>
      <c r="P22" t="s">
        <v>45</v>
      </c>
    </row>
    <row r="23" spans="2:16">
      <c r="B23">
        <v>8</v>
      </c>
      <c r="C23" t="str">
        <f t="shared" si="0"/>
        <v>He I 6678</v>
      </c>
      <c r="D23" t="s">
        <v>43</v>
      </c>
      <c r="E23" s="19">
        <v>6678.15</v>
      </c>
      <c r="F23" s="4"/>
      <c r="G23" s="4"/>
      <c r="H23" s="4"/>
      <c r="P23" t="s">
        <v>46</v>
      </c>
    </row>
    <row r="24" spans="2:16">
      <c r="B24">
        <v>9</v>
      </c>
      <c r="C24" t="str">
        <f t="shared" si="0"/>
        <v>He I 7065</v>
      </c>
      <c r="D24" t="s">
        <v>43</v>
      </c>
      <c r="E24" s="19">
        <v>7065</v>
      </c>
      <c r="F24" s="4"/>
      <c r="G24" s="4"/>
      <c r="H24" s="4"/>
      <c r="P24" t="s">
        <v>47</v>
      </c>
    </row>
    <row r="25" spans="2:16">
      <c r="B25">
        <v>10</v>
      </c>
      <c r="C25" t="str">
        <f t="shared" si="0"/>
        <v>He II 4686</v>
      </c>
      <c r="D25" t="s">
        <v>48</v>
      </c>
      <c r="E25" s="19">
        <v>4685.68</v>
      </c>
      <c r="F25" s="4"/>
      <c r="G25" s="4"/>
      <c r="H25" s="4"/>
      <c r="P25" t="s">
        <v>49</v>
      </c>
    </row>
    <row r="26" spans="2:16">
      <c r="B26">
        <v>11</v>
      </c>
      <c r="C26" t="str">
        <f t="shared" si="0"/>
        <v>[O III] 5007</v>
      </c>
      <c r="D26" t="s">
        <v>50</v>
      </c>
      <c r="E26" s="19">
        <v>5006.84</v>
      </c>
      <c r="F26" s="4">
        <v>1</v>
      </c>
      <c r="G26" s="4">
        <v>0.5</v>
      </c>
      <c r="H26" s="4">
        <v>20</v>
      </c>
      <c r="P26" t="s">
        <v>51</v>
      </c>
    </row>
    <row r="27" spans="2:16">
      <c r="B27">
        <v>12</v>
      </c>
      <c r="C27" t="str">
        <f t="shared" si="0"/>
        <v>[O III] 4959</v>
      </c>
      <c r="D27" t="s">
        <v>50</v>
      </c>
      <c r="E27" s="19">
        <v>4959</v>
      </c>
      <c r="F27" s="4"/>
      <c r="G27" s="4"/>
      <c r="H27" s="4"/>
      <c r="P27" t="s">
        <v>52</v>
      </c>
    </row>
    <row r="28" spans="2:16">
      <c r="B28">
        <v>13</v>
      </c>
      <c r="C28" t="str">
        <f t="shared" si="0"/>
        <v>[O III] 4363</v>
      </c>
      <c r="D28" t="s">
        <v>50</v>
      </c>
      <c r="E28" s="19">
        <v>4363</v>
      </c>
      <c r="F28" s="4"/>
      <c r="G28" s="4"/>
      <c r="H28" s="4"/>
      <c r="P28" t="s">
        <v>53</v>
      </c>
    </row>
    <row r="29" spans="2:16">
      <c r="B29">
        <v>14</v>
      </c>
      <c r="C29" t="str">
        <f t="shared" si="0"/>
        <v>Fe II 4924</v>
      </c>
      <c r="D29" t="s">
        <v>66</v>
      </c>
      <c r="E29" s="19">
        <v>4923.92</v>
      </c>
      <c r="F29" s="4">
        <v>1</v>
      </c>
      <c r="G29" s="4">
        <v>1</v>
      </c>
      <c r="H29" s="4">
        <v>25</v>
      </c>
      <c r="P29" t="s">
        <v>55</v>
      </c>
    </row>
    <row r="30" spans="2:16">
      <c r="B30">
        <v>15</v>
      </c>
      <c r="C30" t="str">
        <f t="shared" si="0"/>
        <v>Fe II 5018</v>
      </c>
      <c r="D30" t="s">
        <v>66</v>
      </c>
      <c r="E30" s="19">
        <v>5018.43</v>
      </c>
      <c r="F30" s="4">
        <v>2</v>
      </c>
      <c r="G30" s="4">
        <v>1</v>
      </c>
      <c r="H30" s="4">
        <v>40</v>
      </c>
      <c r="P30" t="s">
        <v>56</v>
      </c>
    </row>
    <row r="31" spans="2:16">
      <c r="B31">
        <v>16</v>
      </c>
      <c r="E31" s="19"/>
      <c r="F31" s="4"/>
      <c r="G31" s="4"/>
      <c r="H31" s="4"/>
      <c r="P31" t="s">
        <v>57</v>
      </c>
    </row>
    <row r="32" spans="2:16">
      <c r="B32">
        <v>17</v>
      </c>
      <c r="E32" s="19"/>
      <c r="F32" s="4"/>
      <c r="G32" s="4"/>
      <c r="H32" s="4"/>
      <c r="P32" t="s">
        <v>59</v>
      </c>
    </row>
    <row r="33" spans="2:16">
      <c r="B33">
        <v>18</v>
      </c>
      <c r="C33" t="str">
        <f t="shared" si="0"/>
        <v>[Fe VII] 6087</v>
      </c>
      <c r="D33" t="s">
        <v>54</v>
      </c>
      <c r="E33" s="19">
        <v>6087</v>
      </c>
      <c r="F33" s="4">
        <v>2</v>
      </c>
      <c r="G33" s="4">
        <v>1</v>
      </c>
      <c r="H33" s="4">
        <v>40</v>
      </c>
      <c r="P33" t="s">
        <v>60</v>
      </c>
    </row>
    <row r="34" spans="2:16">
      <c r="B34">
        <v>19</v>
      </c>
      <c r="C34" t="str">
        <f t="shared" si="0"/>
        <v>[Fe VII] 5721</v>
      </c>
      <c r="D34" t="s">
        <v>54</v>
      </c>
      <c r="E34" s="19">
        <v>5721</v>
      </c>
      <c r="F34" s="4">
        <v>2</v>
      </c>
      <c r="G34" s="4">
        <v>1</v>
      </c>
      <c r="H34" s="4">
        <v>40</v>
      </c>
      <c r="P34" t="s">
        <v>61</v>
      </c>
    </row>
    <row r="35" spans="2:16">
      <c r="B35">
        <v>20</v>
      </c>
      <c r="D35" t="s">
        <v>54</v>
      </c>
      <c r="E35" s="19"/>
      <c r="P35" t="s">
        <v>62</v>
      </c>
    </row>
    <row r="36" spans="2:16">
      <c r="B36">
        <v>21</v>
      </c>
      <c r="D36" t="s">
        <v>58</v>
      </c>
      <c r="E36" s="19"/>
      <c r="P36" t="s">
        <v>63</v>
      </c>
    </row>
    <row r="37" spans="2:16">
      <c r="B37">
        <v>22</v>
      </c>
      <c r="D37" t="s">
        <v>58</v>
      </c>
      <c r="E37" s="19"/>
      <c r="P37" t="s">
        <v>64</v>
      </c>
    </row>
    <row r="38" spans="2:16">
      <c r="P38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2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2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B6"/>
  <sheetViews>
    <sheetView workbookViewId="0">
      <selection activeCell="D12" sqref="D12"/>
    </sheetView>
  </sheetViews>
  <sheetFormatPr baseColWidth="10" defaultRowHeight="15"/>
  <sheetData>
    <row r="1" spans="1:2">
      <c r="A1">
        <v>1</v>
      </c>
    </row>
    <row r="3" spans="1:2">
      <c r="A3">
        <v>1</v>
      </c>
      <c r="B3" t="s">
        <v>79</v>
      </c>
    </row>
    <row r="4" spans="1:2">
      <c r="A4">
        <v>2</v>
      </c>
      <c r="B4" t="s">
        <v>80</v>
      </c>
    </row>
    <row r="5" spans="1:2">
      <c r="A5">
        <v>3</v>
      </c>
      <c r="B5" t="s">
        <v>81</v>
      </c>
    </row>
    <row r="6" spans="1:2">
      <c r="A6">
        <v>4</v>
      </c>
      <c r="B6" t="s">
        <v>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Index</vt:lpstr>
      <vt:lpstr>V</vt:lpstr>
      <vt:lpstr>matlab</vt:lpstr>
      <vt:lpstr>M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2018-11-03T20:02:55Z</dcterms:modified>
</cp:coreProperties>
</file>